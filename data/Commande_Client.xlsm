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media/image1.png" ContentType="image/png"/>
  <Override PartName="/xl/media/image2.svg" ContentType="image/svg"/>
  <Override PartName="/xl/media/image3.png" ContentType="image/png"/>
  <Override PartName="/xl/comments4.xml" ContentType="application/vnd.openxmlformats-officedocument.spreadsheetml.comments+xml"/>
  <Override PartName="/xl/workbook.xml" ContentType="application/vnd.ms-excel.sheet.macroEnabled.main+xml"/>
  <Override PartName="/xl/comments7.xml" ContentType="application/vnd.openxmlformats-officedocument.spreadsheetml.comments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pivotCache/pivotCacheDefinition1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_rels/pivotCacheDefinition3.xml.rels" ContentType="application/vnd.openxmlformats-package.relationships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_rels/pivotTable3.xml.rels" ContentType="application/vnd.openxmlformats-package.relationships+xml"/>
  <Override PartName="/xl/pivotTables/_rels/pivotTable2.xml.rels" ContentType="application/vnd.openxmlformats-package.relationship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vmlDrawing3.vml" ContentType="application/vnd.openxmlformats-officedocument.vmlDrawing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2.xml" ContentType="application/vnd.openxmlformats-officedocument.drawing+xml"/>
  <Override PartName="/xl/drawings/vmlDrawing4.vml" ContentType="application/vnd.openxmlformats-officedocument.vmlDrawing"/>
  <Override PartName="/xl/drawings/_rels/drawing8.xml.rels" ContentType="application/vnd.openxmlformats-package.relationships+xml"/>
  <Override PartName="/xl/drawings/_rels/drawing7.xml.rels" ContentType="application/vnd.openxmlformats-package.relationships+xml"/>
  <Override PartName="/xl/drawings/_rels/drawing6.xml.rels" ContentType="application/vnd.openxmlformats-package.relationships+xml"/>
  <Override PartName="/xl/drawings/_rels/drawing2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_rels/sheet11.xml.rels" ContentType="application/vnd.openxmlformats-package.relationships+xml"/>
  <Override PartName="/xl/worksheets/_rels/sheet5.xml.rels" ContentType="application/vnd.openxmlformats-package.relationships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_rels/sheet6.xml.rels" ContentType="application/vnd.openxmlformats-package.relationships+xml"/>
  <Override PartName="/xl/worksheets/_rels/sheet12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9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8.xml" ContentType="application/vnd.openxmlformats-officedocument.spreadsheetml.worksheet+xml"/>
  <Override PartName="/xl/worksheets/sheet2.xml" ContentType="application/vnd.openxmlformats-officedocument.spreadsheetml.worksheet+xml"/>
  <Override PartName="/xl/worksheets/sheet12.xml" ContentType="application/vnd.openxmlformats-officedocument.spreadsheetml.worksheet+xml"/>
  <Override PartName="/xl/worksheets/sheet1.xml" ContentType="application/vnd.openxmlformats-officedocument.spreadsheetml.worksheet+xml"/>
  <Override PartName="/xl/comments9.xml" ContentType="application/vnd.openxmlformats-officedocument.spreadsheetml.comments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4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tyles.xml" ContentType="application/vnd.openxmlformats-officedocument.spreadsheetml.styl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_rels/workbook.xml.rels" ContentType="application/vnd.openxmlformats-package.relationships+xml"/>
  <Override PartName="/customXml/itemProps6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Clients" sheetId="1" state="visible" r:id="rId4"/>
    <sheet name="Spec" sheetId="2" state="visible" r:id="rId5"/>
    <sheet name="Prix MP" sheetId="3" state="visible" r:id="rId6"/>
    <sheet name="Prix vente" sheetId="4" state="visible" r:id="rId7"/>
    <sheet name="PO Client" sheetId="5" state="visible" r:id="rId8"/>
    <sheet name="Conf Comm" sheetId="6" state="visible" r:id="rId9"/>
    <sheet name="Liste WO" sheetId="7" state="visible" r:id="rId10"/>
    <sheet name="WO" sheetId="8" state="visible" r:id="rId11"/>
    <sheet name="Prix revient" sheetId="9" state="visible" r:id="rId12"/>
    <sheet name="TDS" sheetId="10" state="visible" r:id="rId13"/>
    <sheet name="Liste de produits" sheetId="11" state="visible" r:id="rId14"/>
    <sheet name="Code Couleur" sheetId="12" state="visible" r:id="rId15"/>
    <sheet name="Work Order" sheetId="13" state="visible" r:id="rId16"/>
  </sheets>
  <definedNames>
    <definedName function="false" hidden="true" localSheetId="0" name="_xlnm._FilterDatabase" vbProcedure="false">Clients!$B$1:$AE$29</definedName>
    <definedName function="false" hidden="false" localSheetId="5" name="_xlnm.Print_Area" vbProcedure="false">'Conf Comm'!$C$5:$AJ$59</definedName>
    <definedName function="false" hidden="true" localSheetId="6" name="_xlnm._FilterDatabase" vbProcedure="false">'Liste WO'!$A$1:$AS$218</definedName>
    <definedName function="false" hidden="true" localSheetId="8" name="_xlnm._FilterDatabase" vbProcedure="false">'Prix revient'!$A$2:$AI$262</definedName>
    <definedName function="false" hidden="false" localSheetId="9" name="_xlnm.Print_Area" vbProcedure="false">TDS!$H$1:$Q$17</definedName>
    <definedName function="false" hidden="false" name="Fournisseur" vbProcedure="false">#REF!</definedName>
    <definedName function="false" hidden="true" name="_xleta.IF" vbProcedure="false">#NAME?</definedName>
    <definedName function="false" hidden="true" name="_xleta.N" vbProcedure="false">#NAME?</definedName>
    <definedName function="false" hidden="true" name="_xleta.T" vbProcedure="false">#NAME?</definedName>
    <definedName function="false" hidden="false" localSheetId="0" name="Fournisseur" vbProcedure="false">#REF!</definedName>
  </definedNames>
  <calcPr iterateCount="100" refMode="A1" iterate="false" iterateDelta="0.0001"/>
  <pivotCaches>
    <pivotCache cacheId="1" r:id="rId18"/>
    <pivotCache cacheId="2" r:id="rId19"/>
    <pivotCache cacheId="3" r:id="rId20"/>
  </pivotCaches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L2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Overpaid. Livré moins que commandé mais le fourn n'a pas remboursé  (émis crédit)</t>
        </r>
      </text>
    </comment>
    <comment ref="L39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Sample : reg 1$/sqm</t>
        </r>
      </text>
    </comment>
    <comment ref="L4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Sample : reg .85$/sqm</t>
        </r>
      </text>
    </comment>
    <comment ref="T3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Juste le dépôt plus shipping et douanes
</t>
        </r>
      </text>
    </comment>
  </commentList>
</comments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Même produit que 40032
Nouveau code Digi</t>
        </r>
      </text>
    </comment>
    <comment ref="B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Erreur à la production, j'avais mis 20013 TC Hotmelt aurait du être acrylique</t>
        </r>
      </text>
    </comment>
    <comment ref="B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Erreur à la production, j'avais mis 20013 TC Hotmelt aurait du être acrylique</t>
        </r>
      </text>
    </comment>
    <comment ref="C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La première commande était avec du D16-2 (Antac)
Maintenant, on utilise du D11-1 AKO.
On dit au client que c'est du D16</t>
        </r>
      </text>
    </comment>
    <comment ref="H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Nouveau code à donner à Digi
même produit que 40032</t>
        </r>
      </text>
    </comment>
    <comment ref="H3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Nouveau code à donner à Digi
même produit que 40032</t>
        </r>
      </text>
    </comment>
    <comment ref="I1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3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8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9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9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23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J1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3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N1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390 CAD à 1.35</t>
        </r>
      </text>
    </comment>
    <comment ref="N1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350 Cad à 1.35</t>
        </r>
      </text>
    </comment>
    <comment ref="U11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laisser blanc
</t>
        </r>
      </text>
    </comment>
  </commentList>
</comments>
</file>

<file path=xl/comments7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Utilisé mauvais matériel (D21 au lieu de S21).
Transféré données au WO 2024079 pour LusoFlex
</t>
        </r>
      </text>
    </comment>
    <comment ref="A2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Initialement pour LabelEdge test machine, tranféré en WO Digi commande 188 le 14 août 2024</t>
        </r>
      </text>
    </comment>
    <comment ref="B9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manque 2 bobines repassées</t>
        </r>
      </text>
    </comment>
  </commentList>
</comments>
</file>

<file path=xl/comments9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Initialement pour LabelEdge test machine, tranféré en WO Digi commande 188 le 14 août 2024</t>
        </r>
      </text>
    </comment>
    <comment ref="L3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était plissée</t>
        </r>
      </text>
    </comment>
    <comment ref="L4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était plissée
</t>
        </r>
      </text>
    </comment>
    <comment ref="N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Utilisé restes WO 054 et 057
</t>
        </r>
      </text>
    </comment>
    <comment ref="Q31" authorId="0">
      <text>
        <r>
          <rPr>
            <sz val="10"/>
            <rFont val="Arial"/>
            <family val="2"/>
          </rPr>
          <t xml:space="preserve">Joanne Pitre:
45 min pour préparer pour LusoFlex</t>
        </r>
      </text>
    </comment>
    <comment ref="R89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N'inclut pas le crédit 1 bobine endommagée dans transport 499.68$</t>
        </r>
      </text>
    </comment>
    <comment ref="R9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N'inclut pas le crédit 1 bobine endommagée dans transport 499.68$</t>
        </r>
      </text>
    </comment>
    <comment ref="R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Aller+retour</t>
        </r>
      </text>
    </comment>
    <comment ref="R16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0"/>
            <charset val="1"/>
          </rPr>
          <t xml:space="preserve">125.90 OK</t>
        </r>
      </text>
    </comment>
    <comment ref="T19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mélange de 30011 et 30018 donc prix moyen des 2</t>
        </r>
      </text>
    </comment>
    <comment ref="W9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Problèmes de téléscopage</t>
        </r>
      </text>
    </comment>
    <comment ref="AB9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endommagée dans le transport sans frais</t>
        </r>
      </text>
    </comment>
    <comment ref="AB150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Matériel retrourné</t>
        </r>
      </text>
    </comment>
    <comment ref="AD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Not including shipping</t>
        </r>
      </text>
    </comment>
    <comment ref="AD1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Rabais 50% sur première commande</t>
        </r>
      </text>
    </comment>
    <comment ref="AD3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9.5po vendu comme 9po</t>
        </r>
      </text>
    </comment>
    <comment ref="AD4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9.5po vendu comme 9po</t>
        </r>
      </text>
    </comment>
    <comment ref="AE1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Rabais de 50% sur première ommande</t>
        </r>
      </text>
    </comment>
    <comment ref="AE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Tient compte du stock utilisé WO 2024057</t>
        </r>
      </text>
    </comment>
    <comment ref="AE3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Inscrit résultats du WO 2024071 car utilisé les rouleaux produits par erreur sur ce WO</t>
        </r>
      </text>
    </comment>
    <comment ref="AF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à cause du temps. Et petite quantité</t>
        </r>
      </text>
    </comment>
    <comment ref="AF8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Baissé les prix le 2024-10-10</t>
        </r>
      </text>
    </comment>
  </commentList>
</comments>
</file>

<file path=xl/sharedStrings.xml><?xml version="1.0" encoding="utf-8"?>
<sst xmlns="http://schemas.openxmlformats.org/spreadsheetml/2006/main" count="5188" uniqueCount="1637">
  <si>
    <t xml:space="preserve">No client</t>
  </si>
  <si>
    <t xml:space="preserve">Nom du Client</t>
  </si>
  <si>
    <t xml:space="preserve">Nom du Client LE</t>
  </si>
  <si>
    <t xml:space="preserve">Langue Anglais (A) Français (F)</t>
  </si>
  <si>
    <t xml:space="preserve">Adresse (no et rue)</t>
  </si>
  <si>
    <t xml:space="preserve">Ville</t>
  </si>
  <si>
    <t xml:space="preserve">Province/État</t>
  </si>
  <si>
    <t xml:space="preserve">Code Postal</t>
  </si>
  <si>
    <t xml:space="preserve">Pays</t>
  </si>
  <si>
    <t xml:space="preserve">Info Contact</t>
  </si>
  <si>
    <t xml:space="preserve">Info facture commerciale</t>
  </si>
  <si>
    <t xml:space="preserve">Livraison (BL sous contact)</t>
  </si>
  <si>
    <t xml:space="preserve">Termes de paiement</t>
  </si>
  <si>
    <t xml:space="preserve">Courriel Acheteur</t>
  </si>
  <si>
    <t xml:space="preserve">Courriel Vendeur LE &amp; contact client</t>
  </si>
  <si>
    <t xml:space="preserve">Courriel Facturation</t>
  </si>
  <si>
    <t xml:space="preserve">Vendeur</t>
  </si>
  <si>
    <t xml:space="preserve">Livraison</t>
  </si>
  <si>
    <t xml:space="preserve">Douane (CI en bas)</t>
  </si>
  <si>
    <t xml:space="preserve">Commentaire 1 (CI en bas)</t>
  </si>
  <si>
    <t xml:space="preserve">Commentaire 2</t>
  </si>
  <si>
    <t xml:space="preserve">Commentaire 3 (conf. Comm 4)</t>
  </si>
  <si>
    <t xml:space="preserve">Commentaire 4 (conf.comm. 3)</t>
  </si>
  <si>
    <t xml:space="preserve">Devise Conf commande</t>
  </si>
  <si>
    <t xml:space="preserve">Devise Facturation</t>
  </si>
  <si>
    <t xml:space="preserve">TPS</t>
  </si>
  <si>
    <t xml:space="preserve">Taux TPS</t>
  </si>
  <si>
    <t xml:space="preserve">TVQ</t>
  </si>
  <si>
    <t xml:space="preserve">Taux TVQ</t>
  </si>
  <si>
    <t xml:space="preserve">Info 1</t>
  </si>
  <si>
    <t xml:space="preserve">Info 2</t>
  </si>
  <si>
    <t xml:space="preserve">Digi America Inc.</t>
  </si>
  <si>
    <t xml:space="preserve">Digi</t>
  </si>
  <si>
    <t xml:space="preserve">A</t>
  </si>
  <si>
    <t xml:space="preserve">76 Veronica Ave.</t>
  </si>
  <si>
    <t xml:space="preserve">Somerset </t>
  </si>
  <si>
    <t xml:space="preserve">N.J.</t>
  </si>
  <si>
    <t xml:space="preserve">08873</t>
  </si>
  <si>
    <t xml:space="preserve">USA</t>
  </si>
  <si>
    <t xml:space="preserve">Perry Johnson (perry.johnson@digi.us)</t>
  </si>
  <si>
    <t xml:space="preserve">Fed ID # 22-2328819</t>
  </si>
  <si>
    <t xml:space="preserve">No apt needed. 9AM-4PM delivery.</t>
  </si>
  <si>
    <t xml:space="preserve">Net 30 days</t>
  </si>
  <si>
    <t xml:space="preserve">perry.johnson@digi.us</t>
  </si>
  <si>
    <t xml:space="preserve">eric.cook@digi.us; dan.cahill@digi.us</t>
  </si>
  <si>
    <t xml:space="preserve">accountingdai@us.digi-group.com</t>
  </si>
  <si>
    <t xml:space="preserve">NON</t>
  </si>
  <si>
    <t xml:space="preserve">EXW Boucherville</t>
  </si>
  <si>
    <t xml:space="preserve">Customs clearance by Action Worldwide</t>
  </si>
  <si>
    <t xml:space="preserve">actionworldwide@agotrans.com / 518-297-6600</t>
  </si>
  <si>
    <t xml:space="preserve">USD</t>
  </si>
  <si>
    <t xml:space="preserve">Lelys</t>
  </si>
  <si>
    <t xml:space="preserve">F</t>
  </si>
  <si>
    <t xml:space="preserve">3275 Av Francis-Hughes 2e étage</t>
  </si>
  <si>
    <t xml:space="preserve">Laval</t>
  </si>
  <si>
    <t xml:space="preserve">Québec</t>
  </si>
  <si>
    <t xml:space="preserve">H7L 5A5</t>
  </si>
  <si>
    <t xml:space="preserve">Canada</t>
  </si>
  <si>
    <t xml:space="preserve">Bee Saint-Gaudens (450) 662-7179x239</t>
  </si>
  <si>
    <t xml:space="preserve">Livraison 8h-15h</t>
  </si>
  <si>
    <t xml:space="preserve">Net 30 jours</t>
  </si>
  <si>
    <t xml:space="preserve">bsaint-gaudens@lelys.com</t>
  </si>
  <si>
    <t xml:space="preserve">laurent.desjardins@labeledge.com</t>
  </si>
  <si>
    <t xml:space="preserve">Laurent</t>
  </si>
  <si>
    <t xml:space="preserve">Livraison incluse</t>
  </si>
  <si>
    <t xml:space="preserve">CAD</t>
  </si>
  <si>
    <t xml:space="preserve">Bizerba Labels Solution</t>
  </si>
  <si>
    <t xml:space="preserve">BLS</t>
  </si>
  <si>
    <t xml:space="preserve">1804 Fashion Ct</t>
  </si>
  <si>
    <t xml:space="preserve">Joppatowne</t>
  </si>
  <si>
    <t xml:space="preserve">MD</t>
  </si>
  <si>
    <t xml:space="preserve">21085</t>
  </si>
  <si>
    <t xml:space="preserve">732-565-6000</t>
  </si>
  <si>
    <t xml:space="preserve">DDP Joppa</t>
  </si>
  <si>
    <t xml:space="preserve">ALMEDIF S.A.R.L</t>
  </si>
  <si>
    <t xml:space="preserve">ALMEDIF</t>
  </si>
  <si>
    <t xml:space="preserve">ILOT 28 LOT N°2 </t>
  </si>
  <si>
    <t xml:space="preserve">Tanger</t>
  </si>
  <si>
    <t xml:space="preserve">Zone Franche de Tanger</t>
  </si>
  <si>
    <t xml:space="preserve">90100</t>
  </si>
  <si>
    <t xml:space="preserve">MAROC</t>
  </si>
  <si>
    <t xml:space="preserve">TEL 00212667198935</t>
  </si>
  <si>
    <t xml:space="preserve">LABELINK</t>
  </si>
  <si>
    <t xml:space="preserve">Labelink</t>
  </si>
  <si>
    <t xml:space="preserve">9201, rue Claveau </t>
  </si>
  <si>
    <t xml:space="preserve">Anjou</t>
  </si>
  <si>
    <t xml:space="preserve">H1J2C8</t>
  </si>
  <si>
    <t xml:space="preserve">Victor Tortis 514.240.7630</t>
  </si>
  <si>
    <t xml:space="preserve">Livraison 8AM-10PM</t>
  </si>
  <si>
    <t xml:space="preserve">jeremy.boursier@labelink.ca</t>
  </si>
  <si>
    <t xml:space="preserve">victor@labelink.ca</t>
  </si>
  <si>
    <t xml:space="preserve">AKO Technology Anhui Limited</t>
  </si>
  <si>
    <t xml:space="preserve">AKO</t>
  </si>
  <si>
    <t xml:space="preserve">Changhuai Road </t>
  </si>
  <si>
    <t xml:space="preserve">Jin'an Economic Developing Zone </t>
  </si>
  <si>
    <t xml:space="preserve">Lu'an</t>
  </si>
  <si>
    <t xml:space="preserve">Anhui</t>
  </si>
  <si>
    <t xml:space="preserve">China</t>
  </si>
  <si>
    <t xml:space="preserve">Waley</t>
  </si>
  <si>
    <t xml:space="preserve">NA</t>
  </si>
  <si>
    <t xml:space="preserve">Étiquettes Rive-Sud</t>
  </si>
  <si>
    <t xml:space="preserve">2223, de la Métropole</t>
  </si>
  <si>
    <t xml:space="preserve">Longueuil</t>
  </si>
  <si>
    <t xml:space="preserve">J4G 1S5</t>
  </si>
  <si>
    <t xml:space="preserve">514-915-6928 (admin@etiquettesrivesud.com)</t>
  </si>
  <si>
    <t xml:space="preserve">L-J 8h-15h  V 8h-12h</t>
  </si>
  <si>
    <t xml:space="preserve">admin@etiquettesrivesud.com;</t>
  </si>
  <si>
    <t xml:space="preserve">comptable@etiquettesrivesud.com</t>
  </si>
  <si>
    <t xml:space="preserve">comptable@etiquettesrivesud.com; admin@etiquettesrivesud.com</t>
  </si>
  <si>
    <t xml:space="preserve">* Livrer les bobines debout</t>
  </si>
  <si>
    <t xml:space="preserve">Groupe Produlith Inc.</t>
  </si>
  <si>
    <t xml:space="preserve">Produlith</t>
  </si>
  <si>
    <t xml:space="preserve">1439 Graham Bell</t>
  </si>
  <si>
    <t xml:space="preserve">Boucherville</t>
  </si>
  <si>
    <t xml:space="preserve">J4B 6A1</t>
  </si>
  <si>
    <t xml:space="preserve">achat@produlith.com</t>
  </si>
  <si>
    <t xml:space="preserve">fournisseurs@produlith.com</t>
  </si>
  <si>
    <t xml:space="preserve">Pickup par Produlith camion</t>
  </si>
  <si>
    <t xml:space="preserve">Profecta</t>
  </si>
  <si>
    <t xml:space="preserve">5050 Rue Armand-Frappier</t>
  </si>
  <si>
    <t xml:space="preserve">Saint-Hubert</t>
  </si>
  <si>
    <t xml:space="preserve">J3Z 1G5</t>
  </si>
  <si>
    <t xml:space="preserve">Attn: Sylvain Linguin (450-676-0000)</t>
  </si>
  <si>
    <t xml:space="preserve">L-J 8h-16h30  V 8h-14h</t>
  </si>
  <si>
    <t xml:space="preserve">Imprimerie Ste-Julie</t>
  </si>
  <si>
    <t xml:space="preserve">1851, rue Nobel</t>
  </si>
  <si>
    <t xml:space="preserve">Ste-Julie</t>
  </si>
  <si>
    <t xml:space="preserve">J3E 1Z6</t>
  </si>
  <si>
    <t xml:space="preserve">450-649-5479 (vtremblay@impsj.com)</t>
  </si>
  <si>
    <t xml:space="preserve">450-649-5479</t>
  </si>
  <si>
    <t xml:space="preserve">L-V 8h-16h30</t>
  </si>
  <si>
    <t xml:space="preserve">mp@impsj.com</t>
  </si>
  <si>
    <t xml:space="preserve">vtremblay@impsj.com; vboivin@impsj.com</t>
  </si>
  <si>
    <t xml:space="preserve">gmartin@impsj.com; vtremblay@impsj.com</t>
  </si>
  <si>
    <t xml:space="preserve">Étiquettes Luso-Flex</t>
  </si>
  <si>
    <t xml:space="preserve">Luso-Flex</t>
  </si>
  <si>
    <t xml:space="preserve">95-3 rue J.-A.-Bombardier</t>
  </si>
  <si>
    <t xml:space="preserve">J4B 8P1</t>
  </si>
  <si>
    <t xml:space="preserve">comptabilite@lusoflex.com</t>
  </si>
  <si>
    <t xml:space="preserve">450-655-8888</t>
  </si>
  <si>
    <t xml:space="preserve">L-J: 9-12&amp;13-16:30 V: 8-12</t>
  </si>
  <si>
    <t xml:space="preserve">Étiquettes Multi-Flex</t>
  </si>
  <si>
    <t xml:space="preserve">Multi-Flex</t>
  </si>
  <si>
    <t xml:space="preserve">9660 Boul du Golf</t>
  </si>
  <si>
    <t xml:space="preserve">Montreal</t>
  </si>
  <si>
    <t xml:space="preserve">H1J 2Y7</t>
  </si>
  <si>
    <t xml:space="preserve">514-728-3388</t>
  </si>
  <si>
    <t xml:space="preserve">Porte arrière (9h-17h)</t>
  </si>
  <si>
    <t xml:space="preserve">info@multi-flex.com; pierre@multi-flex.com</t>
  </si>
  <si>
    <t xml:space="preserve">laurent.desjardins@labeledge.com; info@multi-flex.com</t>
  </si>
  <si>
    <t xml:space="preserve">acomptable@multi-flex.com</t>
  </si>
  <si>
    <t xml:space="preserve">Visuascan</t>
  </si>
  <si>
    <t xml:space="preserve">9066 Rue Pascal-Gagnon</t>
  </si>
  <si>
    <t xml:space="preserve">Saint-Léonard</t>
  </si>
  <si>
    <t xml:space="preserve">H1P 2X4</t>
  </si>
  <si>
    <t xml:space="preserve">514-322-2725 X240</t>
  </si>
  <si>
    <t xml:space="preserve">L-V 8h-16h</t>
  </si>
  <si>
    <t xml:space="preserve">achats@visuascan.com;</t>
  </si>
  <si>
    <t xml:space="preserve">laurent.desjardins@labeledge.com; alain.nuckle@peaktech.com</t>
  </si>
  <si>
    <t xml:space="preserve">comptes.payables@visuascan.com; rocio.poncedeleon@peaktech.com</t>
  </si>
  <si>
    <t xml:space="preserve">Étiquettes Corsair</t>
  </si>
  <si>
    <t xml:space="preserve">Corsair</t>
  </si>
  <si>
    <t xml:space="preserve">6505 Vanden Abeele</t>
  </si>
  <si>
    <t xml:space="preserve">St-Laurent</t>
  </si>
  <si>
    <t xml:space="preserve">H4S 1S1</t>
  </si>
  <si>
    <t xml:space="preserve">Attn Tony DiValerio (514-745-1304)</t>
  </si>
  <si>
    <t xml:space="preserve">514-745-1304</t>
  </si>
  <si>
    <t xml:space="preserve">L-J: 7h-17h V: 7h-midi</t>
  </si>
  <si>
    <t xml:space="preserve">tdivalerio@etiquettescorsair.com</t>
  </si>
  <si>
    <t xml:space="preserve">laurent.desjardins@labeledge.com; tdivalerio@etiquettescorsair.com</t>
  </si>
  <si>
    <t xml:space="preserve">melissa@etiquettescorsair.com</t>
  </si>
  <si>
    <t xml:space="preserve">Alliance Étiquettes &amp; Emballages</t>
  </si>
  <si>
    <t xml:space="preserve">Alliance</t>
  </si>
  <si>
    <t xml:space="preserve">114 Rue de Normandie, Repentigny</t>
  </si>
  <si>
    <t xml:space="preserve">Repentigny</t>
  </si>
  <si>
    <t xml:space="preserve">J6A 6B9</t>
  </si>
  <si>
    <t xml:space="preserve">Sebastien Longpré (514-974-3183) slongpre@allianceinc.ca</t>
  </si>
  <si>
    <t xml:space="preserve">1-877-470-1355</t>
  </si>
  <si>
    <t xml:space="preserve">Emballages Mijo</t>
  </si>
  <si>
    <t xml:space="preserve">Mijo</t>
  </si>
  <si>
    <t xml:space="preserve">145 rue Graveline</t>
  </si>
  <si>
    <t xml:space="preserve">Saint-Laurent</t>
  </si>
  <si>
    <t xml:space="preserve">H4T1R3</t>
  </si>
  <si>
    <t xml:space="preserve">David Fleury 514-738-4975 (X 231)</t>
  </si>
  <si>
    <t xml:space="preserve">L-J: 6h-20h V: 6h-14h</t>
  </si>
  <si>
    <t xml:space="preserve">david@mijolabel.com;</t>
  </si>
  <si>
    <t xml:space="preserve">laurent.desjardins@labeledge.com ; david@mijolabel.com</t>
  </si>
  <si>
    <t xml:space="preserve">info@mijolabel.com</t>
  </si>
  <si>
    <t xml:space="preserve">Delivery Included</t>
  </si>
  <si>
    <t xml:space="preserve">Étiquettes iFlex Inc.</t>
  </si>
  <si>
    <t xml:space="preserve">iFlex</t>
  </si>
  <si>
    <t xml:space="preserve">4850 Rue Hickmore</t>
  </si>
  <si>
    <t xml:space="preserve">H4T1K2</t>
  </si>
  <si>
    <t xml:space="preserve">Lino Laizzo (lino@fantasiagraphics.com)</t>
  </si>
  <si>
    <t xml:space="preserve">514-489-9309x224</t>
  </si>
  <si>
    <t xml:space="preserve">L-J: 8h-16h15 V:8h-15h</t>
  </si>
  <si>
    <t xml:space="preserve">lino@fantasiagraphics.com</t>
  </si>
  <si>
    <t xml:space="preserve">laurent.desjardins@labeledge.com; lino@fantasiagraphics.com</t>
  </si>
  <si>
    <t xml:space="preserve">accounting@fantasiagraphics.com</t>
  </si>
  <si>
    <t xml:space="preserve">LabelEdge</t>
  </si>
  <si>
    <t xml:space="preserve">5-1620 rue Louis-Blériot</t>
  </si>
  <si>
    <t xml:space="preserve">J4B 0K8</t>
  </si>
  <si>
    <t xml:space="preserve">frederic.labrie@labeledge.com</t>
  </si>
  <si>
    <t xml:space="preserve">Deschamps Impression (livraison)</t>
  </si>
  <si>
    <t xml:space="preserve">Deschamps livraison</t>
  </si>
  <si>
    <t xml:space="preserve">418-667-6118</t>
  </si>
  <si>
    <t xml:space="preserve">Deschamps Impression (facturation)</t>
  </si>
  <si>
    <t xml:space="preserve">Deschamps facturation</t>
  </si>
  <si>
    <t xml:space="preserve">1535, rue Paul-Émile-Giroux</t>
  </si>
  <si>
    <t xml:space="preserve">G1C 0S3</t>
  </si>
  <si>
    <t xml:space="preserve">418-667-6118 #2291</t>
  </si>
  <si>
    <t xml:space="preserve">???</t>
  </si>
  <si>
    <t xml:space="preserve">Amstik</t>
  </si>
  <si>
    <t xml:space="preserve">11687 6e Avenue (R.-d.-P.)</t>
  </si>
  <si>
    <t xml:space="preserve">H1E 1R8</t>
  </si>
  <si>
    <t xml:space="preserve">514-643-4592</t>
  </si>
  <si>
    <t xml:space="preserve">info@amstik.com</t>
  </si>
  <si>
    <t xml:space="preserve">laurent.desjardins@labeledge.com;</t>
  </si>
  <si>
    <t xml:space="preserve">MCC Label</t>
  </si>
  <si>
    <t xml:space="preserve">2850 rue Botham, OU 1925, 32e Avenue Montréal (Québec) H8T3J1</t>
  </si>
  <si>
    <t xml:space="preserve">Saint-Laurent ou Montreal</t>
  </si>
  <si>
    <t xml:space="preserve">H4S 1J1 OU H8T 3J1</t>
  </si>
  <si>
    <t xml:space="preserve">Étiquette Nationale</t>
  </si>
  <si>
    <t xml:space="preserve">Nationale</t>
  </si>
  <si>
    <t xml:space="preserve">10734 Av. Alfred</t>
  </si>
  <si>
    <t xml:space="preserve">Montréal-Nord</t>
  </si>
  <si>
    <t xml:space="preserve">H1G 5B1</t>
  </si>
  <si>
    <t xml:space="preserve">514-329-4432 - production@enationale.ca</t>
  </si>
  <si>
    <t xml:space="preserve">FERMÉ 12h-12h30 / L-J 7h30-16h / V 7h30-14h</t>
  </si>
  <si>
    <t xml:space="preserve">production@enationale.ca</t>
  </si>
  <si>
    <t xml:space="preserve">Damaflex Imprimerie Multiservices</t>
  </si>
  <si>
    <t xml:space="preserve">Damaflex</t>
  </si>
  <si>
    <t xml:space="preserve">3320-2 avenue de la Gare</t>
  </si>
  <si>
    <t xml:space="preserve">Mascouche</t>
  </si>
  <si>
    <t xml:space="preserve">J7K 3C1</t>
  </si>
  <si>
    <t xml:space="preserve">450-474-5858 - Benoit Nuckle</t>
  </si>
  <si>
    <t xml:space="preserve">FERMÉ 12h-13h / L-V 8h-17h</t>
  </si>
  <si>
    <t xml:space="preserve">bnuckle@damaflex.com;</t>
  </si>
  <si>
    <t xml:space="preserve">laurent.desjardins@labeledge.com; bnuckle@damaflex.com; dnuckle@damaflex.com</t>
  </si>
  <si>
    <t xml:space="preserve">ynuckle@damaflex.com</t>
  </si>
  <si>
    <t xml:space="preserve">* Livrer les bobines debout / Largeurs exactes requises</t>
  </si>
  <si>
    <t xml:space="preserve">Damaflex Imprimerie Multiservices Inc.</t>
  </si>
  <si>
    <t xml:space="preserve">3320-3 avenue de la Gare</t>
  </si>
  <si>
    <t xml:space="preserve">Crucial Solutions LLC</t>
  </si>
  <si>
    <t xml:space="preserve">Crucial</t>
  </si>
  <si>
    <t xml:space="preserve">C/O Delmar International / 1 E. North Ave. Unit 103</t>
  </si>
  <si>
    <t xml:space="preserve">Glendate Heights</t>
  </si>
  <si>
    <t xml:space="preserve">Illinois</t>
  </si>
  <si>
    <t xml:space="preserve">60139</t>
  </si>
  <si>
    <t xml:space="preserve">(630) 694-9900 x 5418</t>
  </si>
  <si>
    <t xml:space="preserve">IMS</t>
  </si>
  <si>
    <t xml:space="preserve">9000 Henri Bourassa Ouest</t>
  </si>
  <si>
    <t xml:space="preserve">H4S 1L5</t>
  </si>
  <si>
    <t xml:space="preserve">514-336-3213x235 (adandurand@imsinc.ca)</t>
  </si>
  <si>
    <t xml:space="preserve">L-J 7h-14h  V 7h-13h</t>
  </si>
  <si>
    <t xml:space="preserve">steoli@imsinc.ca</t>
  </si>
  <si>
    <t xml:space="preserve">infoproduits@imsinc.ca</t>
  </si>
  <si>
    <t xml:space="preserve">voula@imsinc.ca</t>
  </si>
  <si>
    <t xml:space="preserve">3G Print Group Inc.</t>
  </si>
  <si>
    <t xml:space="preserve">3G</t>
  </si>
  <si>
    <t xml:space="preserve">9225 Leslie Street, Unit 5</t>
  </si>
  <si>
    <t xml:space="preserve">Richmond Hill</t>
  </si>
  <si>
    <t xml:space="preserve">Ontario</t>
  </si>
  <si>
    <t xml:space="preserve">L4B 3H6</t>
  </si>
  <si>
    <t xml:space="preserve">905-762-1414 x 224</t>
  </si>
  <si>
    <t xml:space="preserve">M-F 8AM-4PM</t>
  </si>
  <si>
    <t xml:space="preserve">serena@3gprintgroup.ca</t>
  </si>
  <si>
    <t xml:space="preserve">accounting@3gprintgroup.ca</t>
  </si>
  <si>
    <t xml:space="preserve">HST</t>
  </si>
  <si>
    <t xml:space="preserve">Imprimerie Bas St-Laurent</t>
  </si>
  <si>
    <t xml:space="preserve">Bas St-Laurent</t>
  </si>
  <si>
    <t xml:space="preserve">210 Av. du Havre</t>
  </si>
  <si>
    <t xml:space="preserve">Rimouski</t>
  </si>
  <si>
    <t xml:space="preserve">G5M 0B9</t>
  </si>
  <si>
    <t xml:space="preserve">Martin Leblanc</t>
  </si>
  <si>
    <t xml:space="preserve">ibslachat-vente@globetrotter.net</t>
  </si>
  <si>
    <t xml:space="preserve">Gignac + Unik</t>
  </si>
  <si>
    <t xml:space="preserve">Unik</t>
  </si>
  <si>
    <t xml:space="preserve">4600, av.Jean-Duchesne</t>
  </si>
  <si>
    <t xml:space="preserve">Shawinigan</t>
  </si>
  <si>
    <t xml:space="preserve">G9N 6T5</t>
  </si>
  <si>
    <t xml:space="preserve">Stéphane Gignac</t>
  </si>
  <si>
    <t xml:space="preserve">stephane@imprimerie.ca</t>
  </si>
  <si>
    <t xml:space="preserve">Interflex</t>
  </si>
  <si>
    <t xml:space="preserve">9851 Bd Parkway</t>
  </si>
  <si>
    <t xml:space="preserve">H1J 1P3</t>
  </si>
  <si>
    <t xml:space="preserve">Laurent Desjardins</t>
  </si>
  <si>
    <t xml:space="preserve">ld@interflex.ca</t>
  </si>
  <si>
    <t xml:space="preserve">REDEMAC</t>
  </si>
  <si>
    <t xml:space="preserve">5650 rue Cypihot</t>
  </si>
  <si>
    <t xml:space="preserve">H4S 1V7</t>
  </si>
  <si>
    <t xml:space="preserve">Alexis Kleshchov</t>
  </si>
  <si>
    <t xml:space="preserve">alexis@redemac.com</t>
  </si>
  <si>
    <t xml:space="preserve">Alpha</t>
  </si>
  <si>
    <t xml:space="preserve">Debug</t>
  </si>
  <si>
    <t xml:space="preserve">AKO étiquettes</t>
  </si>
  <si>
    <t xml:space="preserve">Imprimerie Sélect</t>
  </si>
  <si>
    <t xml:space="preserve">Select</t>
  </si>
  <si>
    <t xml:space="preserve">605 rue du Parc Industriel</t>
  </si>
  <si>
    <t xml:space="preserve">819-537-7633 / info@imprimerieselect.com</t>
  </si>
  <si>
    <t xml:space="preserve">L-V 8h30-16h</t>
  </si>
  <si>
    <t xml:space="preserve">Info@imprimerieselect.com</t>
  </si>
  <si>
    <t xml:space="preserve">laurent.desjardins@labeledge.com; Info@imprimerieselect.com</t>
  </si>
  <si>
    <t xml:space="preserve">COMPTABLE@IMPRIMERIESELECT.COM</t>
  </si>
  <si>
    <t xml:space="preserve">Spec no</t>
  </si>
  <si>
    <t xml:space="preserve">LE spec</t>
  </si>
  <si>
    <t xml:space="preserve">SUPPLIER</t>
  </si>
  <si>
    <t xml:space="preserve">Supplier Spec</t>
  </si>
  <si>
    <t xml:space="preserve">Product name</t>
  </si>
  <si>
    <t xml:space="preserve">face</t>
  </si>
  <si>
    <t xml:space="preserve">adh</t>
  </si>
  <si>
    <t xml:space="preserve">Liner</t>
  </si>
  <si>
    <t xml:space="preserve">Full description LE</t>
  </si>
  <si>
    <t xml:space="preserve">Description Client</t>
  </si>
  <si>
    <t xml:space="preserve">Origin</t>
  </si>
  <si>
    <t xml:space="preserve">HS code</t>
  </si>
  <si>
    <t xml:space="preserve">Nom Français</t>
  </si>
  <si>
    <t xml:space="preserve">Nom complet</t>
  </si>
  <si>
    <t xml:space="preserve">OBSOLETE REPL AR316</t>
  </si>
  <si>
    <t xml:space="preserve">TOP DT</t>
  </si>
  <si>
    <t xml:space="preserve">Self Adhesive Paper</t>
  </si>
  <si>
    <t xml:space="preserve">TCDT HR 70g</t>
  </si>
  <si>
    <t xml:space="preserve">HM</t>
  </si>
  <si>
    <t xml:space="preserve">WG 58g</t>
  </si>
  <si>
    <t xml:space="preserve">OBSOLETE TC DT HR - Hotmelt</t>
  </si>
  <si>
    <t xml:space="preserve">D22-1</t>
  </si>
  <si>
    <t xml:space="preserve">FHM</t>
  </si>
  <si>
    <t xml:space="preserve">TC DT HR - Hotmelt Freezer Adhesive</t>
  </si>
  <si>
    <t xml:space="preserve">N11-1</t>
  </si>
  <si>
    <t xml:space="preserve">NTC DT</t>
  </si>
  <si>
    <t xml:space="preserve">NTCDT 70g</t>
  </si>
  <si>
    <t xml:space="preserve">NTC DT - Hotmelt Adhesive</t>
  </si>
  <si>
    <t xml:space="preserve">T11-1</t>
  </si>
  <si>
    <t xml:space="preserve">AT1003</t>
  </si>
  <si>
    <t xml:space="preserve">TT 70g</t>
  </si>
  <si>
    <t xml:space="preserve">TT - HM Adhesive</t>
  </si>
  <si>
    <t xml:space="preserve">T12-1</t>
  </si>
  <si>
    <t xml:space="preserve">TT</t>
  </si>
  <si>
    <t xml:space="preserve">TT - Hotmelt Freezer Adhesive</t>
  </si>
  <si>
    <t xml:space="preserve">S11-1</t>
  </si>
  <si>
    <t xml:space="preserve">SEMI GLOSS (OLD)</t>
  </si>
  <si>
    <t xml:space="preserve">SG 80g</t>
  </si>
  <si>
    <t xml:space="preserve">SG Std - Hotmelt Adhesive</t>
  </si>
  <si>
    <t xml:space="preserve">B21-1</t>
  </si>
  <si>
    <t xml:space="preserve">GLOSS PP</t>
  </si>
  <si>
    <t xml:space="preserve">Self Adhesive Film</t>
  </si>
  <si>
    <t xml:space="preserve">WGPP 60µ</t>
  </si>
  <si>
    <t xml:space="preserve">White BOPP - Hotmelt Adhesive</t>
  </si>
  <si>
    <t xml:space="preserve">3919.90</t>
  </si>
  <si>
    <t xml:space="preserve">B25-1</t>
  </si>
  <si>
    <t xml:space="preserve">ACR</t>
  </si>
  <si>
    <t xml:space="preserve">White BOPP - Acrylic Adhesive</t>
  </si>
  <si>
    <t xml:space="preserve">B11-1</t>
  </si>
  <si>
    <t xml:space="preserve">CLEAR PP</t>
  </si>
  <si>
    <t xml:space="preserve">CLPP 50µ</t>
  </si>
  <si>
    <t xml:space="preserve">Clear BOPP - Hotmelt Adhesive</t>
  </si>
  <si>
    <t xml:space="preserve">B15-1</t>
  </si>
  <si>
    <t xml:space="preserve">Clear BOPP - Acrylic Adhesive</t>
  </si>
  <si>
    <t xml:space="preserve">D16-2</t>
  </si>
  <si>
    <t xml:space="preserve">Antac</t>
  </si>
  <si>
    <t xml:space="preserve">H514-1 Ricoh</t>
  </si>
  <si>
    <t xml:space="preserve">DT 75g</t>
  </si>
  <si>
    <t xml:space="preserve">WG 60g</t>
  </si>
  <si>
    <t xml:space="preserve">DT - Acrylic Adhesive</t>
  </si>
  <si>
    <t xml:space="preserve">S21-1</t>
  </si>
  <si>
    <t xml:space="preserve">AP1019</t>
  </si>
  <si>
    <t xml:space="preserve">SG - Hotmelt Adhesive</t>
  </si>
  <si>
    <t xml:space="preserve">D21-1</t>
  </si>
  <si>
    <t xml:space="preserve">AR316 (AH2002)</t>
  </si>
  <si>
    <t xml:space="preserve">TCDT</t>
  </si>
  <si>
    <t xml:space="preserve">TC DT - Hotmelt Adhesive</t>
  </si>
  <si>
    <t xml:space="preserve">D11-1</t>
  </si>
  <si>
    <t xml:space="preserve">Hansol TC CL74</t>
  </si>
  <si>
    <t xml:space="preserve">TCDT HR 74g</t>
  </si>
  <si>
    <t xml:space="preserve">S11-3</t>
  </si>
  <si>
    <t xml:space="preserve">Jinda</t>
  </si>
  <si>
    <t xml:space="preserve">0402035</t>
  </si>
  <si>
    <t xml:space="preserve">H160</t>
  </si>
  <si>
    <t xml:space="preserve">S15-3</t>
  </si>
  <si>
    <t xml:space="preserve">0402105</t>
  </si>
  <si>
    <t xml:space="preserve">AJ900</t>
  </si>
  <si>
    <t xml:space="preserve">SG - Acrylic Adhesive</t>
  </si>
  <si>
    <t xml:space="preserve">B15-3</t>
  </si>
  <si>
    <t xml:space="preserve">0488032</t>
  </si>
  <si>
    <t xml:space="preserve">AS500</t>
  </si>
  <si>
    <t xml:space="preserve">B25-3</t>
  </si>
  <si>
    <t xml:space="preserve">0488056</t>
  </si>
  <si>
    <t xml:space="preserve">BWPP 60µ</t>
  </si>
  <si>
    <t xml:space="preserve">D16-1</t>
  </si>
  <si>
    <t xml:space="preserve">AH3010</t>
  </si>
  <si>
    <t xml:space="preserve">TC DT - Acrylic Adhesive</t>
  </si>
  <si>
    <t xml:space="preserve">F50-5</t>
  </si>
  <si>
    <t xml:space="preserve">COSMO</t>
  </si>
  <si>
    <t xml:space="preserve">C1031</t>
  </si>
  <si>
    <t xml:space="preserve">Clear BOPP 95µ</t>
  </si>
  <si>
    <t xml:space="preserve">CL PP 95µ</t>
  </si>
  <si>
    <t xml:space="preserve">Clear BOPP</t>
  </si>
  <si>
    <t xml:space="preserve">India</t>
  </si>
  <si>
    <t xml:space="preserve">3920.20</t>
  </si>
  <si>
    <t xml:space="preserve">F60-5</t>
  </si>
  <si>
    <t xml:space="preserve">C1001</t>
  </si>
  <si>
    <t xml:space="preserve">White BOPP 95µ</t>
  </si>
  <si>
    <t xml:space="preserve">W PP 95µ</t>
  </si>
  <si>
    <t xml:space="preserve">White BOPP</t>
  </si>
  <si>
    <t xml:space="preserve">F70-6</t>
  </si>
  <si>
    <t xml:space="preserve">Jiangsu Shuangxing Color Plastic New Materials</t>
  </si>
  <si>
    <t xml:space="preserve">SX503</t>
  </si>
  <si>
    <t xml:space="preserve">Clear PETG 50µ</t>
  </si>
  <si>
    <t xml:space="preserve">CL PETG 50µ</t>
  </si>
  <si>
    <t xml:space="preserve">Clear PETG</t>
  </si>
  <si>
    <t xml:space="preserve">S31-1</t>
  </si>
  <si>
    <t xml:space="preserve">AP1015</t>
  </si>
  <si>
    <t xml:space="preserve">PET 30µ</t>
  </si>
  <si>
    <t xml:space="preserve">SG - HM Adhesive - PET liner</t>
  </si>
  <si>
    <t xml:space="preserve">S35-3</t>
  </si>
  <si>
    <t xml:space="preserve">0402115</t>
  </si>
  <si>
    <t xml:space="preserve">SG</t>
  </si>
  <si>
    <t xml:space="preserve">30umPET</t>
  </si>
  <si>
    <t xml:space="preserve">(SemiGlossArtPaper;AJ900;30umPET)</t>
  </si>
  <si>
    <t xml:space="preserve">SG - ACR Adh - PET liner</t>
  </si>
  <si>
    <t xml:space="preserve">4811.41</t>
  </si>
  <si>
    <t xml:space="preserve">D11-3</t>
  </si>
  <si>
    <t xml:space="preserve">0410664</t>
  </si>
  <si>
    <t xml:space="preserve">ThermalTopTD7H</t>
  </si>
  <si>
    <t xml:space="preserve">60gWhiteGlassine</t>
  </si>
  <si>
    <t xml:space="preserve">(ThermalTopTD7H;H160;60gWhiteGlassine)</t>
  </si>
  <si>
    <t xml:space="preserve">D11-2</t>
  </si>
  <si>
    <t xml:space="preserve">Etsuhiro</t>
  </si>
  <si>
    <t xml:space="preserve">EL3059</t>
  </si>
  <si>
    <t xml:space="preserve">TCDT 75L</t>
  </si>
  <si>
    <t xml:space="preserve">HM 19gsm</t>
  </si>
  <si>
    <t xml:space="preserve">58WG</t>
  </si>
  <si>
    <t xml:space="preserve">F80</t>
  </si>
  <si>
    <t xml:space="preserve">Kens</t>
  </si>
  <si>
    <t xml:space="preserve">White PET C2S - 190µ - 7.5mils</t>
  </si>
  <si>
    <t xml:space="preserve">Master 55po x 5000pi</t>
  </si>
  <si>
    <t xml:space="preserve">F81</t>
  </si>
  <si>
    <t xml:space="preserve">White PET C2S - 140µ - 5.5mils</t>
  </si>
  <si>
    <t xml:space="preserve">500 Feuilles 8.5x11po</t>
  </si>
  <si>
    <t xml:space="preserve">F82</t>
  </si>
  <si>
    <t xml:space="preserve">White PET C2S - 110µ - 4.5mils</t>
  </si>
  <si>
    <t xml:space="preserve">Z110450-W28</t>
  </si>
  <si>
    <t xml:space="preserve">Fujian Mingyou New Mat</t>
  </si>
  <si>
    <t xml:space="preserve">W728</t>
  </si>
  <si>
    <t xml:space="preserve">W28 – BLACK RIBBON WAX PREMIUM</t>
  </si>
  <si>
    <t xml:space="preserve">110mm x 450 m</t>
  </si>
  <si>
    <t xml:space="preserve">W28 - RUBAN NOIR CIRE PREMIUM </t>
  </si>
  <si>
    <t xml:space="preserve">DF52</t>
  </si>
  <si>
    <t xml:space="preserve">0410308</t>
  </si>
  <si>
    <t xml:space="preserve">ThermalPP80um/H380/60gWhiteGlassine</t>
  </si>
  <si>
    <t xml:space="preserve">ThermalPP80um</t>
  </si>
  <si>
    <t xml:space="preserve">H380</t>
  </si>
  <si>
    <t xml:space="preserve">White BOPP - HM Freezer Adh.</t>
  </si>
  <si>
    <t xml:space="preserve">D11-12</t>
  </si>
  <si>
    <t xml:space="preserve">AH2016</t>
  </si>
  <si>
    <t xml:space="preserve">TOP DT 70g </t>
  </si>
  <si>
    <t xml:space="preserve">D1001</t>
  </si>
  <si>
    <t xml:space="preserve">ED3049</t>
  </si>
  <si>
    <t xml:space="preserve">Self adhesive</t>
  </si>
  <si>
    <t xml:space="preserve">1000 /roll ; 4 roll/carton</t>
  </si>
  <si>
    <t xml:space="preserve">1000 /roll ; 4 roll / box</t>
  </si>
  <si>
    <t xml:space="preserve">Produits achetés utilisés / discontinués / non acceptable</t>
  </si>
  <si>
    <t xml:space="preserve">$/sqm/1.55 = $/msi</t>
  </si>
  <si>
    <t xml:space="preserve">Produits achetés et reçus</t>
  </si>
  <si>
    <t xml:space="preserve">sqm x 1.55 = msi</t>
  </si>
  <si>
    <t xml:space="preserve">Produits achetés non reçus</t>
  </si>
  <si>
    <t xml:space="preserve">Code achat</t>
  </si>
  <si>
    <t xml:space="preserve">PO #</t>
  </si>
  <si>
    <t xml:space="preserve">Fournisseur</t>
  </si>
  <si>
    <t xml:space="preserve">Code 
Fourn.</t>
  </si>
  <si>
    <t xml:space="preserve">Code LabelEdge</t>
  </si>
  <si>
    <t xml:space="preserve">Descr. Client</t>
  </si>
  <si>
    <t xml:space="preserve">Nom du produit</t>
  </si>
  <si>
    <t xml:space="preserve">Detail 1 (conf comm, BL, CI, Facture)</t>
  </si>
  <si>
    <t xml:space="preserve">Detail 2 (date réception)</t>
  </si>
  <si>
    <t xml:space="preserve">Taux change</t>
  </si>
  <si>
    <t xml:space="preserve">Prix MP /unit</t>
  </si>
  <si>
    <t xml:space="preserve">Prix ship /unit</t>
  </si>
  <si>
    <t xml:space="preserve">Prix achat total /unit</t>
  </si>
  <si>
    <t xml:space="preserve">Unité achat</t>
  </si>
  <si>
    <t xml:space="preserve">Devise achat</t>
  </si>
  <si>
    <t xml:space="preserve">Origine</t>
  </si>
  <si>
    <t xml:space="preserve">Code HS</t>
  </si>
  <si>
    <t xml:space="preserve">Prix achat/msi (USD)</t>
  </si>
  <si>
    <t xml:space="preserve">Prix/msi livres (CAD)</t>
  </si>
  <si>
    <t xml:space="preserve">Prix achat/msi (CAD)</t>
  </si>
  <si>
    <t xml:space="preserve">% shipping</t>
  </si>
  <si>
    <t xml:space="preserve">Ship us/msi</t>
  </si>
  <si>
    <t xml:space="preserve">OBSOLETE REPL BY AR316</t>
  </si>
  <si>
    <t xml:space="preserve">OBSOLETE TC DT HR / Hotmelt</t>
  </si>
  <si>
    <t xml:space="preserve">SMALL SAMPLE</t>
  </si>
  <si>
    <t xml:space="preserve">sqm</t>
  </si>
  <si>
    <t xml:space="preserve">TC DT HR / Hotmelt Freezer</t>
  </si>
  <si>
    <t xml:space="preserve">NTC DT / Hotmelt</t>
  </si>
  <si>
    <t xml:space="preserve">TT / Hotmelt</t>
  </si>
  <si>
    <t xml:space="preserve">TT / Hotmelt Freezer</t>
  </si>
  <si>
    <t xml:space="preserve">SG (Std) / Hotmelt</t>
  </si>
  <si>
    <t xml:space="preserve">White PP / Hotmelt</t>
  </si>
  <si>
    <t xml:space="preserve">White PP / Acrylic</t>
  </si>
  <si>
    <t xml:space="preserve">Clear PP / Hotmelt</t>
  </si>
  <si>
    <t xml:space="preserve">Clear PP / Acrylic</t>
  </si>
  <si>
    <t xml:space="preserve">DT / Acrylic</t>
  </si>
  <si>
    <t xml:space="preserve">NO GOOD</t>
  </si>
  <si>
    <t xml:space="preserve">SG / Hotmelt</t>
  </si>
  <si>
    <t xml:space="preserve">SG 3PC</t>
  </si>
  <si>
    <t xml:space="preserve">AR316</t>
  </si>
  <si>
    <t xml:space="preserve">TC DT / Hotmelt</t>
  </si>
  <si>
    <t xml:space="preserve">DT shipping labels</t>
  </si>
  <si>
    <t xml:space="preserve">Hansol 3PC</t>
  </si>
  <si>
    <t xml:space="preserve">South Corea</t>
  </si>
  <si>
    <t xml:space="preserve">SC20240260</t>
  </si>
  <si>
    <t xml:space="preserve">SG / Acrylic</t>
  </si>
  <si>
    <t xml:space="preserve">AKOLE240220-02-1</t>
  </si>
  <si>
    <t xml:space="preserve">TC DT / Acrylic</t>
  </si>
  <si>
    <t xml:space="preserve">W:1525-30mm; L:3000m</t>
  </si>
  <si>
    <t xml:space="preserve">Clear PP</t>
  </si>
  <si>
    <t xml:space="preserve">W:420mm ; L:3000m</t>
  </si>
  <si>
    <t xml:space="preserve">White PP</t>
  </si>
  <si>
    <t xml:space="preserve">W:1500mm ; L:6000m (@ 2.17USD/kg)</t>
  </si>
  <si>
    <t xml:space="preserve">W:1530mm; L:3000m</t>
  </si>
  <si>
    <t xml:space="preserve">W:1080mm; L:3000m</t>
  </si>
  <si>
    <t xml:space="preserve">W:1530mm; L:3200m</t>
  </si>
  <si>
    <t xml:space="preserve">W:1530mm; L:6000m</t>
  </si>
  <si>
    <t xml:space="preserve">16 rolls/box ; 4 box/cs</t>
  </si>
  <si>
    <t xml:space="preserve">roll</t>
  </si>
  <si>
    <t xml:space="preserve">W:1540mm; L:3200m</t>
  </si>
  <si>
    <t xml:space="preserve">W:1540mm; L:6200m</t>
  </si>
  <si>
    <t xml:space="preserve">Prix no</t>
  </si>
  <si>
    <t xml:space="preserve">Client</t>
  </si>
  <si>
    <t xml:space="preserve">Langue</t>
  </si>
  <si>
    <t xml:space="preserve">Code 
Client</t>
  </si>
  <si>
    <t xml:space="preserve">Code Client LabelEdge</t>
  </si>
  <si>
    <t xml:space="preserve">Detail 2 (conf comm, Facture)</t>
  </si>
  <si>
    <t xml:space="preserve">Prix unitaire</t>
  </si>
  <si>
    <t xml:space="preserve">Unité Prix</t>
  </si>
  <si>
    <t xml:space="preserve">Largeur</t>
  </si>
  <si>
    <t xml:space="preserve">Longueur</t>
  </si>
  <si>
    <t xml:space="preserve">msi/ roul</t>
  </si>
  <si>
    <t xml:space="preserve">Langue Client</t>
  </si>
  <si>
    <t xml:space="preserve">Prix/roul. (ou autre)</t>
  </si>
  <si>
    <t xml:space="preserve">Unité BL</t>
  </si>
  <si>
    <t xml:space="preserve">Devise (Conf Comm)</t>
  </si>
  <si>
    <t xml:space="preserve">Prix facturation</t>
  </si>
  <si>
    <t xml:space="preserve">Unité facturation</t>
  </si>
  <si>
    <t xml:space="preserve">Devise facturation</t>
  </si>
  <si>
    <t xml:space="preserve">≠≠</t>
  </si>
  <si>
    <t xml:space="preserve">OBSOLETE</t>
  </si>
  <si>
    <t xml:space="preserve">W:13in  L:1000ft</t>
  </si>
  <si>
    <t xml:space="preserve">4811.41.2100</t>
  </si>
  <si>
    <t xml:space="preserve">ECHANTILLON</t>
  </si>
  <si>
    <t xml:space="preserve">Papier autocollant</t>
  </si>
  <si>
    <t xml:space="preserve">roul.</t>
  </si>
  <si>
    <t xml:space="preserve">ANTAC</t>
  </si>
  <si>
    <t xml:space="preserve">W:10in L:5000ft</t>
  </si>
  <si>
    <t xml:space="preserve">msi</t>
  </si>
  <si>
    <t xml:space="preserve">S21-1 (AP1019)</t>
  </si>
  <si>
    <t xml:space="preserve">W: 16.5in L:10,000ft ; 1980msi per roll@0.258$ per msi</t>
  </si>
  <si>
    <t xml:space="preserve">W:16.75in L:9842.5ft</t>
  </si>
  <si>
    <t xml:space="preserve">W:9.75in L: 9842.5ft</t>
  </si>
  <si>
    <t xml:space="preserve">Cutoff material</t>
  </si>
  <si>
    <t xml:space="preserve">W:0.24in L: 9842.5ft</t>
  </si>
  <si>
    <t xml:space="preserve">CREDIT</t>
  </si>
  <si>
    <t xml:space="preserve">per discussion with Frederic</t>
  </si>
  <si>
    <t xml:space="preserve">Credit for bad rolls</t>
  </si>
  <si>
    <t xml:space="preserve">SAMPLE ROLLS</t>
  </si>
  <si>
    <t xml:space="preserve">W:16.75in L: 9600ft</t>
  </si>
  <si>
    <t xml:space="preserve">Gonderflex</t>
  </si>
  <si>
    <t xml:space="preserve">A-48549</t>
  </si>
  <si>
    <t xml:space="preserve">Gear 40 teeth, 13 DP</t>
  </si>
  <si>
    <t xml:space="preserve">ch.</t>
  </si>
  <si>
    <t xml:space="preserve">A-48596</t>
  </si>
  <si>
    <t xml:space="preserve">Gear 25 teeth, 13 DP</t>
  </si>
  <si>
    <t xml:space="preserve">W:13" L:10,000'</t>
  </si>
  <si>
    <t xml:space="preserve">28A-20090</t>
  </si>
  <si>
    <t xml:space="preserve">D16</t>
  </si>
  <si>
    <t xml:space="preserve">DT Paper (Acrylic adhesive)</t>
  </si>
  <si>
    <t xml:space="preserve">HOURS</t>
  </si>
  <si>
    <t xml:space="preserve">David Lamarre</t>
  </si>
  <si>
    <t xml:space="preserve">40 hrs @ 60$/hr</t>
  </si>
  <si>
    <t xml:space="preserve">hr</t>
  </si>
  <si>
    <t xml:space="preserve">TRAVEL EXP.</t>
  </si>
  <si>
    <t xml:space="preserve">Trip to Mexico City - Delta Installation</t>
  </si>
  <si>
    <t xml:space="preserve">Plane, Taxi, Food</t>
  </si>
  <si>
    <t xml:space="preserve">ea.</t>
  </si>
  <si>
    <t xml:space="preserve">S11</t>
  </si>
  <si>
    <t xml:space="preserve">W:16.75"  L:5000'</t>
  </si>
  <si>
    <t xml:space="preserve">S15</t>
  </si>
  <si>
    <t xml:space="preserve">W:13"  L:5000'</t>
  </si>
  <si>
    <t xml:space="preserve">T2</t>
  </si>
  <si>
    <t xml:space="preserve">D21</t>
  </si>
  <si>
    <t xml:space="preserve">Larg: 8.66po  Long: 5000pi</t>
  </si>
  <si>
    <t xml:space="preserve">(@ 032USD/msi)</t>
  </si>
  <si>
    <t xml:space="preserve">FM6TC</t>
  </si>
  <si>
    <t xml:space="preserve">B25</t>
  </si>
  <si>
    <t xml:space="preserve">(@ 0.38USD/msi)</t>
  </si>
  <si>
    <t xml:space="preserve">Larg.: 15"  Long.: 5000'</t>
  </si>
  <si>
    <t xml:space="preserve">(@ 0.34$/msi)</t>
  </si>
  <si>
    <t xml:space="preserve">Rabais 50%</t>
  </si>
  <si>
    <t xml:space="preserve">Rabais pour commande échantillon</t>
  </si>
  <si>
    <t xml:space="preserve">S21 </t>
  </si>
  <si>
    <t xml:space="preserve">Larg: 13 po  Long: 5000 pi </t>
  </si>
  <si>
    <t xml:space="preserve">(@.26USD/msi)</t>
  </si>
  <si>
    <t xml:space="preserve">S21</t>
  </si>
  <si>
    <t xml:space="preserve">Larg:12.875po  Long:5000pi</t>
  </si>
  <si>
    <t xml:space="preserve">(@ 0.34USD/msi)</t>
  </si>
  <si>
    <t xml:space="preserve">1756-15.000</t>
  </si>
  <si>
    <t xml:space="preserve">Larg.: 15"  Long.:2500'</t>
  </si>
  <si>
    <t xml:space="preserve">1788-15.000</t>
  </si>
  <si>
    <t xml:space="preserve">B15</t>
  </si>
  <si>
    <t xml:space="preserve">Larg: 13po  Long: 5000pi </t>
  </si>
  <si>
    <t xml:space="preserve">(@.33USD/msi)</t>
  </si>
  <si>
    <t xml:space="preserve">28A-20091</t>
  </si>
  <si>
    <t xml:space="preserve">DT Paper, Acrylic adhesive</t>
  </si>
  <si>
    <t xml:space="preserve">W:9.5in L:5000ft</t>
  </si>
  <si>
    <t xml:space="preserve">(SOLD AS 9"WIDE)</t>
  </si>
  <si>
    <t xml:space="preserve">Larg:12po  Long:5000pi</t>
  </si>
  <si>
    <t xml:space="preserve">Larg:12po  Long:10000pi</t>
  </si>
  <si>
    <t xml:space="preserve">Larg:12.875po  Long:10000pi</t>
  </si>
  <si>
    <t xml:space="preserve">Larg:9.25po Long:5,000pi</t>
  </si>
  <si>
    <t xml:space="preserve">(@ 0.32USD/msi)</t>
  </si>
  <si>
    <t xml:space="preserve">Larg:4.5po Long:5,000pi</t>
  </si>
  <si>
    <t xml:space="preserve">Larg:8.75po  Long:10000pi</t>
  </si>
  <si>
    <t xml:space="preserve">Larg:7.5po  Long:10000pi</t>
  </si>
  <si>
    <t xml:space="preserve">Larg.: 15"  Long.:4100'</t>
  </si>
  <si>
    <t xml:space="preserve">Larg: 10po  Long: 3300pi</t>
  </si>
  <si>
    <t xml:space="preserve">Larg: 13po  Long: 3400pi</t>
  </si>
  <si>
    <t xml:space="preserve">Larg: 10po  Long: 3200pi</t>
  </si>
  <si>
    <t xml:space="preserve">Larg: 13po  Long: 4400pi</t>
  </si>
  <si>
    <t xml:space="preserve">Larg: 12po   Long: 5000pi</t>
  </si>
  <si>
    <t xml:space="preserve">Échantillon</t>
  </si>
  <si>
    <t xml:space="preserve">Larg: 10.375po  Long: 5000pi </t>
  </si>
  <si>
    <t xml:space="preserve">Larg: 8.125po  Long: 5000pi </t>
  </si>
  <si>
    <t xml:space="preserve">Larg: 8.6po  Long: 4315pi </t>
  </si>
  <si>
    <t xml:space="preserve">Larg: 10 po  Long: 5000 pi </t>
  </si>
  <si>
    <t xml:space="preserve">Larg: 4.75po  Long: 5000pi </t>
  </si>
  <si>
    <t xml:space="preserve">Larg: 8.75po  Long: 4300pi </t>
  </si>
  <si>
    <t xml:space="preserve">Larg: 10po  Long: 3700pi</t>
  </si>
  <si>
    <t xml:space="preserve">Larg: 13po  Long: 3700pi</t>
  </si>
  <si>
    <t xml:space="preserve">Larg: 10.75 po  Long: 5000 pi </t>
  </si>
  <si>
    <t xml:space="preserve">Larg: 9 po  Long: 5000 pi </t>
  </si>
  <si>
    <t xml:space="preserve">REPAIR</t>
  </si>
  <si>
    <t xml:space="preserve">Repaired per customer spec</t>
  </si>
  <si>
    <t xml:space="preserve">Andvil</t>
  </si>
  <si>
    <t xml:space="preserve">Value of andvil before repair: 1000 USD</t>
  </si>
  <si>
    <t xml:space="preserve">Larg: 4.6po  Long: 10000pi </t>
  </si>
  <si>
    <t xml:space="preserve">Larg: 10.5po  Long: 5000pi </t>
  </si>
  <si>
    <t xml:space="preserve">Larg:11.25po  Long:10000pi</t>
  </si>
  <si>
    <t xml:space="preserve">Larg: 20po  Long: 5000pi </t>
  </si>
  <si>
    <t xml:space="preserve">D21-17</t>
  </si>
  <si>
    <t xml:space="preserve">D21-13</t>
  </si>
  <si>
    <t xml:space="preserve">D21-8</t>
  </si>
  <si>
    <t xml:space="preserve">Larg.:16.4po  Long.:10,000pi </t>
  </si>
  <si>
    <t xml:space="preserve">Larg: 13po  Long: 5000pi</t>
  </si>
  <si>
    <t xml:space="preserve">Larg: 8po  Long: 5000pi</t>
  </si>
  <si>
    <t xml:space="preserve">Larg: 8.57po  Long: 10000pi </t>
  </si>
  <si>
    <t xml:space="preserve">Larg: 8.57po  Long: 2,500pi </t>
  </si>
  <si>
    <t xml:space="preserve">Larg: 8.57po  Long: 10,000pi </t>
  </si>
  <si>
    <t xml:space="preserve">Larg: 8.6po  Long: 7000pi </t>
  </si>
  <si>
    <t xml:space="preserve">Larg: 9.5po  Long: 4850pi </t>
  </si>
  <si>
    <t xml:space="preserve">Larg:7.625po  Long:5000pi</t>
  </si>
  <si>
    <t xml:space="preserve">T11</t>
  </si>
  <si>
    <t xml:space="preserve">Larg:12.875po  Long:2400pi</t>
  </si>
  <si>
    <t xml:space="preserve">S31</t>
  </si>
  <si>
    <t xml:space="preserve">Larg:12po  Long:2000pi</t>
  </si>
  <si>
    <t xml:space="preserve">Larg: 6.75po  Long: 2400pi </t>
  </si>
  <si>
    <t xml:space="preserve">Larg: 9.75po  Long: 2400pi </t>
  </si>
  <si>
    <t xml:space="preserve">Larg: 8.675po  Long: 2400pi </t>
  </si>
  <si>
    <t xml:space="preserve">Larg:8.75po  Long:2400pi</t>
  </si>
  <si>
    <t xml:space="preserve">Larg:10po  Long:2400pi</t>
  </si>
  <si>
    <t xml:space="preserve">D11</t>
  </si>
  <si>
    <t xml:space="preserve">Larg:9.4po  Long:2400pi</t>
  </si>
  <si>
    <t xml:space="preserve">4 x 6</t>
  </si>
  <si>
    <t xml:space="preserve">Larg: 4po   Long: 6po</t>
  </si>
  <si>
    <t xml:space="preserve">S35</t>
  </si>
  <si>
    <t xml:space="preserve">TC DT - HM ADH</t>
  </si>
  <si>
    <t xml:space="preserve">1000 /roul ; 8 roul / boite</t>
  </si>
  <si>
    <t xml:space="preserve">Autocollant</t>
  </si>
  <si>
    <t xml:space="preserve">pqt</t>
  </si>
  <si>
    <t xml:space="preserve">16 roul./bte ; 4 btes/cs</t>
  </si>
  <si>
    <t xml:space="preserve">28A-20093</t>
  </si>
  <si>
    <t xml:space="preserve">28A-20094</t>
  </si>
  <si>
    <t xml:space="preserve">F50</t>
  </si>
  <si>
    <t xml:space="preserve">SAMPLE</t>
  </si>
  <si>
    <t xml:space="preserve">DT TC #T2</t>
  </si>
  <si>
    <t xml:space="preserve">Resin</t>
  </si>
  <si>
    <t xml:space="preserve">Rouleaux de plaques digitales laser</t>
  </si>
  <si>
    <t xml:space="preserve">8 rouleaux total</t>
  </si>
  <si>
    <t xml:space="preserve">lot</t>
  </si>
  <si>
    <t xml:space="preserve">Plaque de découpe</t>
  </si>
  <si>
    <t xml:space="preserve">Pour étiquettes 4.25" x 2.5"</t>
  </si>
  <si>
    <t xml:space="preserve">Ch.</t>
  </si>
  <si>
    <t xml:space="preserve">28A-20095</t>
  </si>
  <si>
    <t xml:space="preserve">28A-200</t>
  </si>
  <si>
    <t xml:space="preserve">L18</t>
  </si>
  <si>
    <t xml:space="preserve">Coupe D11</t>
  </si>
  <si>
    <t xml:space="preserve">CRÉDIT</t>
  </si>
  <si>
    <t xml:space="preserve">Crédit transport PO 106618 + 106246</t>
  </si>
  <si>
    <t xml:space="preserve">4 palettes total</t>
  </si>
  <si>
    <t xml:space="preserve">palette</t>
  </si>
  <si>
    <t xml:space="preserve">No</t>
  </si>
  <si>
    <t xml:space="preserve">Active/Inactive</t>
  </si>
  <si>
    <t xml:space="preserve">Vendu à</t>
  </si>
  <si>
    <t xml:space="preserve">Livré à</t>
  </si>
  <si>
    <t xml:space="preserve">Date</t>
  </si>
  <si>
    <t xml:space="preserve">No Commande</t>
  </si>
  <si>
    <t xml:space="preserve">Contact/Acheteur</t>
  </si>
  <si>
    <t xml:space="preserve">Commentaire 1 (Conf comm 3)</t>
  </si>
  <si>
    <t xml:space="preserve">Commentaire 2 (Conf comm 4)</t>
  </si>
  <si>
    <t xml:space="preserve">Terme
Paiement</t>
  </si>
  <si>
    <t xml:space="preserve">Terme
Livraison</t>
  </si>
  <si>
    <t xml:space="preserve">Date requise</t>
  </si>
  <si>
    <t xml:space="preserve">Devise Conf</t>
  </si>
  <si>
    <t xml:space="preserve">Code Prix 1</t>
  </si>
  <si>
    <t xml:space="preserve">Code LE 1</t>
  </si>
  <si>
    <t xml:space="preserve">Qté Roul 1</t>
  </si>
  <si>
    <t xml:space="preserve">Qté msi 1</t>
  </si>
  <si>
    <t xml:space="preserve">Code Prix 2</t>
  </si>
  <si>
    <t xml:space="preserve">Code LE2</t>
  </si>
  <si>
    <t xml:space="preserve">Qté Roul. 2</t>
  </si>
  <si>
    <t xml:space="preserve">Qté msi 2</t>
  </si>
  <si>
    <t xml:space="preserve">Code Prix 3</t>
  </si>
  <si>
    <t xml:space="preserve">Code LE 3</t>
  </si>
  <si>
    <t xml:space="preserve">Qté Roul 3</t>
  </si>
  <si>
    <t xml:space="preserve">Qté msi 3</t>
  </si>
  <si>
    <t xml:space="preserve">Code Prix 4</t>
  </si>
  <si>
    <t xml:space="preserve">Code LE4</t>
  </si>
  <si>
    <t xml:space="preserve">Qté Roul 4</t>
  </si>
  <si>
    <t xml:space="preserve">Qté msi 4</t>
  </si>
  <si>
    <t xml:space="preserve">Code Prix 5</t>
  </si>
  <si>
    <t xml:space="preserve">Code LE 5</t>
  </si>
  <si>
    <t xml:space="preserve">Qté Roul 5</t>
  </si>
  <si>
    <t xml:space="preserve">Qté msi 5</t>
  </si>
  <si>
    <t xml:space="preserve">Code Prix 6</t>
  </si>
  <si>
    <t xml:space="preserve">Code LE6</t>
  </si>
  <si>
    <t xml:space="preserve">Qté Roul 6</t>
  </si>
  <si>
    <t xml:space="preserve">Qté msi 6</t>
  </si>
  <si>
    <t xml:space="preserve">Code Prix 7</t>
  </si>
  <si>
    <t xml:space="preserve">Code LE 7</t>
  </si>
  <si>
    <t xml:space="preserve">Qté Roul 7</t>
  </si>
  <si>
    <t xml:space="preserve">Qté msi 7</t>
  </si>
  <si>
    <t xml:space="preserve">Code Prix 8</t>
  </si>
  <si>
    <t xml:space="preserve">Code LE8</t>
  </si>
  <si>
    <t xml:space="preserve">Qté Roul 8</t>
  </si>
  <si>
    <t xml:space="preserve">Qté msi 8</t>
  </si>
  <si>
    <t xml:space="preserve">Code Prix 9</t>
  </si>
  <si>
    <t xml:space="preserve">Code LE 9</t>
  </si>
  <si>
    <t xml:space="preserve">Qté Roul 9</t>
  </si>
  <si>
    <t xml:space="preserve">Qté msi 9</t>
  </si>
  <si>
    <t xml:space="preserve">Code Prix 10</t>
  </si>
  <si>
    <t xml:space="preserve">Code LE10</t>
  </si>
  <si>
    <t xml:space="preserve">Qté Roul 10</t>
  </si>
  <si>
    <t xml:space="preserve">Qté msi 10</t>
  </si>
  <si>
    <t xml:space="preserve">BIZ001</t>
  </si>
  <si>
    <t xml:space="preserve">Josh</t>
  </si>
  <si>
    <t xml:space="preserve">Mark Hanna</t>
  </si>
  <si>
    <t xml:space="preserve">DIGISAMPLE1</t>
  </si>
  <si>
    <t xml:space="preserve">DDP</t>
  </si>
  <si>
    <t xml:space="preserve">LELYSECH1</t>
  </si>
  <si>
    <t xml:space="preserve">Mars 2024</t>
  </si>
  <si>
    <t xml:space="preserve">Jean-Claude Martin</t>
  </si>
  <si>
    <t xml:space="preserve">DDP Tanger</t>
  </si>
  <si>
    <t xml:space="preserve">Perry Johnson</t>
  </si>
  <si>
    <t xml:space="preserve">Échantillon 1</t>
  </si>
  <si>
    <t xml:space="preserve">Victor Tortis</t>
  </si>
  <si>
    <t xml:space="preserve">Delta Installation-Mexico</t>
  </si>
  <si>
    <t xml:space="preserve">BLS SAMPLE (2)</t>
  </si>
  <si>
    <t xml:space="preserve">Échantillon 2</t>
  </si>
  <si>
    <t xml:space="preserve">Frédérick Audette </t>
  </si>
  <si>
    <t xml:space="preserve">Transport Theoret (pick-up@theorettransport.com)</t>
  </si>
  <si>
    <t xml:space="preserve">Dominic Doyon</t>
  </si>
  <si>
    <t xml:space="preserve">Aureo Azevedo</t>
  </si>
  <si>
    <t xml:space="preserve">Valérie Tremblay</t>
  </si>
  <si>
    <t xml:space="preserve">David Santos</t>
  </si>
  <si>
    <t xml:space="preserve">Sylvie Emery</t>
  </si>
  <si>
    <t xml:space="preserve">Frais de livraison 350$</t>
  </si>
  <si>
    <t xml:space="preserve">PO 070724</t>
  </si>
  <si>
    <t xml:space="preserve">Facturation en CAD au taux de la date du bon de livraison</t>
  </si>
  <si>
    <t xml:space="preserve">ÉTIQUETTES MULTI-FLEX</t>
  </si>
  <si>
    <t xml:space="preserve">Échantillons</t>
  </si>
  <si>
    <t xml:space="preserve">Frais de transport 66 USD</t>
  </si>
  <si>
    <t xml:space="preserve">Échantillons-1</t>
  </si>
  <si>
    <t xml:space="preserve">Échantillon-1</t>
  </si>
  <si>
    <t xml:space="preserve">Valérie Boivin (vboivin@impsj.com)</t>
  </si>
  <si>
    <t xml:space="preserve">Échantillon D21</t>
  </si>
  <si>
    <t xml:space="preserve">Échantillon B25</t>
  </si>
  <si>
    <t xml:space="preserve">Sylvain Linguin</t>
  </si>
  <si>
    <t xml:space="preserve">Tony Di Valerio</t>
  </si>
  <si>
    <t xml:space="preserve">Échantillons S15</t>
  </si>
  <si>
    <t xml:space="preserve">Karine Gaudreault Marien</t>
  </si>
  <si>
    <t xml:space="preserve">Frais de transport 66 USD par master roll</t>
  </si>
  <si>
    <t xml:space="preserve">Échantillons S15 et B25</t>
  </si>
  <si>
    <t xml:space="preserve">David Fleury</t>
  </si>
  <si>
    <t xml:space="preserve">Frais de transport pour ces 2 master : 88USD</t>
  </si>
  <si>
    <t xml:space="preserve">Frais de transport pour 1 master: 66USD</t>
  </si>
  <si>
    <t xml:space="preserve">Frais de transport inclus dans les deux autres commandes</t>
  </si>
  <si>
    <t xml:space="preserve">Échantillons S21 &amp; B25</t>
  </si>
  <si>
    <t xml:space="preserve">PO60190312</t>
  </si>
  <si>
    <t xml:space="preserve">Gabrielle Boudreault</t>
  </si>
  <si>
    <t xml:space="preserve">DEBUG MC</t>
  </si>
  <si>
    <t xml:space="preserve">Caroline St-Jean</t>
  </si>
  <si>
    <t xml:space="preserve">Normand Rodrigue</t>
  </si>
  <si>
    <t xml:space="preserve">Échantillon TT</t>
  </si>
  <si>
    <t xml:space="preserve">Échantillon S31</t>
  </si>
  <si>
    <t xml:space="preserve">Pascal Ross</t>
  </si>
  <si>
    <t xml:space="preserve">Échantillons S21, S15, B15, B25</t>
  </si>
  <si>
    <t xml:space="preserve">Échantilon TT</t>
  </si>
  <si>
    <t xml:space="preserve">Alain Nuckle</t>
  </si>
  <si>
    <t xml:space="preserve">Benoit Nuckle</t>
  </si>
  <si>
    <t xml:space="preserve">091024-1</t>
  </si>
  <si>
    <t xml:space="preserve">091024-2</t>
  </si>
  <si>
    <t xml:space="preserve">Échantillons S21, S15 et B15</t>
  </si>
  <si>
    <t xml:space="preserve">Bee Saint-Gaudens</t>
  </si>
  <si>
    <t xml:space="preserve">Samples Cust 1</t>
  </si>
  <si>
    <t xml:space="preserve">Nimitt</t>
  </si>
  <si>
    <t xml:space="preserve">Boites de 4 x 6</t>
  </si>
  <si>
    <t xml:space="preserve">Samples Cust 2</t>
  </si>
  <si>
    <t xml:space="preserve">Échantillons T11 et D21</t>
  </si>
  <si>
    <t xml:space="preserve">Stephane Teoli</t>
  </si>
  <si>
    <t xml:space="preserve">Échantillon T11</t>
  </si>
  <si>
    <t xml:space="preserve">179960-1</t>
  </si>
  <si>
    <t xml:space="preserve">179960-2</t>
  </si>
  <si>
    <t xml:space="preserve">Échantillon D11</t>
  </si>
  <si>
    <t xml:space="preserve">TBD</t>
  </si>
  <si>
    <t xml:space="preserve">Serena An</t>
  </si>
  <si>
    <t xml:space="preserve">440-2</t>
  </si>
  <si>
    <t xml:space="preserve">ASAP</t>
  </si>
  <si>
    <t xml:space="preserve">PO60191184</t>
  </si>
  <si>
    <t xml:space="preserve">PO2501320</t>
  </si>
  <si>
    <t xml:space="preserve">Stephane Theoli</t>
  </si>
  <si>
    <t xml:space="preserve">Lino Laizzo</t>
  </si>
  <si>
    <t xml:space="preserve">Pierre Lapointe</t>
  </si>
  <si>
    <t xml:space="preserve">Patrick Le Donne</t>
  </si>
  <si>
    <t xml:space="preserve">Plaques digitales</t>
  </si>
  <si>
    <t xml:space="preserve">1-1-32391</t>
  </si>
  <si>
    <t xml:space="preserve">0046</t>
  </si>
  <si>
    <t xml:space="preserve">Stéphane Teoli</t>
  </si>
  <si>
    <t xml:space="preserve">CR TR 106618+106246</t>
  </si>
  <si>
    <t xml:space="preserve">email 2024-01-21 22h46</t>
  </si>
  <si>
    <t xml:space="preserve">Isabelle</t>
  </si>
  <si>
    <t xml:space="preserve">MK250122-1</t>
  </si>
  <si>
    <t xml:space="preserve">El Moez Krichen</t>
  </si>
  <si>
    <t xml:space="preserve">email 2024-01-22 14h39</t>
  </si>
  <si>
    <t xml:space="preserve">LabelEdge Inc.</t>
  </si>
  <si>
    <t xml:space="preserve">1620 Louis Bleriot #5</t>
  </si>
  <si>
    <t xml:space="preserve">Boucherville, Quebec, Canada, J4B 0K8</t>
  </si>
  <si>
    <t xml:space="preserve">order@labeledge.com</t>
  </si>
  <si>
    <t xml:space="preserve">514-242-4563</t>
  </si>
  <si>
    <t xml:space="preserve">Description</t>
  </si>
  <si>
    <t xml:space="preserve">TOTAL</t>
  </si>
  <si>
    <t xml:space="preserve">Bon de Travail</t>
  </si>
  <si>
    <t xml:space="preserve">État</t>
  </si>
  <si>
    <t xml:space="preserve">Date production</t>
  </si>
  <si>
    <t xml:space="preserve"># Comm LE</t>
  </si>
  <si>
    <t xml:space="preserve">Client LE</t>
  </si>
  <si>
    <t xml:space="preserve"># Comm Client</t>
  </si>
  <si>
    <t xml:space="preserve">Produit (Client)</t>
  </si>
  <si>
    <t xml:space="preserve">Matière à utiliser</t>
  </si>
  <si>
    <t xml:space="preserve">Code Client</t>
  </si>
  <si>
    <t xml:space="preserve">Code LE</t>
  </si>
  <si>
    <t xml:space="preserve">Fourn</t>
  </si>
  <si>
    <t xml:space="preserve">Description (Étiquette)</t>
  </si>
  <si>
    <t xml:space="preserve">Tubes 1</t>
  </si>
  <si>
    <t xml:space="preserve">Qté</t>
  </si>
  <si>
    <t xml:space="preserve">Tubes 2</t>
  </si>
  <si>
    <t xml:space="preserve">Tubes 3</t>
  </si>
  <si>
    <t xml:space="preserve">Tubes 4</t>
  </si>
  <si>
    <t xml:space="preserve">Tubes 5</t>
  </si>
  <si>
    <t xml:space="preserve">Largeur 1
</t>
  </si>
  <si>
    <t xml:space="preserve">Largeur 2</t>
  </si>
  <si>
    <t xml:space="preserve">Largeur 3
</t>
  </si>
  <si>
    <t xml:space="preserve">Largeur 4</t>
  </si>
  <si>
    <t xml:space="preserve">Largeur 5</t>
  </si>
  <si>
    <t xml:space="preserve">Largeur 6</t>
  </si>
  <si>
    <t xml:space="preserve">Largeur 7</t>
  </si>
  <si>
    <t xml:space="preserve">Largeur 8</t>
  </si>
  <si>
    <t xml:space="preserve">Largeur 9</t>
  </si>
  <si>
    <t xml:space="preserve">Largeur 10</t>
  </si>
  <si>
    <t xml:space="preserve">Unité larg</t>
  </si>
  <si>
    <t xml:space="preserve">Longueur
</t>
  </si>
  <si>
    <t xml:space="preserve">Unité long</t>
  </si>
  <si>
    <t xml:space="preserve">Nb Master</t>
  </si>
  <si>
    <t xml:space="preserve">Nb Roul client</t>
  </si>
  <si>
    <t xml:space="preserve">Unité</t>
  </si>
  <si>
    <t xml:space="preserve">Long tot client (Qté stock avant)</t>
  </si>
  <si>
    <t xml:space="preserve">Détail matière</t>
  </si>
  <si>
    <t xml:space="preserve">Commentaires WO</t>
  </si>
  <si>
    <t xml:space="preserve">Spec à utiliser</t>
  </si>
  <si>
    <t xml:space="preserve"># roul MP requis</t>
  </si>
  <si>
    <t xml:space="preserve">LE-2024051</t>
  </si>
  <si>
    <t xml:space="preserve">Fermé</t>
  </si>
  <si>
    <t xml:space="preserve">po</t>
  </si>
  <si>
    <t xml:space="preserve">pi</t>
  </si>
  <si>
    <t xml:space="preserve">LE-2024052</t>
  </si>
  <si>
    <t xml:space="preserve">LE-2024053</t>
  </si>
  <si>
    <t xml:space="preserve">LE-2024054</t>
  </si>
  <si>
    <t xml:space="preserve">LE-2024055</t>
  </si>
  <si>
    <t xml:space="preserve">LE-2024056</t>
  </si>
  <si>
    <t xml:space="preserve">LE-2024057</t>
  </si>
  <si>
    <t xml:space="preserve">LabelEdge (demo AKO)</t>
  </si>
  <si>
    <t xml:space="preserve">LE-2024058</t>
  </si>
  <si>
    <t xml:space="preserve">Annulé</t>
  </si>
  <si>
    <t xml:space="preserve">LE-2024059</t>
  </si>
  <si>
    <t xml:space="preserve">LE-2024060</t>
  </si>
  <si>
    <t xml:space="preserve">LE-2024061</t>
  </si>
  <si>
    <t xml:space="preserve">LE-2024062</t>
  </si>
  <si>
    <t xml:space="preserve">LE-2024063</t>
  </si>
  <si>
    <t xml:space="preserve">STOCK = LE-2024054 &amp; LE-2024057-1 @ -5 &amp; -8 @ -12 &amp; 13@17</t>
  </si>
  <si>
    <t xml:space="preserve">LE-2024064</t>
  </si>
  <si>
    <t xml:space="preserve">LE-2024065</t>
  </si>
  <si>
    <t xml:space="preserve">Prendre rouleau LE-2024053-2</t>
  </si>
  <si>
    <t xml:space="preserve">LE-2024066</t>
  </si>
  <si>
    <t xml:space="preserve">Utiliser rouleau LE-2024065-2</t>
  </si>
  <si>
    <t xml:space="preserve">LE-2024067</t>
  </si>
  <si>
    <t xml:space="preserve">Utiliser rouleau LE-2024060-8</t>
  </si>
  <si>
    <t xml:space="preserve">LE-2024068</t>
  </si>
  <si>
    <t xml:space="preserve">Utiliser rouleau LE-2024062-8 (61" x  9300')</t>
  </si>
  <si>
    <t xml:space="preserve">LE-2024069</t>
  </si>
  <si>
    <t xml:space="preserve">Master 1512mm x 6000m</t>
  </si>
  <si>
    <t xml:space="preserve">LE-2024070</t>
  </si>
  <si>
    <t xml:space="preserve">LE-2024071</t>
  </si>
  <si>
    <t xml:space="preserve">LE-2024072</t>
  </si>
  <si>
    <t xml:space="preserve">Utiliser bobine LE-2024059-2 (30.5pox5000pi)</t>
  </si>
  <si>
    <t xml:space="preserve">LE-2024073</t>
  </si>
  <si>
    <t xml:space="preserve">Utiliser la bobine LE-2024068-9 (61po x5000pi)</t>
  </si>
  <si>
    <t xml:space="preserve">LE-2024074</t>
  </si>
  <si>
    <t xml:space="preserve">LabelEdge / Digi America</t>
  </si>
  <si>
    <t xml:space="preserve">50008425 - Test machine DIGI</t>
  </si>
  <si>
    <t xml:space="preserve">LE-2024075</t>
  </si>
  <si>
    <t xml:space="preserve">1898</t>
  </si>
  <si>
    <t xml:space="preserve">LE-2024076</t>
  </si>
  <si>
    <t xml:space="preserve">Le client va prendre le reste à 4.5 po</t>
  </si>
  <si>
    <t xml:space="preserve">LE-2024077</t>
  </si>
  <si>
    <t xml:space="preserve">LE-2024078</t>
  </si>
  <si>
    <t xml:space="preserve">Livrer les bobines debout.  Le client va prendre les 4 bobines de 7.5po restantes</t>
  </si>
  <si>
    <t xml:space="preserve">LE-2024079</t>
  </si>
  <si>
    <t xml:space="preserve">Livrer les bobines debout-Utiliser les bobines LE-2024071 produite par erreur pour IMP Ste-Julie</t>
  </si>
  <si>
    <t xml:space="preserve">LE-2024080</t>
  </si>
  <si>
    <t xml:space="preserve">Aucune producion requise. Palettiser et emballer 24 bobines des productions précédentes</t>
  </si>
  <si>
    <t xml:space="preserve">LE-2024081</t>
  </si>
  <si>
    <t xml:space="preserve">Utiliser rouleau LE-2024073-2 (perte de 2.75 po au bout)</t>
  </si>
  <si>
    <t xml:space="preserve">LE-2024082</t>
  </si>
  <si>
    <t xml:space="preserve">Utiliser bobine LE-2024056-2 60po x 9000pi</t>
  </si>
  <si>
    <t xml:space="preserve">LE-2024083</t>
  </si>
  <si>
    <t xml:space="preserve"> Utiliser rouleau LE-2024070-5 /  60.24" x 16,919 '</t>
  </si>
  <si>
    <t xml:space="preserve">LE-2024084</t>
  </si>
  <si>
    <t xml:space="preserve">10 et 13</t>
  </si>
  <si>
    <t xml:space="preserve">approx 3400</t>
  </si>
  <si>
    <t xml:space="preserve">Utiliser les bobines de 1700pi. (WO LE2024068) Faire 1 bobine de 10po large,3400pi et 1 bobine 13po, 3400pi</t>
  </si>
  <si>
    <t xml:space="preserve">LE-2024085</t>
  </si>
  <si>
    <t xml:space="preserve">approx 5000</t>
  </si>
  <si>
    <t xml:space="preserve">Utiliser la bobine 2024066-1 et la convertir en 10po largeur. Utiliser bobine 2024065-3 et faire une bobine 13po largeur (toute la longueur du papier)</t>
  </si>
  <si>
    <t xml:space="preserve">LE-2024086</t>
  </si>
  <si>
    <t xml:space="preserve">Faire test release Tester bobine LE2024067-3 et LE2024076-15 (déjà entammées) d'abord. Envoyer résultats à Fred avant de produire. (si on prend nouvelle bobine, utiliser celle avec release la plus basse et tester avant de produire)</t>
  </si>
  <si>
    <t xml:space="preserve">LE-2024087</t>
  </si>
  <si>
    <t xml:space="preserve">5x10.375" et 1X8.125"</t>
  </si>
  <si>
    <t xml:space="preserve">1 master : 5 x 10.375" et 1 x 8.125" @ 5000pi long</t>
  </si>
  <si>
    <t xml:space="preserve">LE-2024088</t>
  </si>
  <si>
    <t xml:space="preserve">Utiliser nouveau master</t>
  </si>
  <si>
    <t xml:space="preserve">LE-2024089</t>
  </si>
  <si>
    <t xml:space="preserve">LE-2024090</t>
  </si>
  <si>
    <t xml:space="preserve">LE-2024091</t>
  </si>
  <si>
    <t xml:space="preserve">LE-2024092</t>
  </si>
  <si>
    <t xml:space="preserve">Utiliser bobine LE-2024086-1 (22po x 4330pi)</t>
  </si>
  <si>
    <t xml:space="preserve">LE-2024093</t>
  </si>
  <si>
    <t xml:space="preserve">Utiliser bobine LE-2024082-6 - Fabriquer 1 bobine 10 po + 1 bobine 13po</t>
  </si>
  <si>
    <t xml:space="preserve">LE-2024094</t>
  </si>
  <si>
    <t xml:space="preserve">Aucune production requise - Emballer et étiquetter</t>
  </si>
  <si>
    <t xml:space="preserve">LE-2024095</t>
  </si>
  <si>
    <t xml:space="preserve">Ulitiser nouveau master avec release basse / Le client prend la bobine qui reste (7.5po) *** Livrer les bobines debout</t>
  </si>
  <si>
    <t xml:space="preserve">LE-2024096</t>
  </si>
  <si>
    <t xml:space="preserve">Voir avec Fred si on utilise les bobines LE-2024077-6 et LE-2024087-7 sinon utiliser un nouveau master</t>
  </si>
  <si>
    <t xml:space="preserve">0 ou 1</t>
  </si>
  <si>
    <t xml:space="preserve">LE-2024097</t>
  </si>
  <si>
    <t xml:space="preserve">Utiliser bobine LE-2024093-3 (37.5po x 2600pi) couper 2x10.75 po et faire un splice pour obtenir une bobine de 5000pi</t>
  </si>
  <si>
    <t xml:space="preserve">LE-2024098</t>
  </si>
  <si>
    <t xml:space="preserve">Utiliser bobine LE-2024090-2 (46po x 5000pi)</t>
  </si>
  <si>
    <t xml:space="preserve">LE-2024099</t>
  </si>
  <si>
    <t xml:space="preserve">Slitter les 9 bobines 360mm et le master qui reste</t>
  </si>
  <si>
    <t xml:space="preserve">LE-2024100</t>
  </si>
  <si>
    <t xml:space="preserve">LE-2024101</t>
  </si>
  <si>
    <t xml:space="preserve">LE-2024102</t>
  </si>
  <si>
    <t xml:space="preserve">LE-2024103</t>
  </si>
  <si>
    <t xml:space="preserve">13 et 10.5</t>
  </si>
  <si>
    <t xml:space="preserve">3 bobines 13po + 2 bobines 10.5po</t>
  </si>
  <si>
    <t xml:space="preserve">LE-2024104</t>
  </si>
  <si>
    <t xml:space="preserve">LE-2024105</t>
  </si>
  <si>
    <t xml:space="preserve">Utlliser bobine LE-2024098-2 (35po  x 4970pi)</t>
  </si>
  <si>
    <t xml:space="preserve">LE-2024106</t>
  </si>
  <si>
    <t xml:space="preserve">11.25 &amp; 8.75</t>
  </si>
  <si>
    <t xml:space="preserve">* Livrer les bobines debout / *** 3 masters: 9 bobines 11.25po +9 bobines 8.75po</t>
  </si>
  <si>
    <t xml:space="preserve">LE-2024107</t>
  </si>
  <si>
    <t xml:space="preserve">Utiliser un nouveau master (pas la bobine déjà entammée)</t>
  </si>
  <si>
    <t xml:space="preserve">LE-2024108</t>
  </si>
  <si>
    <t xml:space="preserve">Utiliser bobine LE-2024105-2 (22.5po x 4960pi)</t>
  </si>
  <si>
    <t xml:space="preserve">LE-2024109</t>
  </si>
  <si>
    <t xml:space="preserve">Utiliser bobine LE-2024087-7</t>
  </si>
  <si>
    <t xml:space="preserve">LE-2024110</t>
  </si>
  <si>
    <t xml:space="preserve">Utiliser rouleau LE-2024101-14 60po x 4500pi)</t>
  </si>
  <si>
    <t xml:space="preserve">LE-2024111</t>
  </si>
  <si>
    <t xml:space="preserve">17, 13 , 8po</t>
  </si>
  <si>
    <t xml:space="preserve">Utiliser nouveau master 10,000pi (faire bobines 4800pi). 1re passe 17po x 2 et 13po x 2 ; 2e passe: 13po x 4 et 8po x 1</t>
  </si>
  <si>
    <t xml:space="preserve">LE-2024112</t>
  </si>
  <si>
    <t xml:space="preserve">Prendre rouleau avec release élevée (essayer roul 2024076-15)</t>
  </si>
  <si>
    <t xml:space="preserve">LE-2024113</t>
  </si>
  <si>
    <t xml:space="preserve">9710-1</t>
  </si>
  <si>
    <t xml:space="preserve">13x4 &amp; 8x1</t>
  </si>
  <si>
    <t xml:space="preserve">Utiliser bobine LE-2024104-6 et faire des 5000pi (première commande)</t>
  </si>
  <si>
    <t xml:space="preserve">LE-2024114</t>
  </si>
  <si>
    <t xml:space="preserve">9710-2</t>
  </si>
  <si>
    <t xml:space="preserve">13x8 &amp; 8x2</t>
  </si>
  <si>
    <t xml:space="preserve">Utilliser nouvelle bobine</t>
  </si>
  <si>
    <t xml:space="preserve">LE-2024115</t>
  </si>
  <si>
    <t xml:space="preserve">10000 &amp; 2500</t>
  </si>
  <si>
    <t xml:space="preserve">Utiliser SC20240260-18 pour 14 roul. 8.57x10,000pi et LE-2024114-11 pour 7 roul. 8.57x2,500pi*** Livrer les bobines debout</t>
  </si>
  <si>
    <t xml:space="preserve">LE-2024116</t>
  </si>
  <si>
    <t xml:space="preserve">LE-2024117</t>
  </si>
  <si>
    <t xml:space="preserve">* Livrer les bobines debout - Utiliser le reste de bobine du WO  LE-2024115 pour rouler 7 bobines de large.  Ajouter la bobine déjà faite LE-2024108-2 (9.5po x4850pi) pour l'envoyer au client aussi.</t>
  </si>
  <si>
    <t xml:space="preserve">LE-2024118</t>
  </si>
  <si>
    <t xml:space="preserve">Utiliser nouvelle matière reçue le 30 sept (AKO)</t>
  </si>
  <si>
    <t xml:space="preserve">LE-2024119</t>
  </si>
  <si>
    <t xml:space="preserve">Utiliser rouleau 2024092-2 et mettre à la bonne largeur (le plus long possible)</t>
  </si>
  <si>
    <t xml:space="preserve">LE-2024120</t>
  </si>
  <si>
    <t xml:space="preserve">LusoFlex, Visuascan, Corsair, Damaflex</t>
  </si>
  <si>
    <t xml:space="preserve">12.875+13+8.75+10</t>
  </si>
  <si>
    <t xml:space="preserve">Prendre nouveau master 1 roul 12.875po large, 1 roul 13po large, 1 roul 8.75po large, 1 roul 10po large. Tous 2400 pi long</t>
  </si>
  <si>
    <t xml:space="preserve">LE-2024121</t>
  </si>
  <si>
    <t xml:space="preserve">MCC Label, Damaflex</t>
  </si>
  <si>
    <t xml:space="preserve">12 + 10</t>
  </si>
  <si>
    <t xml:space="preserve">Prendre nouveau master : produire 1 roul 12po large et 1 roul 10 po large. 2300 pi long chacun.</t>
  </si>
  <si>
    <t xml:space="preserve">LE-2024122</t>
  </si>
  <si>
    <t xml:space="preserve">Amstik, Damaflex</t>
  </si>
  <si>
    <t xml:space="preserve">Échantillon S21</t>
  </si>
  <si>
    <t xml:space="preserve">6.75 + 10 </t>
  </si>
  <si>
    <t xml:space="preserve">Utiliser bobine LE-2024085-2 (34po x 2400pi). Faire 1 roul 6.75po large et 1 roul 10po large. 2400pi long chacun.</t>
  </si>
  <si>
    <t xml:space="preserve">LE-2024123</t>
  </si>
  <si>
    <t xml:space="preserve">Échantillon S15</t>
  </si>
  <si>
    <t xml:space="preserve">Utiliser bobine 'LE-2024097-3 (15.75po x 2600pi)</t>
  </si>
  <si>
    <t xml:space="preserve">LE-2024124</t>
  </si>
  <si>
    <t xml:space="preserve">Échantillon B15</t>
  </si>
  <si>
    <t xml:space="preserve">Utiliser bobine LE-2024083-5</t>
  </si>
  <si>
    <t xml:space="preserve">LE-2024125</t>
  </si>
  <si>
    <t xml:space="preserve">Utiliser bobine 'LE-2024108-2 (9.5po x 4850pi)</t>
  </si>
  <si>
    <t xml:space="preserve">LE-2024126</t>
  </si>
  <si>
    <t xml:space="preserve">Utiliser bobine LE-2024099-43 (9.4po x 4500pi)</t>
  </si>
  <si>
    <t xml:space="preserve">LE-2024127</t>
  </si>
  <si>
    <t xml:space="preserve">3x6po + 1x12op + 3x10po</t>
  </si>
  <si>
    <t xml:space="preserve">Faire bobines de 4800 pi</t>
  </si>
  <si>
    <t xml:space="preserve">LE-2024128</t>
  </si>
  <si>
    <t xml:space="preserve">* Livrer les bobines debout *** Garder les retailles de 7.5 po dans notre stock</t>
  </si>
  <si>
    <t xml:space="preserve">1.5 petit ou 1 gros</t>
  </si>
  <si>
    <t xml:space="preserve">LE-2024129</t>
  </si>
  <si>
    <t xml:space="preserve">091024</t>
  </si>
  <si>
    <t xml:space="preserve">* Livrer les bobines debout / Utiliser roul 2024124-3 (60x11800pi) et faire 6x8.75x5000pi plus 1x7.5x5000pi. / Utiliser roul 2024124-2 (50.5x2400pi)  et faire 5x8.75*2300pi plus 1x6.75x2300pi</t>
  </si>
  <si>
    <t xml:space="preserve">LE-2024130</t>
  </si>
  <si>
    <t xml:space="preserve">6/10/12/20</t>
  </si>
  <si>
    <t xml:space="preserve">Utiliser 2024127-8, coupes suivantes : 1x 6po + 1x 10po + 2x 12po + 1x 20po</t>
  </si>
  <si>
    <t xml:space="preserve">LE-2024131</t>
  </si>
  <si>
    <t xml:space="preserve">Ouvert</t>
  </si>
  <si>
    <t xml:space="preserve">LE-2024132</t>
  </si>
  <si>
    <t xml:space="preserve">Livrer bobines debout (tu peux utiliser le reste du master du WO 2024130 déjà monté!)</t>
  </si>
  <si>
    <t xml:space="preserve">LE-2024133</t>
  </si>
  <si>
    <t xml:space="preserve">6, 10, 12</t>
  </si>
  <si>
    <t xml:space="preserve">1x 6po + 3x 10po + 2x 12po</t>
  </si>
  <si>
    <t xml:space="preserve">LE-2024134</t>
  </si>
  <si>
    <t xml:space="preserve">Échantillons S21</t>
  </si>
  <si>
    <t xml:space="preserve">Utiliser 2024122-3 (14 po x 2250)</t>
  </si>
  <si>
    <t xml:space="preserve">LE-2024135</t>
  </si>
  <si>
    <t xml:space="preserve">Utiliser roul LE-2024072-2 (30.5po x 4685pi) et faire une bobine de 13po x 2250pi long</t>
  </si>
  <si>
    <t xml:space="preserve">LE-2024136</t>
  </si>
  <si>
    <t xml:space="preserve">Échantillons B15</t>
  </si>
  <si>
    <t xml:space="preserve">Ultiliser roul 2024129-8 et faire 2 bobines de 13po x 1500pi long</t>
  </si>
  <si>
    <t xml:space="preserve">LE-2024137</t>
  </si>
  <si>
    <t xml:space="preserve">Échantillons T11</t>
  </si>
  <si>
    <t xml:space="preserve">13 + 17.5</t>
  </si>
  <si>
    <t xml:space="preserve">2024120-6</t>
  </si>
  <si>
    <t xml:space="preserve">Utiliser 2024120-6 (60po x 7243pi) et produire 1 x 13po x4800pi et 1 x 17.25po 4800pi</t>
  </si>
  <si>
    <t xml:space="preserve">LE-2024138</t>
  </si>
  <si>
    <t xml:space="preserve">Échantillons D11</t>
  </si>
  <si>
    <t xml:space="preserve">13 + 21</t>
  </si>
  <si>
    <t xml:space="preserve">PAS DE LOGO LABELEDGE Nouvelle bobine de D11 (10034 AKO recu le 15 oct): produire 1 x 13po x5000pi et 1 x 21po x 5000pi</t>
  </si>
  <si>
    <t xml:space="preserve">LE-2024139</t>
  </si>
  <si>
    <t xml:space="preserve">6x10po large x 5000pi chacun; 6 X</t>
  </si>
  <si>
    <t xml:space="preserve">LE-2024140</t>
  </si>
  <si>
    <t xml:space="preserve">* Livrer les bobines debout / Faire 4 masters 60po de 10,000pi : 4 rouleaux de 12.875 chacun et on garde le reste (8.5po large)</t>
  </si>
  <si>
    <t xml:space="preserve">LE-2024141</t>
  </si>
  <si>
    <t xml:space="preserve">Échantillons D21</t>
  </si>
  <si>
    <t xml:space="preserve">PAS DE LOGO LABELEDGE ; Utiliser D11, le reste du WO 2024138 et faire 1 bobine 13po @5000pi et une 17.5 @ 5000pi</t>
  </si>
  <si>
    <t xml:space="preserve">LE-2024142</t>
  </si>
  <si>
    <t xml:space="preserve">2024107-1</t>
  </si>
  <si>
    <t xml:space="preserve">PAS DE LOGO LABELEDGE. Utiliser 2024107-1</t>
  </si>
  <si>
    <t xml:space="preserve">LE-2024143</t>
  </si>
  <si>
    <t xml:space="preserve">Utiliser D11, le reste des WO 2024138 et faire 12.75 x 2400pi</t>
  </si>
  <si>
    <t xml:space="preserve">LE-2024144</t>
  </si>
  <si>
    <t xml:space="preserve">IMS et Amstick</t>
  </si>
  <si>
    <t xml:space="preserve">2024137-</t>
  </si>
  <si>
    <t xml:space="preserve">Utiliser reste de WO 2024137 (30.5po large x 2400pi long) et produire 12.75po et 8.625 po, max longueur</t>
  </si>
  <si>
    <t xml:space="preserve">LE-2024145</t>
  </si>
  <si>
    <t xml:space="preserve">* Largeurs exactes requises. Nouveau master: 3 x 9po + 3 x 9.5po + 1 x 4.5po @ 5000pi (faire 2 fois)</t>
  </si>
  <si>
    <t xml:space="preserve">LE-2024146</t>
  </si>
  <si>
    <t xml:space="preserve">LE-2024147</t>
  </si>
  <si>
    <t xml:space="preserve">2024126-2</t>
  </si>
  <si>
    <t xml:space="preserve">Donné une bobine du stock</t>
  </si>
  <si>
    <t xml:space="preserve">LE-2024148</t>
  </si>
  <si>
    <t xml:space="preserve">2024113-6</t>
  </si>
  <si>
    <t xml:space="preserve">Utiliser 2024113-6 (60po x 4200pi)</t>
  </si>
  <si>
    <t xml:space="preserve">LE-2024149</t>
  </si>
  <si>
    <t xml:space="preserve">10039-</t>
  </si>
  <si>
    <t xml:space="preserve">3 master: Nouvelle matière - 2 master @ 6x 10po    +   1 master @ 5x 12po</t>
  </si>
  <si>
    <t xml:space="preserve">LE-2024150</t>
  </si>
  <si>
    <t xml:space="preserve">LE-2024151</t>
  </si>
  <si>
    <t xml:space="preserve">LE-2024152</t>
  </si>
  <si>
    <t xml:space="preserve">2024133-7</t>
  </si>
  <si>
    <t xml:space="preserve">Utiliser 2024133-7 (60po x 4900pi) et enlever une largeur de 13 po sur toute la longueur</t>
  </si>
  <si>
    <t xml:space="preserve">LE-2024153</t>
  </si>
  <si>
    <t xml:space="preserve">LE-2024154</t>
  </si>
  <si>
    <t xml:space="preserve">2024136-3</t>
  </si>
  <si>
    <t xml:space="preserve">Utiliser 2024136-3  ( 34 po x 1500pi) et couper 2 largeurs de 13 po. Les assembler avec un splice.</t>
  </si>
  <si>
    <t xml:space="preserve">LE-2024155</t>
  </si>
  <si>
    <t xml:space="preserve">LE-2024156</t>
  </si>
  <si>
    <t xml:space="preserve">Nouvelle matière 3 masters de 5000pi @ 10 po de large</t>
  </si>
  <si>
    <t xml:space="preserve">LE-2024157</t>
  </si>
  <si>
    <t xml:space="preserve">Faire 3 bobines de 435mm @ 10,000 pi pour étiquettes, garder le reste</t>
  </si>
  <si>
    <t xml:space="preserve">LE-2024158</t>
  </si>
  <si>
    <t xml:space="preserve">* Livrer les bobines debout - Utiliser matière emballage noir 8.6po x 10,000pi, 7 rouleaux total</t>
  </si>
  <si>
    <t xml:space="preserve">LE-2024159</t>
  </si>
  <si>
    <t xml:space="preserve">* Livrer les bobines debout - Utiliser matière emballage noir, 3 différentes largeurs de 5000pi</t>
  </si>
  <si>
    <t xml:space="preserve">LE-2024160</t>
  </si>
  <si>
    <t xml:space="preserve">LE-2024157-05</t>
  </si>
  <si>
    <t xml:space="preserve">Utiliser bobine 2024157-05 (8.8 po de large x 8,800pi long), jeter le 1.672po x 2500pi restant. Garder la fin de bobine (8.8po x 5000pi ++ )</t>
  </si>
  <si>
    <t xml:space="preserve">LE-2024161</t>
  </si>
  <si>
    <t xml:space="preserve">3" x 4.125"</t>
  </si>
  <si>
    <t xml:space="preserve">LE-2024157-02 &amp; -03 &amp; -04</t>
  </si>
  <si>
    <t xml:space="preserve">Produire 384,000 étiquettes 4"x6" : 1000 étiquettes/bobine (donc 384 bobines) Emballer en caisses de 8 rouleaux (boites client et étiquettes client). Réemballer les 70 boites sur le plancher dans boites client (sans les sacs). Préparer 2 palettes: une avec 41 boites (priorité), l'autre avec 42 boites.</t>
  </si>
  <si>
    <t xml:space="preserve">LE-2024162</t>
  </si>
  <si>
    <t xml:space="preserve">DEBUG MC 2</t>
  </si>
  <si>
    <t xml:space="preserve">10036-</t>
  </si>
  <si>
    <t xml:space="preserve">Utiliser matière emballage noir</t>
  </si>
  <si>
    <t xml:space="preserve">LE-2024163</t>
  </si>
  <si>
    <t xml:space="preserve">DEBUG MC3 D21</t>
  </si>
  <si>
    <t xml:space="preserve">Utiliser un restant pour commencer</t>
  </si>
  <si>
    <t xml:space="preserve">LE-2024164</t>
  </si>
  <si>
    <t xml:space="preserve">2024141-2</t>
  </si>
  <si>
    <t xml:space="preserve">Utiliser bobine 2024141-2 et slitter à 9.875" sur toute la longueur</t>
  </si>
  <si>
    <t xml:space="preserve">LE-2024165</t>
  </si>
  <si>
    <t xml:space="preserve">Utiliser les 3.5 dernières bobines de D16 (10033)</t>
  </si>
  <si>
    <t xml:space="preserve">LE-2024166</t>
  </si>
  <si>
    <t xml:space="preserve">Utiliser 3 master D11 emballage blanc et slitter 6x10po par 5000pi long</t>
  </si>
  <si>
    <t xml:space="preserve">LE-2024167</t>
  </si>
  <si>
    <t xml:space="preserve">Utiliser 3 master D11 emballage blanc.
Faire 2x 5000pi : 9 coupes de 5.875 plus 1 coupe de 6.875
Faire 3x5000pi : 2 coupes de 5.875 plus 7 coupes de 6.875</t>
  </si>
  <si>
    <t xml:space="preserve">LE-2024168</t>
  </si>
  <si>
    <t xml:space="preserve">LE-2024169</t>
  </si>
  <si>
    <t xml:space="preserve">Utiliser le S21 SG 3PC et valider la release avec Fred avant de produire</t>
  </si>
  <si>
    <t xml:space="preserve">LE-2024170</t>
  </si>
  <si>
    <t xml:space="preserve">5000 et 10000</t>
  </si>
  <si>
    <t xml:space="preserve">Utiliser le reste du LE-2024169 et faire 5 bobines 12po X 5000pi
Prendre nouveau master et faire 5 bobines 12po x 10,000pi</t>
  </si>
  <si>
    <t xml:space="preserve">LE-2024171</t>
  </si>
  <si>
    <t xml:space="preserve">LE-2024168-07</t>
  </si>
  <si>
    <t xml:space="preserve">Utiliser LE-2024168-07 (60po x 9700pi) et faire 6 bobines 10 po x 4750pi approx</t>
  </si>
  <si>
    <t xml:space="preserve">LE-2024172</t>
  </si>
  <si>
    <t xml:space="preserve">LE-2024171-07</t>
  </si>
  <si>
    <t xml:space="preserve">Utiliser LE-2024171-07 (60po x 4750pi) et faire le max de longueur. 4x 13po et 1x8po</t>
  </si>
  <si>
    <t xml:space="preserve">LE-2024173</t>
  </si>
  <si>
    <t xml:space="preserve">Stock</t>
  </si>
  <si>
    <t xml:space="preserve">10034-</t>
  </si>
  <si>
    <t xml:space="preserve">LE-2024174</t>
  </si>
  <si>
    <t xml:space="preserve">SC20240260-7</t>
  </si>
  <si>
    <t xml:space="preserve">Dernière bobine du premier lot ;SC20240260-7</t>
  </si>
  <si>
    <t xml:space="preserve">LE-2024175</t>
  </si>
  <si>
    <t xml:space="preserve">2024144-1</t>
  </si>
  <si>
    <t xml:space="preserve">Utiliser 2024144-1 (38.58po x 2400pi)</t>
  </si>
  <si>
    <t xml:space="preserve">LE-2024176</t>
  </si>
  <si>
    <t xml:space="preserve">2024174-7</t>
  </si>
  <si>
    <t xml:space="preserve">Utiliser 2024174-7 (60x14800pi) et faire 4x13po  et 1x8po  environ 9600pi</t>
  </si>
  <si>
    <t xml:space="preserve">LE-2024177</t>
  </si>
  <si>
    <t xml:space="preserve">3PC</t>
  </si>
  <si>
    <t xml:space="preserve">Utiliser le S21 3 premiers conteneurs. Tester la release. 5 bobines de 12po large x 10,000pi.</t>
  </si>
  <si>
    <t xml:space="preserve">LE-2024178</t>
  </si>
  <si>
    <t xml:space="preserve">Utiliser nouveau rouleau 10034-
2 bobines 9po largex10,000pi</t>
  </si>
  <si>
    <t xml:space="preserve">LE-2024179</t>
  </si>
  <si>
    <t xml:space="preserve">* Bobines 13po: livrer debout
Utiliser nouvelle bobine  10039-
FAIRE 4 FOIS : 4 bobines 13 po large x 5000pi  plus 1 bobine 8po  x 5000</t>
  </si>
  <si>
    <t xml:space="preserve">LE-2024180</t>
  </si>
  <si>
    <t xml:space="preserve">* Livrer les bobines debout / Utiliser matière 3PC. 1 master de 5000pi : 4x 10.75po  +  2x 6po  +  1x 5po</t>
  </si>
  <si>
    <t xml:space="preserve">LE-2024181</t>
  </si>
  <si>
    <t xml:space="preserve">2905</t>
  </si>
  <si>
    <t xml:space="preserve">Utiliser nouvelle bobine 10039- 
1x Longeur de 10,000pi ; 2x 13po  + 2x 12.5po  +  1x 9po</t>
  </si>
  <si>
    <t xml:space="preserve">LE-2024182</t>
  </si>
  <si>
    <t xml:space="preserve">SC20240260-14</t>
  </si>
  <si>
    <t xml:space="preserve">Utiliser dernière bobine du premier lot SC20240260-14
2x Longeur de 10,000pi ; 2x 13po  + 2x 12.5po  +  1x 9po</t>
  </si>
  <si>
    <t xml:space="preserve">LE-2024183</t>
  </si>
  <si>
    <t xml:space="preserve">Utiliser nouvelle bobine 10039- 
1x Longeur de 10,000pi ; 3x 13po  + 1x 12.5po  +  1x 8.5po</t>
  </si>
  <si>
    <t xml:space="preserve">LE-2024184</t>
  </si>
  <si>
    <t xml:space="preserve">Sample S15</t>
  </si>
  <si>
    <t xml:space="preserve">2024135-2</t>
  </si>
  <si>
    <t xml:space="preserve">Utiliser bobine 2024135-2 (17.25pox2250pi)  Slitter à 12po large x longueur max</t>
  </si>
  <si>
    <t xml:space="preserve">LE-2024185</t>
  </si>
  <si>
    <t xml:space="preserve">Utiliser nouvelle bobine 10039-
1x longueur de 10,000pi : 6x 10po large</t>
  </si>
  <si>
    <t xml:space="preserve">LE-2024186</t>
  </si>
  <si>
    <t xml:space="preserve">LE-2024185-07</t>
  </si>
  <si>
    <t xml:space="preserve">Utiliser LE-2024185-07 (60pox10000pi) 
1 longeur 5000pi : 5x 12po large</t>
  </si>
  <si>
    <t xml:space="preserve">LE-2024187</t>
  </si>
  <si>
    <t xml:space="preserve">2024191-09</t>
  </si>
  <si>
    <t xml:space="preserve">WO 2024191, prendre une largeur de 10po (roul 2024191-09)</t>
  </si>
  <si>
    <t xml:space="preserve">LE-2024188</t>
  </si>
  <si>
    <t xml:space="preserve">LE-2024175-02</t>
  </si>
  <si>
    <t xml:space="preserve">Utiliser LE-2024175-02 (34po x 2350pi). Le client veut un échantillon 10po x long . max</t>
  </si>
  <si>
    <t xml:space="preserve">LE-2024189</t>
  </si>
  <si>
    <t xml:space="preserve">LE 2024135-3</t>
  </si>
  <si>
    <t xml:space="preserve">Utiliser LE-2024135-3 (30.5po x 2350pi). Le client veut un échantillon 10po x long . Max</t>
  </si>
  <si>
    <t xml:space="preserve">LE-2024190</t>
  </si>
  <si>
    <t xml:space="preserve">10000+7500</t>
  </si>
  <si>
    <t xml:space="preserve">Besoin de 2 nouveaux roul S15. Après la commande, il restera 1x 60po x 10000pi et 1x 60po x5000pi
1 longueur 10,000pi : 6x 10po large
2 longueurs 7500pi : 5x 12po large</t>
  </si>
  <si>
    <t xml:space="preserve">LE-2024191</t>
  </si>
  <si>
    <t xml:space="preserve">Étiquettes Rive-Sud+Unik</t>
  </si>
  <si>
    <t xml:space="preserve">9+1</t>
  </si>
  <si>
    <t xml:space="preserve">10039-16/17/18</t>
  </si>
  <si>
    <t xml:space="preserve">* Livrer les bobines debout / Utiliser D11-3 : 10039-16ou17ou18
Première passe : longeur 4800pi : 6x 8.75po largeur (on garde le 7.5po qui reste)
Deuxième passe : longueur 4800pi : 3x 8.75po larg. + 1x 10po larg (échantillon Unik) + 1x 21.375po larg (garder) (jette le 2po qui reste)</t>
  </si>
  <si>
    <t xml:space="preserve">LE-2024192</t>
  </si>
  <si>
    <t xml:space="preserve">LE-2024152-01</t>
  </si>
  <si>
    <t xml:space="preserve">Utiliser LE-2024152-01 (47po x4780pi). Le client veut 2 bobines de 13po x 2200 pi. Faire 1 bobine 13po x 2200pi. Arrêter la machine, sortir la bobine et remettre nouveau tube pour rouler le reste de la bobine. Garder le 34po x 4600pi qui reste.</t>
  </si>
  <si>
    <t xml:space="preserve">LE-2024193</t>
  </si>
  <si>
    <t xml:space="preserve">Utiliser le S21 le plus vieux. Rouleau 'LE-2024180-08 ou '2024107-3 et rouler longueur max.
longueur max (approx 5000pi) 5x 12 po</t>
  </si>
  <si>
    <t xml:space="preserve">LE-2024194</t>
  </si>
  <si>
    <t xml:space="preserve">Palettiser les 14 bobines en stock et produire(avec nouveaux masters 10034) :
2x longeur 5000pi : 5x 9.5po (il te restera 2 bobines de 12.5po qu'on gardera)</t>
  </si>
  <si>
    <t xml:space="preserve">LE-2024195</t>
  </si>
  <si>
    <t xml:space="preserve">* Livrer les bobines debout - Utiliser matière emballage noir 10036, 1 nouvelle bobine (diviser la longeur en 2)
2x longueur 9,500-9,800pi : 7x 8.6po largeur</t>
  </si>
  <si>
    <t xml:space="preserve">LE-2024196</t>
  </si>
  <si>
    <t xml:space="preserve">Livrer avec commande 1958. Utiliser bobine 2024125-2 et slitter en 2 sur toute la longueur.
2x longueur env 2500pi 4.75po largeur</t>
  </si>
  <si>
    <t xml:space="preserve">LE-2024197</t>
  </si>
  <si>
    <t xml:space="preserve">2024176-06</t>
  </si>
  <si>
    <t xml:space="preserve">Utiliser roul LE-2024176-06 (60pox5000pi)
1x longueur max (approx 5000pi) : 4x 10po large + 1x 13po large +1x 7po large</t>
  </si>
  <si>
    <t xml:space="preserve">LE-2024198</t>
  </si>
  <si>
    <t xml:space="preserve">* Livrer les bobines debout / Largeurs exactes requises
2x longueur 4800pi : 1x 9po large + 4x 9.5po large + 2x 6.5po large</t>
  </si>
  <si>
    <t xml:space="preserve">LE-2024199</t>
  </si>
  <si>
    <t xml:space="preserve">Utiliser 2024077-6 (60x4643pi) ou 2024107-3 (60x4600)
1x longueur max  : 4x 10po large + 1x 13po large +1x 7po large</t>
  </si>
  <si>
    <t xml:space="preserve">LE-2024200</t>
  </si>
  <si>
    <t xml:space="preserve">LE-2024190-07</t>
  </si>
  <si>
    <t xml:space="preserve">Utiliser LE-2024190-07 (60po x 10000pi)
1x longueur de 10,000pi : 6x 10po large</t>
  </si>
  <si>
    <t xml:space="preserve">LE-2024201</t>
  </si>
  <si>
    <t xml:space="preserve">LE-2024186-06</t>
  </si>
  <si>
    <t xml:space="preserve">Utiliser LE-2024186-06 (60po x 14550pi)
1x longueur 4750pi : 5x12po large</t>
  </si>
  <si>
    <t xml:space="preserve">LE-2024202</t>
  </si>
  <si>
    <t xml:space="preserve">10039-3</t>
  </si>
  <si>
    <t xml:space="preserve">Livrer les bobines debout : Utiliser 10039-3 (60x20000pi)
1x longueur 10000pi : 6x 10po large
1x longueur 10000pi : 6x 8.75po large + 1x 7.5po large</t>
  </si>
  <si>
    <t xml:space="preserve">LE-2024203</t>
  </si>
  <si>
    <t xml:space="preserve">LabelEdge matière</t>
  </si>
  <si>
    <t xml:space="preserve">D21 pour produire étiquettes</t>
  </si>
  <si>
    <t xml:space="preserve">DT shipping label</t>
  </si>
  <si>
    <t xml:space="preserve">Utiliser les bobines 20po (DT shipping labels; 510mm large) et les slitter à 435mm ; LONGUEUR: 10000pi</t>
  </si>
  <si>
    <t xml:space="preserve">LE-2024204</t>
  </si>
  <si>
    <t xml:space="preserve">D11 pour produire étiquettes</t>
  </si>
  <si>
    <t xml:space="preserve">Slitter masters 60po en 2x 21.375po + 1x 17.25po LONGUEUR : 10000pi</t>
  </si>
  <si>
    <t xml:space="preserve">LE-2024205</t>
  </si>
  <si>
    <t xml:space="preserve">LabelEdge étiquettes</t>
  </si>
  <si>
    <t xml:space="preserve">4x6 D21-1</t>
  </si>
  <si>
    <t xml:space="preserve">4 X 6 DT; Core 1po ; 250 lab/rl ; 4rl/cs</t>
  </si>
  <si>
    <t xml:space="preserve">Utiliser matériel du WO 2024203 et produire étiquettes 4x6po :
core 1po
250 étiquettes/roul
4 roul/boite</t>
  </si>
  <si>
    <t xml:space="preserve">LE-2024206</t>
  </si>
  <si>
    <t xml:space="preserve">4x6 D11-3</t>
  </si>
  <si>
    <t xml:space="preserve">Utiliser matériel du WO 2024204 et produire étiquettes 4x6po :
core 1po
250 étiquettes/roul
4 roul/boite</t>
  </si>
  <si>
    <t xml:space="preserve">LE-2024207</t>
  </si>
  <si>
    <t xml:space="preserve">14x longueurs de 5000pi : 6x 10po large
3x longueurs de 5000pi : 4x 5.875po large + 4x 9po large
1x longueurs de 5000pi : 10x 5.875po large
TOTAL (tous 5000pi long) : 84 roul 10po + 12 roul 9po + 22 roul 5.875po</t>
  </si>
  <si>
    <t xml:space="preserve">LE-2024208</t>
  </si>
  <si>
    <t xml:space="preserve">1952+1960</t>
  </si>
  <si>
    <t xml:space="preserve">10045-</t>
  </si>
  <si>
    <t xml:space="preserve">* Livrer les bobines debout
Voir feuille pour largeurs et setups
Séparer les largeurs (ce sont des commandes différentes) et ne pas mettre étiquettes de palettes)</t>
  </si>
  <si>
    <t xml:space="preserve">LE-2024209</t>
  </si>
  <si>
    <t xml:space="preserve">* Livrer les bobines debout / Largeurs exactes requises
3x longueur 10000pi : 5x 6.5625po large + 3x 9.0625po large</t>
  </si>
  <si>
    <t xml:space="preserve">LE-2024210</t>
  </si>
  <si>
    <t xml:space="preserve">1x longueur 10,000pi : 2x 8.75po large + 4x 8.625po large + 1x 7.875po large</t>
  </si>
  <si>
    <t xml:space="preserve">LE-2024211</t>
  </si>
  <si>
    <t xml:space="preserve">2024201-06</t>
  </si>
  <si>
    <t xml:space="preserve">Utiliser bobine 2024201-06 (60x9700pi)
1x longueur 4600pi : 4x 15po large</t>
  </si>
  <si>
    <t xml:space="preserve">LE-2024212</t>
  </si>
  <si>
    <t xml:space="preserve">Utiliser nouvelle bobine 10036-
2x longueur 9800pi : 7x 7.125po + 1x 6.75 + 1x 3.375po large</t>
  </si>
  <si>
    <t xml:space="preserve">LE-2024213</t>
  </si>
  <si>
    <t xml:space="preserve">* Livrer les bobines debout / Largeurs exactes requises
2x longueur 4800pi : 6x 10po large</t>
  </si>
  <si>
    <t xml:space="preserve">LE-2024214</t>
  </si>
  <si>
    <t xml:space="preserve">1er master: 1x longueur 10000pi: 5x 12po large
2e master : 
1x longueur 4800pi : 5x 12po large
1x longueur 4800pi: 4x 14po large + 1x 4po large</t>
  </si>
  <si>
    <t xml:space="preserve">LE-2024215</t>
  </si>
  <si>
    <t xml:space="preserve">LE2024190-18</t>
  </si>
  <si>
    <t xml:space="preserve">Utiliser 2024190-18 (60po x 5200pi)
1x longueur 5000pi (ou plus) : 5x 12po large</t>
  </si>
  <si>
    <t xml:space="preserve">LE-2024216</t>
  </si>
  <si>
    <t xml:space="preserve">* Livrer les bobines debout
1x longueur 4800pi : 5x 4.75 po large + 5x 6po large + 1x 6.25po large</t>
  </si>
  <si>
    <t xml:space="preserve">LE-2024217</t>
  </si>
  <si>
    <t xml:space="preserve">LE-2024189-01</t>
  </si>
  <si>
    <t xml:space="preserve">Utiliser LE-2024189-01 (20.25x2300) et faire une bobine de 13po large (garder le reste)</t>
  </si>
  <si>
    <t xml:space="preserve">LE-2024218</t>
  </si>
  <si>
    <t xml:space="preserve">Utiliser 10034-
12x longueur 5000pi : 6x10po large</t>
  </si>
  <si>
    <t xml:space="preserve">LE-2024219</t>
  </si>
  <si>
    <t xml:space="preserve">10051-</t>
  </si>
  <si>
    <t xml:space="preserve">Nouvelle bobine 10051-
1x longueur 9600pi : 4x 12.75po large + 1x 9po large</t>
  </si>
  <si>
    <t xml:space="preserve">LE-2024220</t>
  </si>
  <si>
    <t xml:space="preserve">Nouvelle bobine 10051-
1x longueur 9600pi : 5x 9po large + 2x 4.5po large + 1x 6po large</t>
  </si>
  <si>
    <t xml:space="preserve">LE-2024221</t>
  </si>
  <si>
    <t xml:space="preserve">Nouvelle bobine de 10045- 20,000pi
1x longueur de 4800pi : 6x 10po large</t>
  </si>
  <si>
    <t xml:space="preserve">LE-2024222</t>
  </si>
  <si>
    <t xml:space="preserve">LE-2024221-07</t>
  </si>
  <si>
    <t xml:space="preserve">Utiliser LE-2024221-07 (60po  x 14700pi)
1x longueur 9600pi : 5x 12po large</t>
  </si>
  <si>
    <t xml:space="preserve">LE-2024223</t>
  </si>
  <si>
    <t xml:space="preserve">2024141-4</t>
  </si>
  <si>
    <t xml:space="preserve">Utiliser 2024141-4
1x pleine longueur : DIVISER EN 3 : (env: 3x14.167po large) </t>
  </si>
  <si>
    <t xml:space="preserve">LE-2024224</t>
  </si>
  <si>
    <t xml:space="preserve">* Livrer les bobines debout / Largeurs exactes requises
Utiliser nouveau rouleau 10034-
1x longueur 10000pi : 7x 8po large + 1x 4po large</t>
  </si>
  <si>
    <t xml:space="preserve">LE-2024225</t>
  </si>
  <si>
    <t xml:space="preserve">Nouvelle bobine 10051-
1x longueur 10000pi : 6x10po large</t>
  </si>
  <si>
    <t xml:space="preserve">LE-2024226</t>
  </si>
  <si>
    <t xml:space="preserve">1er master: 1x longueur 4800pi: 6x 10po large
2e master: 1x longueur 4800pi: 5x 12po large</t>
  </si>
  <si>
    <t xml:space="preserve">LE-2024227</t>
  </si>
  <si>
    <t xml:space="preserve">Nouvelle bobine 10045-
2 longueurs de 10,000pi : 5x 12po de large</t>
  </si>
  <si>
    <t xml:space="preserve">LE-2024228</t>
  </si>
  <si>
    <t xml:space="preserve">10034-4</t>
  </si>
  <si>
    <t xml:space="preserve">* Livrer les bobines debout / Largeurs exactes requises
2x longueur 4800pi : 5x 9.5po large + 1x12po large + retaille 0.5po à jeter</t>
  </si>
  <si>
    <t xml:space="preserve">LE-2024229</t>
  </si>
  <si>
    <t xml:space="preserve">LE-2024230</t>
  </si>
  <si>
    <t xml:space="preserve">LE-2024222-06</t>
  </si>
  <si>
    <t xml:space="preserve">Utiliser LE-2024222-06 (60po x 5000pi)
1x longueur 5000pi : 2x 13po large + 2x 12po large + 1x 10po large</t>
  </si>
  <si>
    <t xml:space="preserve">LE-2024231</t>
  </si>
  <si>
    <t xml:space="preserve">LE-2024232</t>
  </si>
  <si>
    <t xml:space="preserve">2x longueur 10,000pi : 2x 8po large + 4x 11po large</t>
  </si>
  <si>
    <t xml:space="preserve">LE-2024233</t>
  </si>
  <si>
    <t xml:space="preserve">LE-2024211-05</t>
  </si>
  <si>
    <t xml:space="preserve">Utiliser LE-2024211-05 (60po x 5000pi)
1x longueur 5000pi : 4x15po large</t>
  </si>
  <si>
    <t xml:space="preserve">LE-2024234</t>
  </si>
  <si>
    <t xml:space="preserve">* Livrer les bobines debout
4x longueur 4800pi : 4x 13po large + 1x 8po large</t>
  </si>
  <si>
    <t xml:space="preserve">LE-2024235</t>
  </si>
  <si>
    <t xml:space="preserve">2x longueur 10,000pi : 4x 13po large + 1x 8po large</t>
  </si>
  <si>
    <t xml:space="preserve">LE-2024236</t>
  </si>
  <si>
    <t xml:space="preserve">Utiliser nouvelle bobine
1x longueur 4800pi : 10x 6po large</t>
  </si>
  <si>
    <t xml:space="preserve">LE-2024237</t>
  </si>
  <si>
    <t xml:space="preserve">LE-2024155-02</t>
  </si>
  <si>
    <t xml:space="preserve">Utiliser LE-2024155-02 (47pox2000pi)
Bobine échantillon 6.625po large</t>
  </si>
  <si>
    <t xml:space="preserve">LE-2024238</t>
  </si>
  <si>
    <t xml:space="preserve">1x longueur 10,000pi : 1x 4po large + 4x 8.125po large + 3x 6.75po large + 1x 3.25po large</t>
  </si>
  <si>
    <t xml:space="preserve">LE-2024239</t>
  </si>
  <si>
    <t xml:space="preserve">** VOIR PLAN *** LIVRER BOBINES DEBOUT
Utiliser : LE-2024194-01 + LE-2024194-07 + LE-2024178-03 + LE-2024167-48 + LE-2024223-02 
(2024223-02 est près du dérouleur de la machine Alpha)</t>
  </si>
  <si>
    <t xml:space="preserve">LE-2024240</t>
  </si>
  <si>
    <t xml:space="preserve">Voir plan</t>
  </si>
  <si>
    <t xml:space="preserve">LE-2024241</t>
  </si>
  <si>
    <t xml:space="preserve">LE-2024242</t>
  </si>
  <si>
    <t xml:space="preserve">'2024066-3</t>
  </si>
  <si>
    <t xml:space="preserve">Utiliser 2024066-3 (10po x4990pi)
ÉCHANTILLON: Faire 1x 6po x 2300pi
Garder la retaille 4po x 2300pi
Garder la retaille 10po x 2500pi</t>
  </si>
  <si>
    <t xml:space="preserve">LE-2024243</t>
  </si>
  <si>
    <t xml:space="preserve">Matériel 10045-
2x longueur 10,000pi : 4x 13po large + 1x 8po large
1x longueur 4800pi : 6x 10po large</t>
  </si>
  <si>
    <t xml:space="preserve">LE-2024244</t>
  </si>
  <si>
    <t xml:space="preserve">'LE-2024216-12</t>
  </si>
  <si>
    <t xml:space="preserve">Utiliser 'LE-2024216-12 (60pox 4900pi)
1x longueur 5000pi : 1x 16po large + 3x 13po large + 1x 5po large</t>
  </si>
  <si>
    <t xml:space="preserve">LE-2024245</t>
  </si>
  <si>
    <t xml:space="preserve">LE-2024246</t>
  </si>
  <si>
    <t xml:space="preserve">LE-2024247</t>
  </si>
  <si>
    <t xml:space="preserve">LE-2024248</t>
  </si>
  <si>
    <t xml:space="preserve">LE-2024249</t>
  </si>
  <si>
    <t xml:space="preserve">LE-2024250</t>
  </si>
  <si>
    <t xml:space="preserve">LE-2024251</t>
  </si>
  <si>
    <t xml:space="preserve">LE-2024252</t>
  </si>
  <si>
    <t xml:space="preserve">LE-2024253</t>
  </si>
  <si>
    <t xml:space="preserve">LE-2024254</t>
  </si>
  <si>
    <t xml:space="preserve">LE-2024255</t>
  </si>
  <si>
    <t xml:space="preserve">LE-2024256</t>
  </si>
  <si>
    <t xml:space="preserve">LE-2024257</t>
  </si>
  <si>
    <t xml:space="preserve">LE-2024258</t>
  </si>
  <si>
    <t xml:space="preserve">LE-2024259</t>
  </si>
  <si>
    <t xml:space="preserve">LE-2024260</t>
  </si>
  <si>
    <t xml:space="preserve">LE-2024261</t>
  </si>
  <si>
    <t xml:space="preserve">LE-2024262</t>
  </si>
  <si>
    <t xml:space="preserve">LE-2024263</t>
  </si>
  <si>
    <t xml:space="preserve">LE-2024264</t>
  </si>
  <si>
    <t xml:space="preserve">LE-2024265</t>
  </si>
  <si>
    <t xml:space="preserve">LE-2024266</t>
  </si>
  <si>
    <t xml:space="preserve">LE-2024267</t>
  </si>
  <si>
    <t xml:space="preserve"># commande client</t>
  </si>
  <si>
    <t xml:space="preserve">Description client</t>
  </si>
  <si>
    <t xml:space="preserve">Qté Tubes 1</t>
  </si>
  <si>
    <t xml:space="preserve">Qté Tubes 2</t>
  </si>
  <si>
    <t xml:space="preserve">Qté Tubes 3</t>
  </si>
  <si>
    <t xml:space="preserve">Qté Tubes 4</t>
  </si>
  <si>
    <t xml:space="preserve">Qté Tubes 5</t>
  </si>
  <si>
    <t xml:space="preserve">Largeur 1</t>
  </si>
  <si>
    <t xml:space="preserve">Largeur 3</t>
  </si>
  <si>
    <t xml:space="preserve">Unité largeur</t>
  </si>
  <si>
    <t xml:space="preserve">Unité longueur</t>
  </si>
  <si>
    <t xml:space="preserve">Nb roul client</t>
  </si>
  <si>
    <t xml:space="preserve">Long.tot.client</t>
  </si>
  <si>
    <t xml:space="preserve">Code MP</t>
  </si>
  <si>
    <t xml:space="preserve">Commentaire</t>
  </si>
  <si>
    <t xml:space="preserve">Notre commande</t>
  </si>
  <si>
    <t xml:space="preserve">Article client</t>
  </si>
  <si>
    <t xml:space="preserve">SANS ÉCHANTILLONS</t>
  </si>
  <si>
    <t xml:space="preserve">&lt;&gt;</t>
  </si>
  <si>
    <t xml:space="preserve">VENTES (SANS ÉCHANTILLONS)</t>
  </si>
  <si>
    <t xml:space="preserve">AVEC ÉCHANTILLONS</t>
  </si>
  <si>
    <t xml:space="preserve">ÉCHANTILLONS</t>
  </si>
  <si>
    <t xml:space="preserve">Clilent LE</t>
  </si>
  <si>
    <t xml:space="preserve">- all -</t>
  </si>
  <si>
    <t xml:space="preserve">Commande client</t>
  </si>
  <si>
    <t xml:space="preserve">Qté utilisée (msi)</t>
  </si>
  <si>
    <t xml:space="preserve">Stock ajout (msi)</t>
  </si>
  <si>
    <t xml:space="preserve">Qté livrée (msi)</t>
  </si>
  <si>
    <t xml:space="preserve">Stock retrait (msi)</t>
  </si>
  <si>
    <t xml:space="preserve">Longueur tube</t>
  </si>
  <si>
    <t xml:space="preserve">Nb Palettes</t>
  </si>
  <si>
    <t xml:space="preserve">Temps</t>
  </si>
  <si>
    <t xml:space="preserve">Coût transport (CAD)</t>
  </si>
  <si>
    <t xml:space="preserve">Taux de change</t>
  </si>
  <si>
    <t xml:space="preserve">Prix achat MP (CAD)</t>
  </si>
  <si>
    <t xml:space="preserve">Coût MP (CAD)</t>
  </si>
  <si>
    <t xml:space="preserve">Rebut (CAD)</t>
  </si>
  <si>
    <t xml:space="preserve">% rebut</t>
  </si>
  <si>
    <t xml:space="preserve">Coût tubes</t>
  </si>
  <si>
    <t xml:space="preserve">Coût palettes</t>
  </si>
  <si>
    <t xml:space="preserve">Coût MO</t>
  </si>
  <si>
    <t xml:space="preserve">Coût total (incl rebut)</t>
  </si>
  <si>
    <t xml:space="preserve">Prix vente</t>
  </si>
  <si>
    <t xml:space="preserve">Devise vente</t>
  </si>
  <si>
    <t xml:space="preserve">Prix vente (CAD)</t>
  </si>
  <si>
    <t xml:space="preserve">Profit incl rebut (perte) (CAD)</t>
  </si>
  <si>
    <t xml:space="preserve">Profit (%)</t>
  </si>
  <si>
    <t xml:space="preserve">Cout MP (incl rebut)</t>
  </si>
  <si>
    <t xml:space="preserve">% MP (incl rebut)</t>
  </si>
  <si>
    <t xml:space="preserve">WO</t>
  </si>
  <si>
    <t xml:space="preserve">Matière</t>
  </si>
  <si>
    <t xml:space="preserve">msi vendus</t>
  </si>
  <si>
    <t xml:space="preserve">Coût MP</t>
  </si>
  <si>
    <t xml:space="preserve">Ventes CAD</t>
  </si>
  <si>
    <t xml:space="preserve">Profit CAD</t>
  </si>
  <si>
    <t xml:space="preserve">Data</t>
  </si>
  <si>
    <t xml:space="preserve">Coût échantillons</t>
  </si>
  <si>
    <t xml:space="preserve">Row Labels</t>
  </si>
  <si>
    <t xml:space="preserve">Total MSI vendus</t>
  </si>
  <si>
    <t xml:space="preserve">Ventes Total CAD</t>
  </si>
  <si>
    <t xml:space="preserve">Profit total  CAD</t>
  </si>
  <si>
    <t xml:space="preserve">Coût MP total</t>
  </si>
  <si>
    <t xml:space="preserve">Total msi livrés</t>
  </si>
  <si>
    <t xml:space="preserve">Coût total échantillons</t>
  </si>
  <si>
    <t xml:space="preserve">Sum of Qté livrée (msi)</t>
  </si>
  <si>
    <t xml:space="preserve">#NAME?</t>
  </si>
  <si>
    <t xml:space="preserve">4x6</t>
  </si>
  <si>
    <t xml:space="preserve">Total Result</t>
  </si>
  <si>
    <t xml:space="preserve">LE-2024061-1</t>
  </si>
  <si>
    <t xml:space="preserve">Err:509</t>
  </si>
  <si>
    <t xml:space="preserve">JINDA</t>
  </si>
  <si>
    <t xml:space="preserve">ETSU</t>
  </si>
  <si>
    <t xml:space="preserve">SANS DIGI</t>
  </si>
  <si>
    <t xml:space="preserve">matiière</t>
  </si>
  <si>
    <t xml:space="preserve">LE-2024120-1</t>
  </si>
  <si>
    <t xml:space="preserve">LE-2024120-2</t>
  </si>
  <si>
    <t xml:space="preserve">LE-2024120-3</t>
  </si>
  <si>
    <t xml:space="preserve">LE-2024121-1</t>
  </si>
  <si>
    <t xml:space="preserve">LE-2024122-1</t>
  </si>
  <si>
    <t xml:space="preserve">LE-2024132-1</t>
  </si>
  <si>
    <t xml:space="preserve">S</t>
  </si>
  <si>
    <t xml:space="preserve">LE-2024144-1</t>
  </si>
  <si>
    <t xml:space="preserve">matière</t>
  </si>
  <si>
    <t xml:space="preserve">LE-2024268</t>
  </si>
  <si>
    <t xml:space="preserve">LE-2024269</t>
  </si>
  <si>
    <t xml:space="preserve">LE-2024270</t>
  </si>
  <si>
    <t xml:space="preserve">LE-2024271</t>
  </si>
  <si>
    <t xml:space="preserve">LE-2024272</t>
  </si>
  <si>
    <t xml:space="preserve">LE-2024273</t>
  </si>
  <si>
    <t xml:space="preserve">LE-2024274</t>
  </si>
  <si>
    <t xml:space="preserve">LE-2024275</t>
  </si>
  <si>
    <t xml:space="preserve">LE-2024276</t>
  </si>
  <si>
    <t xml:space="preserve">LE-2024277</t>
  </si>
  <si>
    <t xml:space="preserve">LE-2024278</t>
  </si>
  <si>
    <t xml:space="preserve">LE-2024279</t>
  </si>
  <si>
    <t xml:space="preserve">LE-2024280</t>
  </si>
  <si>
    <t xml:space="preserve">LE-2024281</t>
  </si>
  <si>
    <t xml:space="preserve">LE-2024282</t>
  </si>
  <si>
    <t xml:space="preserve">LE-2024283</t>
  </si>
  <si>
    <t xml:space="preserve">LE-2024284</t>
  </si>
  <si>
    <t xml:space="preserve">LE-2024285</t>
  </si>
  <si>
    <t xml:space="preserve">LE-2024286</t>
  </si>
  <si>
    <t xml:space="preserve">LE-2024287</t>
  </si>
  <si>
    <t xml:space="preserve">LE-2024288</t>
  </si>
  <si>
    <t xml:space="preserve">LE-2024289</t>
  </si>
  <si>
    <t xml:space="preserve">LE-2024290</t>
  </si>
  <si>
    <t xml:space="preserve">LE-2024291</t>
  </si>
  <si>
    <t xml:space="preserve">LE-2024292</t>
  </si>
  <si>
    <t xml:space="preserve">LE-2024293</t>
  </si>
  <si>
    <t xml:space="preserve">LE-2024294</t>
  </si>
  <si>
    <t xml:space="preserve">LE-2024295</t>
  </si>
  <si>
    <t xml:space="preserve">LE-2024296</t>
  </si>
  <si>
    <t xml:space="preserve">LE-2024297</t>
  </si>
  <si>
    <t xml:space="preserve">LE-2024298</t>
  </si>
  <si>
    <t xml:space="preserve">LE-2024299</t>
  </si>
  <si>
    <t xml:space="preserve">LE-2024300</t>
  </si>
  <si>
    <t xml:space="preserve">LE-2024301</t>
  </si>
  <si>
    <t xml:space="preserve">LE-2024302</t>
  </si>
  <si>
    <t xml:space="preserve">Description des codes de matières premières</t>
  </si>
  <si>
    <t xml:space="preserve">Explication des codes de matières premières</t>
  </si>
  <si>
    <t xml:space="preserve">Code</t>
  </si>
  <si>
    <t xml:space="preserve">Adhésif</t>
  </si>
  <si>
    <t xml:space="preserve">Spec</t>
  </si>
  <si>
    <t xml:space="preserve">Première lettre : Facestock</t>
  </si>
  <si>
    <t xml:space="preserve">1er chiffre: détail
 facestock et/ou liner</t>
  </si>
  <si>
    <t xml:space="preserve">2e chiffre - Adhésif</t>
  </si>
  <si>
    <t xml:space="preserve">3e chiffre (après le tiret) - Fournisseur</t>
  </si>
  <si>
    <t xml:space="preserve">TC Direct Thermal for Scale labels - With Heat Resistance</t>
  </si>
  <si>
    <t xml:space="preserve">Permanent Hotmelt</t>
  </si>
  <si>
    <t xml:space="preserve">Glassine</t>
  </si>
  <si>
    <t xml:space="preserve">Hansol</t>
  </si>
  <si>
    <t xml:space="preserve">D</t>
  </si>
  <si>
    <t xml:space="preserve">Direct Thermal</t>
  </si>
  <si>
    <t xml:space="preserve">DT Scale Label</t>
  </si>
  <si>
    <t xml:space="preserve">Hotmelt Permanent</t>
  </si>
  <si>
    <t xml:space="preserve">DT shipping</t>
  </si>
  <si>
    <t xml:space="preserve">Hotmelt Freezer</t>
  </si>
  <si>
    <t xml:space="preserve">Estukou</t>
  </si>
  <si>
    <t xml:space="preserve">Etsuku</t>
  </si>
  <si>
    <t xml:space="preserve">N</t>
  </si>
  <si>
    <t xml:space="preserve">NTC Direct Thermal</t>
  </si>
  <si>
    <t xml:space="preserve">5 ou 6</t>
  </si>
  <si>
    <t xml:space="preserve">Acrylic Permanent</t>
  </si>
  <si>
    <t xml:space="preserve">D17-2</t>
  </si>
  <si>
    <t xml:space="preserve">Acrylic All-Temp</t>
  </si>
  <si>
    <t xml:space="preserve">T</t>
  </si>
  <si>
    <t xml:space="preserve">Thermal Transfer</t>
  </si>
  <si>
    <t xml:space="preserve">TT shipping</t>
  </si>
  <si>
    <t xml:space="preserve">Fuzhou</t>
  </si>
  <si>
    <t xml:space="preserve">Semi-Gloss</t>
  </si>
  <si>
    <t xml:space="preserve">SG std</t>
  </si>
  <si>
    <t xml:space="preserve">Cosmo</t>
  </si>
  <si>
    <t xml:space="preserve">D12-1</t>
  </si>
  <si>
    <t xml:space="preserve">Freezer Hotmelt</t>
  </si>
  <si>
    <t xml:space="preserve">SG NEW</t>
  </si>
  <si>
    <t xml:space="preserve">Youhua</t>
  </si>
  <si>
    <t xml:space="preserve">Permanent Acrylic</t>
  </si>
  <si>
    <t xml:space="preserve">Liner PET</t>
  </si>
  <si>
    <t xml:space="preserve">D17-1</t>
  </si>
  <si>
    <t xml:space="preserve">All-Temp Acrylic</t>
  </si>
  <si>
    <t xml:space="preserve">B</t>
  </si>
  <si>
    <t xml:space="preserve">BOPP</t>
  </si>
  <si>
    <t xml:space="preserve">PP clear</t>
  </si>
  <si>
    <t xml:space="preserve">PP white</t>
  </si>
  <si>
    <t xml:space="preserve">TC Direct Thermal for Shipping labels</t>
  </si>
  <si>
    <t xml:space="preserve">I</t>
  </si>
  <si>
    <t xml:space="preserve">Inket Paper</t>
  </si>
  <si>
    <t xml:space="preserve">D21-2</t>
  </si>
  <si>
    <t xml:space="preserve">N123-1</t>
  </si>
  <si>
    <t xml:space="preserve">P</t>
  </si>
  <si>
    <t xml:space="preserve">Paper General</t>
  </si>
  <si>
    <t xml:space="preserve">Film General (no liner)</t>
  </si>
  <si>
    <t xml:space="preserve">DF45</t>
  </si>
  <si>
    <t xml:space="preserve">Direct Thermal Film</t>
  </si>
  <si>
    <t xml:space="preserve">Thermal Transfer for Shipping labels</t>
  </si>
  <si>
    <t xml:space="preserve">Hotmelt</t>
  </si>
  <si>
    <t xml:space="preserve">T15-2</t>
  </si>
  <si>
    <t xml:space="preserve">G411-1</t>
  </si>
  <si>
    <t xml:space="preserve">T15-3</t>
  </si>
  <si>
    <t xml:space="preserve">0410131</t>
  </si>
  <si>
    <t xml:space="preserve">Semi-Gloss Std</t>
  </si>
  <si>
    <t xml:space="preserve">S11-2</t>
  </si>
  <si>
    <t xml:space="preserve">S12</t>
  </si>
  <si>
    <t xml:space="preserve">Semi-gloss Enhanced NEW</t>
  </si>
  <si>
    <t xml:space="preserve">PET Liner</t>
  </si>
  <si>
    <t xml:space="preserve">Semi-gloss TDS on PET Liner</t>
  </si>
  <si>
    <t xml:space="preserve">Acrylic</t>
  </si>
  <si>
    <t xml:space="preserve">Clear PP 50</t>
  </si>
  <si>
    <t xml:space="preserve">B55</t>
  </si>
  <si>
    <t xml:space="preserve">White PP 60</t>
  </si>
  <si>
    <t xml:space="preserve">B65</t>
  </si>
  <si>
    <t xml:space="preserve">F15-4</t>
  </si>
  <si>
    <t xml:space="preserve">85um PE</t>
  </si>
  <si>
    <t xml:space="preserve">Clear BOPP 95 microns</t>
  </si>
  <si>
    <t xml:space="preserve">N/A</t>
  </si>
  <si>
    <t xml:space="preserve">95 C1031</t>
  </si>
  <si>
    <t xml:space="preserve">White BOPP 95 microns</t>
  </si>
  <si>
    <t xml:space="preserve">95 C1001</t>
  </si>
  <si>
    <t xml:space="preserve">Clear PETG 50 microns</t>
  </si>
  <si>
    <t xml:space="preserve">White PET C2S – 190 microns</t>
  </si>
  <si>
    <t xml:space="preserve">Ken</t>
  </si>
  <si>
    <t xml:space="preserve">White PET C2S – 140 microns</t>
  </si>
  <si>
    <t xml:space="preserve">White PET C2S – 110 microns</t>
  </si>
  <si>
    <t xml:space="preserve">Film General</t>
  </si>
  <si>
    <t xml:space="preserve">1er chiffre (matériel DT)</t>
  </si>
  <si>
    <t xml:space="preserve">1er chiffre (matériel SG)</t>
  </si>
  <si>
    <t xml:space="preserve">1er chiffre (film)</t>
  </si>
  <si>
    <t xml:space="preserve">Cosmo Films</t>
  </si>
  <si>
    <t xml:space="preserve">Product List</t>
  </si>
  <si>
    <t xml:space="preserve">Code </t>
  </si>
  <si>
    <t xml:space="preserve">Desciption</t>
  </si>
  <si>
    <t xml:space="preserve">Adhesive</t>
  </si>
  <si>
    <t xml:space="preserve">Direct Thermal - Supermarket labels</t>
  </si>
  <si>
    <t xml:space="preserve">Direct Thermal - Shipping labels</t>
  </si>
  <si>
    <t xml:space="preserve">Semi-Gloss </t>
  </si>
  <si>
    <t xml:space="preserve">PET</t>
  </si>
  <si>
    <t xml:space="preserve">Clear BOPP - 50microns</t>
  </si>
  <si>
    <t xml:space="preserve">White BOPP - 60 microns</t>
  </si>
  <si>
    <t xml:space="preserve">Code Couleur - Matière première</t>
  </si>
  <si>
    <t xml:space="preserve">Direct Thermal - Supermarket</t>
  </si>
  <si>
    <t xml:space="preserve">Vert foncé</t>
  </si>
  <si>
    <t xml:space="preserve">Direct Thermal - Shipping</t>
  </si>
  <si>
    <t xml:space="preserve">Rouge</t>
  </si>
  <si>
    <t xml:space="preserve">Jaune</t>
  </si>
  <si>
    <t xml:space="preserve">Mauve</t>
  </si>
  <si>
    <t xml:space="preserve">Semi-Gloss STD 
(Remplacé par S21)</t>
  </si>
  <si>
    <t xml:space="preserve">Orange</t>
  </si>
  <si>
    <t xml:space="preserve">Semi-Gloss STD </t>
  </si>
  <si>
    <t xml:space="preserve">carré mauve</t>
  </si>
  <si>
    <t xml:space="preserve">Semi-Gloss NEW</t>
  </si>
  <si>
    <t xml:space="preserve">Bleu</t>
  </si>
  <si>
    <t xml:space="preserve">Semi-Gloss STD</t>
  </si>
  <si>
    <t xml:space="preserve">Bleu poudre</t>
  </si>
  <si>
    <t xml:space="preserve">Rose pâle</t>
  </si>
  <si>
    <t xml:space="preserve">Vert pâle</t>
  </si>
  <si>
    <t xml:space="preserve">Rose foncé</t>
  </si>
  <si>
    <t xml:space="preserve">BON DE PRODUCTION</t>
  </si>
  <si>
    <t xml:space="preserve"># Bon de travail</t>
  </si>
  <si>
    <t xml:space="preserve">Inventaire à utiliser / commentaires</t>
  </si>
  <si>
    <t xml:space="preserve">Code client</t>
  </si>
  <si>
    <t xml:space="preserve">Qté Requise</t>
  </si>
  <si>
    <t xml:space="preserve">Qté Stock</t>
  </si>
  <si>
    <t xml:space="preserve">Tubes</t>
  </si>
  <si>
    <t xml:space="preserve">Quantité</t>
  </si>
  <si>
    <t xml:space="preserve">tubes</t>
  </si>
  <si>
    <t xml:space="preserve">Qté à produire</t>
  </si>
  <si>
    <t xml:space="preserve">Nb de Master nécessaire</t>
  </si>
  <si>
    <t xml:space="preserve">Master
#</t>
  </si>
  <si>
    <t xml:space="preserve">Master Roll ID</t>
  </si>
  <si>
    <t xml:space="preserve">Unwind Tension</t>
  </si>
  <si>
    <t xml:space="preserve">Rewind shaft Type</t>
  </si>
  <si>
    <t xml:space="preserve">Rewind A Width</t>
  </si>
  <si>
    <t xml:space="preserve">Rewind A Tension</t>
  </si>
  <si>
    <t xml:space="preserve">Rewind A Tension TAP</t>
  </si>
  <si>
    <t xml:space="preserve">Rewind A Pressure</t>
  </si>
  <si>
    <t xml:space="preserve">Rewind A Pressure TAP</t>
  </si>
  <si>
    <t xml:space="preserve">Rewind B Width</t>
  </si>
  <si>
    <t xml:space="preserve">Rewind B Tension</t>
  </si>
  <si>
    <t xml:space="preserve">Rewind B Tension TAP</t>
  </si>
  <si>
    <t xml:space="preserve">Rewind B Pressure</t>
  </si>
  <si>
    <t xml:space="preserve">Rewind B Pressure TAP</t>
  </si>
  <si>
    <t xml:space="preserve">Étiquettes</t>
  </si>
  <si>
    <t xml:space="preserve">Inventaire</t>
  </si>
  <si>
    <t xml:space="preserve">Scan</t>
  </si>
  <si>
    <t xml:space="preserve">Production</t>
  </si>
  <si>
    <t xml:space="preserve">Master #</t>
  </si>
  <si>
    <t xml:space="preserve">Palette #</t>
  </si>
  <si>
    <t xml:space="preserve">Roul #</t>
  </si>
</sst>
</file>

<file path=xl/styles.xml><?xml version="1.0" encoding="utf-8"?>
<styleSheet xmlns="http://schemas.openxmlformats.org/spreadsheetml/2006/main">
  <numFmts count="32">
    <numFmt numFmtId="164" formatCode="General"/>
    <numFmt numFmtId="165" formatCode="0%"/>
    <numFmt numFmtId="166" formatCode="@"/>
    <numFmt numFmtId="167" formatCode="0.000%"/>
    <numFmt numFmtId="168" formatCode="_ * #,##0.00_)_ ;_ * \(#,##0.00\)_ ;_ * \-??_)_ ;_ @_ "/>
    <numFmt numFmtId="169" formatCode="_ * #,##0.0000_)_ ;_ * \(#,##0.0000\)_ ;_ * \-??_)_ ;_ @_ "/>
    <numFmt numFmtId="170" formatCode="0.0000"/>
    <numFmt numFmtId="171" formatCode="0.00000"/>
    <numFmt numFmtId="172" formatCode="dd/mm/yyyy"/>
    <numFmt numFmtId="173" formatCode="0.0%"/>
    <numFmt numFmtId="174" formatCode="General"/>
    <numFmt numFmtId="175" formatCode="_ * #,##0.00_)\ _$_ ;_ * \(#,##0.00&quot;) &quot;_$_ ;_ * \-??_)\ _$_ ;_ @_ "/>
    <numFmt numFmtId="176" formatCode="_ * #,##0.000_)_ ;_ * \(#,##0.000\)_ ;_ * \-??_)_ ;_ @_ "/>
    <numFmt numFmtId="177" formatCode="_ * #,##0_)_ ;_ * \(#,##0\)_ ;_ * \-??_)_ ;_ @_ "/>
    <numFmt numFmtId="178" formatCode="_ * #,##0.0_)_ ;_ * \(#,##0.0\)_ ;_ * \-??_)_ ;_ @_ "/>
    <numFmt numFmtId="179" formatCode="[$-F800]dddd&quot;, &quot;mmmm\ dd&quot;, &quot;yyyy"/>
    <numFmt numFmtId="180" formatCode="[$-409]mmmm\ d&quot;, &quot;yyyy;@"/>
    <numFmt numFmtId="181" formatCode="yyyy/mm/dd;@"/>
    <numFmt numFmtId="182" formatCode="#,##0"/>
    <numFmt numFmtId="183" formatCode="_ * #,##0.00_)&quot; $&quot;_ ;_ * \(#,##0.00&quot;) $&quot;_ ;_ * \-??_)&quot; $&quot;_ ;_ @_ "/>
    <numFmt numFmtId="184" formatCode="_([$$-409]* #,##0.000_);_([$$-409]* \(#,##0.000\);_([$$-409]* \-??_);_(@_)"/>
    <numFmt numFmtId="185" formatCode="_([$$-409]* #,##0.00_);_([$$-409]* \(#,##0.00\);_([$$-409]* \-??_);_(@_)"/>
    <numFmt numFmtId="186" formatCode="0"/>
    <numFmt numFmtId="187" formatCode="0.00"/>
    <numFmt numFmtId="188" formatCode="[$-C0C]d\ mmm\ yyyy;@"/>
    <numFmt numFmtId="189" formatCode="[$-40C]d\ mmmm\ yyyy;@"/>
    <numFmt numFmtId="190" formatCode="[$-40C]d/mmm/yyyy;@"/>
    <numFmt numFmtId="191" formatCode="mmm/yy"/>
    <numFmt numFmtId="192" formatCode="0.0"/>
    <numFmt numFmtId="193" formatCode="_ * #,##0.0000_)&quot; $&quot;_ ;_ * \(#,##0.0000&quot;) $&quot;_ ;_ * \-??_)&quot; $&quot;_ ;_ @_ "/>
    <numFmt numFmtId="194" formatCode="_ * #,##0_)&quot; $&quot;_ ;_ * \(#,##0&quot;) $&quot;_ ;_ * \-??_)&quot; $&quot;_ ;_ @_ "/>
    <numFmt numFmtId="195" formatCode="&quot;TRUE&quot;;&quot;TRUE&quot;;&quot;FALSE&quot;"/>
  </numFmts>
  <fonts count="30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b val="true"/>
      <sz val="11"/>
      <color theme="0" tint="-0.05"/>
      <name val="Aptos Narrow"/>
      <family val="2"/>
      <charset val="1"/>
    </font>
    <font>
      <u val="single"/>
      <sz val="11"/>
      <color theme="10"/>
      <name val="Aptos Narrow"/>
      <family val="2"/>
      <charset val="1"/>
    </font>
    <font>
      <sz val="11"/>
      <color theme="1"/>
      <name val="Calibri"/>
      <family val="2"/>
      <charset val="1"/>
    </font>
    <font>
      <sz val="11"/>
      <color rgb="FF231F20"/>
      <name val="Arial"/>
      <family val="2"/>
      <charset val="1"/>
    </font>
    <font>
      <strike val="true"/>
      <sz val="11"/>
      <color theme="1"/>
      <name val="Aptos Narrow"/>
      <family val="2"/>
      <charset val="1"/>
    </font>
    <font>
      <strike val="true"/>
      <u val="single"/>
      <sz val="11"/>
      <color theme="10"/>
      <name val="Aptos Narrow"/>
      <family val="2"/>
      <charset val="1"/>
    </font>
    <font>
      <sz val="11"/>
      <name val="Aptos Narrow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0"/>
      <name val="Aptos Narrow"/>
      <family val="2"/>
      <charset val="1"/>
    </font>
    <font>
      <b val="true"/>
      <sz val="13"/>
      <color theme="1"/>
      <name val="Aptos Narrow"/>
      <family val="2"/>
      <charset val="1"/>
    </font>
    <font>
      <sz val="12"/>
      <color theme="1"/>
      <name val="Aptos Narrow"/>
      <family val="2"/>
      <charset val="1"/>
    </font>
    <font>
      <b val="true"/>
      <sz val="14"/>
      <color theme="1"/>
      <name val="Aptos Narrow"/>
      <family val="2"/>
      <charset val="1"/>
    </font>
    <font>
      <b val="true"/>
      <sz val="12"/>
      <color theme="1"/>
      <name val="Aptos Narrow"/>
      <family val="2"/>
      <charset val="1"/>
    </font>
    <font>
      <u val="single"/>
      <sz val="12"/>
      <color rgb="FF0000FF"/>
      <name val="Aptos Narrow"/>
      <family val="2"/>
      <charset val="1"/>
    </font>
    <font>
      <sz val="10"/>
      <color theme="1"/>
      <name val="Aptos Narrow"/>
      <family val="2"/>
      <charset val="1"/>
    </font>
    <font>
      <sz val="9"/>
      <color theme="1"/>
      <name val="Aptos Narrow"/>
      <family val="2"/>
      <charset val="1"/>
    </font>
    <font>
      <sz val="11"/>
      <color theme="0"/>
      <name val="Aptos Narrow"/>
      <family val="0"/>
    </font>
    <font>
      <sz val="9"/>
      <color rgb="FF000000"/>
      <name val="Tahoma"/>
      <family val="0"/>
      <charset val="1"/>
    </font>
    <font>
      <sz val="14"/>
      <color theme="1"/>
      <name val="Aptos Narrow"/>
      <family val="2"/>
      <charset val="1"/>
    </font>
    <font>
      <b val="true"/>
      <sz val="16"/>
      <color theme="1"/>
      <name val="Aptos Narrow"/>
      <family val="2"/>
      <charset val="1"/>
    </font>
    <font>
      <sz val="16"/>
      <color theme="1"/>
      <name val="Aptos Narrow"/>
      <family val="2"/>
      <charset val="1"/>
    </font>
    <font>
      <sz val="8"/>
      <color theme="1"/>
      <name val="Aptos Narrow"/>
      <family val="2"/>
      <charset val="1"/>
    </font>
    <font>
      <b val="true"/>
      <sz val="10"/>
      <color theme="1"/>
      <name val="Aptos Narrow"/>
      <family val="2"/>
      <charset val="1"/>
    </font>
  </fonts>
  <fills count="20">
    <fill>
      <patternFill patternType="none"/>
    </fill>
    <fill>
      <patternFill patternType="gray125"/>
    </fill>
    <fill>
      <patternFill patternType="solid">
        <fgColor theme="4" tint="-0.25"/>
        <bgColor rgb="FF156082"/>
      </patternFill>
    </fill>
    <fill>
      <patternFill patternType="solid">
        <fgColor theme="0" tint="-0.35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9" tint="0.7999"/>
        <bgColor rgb="FFC6EFCE"/>
      </patternFill>
    </fill>
    <fill>
      <patternFill patternType="solid">
        <fgColor theme="0" tint="-0.15"/>
        <bgColor rgb="FFD1D1D1"/>
      </patternFill>
    </fill>
    <fill>
      <patternFill patternType="solid">
        <fgColor theme="3" tint="0.8999"/>
        <bgColor rgb="FFE8E8E8"/>
      </patternFill>
    </fill>
    <fill>
      <patternFill patternType="solid">
        <fgColor theme="1" tint="0.0499"/>
        <bgColor rgb="FF000000"/>
      </patternFill>
    </fill>
    <fill>
      <patternFill patternType="solid">
        <fgColor theme="0" tint="-0.25"/>
        <bgColor rgb="FFD1D1D1"/>
      </patternFill>
    </fill>
    <fill>
      <patternFill patternType="solid">
        <fgColor theme="2"/>
        <bgColor rgb="FFDCEAF7"/>
      </patternFill>
    </fill>
    <fill>
      <patternFill patternType="solid">
        <fgColor theme="1"/>
        <bgColor rgb="FF0D0D0D"/>
      </patternFill>
    </fill>
    <fill>
      <patternFill patternType="solid">
        <fgColor theme="4"/>
        <bgColor rgb="FF104862"/>
      </patternFill>
    </fill>
    <fill>
      <patternFill patternType="solid">
        <fgColor theme="5" tint="-0.25"/>
        <bgColor rgb="FFFF6600"/>
      </patternFill>
    </fill>
    <fill>
      <patternFill patternType="solid">
        <fgColor theme="0" tint="-0.05"/>
        <bgColor rgb="FFE8E8E8"/>
      </patternFill>
    </fill>
    <fill>
      <patternFill patternType="solid">
        <fgColor theme="5" tint="0.7999"/>
        <bgColor rgb="FFE8E8E8"/>
      </patternFill>
    </fill>
    <fill>
      <patternFill patternType="solid">
        <fgColor theme="4" tint="0.7999"/>
        <bgColor rgb="FFC6EFCE"/>
      </patternFill>
    </fill>
    <fill>
      <patternFill patternType="solid">
        <fgColor theme="3"/>
        <bgColor rgb="FF231F20"/>
      </patternFill>
    </fill>
    <fill>
      <patternFill patternType="solid">
        <fgColor theme="2" tint="-0.1"/>
        <bgColor rgb="FFD9D9D9"/>
      </patternFill>
    </fill>
    <fill>
      <patternFill patternType="solid">
        <fgColor theme="0"/>
        <bgColor rgb="FFF2F2F2"/>
      </patternFill>
    </fill>
  </fills>
  <borders count="59">
    <border diagonalUp="false" diagonalDown="false">
      <left/>
      <right/>
      <top/>
      <bottom/>
      <diagonal/>
    </border>
    <border diagonalUp="false" diagonalDown="false">
      <left style="thin">
        <color theme="4" tint="0.3999"/>
      </left>
      <right/>
      <top style="thin">
        <color theme="4" tint="0.3999"/>
      </top>
      <bottom/>
      <diagonal/>
    </border>
    <border diagonalUp="false" diagonalDown="false">
      <left/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thin">
        <color theme="4" tint="0.3999"/>
      </left>
      <right/>
      <top/>
      <bottom/>
      <diagonal/>
    </border>
    <border diagonalUp="false" diagonalDown="false">
      <left/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0" tint="-0.25"/>
      </left>
      <right style="thin">
        <color theme="0" tint="-0.25"/>
      </right>
      <top style="thin">
        <color theme="0" tint="-0.25"/>
      </top>
      <bottom style="thin">
        <color theme="0" tint="-0.25"/>
      </bottom>
      <diagonal/>
    </border>
    <border diagonalUp="false" diagonalDown="false">
      <left style="thin">
        <color theme="0" tint="-0.25"/>
      </left>
      <right style="thin">
        <color theme="0" tint="-0.25"/>
      </right>
      <top style="thin">
        <color theme="0" tint="-0.25"/>
      </top>
      <bottom/>
      <diagonal/>
    </border>
    <border diagonalUp="false" diagonalDown="false">
      <left style="thin">
        <color theme="0" tint="-0.25"/>
      </left>
      <right style="thin">
        <color theme="0" tint="-0.25"/>
      </right>
      <top/>
      <bottom style="thin">
        <color theme="0" tint="-0.25"/>
      </bottom>
      <diagonal/>
    </border>
    <border diagonalUp="false" diagonalDown="false">
      <left style="thin">
        <color theme="0" tint="-0.25"/>
      </left>
      <right/>
      <top style="thin">
        <color theme="0" tint="-0.25"/>
      </top>
      <bottom style="thin">
        <color theme="0" tint="-0.25"/>
      </bottom>
      <diagonal/>
    </border>
    <border diagonalUp="false" diagonalDown="false">
      <left/>
      <right/>
      <top style="thin">
        <color theme="0" tint="-0.25"/>
      </top>
      <bottom style="thin">
        <color theme="0" tint="-0.25"/>
      </bottom>
      <diagonal/>
    </border>
    <border diagonalUp="false" diagonalDown="false">
      <left/>
      <right style="thin">
        <color theme="0" tint="-0.25"/>
      </right>
      <top style="thin">
        <color theme="0" tint="-0.25"/>
      </top>
      <bottom style="thin">
        <color theme="0" tint="-0.25"/>
      </bottom>
      <diagonal/>
    </border>
    <border diagonalUp="false" diagonalDown="false">
      <left style="thin">
        <color theme="0" tint="-0.25"/>
      </left>
      <right/>
      <top style="thin">
        <color theme="0" tint="-0.25"/>
      </top>
      <bottom/>
      <diagonal/>
    </border>
    <border diagonalUp="false" diagonalDown="false">
      <left/>
      <right/>
      <top style="thin">
        <color theme="0" tint="-0.25"/>
      </top>
      <bottom/>
      <diagonal/>
    </border>
    <border diagonalUp="false" diagonalDown="false">
      <left/>
      <right style="thin">
        <color theme="0" tint="-0.25"/>
      </right>
      <top style="thin">
        <color theme="0" tint="-0.25"/>
      </top>
      <bottom/>
      <diagonal/>
    </border>
    <border diagonalUp="false" diagonalDown="false">
      <left style="thin">
        <color theme="0" tint="-0.15"/>
      </left>
      <right/>
      <top style="thin">
        <color theme="0" tint="-0.15"/>
      </top>
      <bottom/>
      <diagonal/>
    </border>
    <border diagonalUp="false" diagonalDown="false">
      <left/>
      <right/>
      <top style="thin">
        <color theme="0" tint="-0.15"/>
      </top>
      <bottom/>
      <diagonal/>
    </border>
    <border diagonalUp="false" diagonalDown="false">
      <left/>
      <right style="thin">
        <color theme="0" tint="-0.15"/>
      </right>
      <top style="thin">
        <color theme="0" tint="-0.15"/>
      </top>
      <bottom/>
      <diagonal/>
    </border>
    <border diagonalUp="false" diagonalDown="false">
      <left style="thin">
        <color theme="0" tint="-0.15"/>
      </left>
      <right/>
      <top/>
      <bottom/>
      <diagonal/>
    </border>
    <border diagonalUp="false" diagonalDown="false">
      <left/>
      <right style="thin">
        <color theme="0" tint="-0.15"/>
      </right>
      <top/>
      <bottom/>
      <diagonal/>
    </border>
    <border diagonalUp="false" diagonalDown="false">
      <left style="thin">
        <color theme="0" tint="-0.15"/>
      </left>
      <right/>
      <top/>
      <bottom style="thin">
        <color theme="0" tint="-0.15"/>
      </bottom>
      <diagonal/>
    </border>
    <border diagonalUp="false" diagonalDown="false">
      <left/>
      <right/>
      <top/>
      <bottom style="thin">
        <color theme="0" tint="-0.15"/>
      </bottom>
      <diagonal/>
    </border>
    <border diagonalUp="false" diagonalDown="false">
      <left/>
      <right style="thin">
        <color theme="0" tint="-0.15"/>
      </right>
      <top/>
      <bottom style="thin">
        <color theme="0" tint="-0.15"/>
      </bottom>
      <diagonal/>
    </border>
    <border diagonalUp="false" diagonalDown="false">
      <left style="thin">
        <color theme="0" tint="-0.25"/>
      </left>
      <right/>
      <top/>
      <bottom style="thin">
        <color theme="0" tint="-0.25"/>
      </bottom>
      <diagonal/>
    </border>
    <border diagonalUp="false" diagonalDown="false">
      <left/>
      <right/>
      <top/>
      <bottom style="thin">
        <color theme="0" tint="-0.25"/>
      </bottom>
      <diagonal/>
    </border>
    <border diagonalUp="false" diagonalDown="false">
      <left/>
      <right style="thin">
        <color theme="0" tint="-0.25"/>
      </right>
      <top/>
      <bottom style="thin">
        <color theme="0" tint="-0.2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 style="thin"/>
      <bottom style="thin"/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83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7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2" borderId="2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5" fillId="2" borderId="2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5" fillId="2" borderId="2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9" fillId="0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9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4" fillId="8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4" fillId="8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0" fillId="9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0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1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1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9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0" fillId="1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8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6" fontId="4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7" fontId="4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8" fontId="4" fillId="11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4" fillId="11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8" fontId="4" fillId="11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8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1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7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6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5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5" fillId="8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5" fillId="12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15" fillId="12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5" fillId="13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0" fillId="14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6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6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14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6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2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2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14" borderId="2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0" fillId="0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16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74" fontId="16" fillId="14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true">
      <alignment horizontal="left" vertical="bottom" textRotation="0" wrapText="false" indent="0" shrinkToFit="true"/>
      <protection locked="false" hidden="false"/>
    </xf>
    <xf numFmtId="164" fontId="17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19" fillId="0" borderId="0" xfId="0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64" fontId="1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0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0" fontId="19" fillId="0" borderId="0" xfId="0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74" fontId="4" fillId="14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4" fontId="4" fillId="0" borderId="0" xfId="0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tru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4" fontId="0" fillId="0" borderId="0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true"/>
      <protection locked="true" hidden="false"/>
    </xf>
    <xf numFmtId="174" fontId="4" fillId="14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4" fillId="14" borderId="0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4" fontId="0" fillId="0" borderId="0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81" fontId="0" fillId="0" borderId="0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74" fontId="4" fillId="14" borderId="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4" fillId="14" borderId="6" xfId="0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74" fontId="4" fillId="14" borderId="6" xfId="0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74" fontId="0" fillId="0" borderId="7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74" fontId="0" fillId="0" borderId="7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82" fontId="0" fillId="0" borderId="7" xfId="15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4" fontId="0" fillId="0" borderId="7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5" fontId="0" fillId="0" borderId="6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8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0" fillId="0" borderId="8" xfId="0" applyFont="false" applyBorder="true" applyAlignment="true" applyProtection="true">
      <alignment horizontal="center" vertical="top" textRotation="0" wrapText="false" indent="0" shrinkToFit="true"/>
      <protection locked="true" hidden="false"/>
    </xf>
    <xf numFmtId="174" fontId="0" fillId="0" borderId="8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86" fontId="0" fillId="0" borderId="7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85" fontId="0" fillId="0" borderId="7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0" fillId="0" borderId="9" xfId="0" applyFont="false" applyBorder="true" applyAlignment="true" applyProtection="true">
      <alignment horizontal="center" vertical="top" textRotation="0" wrapText="false" indent="0" shrinkToFit="true"/>
      <protection locked="true" hidden="false"/>
    </xf>
    <xf numFmtId="164" fontId="0" fillId="0" borderId="10" xfId="0" applyFont="false" applyBorder="true" applyAlignment="true" applyProtection="true">
      <alignment horizontal="center" vertical="top" textRotation="0" wrapText="false" indent="0" shrinkToFit="true"/>
      <protection locked="true" hidden="false"/>
    </xf>
    <xf numFmtId="164" fontId="0" fillId="0" borderId="10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86" fontId="0" fillId="0" borderId="10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64" fontId="0" fillId="0" borderId="10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84" fontId="0" fillId="0" borderId="10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5" fontId="0" fillId="0" borderId="10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85" fontId="0" fillId="0" borderId="11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82" fontId="0" fillId="0" borderId="6" xfId="15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6" fontId="0" fillId="0" borderId="6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74" fontId="0" fillId="0" borderId="6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85" fontId="0" fillId="0" borderId="6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1" fillId="0" borderId="0" xfId="0" applyFont="true" applyBorder="true" applyAlignment="true" applyProtection="true">
      <alignment horizontal="left" vertical="top" textRotation="0" wrapText="false" indent="0" shrinkToFit="true"/>
      <protection locked="true" hidden="false"/>
    </xf>
    <xf numFmtId="186" fontId="0" fillId="0" borderId="0" xfId="0" applyFont="false" applyBorder="false" applyAlignment="true" applyProtection="true">
      <alignment horizontal="left" vertical="bottom" textRotation="0" wrapText="false" indent="0" shrinkToFit="true"/>
      <protection locked="true" hidden="false"/>
    </xf>
    <xf numFmtId="186" fontId="0" fillId="0" borderId="0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true"/>
      <protection locked="true" hidden="false"/>
    </xf>
    <xf numFmtId="170" fontId="0" fillId="0" borderId="0" xfId="15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87" fontId="0" fillId="0" borderId="0" xfId="15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74" fontId="4" fillId="14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1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4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" fillId="14" borderId="1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5" fontId="4" fillId="14" borderId="14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2" fontId="2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5" fontId="0" fillId="0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5" fontId="0" fillId="0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0" borderId="1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1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22" fillId="0" borderId="0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5" fontId="0" fillId="0" borderId="19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1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22" fillId="0" borderId="21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5" fontId="0" fillId="0" borderId="22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14" borderId="2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2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" fillId="14" borderId="24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5" fontId="4" fillId="14" borderId="25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8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11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4" fillId="5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88" fontId="4" fillId="5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4" fillId="5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90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88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90" fontId="9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7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1" fontId="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26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89" fontId="0" fillId="0" borderId="26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74" fontId="0" fillId="0" borderId="26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3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4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4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11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8" fontId="4" fillId="5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" fillId="5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93" fontId="15" fillId="17" borderId="26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3" fontId="15" fillId="17" borderId="26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3" fontId="15" fillId="17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94" fontId="15" fillId="17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27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15" fillId="17" borderId="0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1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8" fontId="0" fillId="0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10" borderId="26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7" fontId="0" fillId="0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3" fontId="0" fillId="1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1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10" borderId="2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0" fillId="10" borderId="26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1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2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3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4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5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6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7" xfId="22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74" fontId="0" fillId="0" borderId="38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39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4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7" xfId="22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1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22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74" fontId="0" fillId="0" borderId="42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33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34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3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4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10" borderId="26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45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4" fontId="4" fillId="0" borderId="4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4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4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44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1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8" fontId="9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3" fontId="9" fillId="1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9" fillId="10" borderId="26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0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9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4" fillId="0" borderId="5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0" fillId="4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8" fontId="0" fillId="10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4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4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4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18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18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8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18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18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6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6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6" borderId="3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6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8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6" borderId="55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5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3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5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6" borderId="57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5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38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38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5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6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3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8" fillId="0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8" fillId="0" borderId="2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0" borderId="2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7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9" fontId="0" fillId="0" borderId="33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8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7" fillId="0" borderId="26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6" fillId="0" borderId="0" xfId="0" applyFont="true" applyBorder="false" applyAlignment="true" applyProtection="true">
      <alignment horizontal="right" vertical="top" textRotation="0" wrapText="false" indent="0" shrinkToFit="false"/>
      <protection locked="true" hidden="false"/>
    </xf>
    <xf numFmtId="164" fontId="4" fillId="0" borderId="5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4" fontId="0" fillId="0" borderId="5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89" fontId="0" fillId="0" borderId="5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0" borderId="26" xfId="0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74" fontId="0" fillId="0" borderId="5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4" fontId="0" fillId="0" borderId="58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4" fontId="0" fillId="0" borderId="58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5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5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6" fontId="0" fillId="0" borderId="58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86" fontId="0" fillId="0" borderId="5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2" fillId="0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2" fillId="0" borderId="26" xfId="0" applyFont="true" applyBorder="true" applyAlignment="true" applyProtection="true">
      <alignment horizontal="center" vertical="bottom" textRotation="0" wrapText="true" indent="0" shrinkToFit="true"/>
      <protection locked="true" hidden="false"/>
    </xf>
    <xf numFmtId="164" fontId="22" fillId="11" borderId="2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8" fillId="0" borderId="2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8" fillId="11" borderId="2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8" fillId="11" borderId="51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8" fillId="19" borderId="2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true"/>
      <protection locked="true" hidden="false"/>
    </xf>
    <xf numFmtId="164" fontId="28" fillId="0" borderId="0" xfId="0" applyFont="true" applyBorder="true" applyAlignment="true" applyProtection="true">
      <alignment horizontal="right" vertical="bottom" textRotation="0" wrapText="true" indent="0" shrinkToFit="true"/>
      <protection locked="true" hidden="false"/>
    </xf>
    <xf numFmtId="164" fontId="4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ercent 2" xfId="21"/>
    <cellStyle name="Pivot Table Category" xfId="22"/>
    <cellStyle name="Pivot Table Corner" xfId="23"/>
    <cellStyle name="Pivot Table Field" xfId="24"/>
    <cellStyle name="Pivot Table Result" xfId="25"/>
    <cellStyle name="Pivot Table Title" xfId="26"/>
    <cellStyle name="Pivot Table Value" xfId="27"/>
    <cellStyle name="*unknown*" xfId="20" builtinId="8"/>
  </cellStyles>
  <dxfs count="34">
    <dxf>
      <fill>
        <patternFill patternType="solid">
          <fgColor rgb="FF104862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2F2F2"/>
          <bgColor rgb="FF000000"/>
        </patternFill>
      </fill>
    </dxf>
    <dxf>
      <fill>
        <patternFill patternType="solid">
          <fgColor rgb="FF231F2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467886"/>
          <bgColor rgb="FF000000"/>
        </patternFill>
      </fill>
    </dxf>
    <dxf>
      <fill>
        <patternFill patternType="solid">
          <fgColor rgb="FFA6A6A6"/>
          <bgColor rgb="FF000000"/>
        </patternFill>
      </fill>
    </dxf>
    <dxf>
      <fill>
        <patternFill patternType="solid">
          <fgColor rgb="FFD9F2D0"/>
          <bgColor rgb="FF000000"/>
        </patternFill>
      </fill>
    </dxf>
    <dxf>
      <fill>
        <patternFill patternType="solid">
          <fgColor rgb="FFBFBFBF"/>
          <bgColor rgb="FF000000"/>
        </patternFill>
      </fill>
    </dxf>
    <dxf>
      <fill>
        <patternFill patternType="solid">
          <fgColor rgb="FFDCEAF7"/>
          <bgColor rgb="FF000000"/>
        </patternFill>
      </fill>
    </dxf>
    <dxf>
      <fill>
        <patternFill patternType="solid">
          <fgColor rgb="FF0D0D0D"/>
          <bgColor rgb="FF000000"/>
        </patternFill>
      </fill>
    </dxf>
    <dxf>
      <fill>
        <patternFill patternType="solid">
          <fgColor rgb="FFE8E8E8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>
          <bgColor rgb="FFFFC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56082"/>
          <bgColor rgb="FF000000"/>
        </patternFill>
      </fill>
    </dxf>
    <dxf>
      <fill>
        <patternFill patternType="solid">
          <fgColor rgb="FFC04F15"/>
          <bgColor rgb="FF000000"/>
        </patternFill>
      </fill>
    </dxf>
    <dxf>
      <fill>
        <patternFill patternType="solid">
          <fgColor rgb="FFFBE3D6"/>
          <bgColor rgb="FF000000"/>
        </patternFill>
      </fill>
    </dxf>
    <dxf>
      <fill>
        <patternFill patternType="solid">
          <fgColor rgb="FFC1E5F5"/>
          <bgColor rgb="FF000000"/>
        </patternFill>
      </fill>
    </dxf>
    <dxf>
      <fill>
        <patternFill patternType="solid">
          <fgColor rgb="FFC6EF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006100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D1D1D1"/>
          <bgColor rgb="FF000000"/>
        </patternFill>
      </fill>
    </dxf>
    <dxf>
      <fill>
        <patternFill patternType="solid">
          <fgColor rgb="FFF2CFEE"/>
          <bgColor rgb="FF000000"/>
        </patternFill>
      </fill>
    </dxf>
    <dxf>
      <fill>
        <patternFill patternType="solid">
          <fgColor rgb="FF0E2841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"/>
        </patternFill>
      </fill>
    </dxf>
    <dxf>
      <fill>
        <patternFill>
          <bgColor theme="8" tint="0.7999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156082"/>
      <rgbColor rgb="FFBFBFBF"/>
      <rgbColor rgb="FF808080"/>
      <rgbColor rgb="FFE8E8E8"/>
      <rgbColor rgb="FF993366"/>
      <rgbColor rgb="FFF2F2F2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FCE"/>
      <rgbColor rgb="FFD9F2D0"/>
      <rgbColor rgb="FFFBE3D6"/>
      <rgbColor rgb="FFC1E5F5"/>
      <rgbColor rgb="FFF2CFEE"/>
      <rgbColor rgb="FFD9D9D9"/>
      <rgbColor rgb="FFFFC7CE"/>
      <rgbColor rgb="FF3366FF"/>
      <rgbColor rgb="FF46B1E1"/>
      <rgbColor rgb="FF99CC00"/>
      <rgbColor rgb="FFFFC000"/>
      <rgbColor rgb="FFFF9900"/>
      <rgbColor rgb="FFFF6600"/>
      <rgbColor rgb="FF467886"/>
      <rgbColor rgb="FFA6A6A6"/>
      <rgbColor rgb="FF0E2841"/>
      <rgbColor rgb="FF339966"/>
      <rgbColor rgb="FF0D0D0D"/>
      <rgbColor rgb="FF333300"/>
      <rgbColor rgb="FFC04F15"/>
      <rgbColor rgb="FF993366"/>
      <rgbColor rgb="FF104862"/>
      <rgbColor rgb="FF231F20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worksheet" Target="worksheets/sheet10.xml"/><Relationship Id="rId18" Type="http://schemas.openxmlformats.org/officeDocument/2006/relationships/pivotCacheDefinition" Target="pivotCache/pivotCacheDefinition1.xml"/><Relationship Id="rId3" Type="http://schemas.openxmlformats.org/officeDocument/2006/relationships/styles" Target="styles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4.xml"/><Relationship Id="rId12" Type="http://schemas.openxmlformats.org/officeDocument/2006/relationships/worksheet" Target="worksheets/sheet9.xml"/><Relationship Id="rId17" Type="http://schemas.openxmlformats.org/officeDocument/2006/relationships/sharedStrings" Target="sharedStrings.xml"/><Relationship Id="rId2" Type="http://schemas.openxmlformats.org/officeDocument/2006/relationships/theme" Target="theme/theme1.xml"/><Relationship Id="rId16" Type="http://schemas.openxmlformats.org/officeDocument/2006/relationships/worksheet" Target="worksheets/sheet13.xml"/><Relationship Id="rId20" Type="http://schemas.openxmlformats.org/officeDocument/2006/relationships/pivotCacheDefinition" Target="pivotCache/pivotCacheDefinition3.xml"/><Relationship Id="rId1" Type="http://schemas.microsoft.com/office/2006/relationships/vbaProject" Target="vbaProject.bin"/><Relationship Id="rId6" Type="http://schemas.openxmlformats.org/officeDocument/2006/relationships/worksheet" Target="worksheets/sheet3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2.xml"/><Relationship Id="rId15" Type="http://schemas.openxmlformats.org/officeDocument/2006/relationships/worksheet" Target="worksheets/sheet12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7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schemas.openxmlformats.org/officeDocument/2006/relationships/worksheet" Target="worksheets/sheet11.xml"/><Relationship Id="rId22" Type="http://schemas.openxmlformats.org/officeDocument/2006/relationships/customXml" Target="../customXml/item5.xml"/>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179640</xdr:colOff>
      <xdr:row>3</xdr:row>
      <xdr:rowOff>87120</xdr:rowOff>
    </xdr:from>
    <xdr:to>
      <xdr:col>12</xdr:col>
      <xdr:colOff>133560</xdr:colOff>
      <xdr:row>5</xdr:row>
      <xdr:rowOff>118080</xdr:rowOff>
    </xdr:to>
    <xdr:pic>
      <xdr:nvPicPr>
        <xdr:cNvPr id="0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394920" y="630000"/>
          <a:ext cx="2322000" cy="42156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39</xdr:col>
      <xdr:colOff>162000</xdr:colOff>
      <xdr:row>5</xdr:row>
      <xdr:rowOff>209520</xdr:rowOff>
    </xdr:from>
    <xdr:to>
      <xdr:col>41</xdr:col>
      <xdr:colOff>161280</xdr:colOff>
      <xdr:row>7</xdr:row>
      <xdr:rowOff>65880</xdr:rowOff>
    </xdr:to>
    <xdr:sp>
      <xdr:nvSpPr>
        <xdr:cNvPr id="1" name="Flowchart: Alternate Process 2"/>
        <xdr:cNvSpPr/>
      </xdr:nvSpPr>
      <xdr:spPr>
        <a:xfrm>
          <a:off x="9449640" y="1143000"/>
          <a:ext cx="1578960" cy="370800"/>
        </a:xfrm>
        <a:prstGeom prst="flowChartAlternateProcess">
          <a:avLst/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CREER PDF</a:t>
          </a:r>
          <a:endParaRPr b="0" lang="en-CA" sz="1100" spc="-1" strike="noStrike">
            <a:latin typeface="Times New Roman"/>
          </a:endParaRPr>
        </a:p>
      </xdr:txBody>
    </xdr:sp>
    <xdr:clientData/>
  </xdr:twoCellAnchor>
  <xdr:twoCellAnchor editAs="twoCell">
    <xdr:from>
      <xdr:col>39</xdr:col>
      <xdr:colOff>162000</xdr:colOff>
      <xdr:row>9</xdr:row>
      <xdr:rowOff>58320</xdr:rowOff>
    </xdr:from>
    <xdr:to>
      <xdr:col>41</xdr:col>
      <xdr:colOff>199440</xdr:colOff>
      <xdr:row>13</xdr:row>
      <xdr:rowOff>96120</xdr:rowOff>
    </xdr:to>
    <xdr:sp>
      <xdr:nvSpPr>
        <xdr:cNvPr id="2" name="Rectangle: Rounded Corners 3"/>
        <xdr:cNvSpPr/>
      </xdr:nvSpPr>
      <xdr:spPr>
        <a:xfrm>
          <a:off x="9449640" y="1923840"/>
          <a:ext cx="1617120" cy="685440"/>
        </a:xfrm>
        <a:prstGeom prst="roundRect">
          <a:avLst>
            <a:gd name="adj" fmla="val 16667"/>
          </a:avLst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CREER PDF &amp; COURRIEL</a:t>
          </a:r>
          <a:endParaRPr b="0" lang="en-CA" sz="1100" spc="-1" strike="noStrike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3</xdr:col>
      <xdr:colOff>314280</xdr:colOff>
      <xdr:row>3</xdr:row>
      <xdr:rowOff>28440</xdr:rowOff>
    </xdr:from>
    <xdr:to>
      <xdr:col>6</xdr:col>
      <xdr:colOff>494640</xdr:colOff>
      <xdr:row>5</xdr:row>
      <xdr:rowOff>18360</xdr:rowOff>
    </xdr:to>
    <xdr:sp>
      <xdr:nvSpPr>
        <xdr:cNvPr id="3" name="Rectangle: Rounded Corners 1"/>
        <xdr:cNvSpPr/>
      </xdr:nvSpPr>
      <xdr:spPr>
        <a:xfrm>
          <a:off x="5992920" y="571320"/>
          <a:ext cx="2243520" cy="352080"/>
        </a:xfrm>
        <a:prstGeom prst="roundRect">
          <a:avLst>
            <a:gd name="adj" fmla="val 16667"/>
          </a:avLst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CRÉER BON DE TRAVAIL</a:t>
          </a:r>
          <a:endParaRPr b="0" lang="en-CA" sz="1100" spc="-1" strike="noStrike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0</xdr:row>
      <xdr:rowOff>0</xdr:rowOff>
    </xdr:from>
    <xdr:to>
      <xdr:col>2</xdr:col>
      <xdr:colOff>2265120</xdr:colOff>
      <xdr:row>2</xdr:row>
      <xdr:rowOff>180000</xdr:rowOff>
    </xdr:to>
    <xdr:pic>
      <xdr:nvPicPr>
        <xdr:cNvPr id="4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198360" y="0"/>
          <a:ext cx="2878920" cy="5896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0</xdr:row>
      <xdr:rowOff>0</xdr:rowOff>
    </xdr:from>
    <xdr:to>
      <xdr:col>2</xdr:col>
      <xdr:colOff>1551960</xdr:colOff>
      <xdr:row>2</xdr:row>
      <xdr:rowOff>27360</xdr:rowOff>
    </xdr:to>
    <xdr:pic>
      <xdr:nvPicPr>
        <xdr:cNvPr id="5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198360" y="0"/>
          <a:ext cx="2165760" cy="437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85680</xdr:colOff>
      <xdr:row>0</xdr:row>
      <xdr:rowOff>190440</xdr:rowOff>
    </xdr:from>
    <xdr:to>
      <xdr:col>10</xdr:col>
      <xdr:colOff>128880</xdr:colOff>
      <xdr:row>1</xdr:row>
      <xdr:rowOff>399240</xdr:rowOff>
    </xdr:to>
    <xdr:pic>
      <xdr:nvPicPr>
        <xdr:cNvPr id="6" name="Picture 1" descr=""/>
        <xdr:cNvPicPr/>
      </xdr:nvPicPr>
      <xdr:blipFill>
        <a:blip r:embed="rId1"/>
        <a:stretch/>
      </xdr:blipFill>
      <xdr:spPr>
        <a:xfrm>
          <a:off x="773280" y="190440"/>
          <a:ext cx="2089440" cy="465840"/>
        </a:xfrm>
        <a:prstGeom prst="rect">
          <a:avLst/>
        </a:prstGeom>
        <a:ln w="0"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_rels/pivotCacheDefinition3.xml.rels><?xml version="1.0" encoding="UTF-8"?>
<Relationships xmlns="http://schemas.openxmlformats.org/package/2006/relationships"><Relationship Id="rId1" Type="http://schemas.openxmlformats.org/officeDocument/2006/relationships/pivotCacheRecords" Target="pivotCacheRecords3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231" createdVersion="3">
  <cacheSource type="worksheet">
    <worksheetSource ref="AK2:AQ1233" sheet="Prix revient"/>
  </cacheSource>
  <cacheFields count="7">
    <cacheField name="WO" numFmtId="0">
      <sharedItems count="1">
        <e v="#NAME?"/>
      </sharedItems>
    </cacheField>
    <cacheField name="Client" numFmtId="0">
      <sharedItems count="1">
        <e v="#NAME?"/>
      </sharedItems>
    </cacheField>
    <cacheField name="Matière" numFmtId="0">
      <sharedItems count="1">
        <e v="#NAME?"/>
      </sharedItems>
    </cacheField>
    <cacheField name="msi vendus" numFmtId="0">
      <sharedItems count="1">
        <e v="#NAME?"/>
      </sharedItems>
    </cacheField>
    <cacheField name="Coût MP" numFmtId="0">
      <sharedItems count="1">
        <e v="#NAME?"/>
      </sharedItems>
    </cacheField>
    <cacheField name="Ventes CAD" numFmtId="0">
      <sharedItems count="1">
        <e v="#NAME?"/>
      </sharedItems>
    </cacheField>
    <cacheField name="Profit CAD" numFmtId="0">
      <sharedItems count="1">
        <e v="#NAME?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259" createdVersion="3">
  <cacheSource type="worksheet">
    <worksheetSource ref="E2:M261" sheet="Prix revient"/>
  </cacheSource>
  <cacheFields count="9">
    <cacheField name="Client" numFmtId="0">
      <sharedItems containsMixedTypes="1" containsNumber="1" containsInteger="1" minValue="0" maxValue="0" count="32">
        <n v="0"/>
        <s v="3G Print Group Inc."/>
        <s v="AKO"/>
        <s v="Alpha"/>
        <s v="Amstik"/>
        <s v="Bizerba Labels Solution"/>
        <s v="Crucial Solutions LLC"/>
        <s v="Damaflex Imprimerie Multiservices"/>
        <s v="Damaflex Imprimerie Multiservices Inc."/>
        <s v="Digi America Inc."/>
        <s v="Emballages Mijo"/>
        <s v="Étiquette Nationale"/>
        <s v="Étiquettes Corsair"/>
        <s v="Étiquettes iFlex Inc."/>
        <s v="Étiquettes Luso-Flex"/>
        <s v="ÉTIQUETTES MULTI-FLEX"/>
        <s v="Étiquettes Rive-Sud"/>
        <s v="Étiquettes Rive-Sud+Unik"/>
        <s v="Gignac + Unik"/>
        <s v="Groupe Produlith Inc."/>
        <s v="Imprimerie Bas St-Laurent"/>
        <s v="Imprimerie Sélect"/>
        <s v="Imprimerie Ste-Julie"/>
        <s v="IMS"/>
        <s v="LabelEdge"/>
        <s v="LABELINK"/>
        <s v="Lelys"/>
        <s v="MCC Label"/>
        <s v="Profecta"/>
        <s v="REDEMAC"/>
        <s v="Visuascan"/>
        <e v="Err:509"/>
      </sharedItems>
    </cacheField>
    <cacheField name="Clilent LE" numFmtId="0">
      <sharedItems count="29">
        <s v="3G"/>
        <s v="AKO étiquettes"/>
        <s v="Alpha"/>
        <s v="Amstik"/>
        <s v="Bas St-Laurent"/>
        <s v="BLS"/>
        <s v="Corsair"/>
        <s v="Crucial"/>
        <s v="Damaflex"/>
        <s v="Digi"/>
        <s v="Étiquettes Rive-Sud"/>
        <s v="iFlex"/>
        <s v="Imprimerie Ste-Julie"/>
        <s v="IMS"/>
        <s v="LabelEdge"/>
        <s v="Labelink"/>
        <s v="Lelys"/>
        <s v="Luso-Flex"/>
        <s v="MCC Label"/>
        <s v="Mijo"/>
        <s v="Multi-Flex"/>
        <s v="Nationale"/>
        <s v="Produlith"/>
        <s v="Profecta"/>
        <s v="REDEMAC"/>
        <s v="Select"/>
        <s v="Unik"/>
        <s v="Visuascan"/>
        <e v="#NAME?"/>
      </sharedItems>
    </cacheField>
    <cacheField name="Commande client" numFmtId="0">
      <sharedItems containsBlank="1" containsMixedTypes="1" containsNumber="1" containsInteger="1" minValue="0" maxValue="50009084" count="87">
        <n v="0"/>
        <n v="1931"/>
        <n v="1942"/>
        <n v="1944"/>
        <n v="1954"/>
        <n v="1958"/>
        <n v="1959"/>
        <n v="1966"/>
        <n v="2842"/>
        <n v="2898"/>
        <n v="2905"/>
        <n v="2985"/>
        <n v="9869"/>
        <n v="9875"/>
        <n v="9889"/>
        <n v="9936"/>
        <n v="10025"/>
        <n v="14287"/>
        <n v="14302"/>
        <n v="14315"/>
        <n v="14339"/>
        <n v="14342"/>
        <n v="14344"/>
        <n v="31758"/>
        <n v="31970"/>
        <n v="32556"/>
        <n v="104106"/>
        <n v="104997"/>
        <n v="105111"/>
        <n v="105646"/>
        <n v="105648"/>
        <n v="105765"/>
        <n v="105799"/>
        <n v="105844"/>
        <n v="105970"/>
        <n v="106059"/>
        <n v="106205"/>
        <n v="106246"/>
        <n v="106247"/>
        <n v="106272"/>
        <n v="106618"/>
        <n v="106713"/>
        <n v="106855"/>
        <n v="106925"/>
        <n v="107001"/>
        <n v="107081"/>
        <n v="107085"/>
        <n v="179977"/>
        <n v="179984"/>
        <n v="179986"/>
        <n v="179989"/>
        <n v="281124"/>
        <n v="301024"/>
        <n v="1003018"/>
        <n v="2501687"/>
        <n v="2501688"/>
        <n v="50008700"/>
        <n v="50008739"/>
        <n v="50008774"/>
        <n v="50008821"/>
        <n v="50008822"/>
        <n v="50008916"/>
        <n v="50008960"/>
        <n v="50009018"/>
        <n v="50009083"/>
        <n v="50009084"/>
        <s v="0046"/>
        <s v="1-1-32391"/>
        <s v="179960-1"/>
        <s v="179960-2"/>
        <s v="1952+1960"/>
        <s v="440-2"/>
        <s v="4x6"/>
        <s v="CR TR 106618+106246"/>
        <s v="Échantillon D11"/>
        <s v="Échantillons"/>
        <s v="Échantillons S21, S15 et B15"/>
        <s v="Échantillons T11 et D21"/>
        <s v="email 2024-01-21 22h46"/>
        <s v="email 2024-01-22 14h39"/>
        <s v="matière"/>
        <s v="matiière"/>
        <s v="MK250122-1"/>
        <s v="Samples Cust 1"/>
        <s v="Samples Cust 2"/>
        <e v="#NAME?"/>
        <m/>
      </sharedItems>
    </cacheField>
    <cacheField name="Produit (Client)" numFmtId="0">
      <sharedItems containsMixedTypes="1" containsNumber="1" containsInteger="1" minValue="0" maxValue="40258" count="131">
        <n v="0"/>
        <n v="40024"/>
        <n v="40025"/>
        <n v="40031"/>
        <n v="40032"/>
        <n v="40033"/>
        <n v="40036"/>
        <n v="40037"/>
        <n v="40038"/>
        <n v="40039"/>
        <n v="40044"/>
        <n v="40045"/>
        <n v="40047"/>
        <n v="40048"/>
        <n v="40049"/>
        <n v="40050"/>
        <n v="40051"/>
        <n v="40052"/>
        <n v="40053"/>
        <n v="40054"/>
        <n v="40055"/>
        <n v="40056"/>
        <n v="40058"/>
        <n v="40060"/>
        <n v="40062"/>
        <n v="40063"/>
        <n v="40065"/>
        <n v="40067"/>
        <n v="40068"/>
        <n v="40069"/>
        <n v="40071"/>
        <n v="40072"/>
        <n v="40073"/>
        <n v="40074"/>
        <n v="40075"/>
        <n v="40077"/>
        <n v="40078"/>
        <n v="40080"/>
        <n v="40081"/>
        <n v="40082"/>
        <n v="40084"/>
        <n v="40086"/>
        <n v="40087"/>
        <n v="40088"/>
        <n v="40089"/>
        <n v="40090"/>
        <n v="40093"/>
        <n v="40094"/>
        <n v="40096"/>
        <n v="40098"/>
        <n v="40100"/>
        <n v="40101"/>
        <n v="40103"/>
        <n v="40104"/>
        <n v="40105"/>
        <n v="40106"/>
        <n v="40107"/>
        <n v="40108"/>
        <n v="40109"/>
        <n v="40110"/>
        <n v="40114"/>
        <n v="40117"/>
        <n v="40120"/>
        <n v="40121"/>
        <n v="40126"/>
        <n v="40127"/>
        <n v="40128"/>
        <n v="40129"/>
        <n v="40130"/>
        <n v="40132"/>
        <n v="40134"/>
        <n v="40136"/>
        <n v="40137"/>
        <n v="40139"/>
        <n v="40140"/>
        <n v="40141"/>
        <n v="40142"/>
        <n v="40144"/>
        <n v="40145"/>
        <n v="40147"/>
        <n v="40149"/>
        <n v="40150"/>
        <n v="40151"/>
        <n v="40152"/>
        <n v="40153"/>
        <n v="40154"/>
        <n v="40155"/>
        <n v="40156"/>
        <n v="40157"/>
        <n v="40160"/>
        <n v="40166"/>
        <n v="40167"/>
        <n v="40168"/>
        <n v="40169"/>
        <n v="40171"/>
        <n v="40172"/>
        <n v="40173"/>
        <n v="40176"/>
        <n v="40179"/>
        <n v="40180"/>
        <n v="40181"/>
        <n v="40183"/>
        <n v="40186"/>
        <n v="40189"/>
        <n v="40193"/>
        <n v="40195"/>
        <n v="40196"/>
        <n v="40197"/>
        <n v="40199"/>
        <n v="40202"/>
        <n v="40206"/>
        <n v="40212"/>
        <n v="40214"/>
        <n v="40217"/>
        <n v="40220"/>
        <n v="40223"/>
        <n v="40224"/>
        <n v="40227"/>
        <n v="40228"/>
        <n v="40230"/>
        <n v="40231"/>
        <n v="40234"/>
        <n v="40240"/>
        <n v="40242"/>
        <n v="40244"/>
        <n v="40245"/>
        <n v="40246"/>
        <n v="40250"/>
        <n v="40256"/>
        <n v="40258"/>
        <e v="Err:509"/>
      </sharedItems>
    </cacheField>
    <cacheField name="Matière à utiliser" numFmtId="0">
      <sharedItems containsMixedTypes="1" containsNumber="1" containsInteger="1" minValue="0" maxValue="30042" count="22">
        <n v="0"/>
        <n v="30011"/>
        <n v="30012"/>
        <n v="30013"/>
        <n v="30014"/>
        <n v="30015"/>
        <n v="30016"/>
        <n v="30017"/>
        <n v="30019"/>
        <n v="30023"/>
        <n v="30024"/>
        <n v="30025"/>
        <n v="30026"/>
        <n v="30027"/>
        <n v="30028"/>
        <n v="30029"/>
        <n v="30030"/>
        <n v="30031"/>
        <n v="30036"/>
        <n v="30039"/>
        <n v="30042"/>
        <e v="Err:509"/>
      </sharedItems>
    </cacheField>
    <cacheField name="Code LE" numFmtId="0">
      <sharedItems containsMixedTypes="1" containsNumber="1" containsInteger="1" minValue="0" maxValue="0" count="17">
        <n v="0"/>
        <s v="4x6"/>
        <s v="B15-3"/>
        <s v="B25-3"/>
        <s v="D11-1"/>
        <s v="D11-2"/>
        <s v="D11-3"/>
        <s v="D16-1"/>
        <s v="D21-1"/>
        <s v="S11-3"/>
        <s v="S15-3"/>
        <s v="S21-1"/>
        <s v="S31-1"/>
        <s v="S35-3"/>
        <s v="T11-1"/>
        <e v="#NAME?"/>
        <e v="Err:509"/>
      </sharedItems>
    </cacheField>
    <cacheField name="Qté utilisée (msi)" numFmtId="0">
      <sharedItems containsString="0" containsBlank="1" containsNumber="1" minValue="0" maxValue="68301.118512" count="132">
        <n v="0"/>
        <n v="285"/>
        <n v="378"/>
        <n v="382.5"/>
        <n v="465.75"/>
        <n v="489.6"/>
        <n v="491.4"/>
        <n v="507.6"/>
        <n v="552.9"/>
        <n v="558.9"/>
        <n v="576"/>
        <n v="612"/>
        <n v="648"/>
        <n v="670.8"/>
        <n v="860.1"/>
        <n v="878.24088"/>
        <n v="929.28"/>
        <n v="958.8"/>
        <n v="1111.104"/>
        <n v="1128"/>
        <n v="1143.12"/>
        <n v="1170"/>
        <n v="1224"/>
        <n v="1339.22"/>
        <n v="1560"/>
        <n v="1714.71"/>
        <n v="1778.708844"/>
        <n v="1876.005"/>
        <n v="2040"/>
        <n v="2087.4"/>
        <n v="2463.9"/>
        <n v="2511.14616"/>
        <n v="2636.7"/>
        <n v="2655"/>
        <n v="2695.92"/>
        <n v="2746.944"/>
        <n v="2760"/>
        <n v="2820"/>
        <n v="2976"/>
        <n v="3036.096"/>
        <n v="3252.96"/>
        <n v="3325.248"/>
        <n v="3397.54"/>
        <n v="3433.68"/>
        <n v="3469.5936"/>
        <n v="3469.824"/>
        <n v="3470"/>
        <n v="3542.112"/>
        <n v="3614.16"/>
        <n v="3614.4"/>
        <n v="3660"/>
        <n v="3758.7264"/>
        <n v="4698.72"/>
        <n v="4843.296"/>
        <n v="5008.5096"/>
        <n v="5235.472176"/>
        <n v="5310"/>
        <n v="5358"/>
        <n v="6505.488"/>
        <n v="6505.92"/>
        <n v="6795"/>
        <n v="6821.55"/>
        <n v="6856.5168"/>
        <n v="7011.4704"/>
        <n v="7011.936"/>
        <n v="7083.7536"/>
        <n v="7114.9464"/>
        <n v="7115.30784"/>
        <n v="7115.31"/>
        <n v="7116.489"/>
        <n v="7228.32"/>
        <n v="7589.013168"/>
        <n v="7638.65244"/>
        <n v="9984.384"/>
        <n v="10337.18"/>
        <n v="10387.19232"/>
        <n v="10482"/>
        <n v="10517.2056"/>
        <n v="10589.47"/>
        <n v="10620.288"/>
        <n v="10624.7475"/>
        <n v="10625.6304"/>
        <n v="10698.624"/>
        <n v="10770.912"/>
        <n v="12230.40672"/>
        <n v="13185.178512"/>
        <n v="13754.770128"/>
        <n v="13755.68352"/>
        <n v="13825.607664"/>
        <n v="13826.52576"/>
        <n v="13945.1"/>
        <n v="14013.75"/>
        <n v="14158.110384"/>
        <n v="14182.18272"/>
        <n v="14228.44704"/>
        <n v="14228.94792"/>
        <n v="14229.8928"/>
        <n v="14230.61568"/>
        <n v="14230.62"/>
        <n v="14231"/>
        <n v="14347.492368"/>
        <n v="14348.44512"/>
        <n v="14371.345824"/>
        <n v="14372.30016"/>
        <n v="14395.19928"/>
        <n v="14420.01024"/>
        <n v="14608.43472"/>
        <n v="17889.369168"/>
        <n v="20659.19"/>
        <n v="21345.92"/>
        <n v="21458.69"/>
        <n v="21925"/>
        <n v="22767.039504"/>
        <n v="22915.95732"/>
        <n v="24804.992772"/>
        <n v="28459.341504"/>
        <n v="28461.23136"/>
        <n v="28576.440288"/>
        <n v="35573.454048"/>
        <n v="42180.87168"/>
        <n v="42188.67288"/>
        <n v="42569.744976"/>
        <n v="43328.718576"/>
        <n v="43948.908432"/>
        <n v="45534.079008"/>
        <n v="49710.772224"/>
        <n v="53117.80068"/>
        <n v="56246"/>
        <n v="56251.56384"/>
        <n v="66555.479232"/>
        <n v="68301.118512"/>
        <m/>
      </sharedItems>
    </cacheField>
    <cacheField name="Stock ajout (msi)" numFmtId="0">
      <sharedItems containsString="0" containsBlank="1" containsNumber="1" minValue="0" maxValue="13950" count="102">
        <n v="0"/>
        <n v="139.2"/>
        <n v="189"/>
        <n v="191.16"/>
        <n v="204.6"/>
        <n v="225.6"/>
        <n v="263.16"/>
        <n v="285"/>
        <n v="491.4"/>
        <n v="552.9"/>
        <n v="555.552"/>
        <n v="558.9"/>
        <n v="654.72"/>
        <n v="655.5"/>
        <n v="670.8"/>
        <n v="745.68"/>
        <n v="947.7"/>
        <n v="958.8"/>
        <n v="979.2"/>
        <n v="1143.12"/>
        <n v="1170"/>
        <n v="1177.5"/>
        <n v="1318.8"/>
        <n v="1325.85"/>
        <n v="1339.2"/>
        <n v="1420.4675"/>
        <n v="1545"/>
        <n v="1714.71"/>
        <n v="1903.5"/>
        <n v="1983.744"/>
        <n v="2004.75"/>
        <n v="2087.4"/>
        <n v="2143.28928"/>
        <n v="2464"/>
        <n v="2524.01"/>
        <n v="2747"/>
        <n v="2963.6112"/>
        <n v="3019.2"/>
        <n v="3036.1"/>
        <n v="3115.788"/>
        <n v="3252.96"/>
        <n v="3356"/>
        <n v="3356.33"/>
        <n v="3397.536"/>
        <n v="3433.68"/>
        <n v="3455.68176"/>
        <n v="3469.5936"/>
        <n v="3469.824"/>
        <n v="3470"/>
        <n v="3505.968"/>
        <n v="3541.8768"/>
        <n v="3542.112"/>
        <n v="3614.16"/>
        <n v="3614.4"/>
        <n v="3758.7264"/>
        <n v="3903.552"/>
        <n v="4296"/>
        <n v="4298.688"/>
        <n v="4485"/>
        <n v="4657.95"/>
        <n v="4698.72"/>
        <n v="4843.296"/>
        <n v="4847.112"/>
        <n v="4884"/>
        <n v="5247.99"/>
        <n v="5269"/>
        <n v="5312.37375"/>
        <n v="5391.0096"/>
        <n v="6145.25"/>
        <n v="6505.488"/>
        <n v="6571.7"/>
        <n v="6580"/>
        <n v="6706.62"/>
        <n v="6795"/>
        <n v="6821.55"/>
        <n v="6831.216"/>
        <n v="6857"/>
        <n v="7011.4704"/>
        <n v="7083.7536"/>
        <n v="7228.32"/>
        <n v="7228.8"/>
        <n v="7424.5332"/>
        <n v="7797.8208"/>
        <n v="8889"/>
        <n v="9414.48"/>
        <n v="9533.3352"/>
        <n v="9984.38"/>
        <n v="10337.184"/>
        <n v="10482"/>
        <n v="10517.2056"/>
        <n v="10625.6304"/>
        <n v="10698.624"/>
        <n v="10770.91"/>
        <n v="10987.0464"/>
        <n v="11284.19712"/>
        <n v="11815.19712"/>
        <n v="12230.4"/>
        <n v="13023.00072"/>
        <n v="13482"/>
        <n v="13635"/>
        <n v="13950"/>
        <m/>
      </sharedItems>
    </cacheField>
    <cacheField name="Qté livrée (msi)" numFmtId="0">
      <sharedItems containsString="0" containsBlank="1" containsNumber="1" minValue="0" maxValue="66718.2" count="143">
        <n v="0"/>
        <n v="126.9"/>
        <n v="155.025"/>
        <n v="206.55"/>
        <n v="213.84"/>
        <n v="224.1"/>
        <n v="249.84"/>
        <n v="262.2"/>
        <n v="270.72"/>
        <n v="276"/>
        <n v="280.8"/>
        <n v="283.65"/>
        <n v="285"/>
        <n v="293.88"/>
        <n v="307.8"/>
        <n v="312"/>
        <n v="316.8"/>
        <n v="321.3"/>
        <n v="343.2"/>
        <n v="351"/>
        <n v="382.5"/>
        <n v="445"/>
        <n v="449.28"/>
        <n v="451.5"/>
        <n v="468"/>
        <n v="576"/>
        <n v="600"/>
        <n v="614.13"/>
        <n v="657.9"/>
        <n v="671"/>
        <n v="675.48"/>
        <n v="685.21"/>
        <n v="714.24"/>
        <n v="718.56"/>
        <n v="730.86"/>
        <n v="733.2"/>
        <n v="756.6"/>
        <n v="772.2"/>
        <n v="780"/>
        <n v="926.4"/>
        <n v="1005"/>
        <n v="1027.2"/>
        <n v="1076"/>
        <n v="1128"/>
        <n v="1756.8"/>
        <n v="1800"/>
        <n v="1865.7"/>
        <n v="2040"/>
        <n v="2187"/>
        <n v="2257.2"/>
        <n v="2601.0612"/>
        <n v="2695.92"/>
        <n v="2988"/>
        <n v="3117.6"/>
        <n v="3240"/>
        <n v="3261.6"/>
        <n v="3276"/>
        <n v="3295.575"/>
        <n v="3312"/>
        <n v="3327.6"/>
        <n v="3398.4"/>
        <n v="3420"/>
        <n v="3456"/>
        <n v="3463.5"/>
        <n v="3486"/>
        <n v="3492"/>
        <n v="3513.3"/>
        <n v="3516"/>
        <n v="3564"/>
        <n v="3575.88"/>
        <n v="3576"/>
        <n v="3600"/>
        <n v="3612"/>
        <n v="3616.416"/>
        <n v="3708"/>
        <n v="4536"/>
        <n v="4623.36"/>
        <n v="4933.2"/>
        <n v="5865.3"/>
        <n v="5871"/>
        <n v="6626.208"/>
        <n v="6912"/>
        <n v="6962.4"/>
        <n v="6977"/>
        <n v="6984"/>
        <n v="7007"/>
        <n v="7140"/>
        <n v="7164"/>
        <n v="7179.3"/>
        <n v="7182.79"/>
        <n v="7200"/>
        <n v="7224"/>
        <n v="7344"/>
        <n v="7380"/>
        <n v="7425.6"/>
        <n v="7480.8"/>
        <n v="7488"/>
        <n v="7522.695"/>
        <n v="7524"/>
        <n v="9135"/>
        <n v="10404"/>
        <n v="10692"/>
        <n v="10728"/>
        <n v="11715.435"/>
        <n v="13032"/>
        <n v="13615"/>
        <n v="13824"/>
        <n v="13879.29"/>
        <n v="13881.6"/>
        <n v="13932"/>
        <n v="13968"/>
        <n v="13996.8"/>
        <n v="14116.8"/>
        <n v="14122.92"/>
        <n v="14211.936"/>
        <n v="14220"/>
        <n v="14284.8"/>
        <n v="15729.378"/>
        <n v="16194"/>
        <n v="17424"/>
        <n v="18561.3"/>
        <n v="20973.6"/>
        <n v="21276"/>
        <n v="22320"/>
        <n v="22537.4397"/>
        <n v="22906.17"/>
        <n v="24383.1"/>
        <n v="27894.75"/>
        <n v="34992"/>
        <n v="35028"/>
        <n v="35298"/>
        <n v="41378.4"/>
        <n v="41817.6"/>
        <n v="41868"/>
        <n v="42768"/>
        <n v="43452"/>
        <n v="44871.6"/>
        <n v="45036"/>
        <n v="47220"/>
        <n v="48912.12"/>
        <n v="65391.75"/>
        <n v="66718.2"/>
        <m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cordCount="645" createdVersion="3">
  <cacheSource type="worksheet">
    <worksheetSource ref="BA2:BE647" sheet="Prix revient"/>
  </cacheSource>
  <cacheFields count="5">
    <cacheField name="WO" numFmtId="0">
      <sharedItems containsBlank="1" count="2">
        <e v="#NAME?"/>
        <m/>
      </sharedItems>
    </cacheField>
    <cacheField name="Client" numFmtId="0">
      <sharedItems count="1">
        <e v="#NAME?"/>
      </sharedItems>
    </cacheField>
    <cacheField name="Matière" numFmtId="0">
      <sharedItems count="1">
        <e v="#NAME?"/>
      </sharedItems>
    </cacheField>
    <cacheField name="msi vendus" numFmtId="0">
      <sharedItems count="1">
        <e v="#NAME?"/>
      </sharedItems>
    </cacheField>
    <cacheField name="Coût échantillons" numFmtId="0">
      <sharedItems containsBlank="1" count="2">
        <e v="#NAME?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31"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9">
  <r>
    <x v="5"/>
    <x v="5"/>
    <x v="86"/>
    <x v="1"/>
    <x v="1"/>
    <x v="11"/>
    <x v="131"/>
    <x v="101"/>
    <x v="142"/>
  </r>
  <r>
    <x v="5"/>
    <x v="5"/>
    <x v="86"/>
    <x v="2"/>
    <x v="1"/>
    <x v="11"/>
    <x v="131"/>
    <x v="101"/>
    <x v="142"/>
  </r>
  <r>
    <x v="25"/>
    <x v="15"/>
    <x v="86"/>
    <x v="3"/>
    <x v="1"/>
    <x v="11"/>
    <x v="131"/>
    <x v="101"/>
    <x v="142"/>
  </r>
  <r>
    <x v="9"/>
    <x v="9"/>
    <x v="86"/>
    <x v="4"/>
    <x v="3"/>
    <x v="4"/>
    <x v="128"/>
    <x v="98"/>
    <x v="133"/>
  </r>
  <r>
    <x v="5"/>
    <x v="5"/>
    <x v="86"/>
    <x v="6"/>
    <x v="4"/>
    <x v="9"/>
    <x v="87"/>
    <x v="94"/>
    <x v="40"/>
  </r>
  <r>
    <x v="5"/>
    <x v="5"/>
    <x v="86"/>
    <x v="7"/>
    <x v="5"/>
    <x v="10"/>
    <x v="89"/>
    <x v="95"/>
    <x v="40"/>
  </r>
  <r>
    <x v="24"/>
    <x v="14"/>
    <x v="86"/>
    <x v="5"/>
    <x v="3"/>
    <x v="4"/>
    <x v="75"/>
    <x v="84"/>
    <x v="0"/>
  </r>
  <r>
    <x v="24"/>
    <x v="14"/>
    <x v="86"/>
    <x v="5"/>
    <x v="3"/>
    <x v="4"/>
    <x v="131"/>
    <x v="101"/>
    <x v="142"/>
  </r>
  <r>
    <x v="25"/>
    <x v="15"/>
    <x v="86"/>
    <x v="8"/>
    <x v="5"/>
    <x v="10"/>
    <x v="56"/>
    <x v="58"/>
    <x v="38"/>
  </r>
  <r>
    <x v="16"/>
    <x v="10"/>
    <x v="86"/>
    <x v="9"/>
    <x v="2"/>
    <x v="8"/>
    <x v="67"/>
    <x v="47"/>
    <x v="72"/>
  </r>
  <r>
    <x v="19"/>
    <x v="22"/>
    <x v="86"/>
    <x v="11"/>
    <x v="7"/>
    <x v="3"/>
    <x v="66"/>
    <x v="66"/>
    <x v="45"/>
  </r>
  <r>
    <x v="19"/>
    <x v="22"/>
    <x v="86"/>
    <x v="11"/>
    <x v="7"/>
    <x v="3"/>
    <x v="66"/>
    <x v="66"/>
    <x v="45"/>
  </r>
  <r>
    <x v="16"/>
    <x v="10"/>
    <x v="86"/>
    <x v="10"/>
    <x v="7"/>
    <x v="3"/>
    <x v="80"/>
    <x v="74"/>
    <x v="73"/>
  </r>
  <r>
    <x v="9"/>
    <x v="9"/>
    <x v="86"/>
    <x v="4"/>
    <x v="3"/>
    <x v="4"/>
    <x v="120"/>
    <x v="72"/>
    <x v="130"/>
  </r>
  <r>
    <x v="16"/>
    <x v="10"/>
    <x v="86"/>
    <x v="9"/>
    <x v="2"/>
    <x v="8"/>
    <x v="67"/>
    <x v="0"/>
    <x v="85"/>
  </r>
  <r>
    <x v="28"/>
    <x v="23"/>
    <x v="86"/>
    <x v="12"/>
    <x v="1"/>
    <x v="11"/>
    <x v="57"/>
    <x v="56"/>
    <x v="38"/>
  </r>
  <r>
    <x v="22"/>
    <x v="12"/>
    <x v="86"/>
    <x v="13"/>
    <x v="1"/>
    <x v="11"/>
    <x v="28"/>
    <x v="22"/>
    <x v="33"/>
  </r>
  <r>
    <x v="14"/>
    <x v="17"/>
    <x v="86"/>
    <x v="14"/>
    <x v="2"/>
    <x v="8"/>
    <x v="45"/>
    <x v="34"/>
    <x v="31"/>
  </r>
  <r>
    <x v="19"/>
    <x v="22"/>
    <x v="86"/>
    <x v="15"/>
    <x v="7"/>
    <x v="3"/>
    <x v="61"/>
    <x v="63"/>
    <x v="45"/>
  </r>
  <r>
    <x v="9"/>
    <x v="9"/>
    <x v="86"/>
    <x v="5"/>
    <x v="3"/>
    <x v="4"/>
    <x v="127"/>
    <x v="83"/>
    <x v="138"/>
  </r>
  <r>
    <x v="19"/>
    <x v="22"/>
    <x v="86"/>
    <x v="16"/>
    <x v="6"/>
    <x v="2"/>
    <x v="93"/>
    <x v="96"/>
    <x v="45"/>
  </r>
  <r>
    <x v="22"/>
    <x v="12"/>
    <x v="86"/>
    <x v="17"/>
    <x v="5"/>
    <x v="10"/>
    <x v="33"/>
    <x v="27"/>
    <x v="34"/>
  </r>
  <r>
    <x v="22"/>
    <x v="12"/>
    <x v="86"/>
    <x v="18"/>
    <x v="7"/>
    <x v="3"/>
    <x v="50"/>
    <x v="33"/>
    <x v="29"/>
  </r>
  <r>
    <x v="9"/>
    <x v="9"/>
    <x v="86"/>
    <x v="5"/>
    <x v="3"/>
    <x v="4"/>
    <x v="119"/>
    <x v="71"/>
    <x v="128"/>
  </r>
  <r>
    <x v="14"/>
    <x v="17"/>
    <x v="86"/>
    <x v="20"/>
    <x v="2"/>
    <x v="8"/>
    <x v="67"/>
    <x v="101"/>
    <x v="84"/>
  </r>
  <r>
    <x v="16"/>
    <x v="10"/>
    <x v="86"/>
    <x v="22"/>
    <x v="2"/>
    <x v="8"/>
    <x v="96"/>
    <x v="76"/>
    <x v="90"/>
  </r>
  <r>
    <x v="22"/>
    <x v="12"/>
    <x v="86"/>
    <x v="13"/>
    <x v="1"/>
    <x v="11"/>
    <x v="69"/>
    <x v="42"/>
    <x v="71"/>
  </r>
  <r>
    <x v="14"/>
    <x v="17"/>
    <x v="86"/>
    <x v="23"/>
    <x v="2"/>
    <x v="8"/>
    <x v="116"/>
    <x v="0"/>
    <x v="127"/>
  </r>
  <r>
    <x v="14"/>
    <x v="17"/>
    <x v="86"/>
    <x v="21"/>
    <x v="2"/>
    <x v="8"/>
    <x v="69"/>
    <x v="41"/>
    <x v="71"/>
  </r>
  <r>
    <x v="9"/>
    <x v="9"/>
    <x v="86"/>
    <x v="19"/>
    <x v="3"/>
    <x v="4"/>
    <x v="0"/>
    <x v="0"/>
    <x v="142"/>
  </r>
  <r>
    <x v="19"/>
    <x v="22"/>
    <x v="86"/>
    <x v="24"/>
    <x v="7"/>
    <x v="3"/>
    <x v="30"/>
    <x v="0"/>
    <x v="48"/>
  </r>
  <r>
    <x v="22"/>
    <x v="12"/>
    <x v="86"/>
    <x v="27"/>
    <x v="5"/>
    <x v="10"/>
    <x v="59"/>
    <x v="35"/>
    <x v="71"/>
  </r>
  <r>
    <x v="19"/>
    <x v="22"/>
    <x v="86"/>
    <x v="16"/>
    <x v="6"/>
    <x v="2"/>
    <x v="84"/>
    <x v="87"/>
    <x v="45"/>
  </r>
  <r>
    <x v="15"/>
    <x v="20"/>
    <x v="86"/>
    <x v="25"/>
    <x v="7"/>
    <x v="3"/>
    <x v="22"/>
    <x v="0"/>
    <x v="39"/>
  </r>
  <r>
    <x v="15"/>
    <x v="20"/>
    <x v="86"/>
    <x v="26"/>
    <x v="1"/>
    <x v="11"/>
    <x v="38"/>
    <x v="18"/>
    <x v="41"/>
  </r>
  <r>
    <x v="30"/>
    <x v="27"/>
    <x v="86"/>
    <x v="28"/>
    <x v="2"/>
    <x v="8"/>
    <x v="27"/>
    <x v="19"/>
    <x v="30"/>
  </r>
  <r>
    <x v="22"/>
    <x v="12"/>
    <x v="86"/>
    <x v="29"/>
    <x v="1"/>
    <x v="11"/>
    <x v="67"/>
    <x v="43"/>
    <x v="71"/>
  </r>
  <r>
    <x v="22"/>
    <x v="12"/>
    <x v="86"/>
    <x v="27"/>
    <x v="5"/>
    <x v="10"/>
    <x v="96"/>
    <x v="88"/>
    <x v="71"/>
  </r>
  <r>
    <x v="14"/>
    <x v="17"/>
    <x v="86"/>
    <x v="30"/>
    <x v="2"/>
    <x v="8"/>
    <x v="12"/>
    <x v="0"/>
    <x v="21"/>
  </r>
  <r>
    <x v="28"/>
    <x v="23"/>
    <x v="86"/>
    <x v="31"/>
    <x v="7"/>
    <x v="3"/>
    <x v="101"/>
    <x v="99"/>
    <x v="26"/>
  </r>
  <r>
    <x v="14"/>
    <x v="17"/>
    <x v="86"/>
    <x v="32"/>
    <x v="7"/>
    <x v="3"/>
    <x v="101"/>
    <x v="100"/>
    <x v="12"/>
  </r>
  <r>
    <x v="12"/>
    <x v="6"/>
    <x v="86"/>
    <x v="33"/>
    <x v="2"/>
    <x v="8"/>
    <x v="20"/>
    <x v="14"/>
    <x v="23"/>
  </r>
  <r>
    <x v="15"/>
    <x v="20"/>
    <x v="86"/>
    <x v="34"/>
    <x v="5"/>
    <x v="10"/>
    <x v="35"/>
    <x v="20"/>
    <x v="42"/>
  </r>
  <r>
    <x v="9"/>
    <x v="9"/>
    <x v="86"/>
    <x v="19"/>
    <x v="3"/>
    <x v="4"/>
    <x v="131"/>
    <x v="0"/>
    <x v="142"/>
  </r>
  <r>
    <x v="14"/>
    <x v="17"/>
    <x v="86"/>
    <x v="23"/>
    <x v="2"/>
    <x v="8"/>
    <x v="67"/>
    <x v="0"/>
    <x v="84"/>
  </r>
  <r>
    <x v="22"/>
    <x v="12"/>
    <x v="86"/>
    <x v="13"/>
    <x v="1"/>
    <x v="11"/>
    <x v="67"/>
    <x v="0"/>
    <x v="83"/>
  </r>
  <r>
    <x v="10"/>
    <x v="19"/>
    <x v="86"/>
    <x v="35"/>
    <x v="5"/>
    <x v="10"/>
    <x v="21"/>
    <x v="8"/>
    <x v="28"/>
  </r>
  <r>
    <x v="10"/>
    <x v="19"/>
    <x v="86"/>
    <x v="36"/>
    <x v="7"/>
    <x v="3"/>
    <x v="36"/>
    <x v="31"/>
    <x v="27"/>
  </r>
  <r>
    <x v="9"/>
    <x v="9"/>
    <x v="86"/>
    <x v="5"/>
    <x v="3"/>
    <x v="4"/>
    <x v="111"/>
    <x v="65"/>
    <x v="118"/>
  </r>
  <r>
    <x v="14"/>
    <x v="17"/>
    <x v="86"/>
    <x v="23"/>
    <x v="2"/>
    <x v="8"/>
    <x v="99"/>
    <x v="0"/>
    <x v="105"/>
  </r>
  <r>
    <x v="14"/>
    <x v="17"/>
    <x v="86"/>
    <x v="37"/>
    <x v="7"/>
    <x v="3"/>
    <x v="78"/>
    <x v="40"/>
    <x v="89"/>
  </r>
  <r>
    <x v="22"/>
    <x v="12"/>
    <x v="86"/>
    <x v="38"/>
    <x v="1"/>
    <x v="11"/>
    <x v="68"/>
    <x v="48"/>
    <x v="65"/>
  </r>
  <r>
    <x v="22"/>
    <x v="12"/>
    <x v="86"/>
    <x v="39"/>
    <x v="1"/>
    <x v="11"/>
    <x v="46"/>
    <x v="0"/>
    <x v="59"/>
  </r>
  <r>
    <x v="22"/>
    <x v="12"/>
    <x v="86"/>
    <x v="27"/>
    <x v="5"/>
    <x v="10"/>
    <x v="76"/>
    <x v="73"/>
    <x v="71"/>
  </r>
  <r>
    <x v="22"/>
    <x v="12"/>
    <x v="86"/>
    <x v="40"/>
    <x v="7"/>
    <x v="3"/>
    <x v="29"/>
    <x v="24"/>
    <x v="32"/>
  </r>
  <r>
    <x v="14"/>
    <x v="17"/>
    <x v="86"/>
    <x v="23"/>
    <x v="2"/>
    <x v="8"/>
    <x v="109"/>
    <x v="101"/>
    <x v="121"/>
  </r>
  <r>
    <x v="13"/>
    <x v="11"/>
    <x v="86"/>
    <x v="41"/>
    <x v="1"/>
    <x v="11"/>
    <x v="68"/>
    <x v="68"/>
    <x v="38"/>
  </r>
  <r>
    <x v="13"/>
    <x v="11"/>
    <x v="86"/>
    <x v="42"/>
    <x v="7"/>
    <x v="3"/>
    <x v="23"/>
    <x v="9"/>
    <x v="36"/>
  </r>
  <r>
    <x v="22"/>
    <x v="12"/>
    <x v="86"/>
    <x v="43"/>
    <x v="1"/>
    <x v="11"/>
    <x v="42"/>
    <x v="0"/>
    <x v="56"/>
  </r>
  <r>
    <x v="19"/>
    <x v="22"/>
    <x v="86"/>
    <x v="44"/>
    <x v="7"/>
    <x v="3"/>
    <x v="40"/>
    <x v="0"/>
    <x v="53"/>
  </r>
  <r>
    <x v="30"/>
    <x v="27"/>
    <x v="86"/>
    <x v="45"/>
    <x v="2"/>
    <x v="8"/>
    <x v="68"/>
    <x v="0"/>
    <x v="81"/>
  </r>
  <r>
    <x v="3"/>
    <x v="2"/>
    <x v="81"/>
    <x v="46"/>
    <x v="2"/>
    <x v="8"/>
    <x v="62"/>
    <x v="0"/>
    <x v="80"/>
  </r>
  <r>
    <x v="15"/>
    <x v="20"/>
    <x v="86"/>
    <x v="47"/>
    <x v="5"/>
    <x v="10"/>
    <x v="60"/>
    <x v="38"/>
    <x v="71"/>
  </r>
  <r>
    <x v="15"/>
    <x v="20"/>
    <x v="86"/>
    <x v="48"/>
    <x v="7"/>
    <x v="3"/>
    <x v="90"/>
    <x v="70"/>
    <x v="90"/>
  </r>
  <r>
    <x v="14"/>
    <x v="17"/>
    <x v="86"/>
    <x v="49"/>
    <x v="7"/>
    <x v="3"/>
    <x v="108"/>
    <x v="60"/>
    <x v="117"/>
  </r>
  <r>
    <x v="14"/>
    <x v="17"/>
    <x v="86"/>
    <x v="50"/>
    <x v="2"/>
    <x v="8"/>
    <x v="98"/>
    <x v="0"/>
    <x v="107"/>
  </r>
  <r>
    <x v="16"/>
    <x v="10"/>
    <x v="86"/>
    <x v="51"/>
    <x v="7"/>
    <x v="3"/>
    <x v="52"/>
    <x v="0"/>
    <x v="76"/>
  </r>
  <r>
    <x v="9"/>
    <x v="9"/>
    <x v="86"/>
    <x v="52"/>
    <x v="8"/>
    <x v="7"/>
    <x v="118"/>
    <x v="101"/>
    <x v="129"/>
  </r>
  <r>
    <x v="4"/>
    <x v="3"/>
    <x v="86"/>
    <x v="53"/>
    <x v="2"/>
    <x v="8"/>
    <x v="13"/>
    <x v="4"/>
    <x v="11"/>
  </r>
  <r>
    <x v="14"/>
    <x v="17"/>
    <x v="86"/>
    <x v="54"/>
    <x v="9"/>
    <x v="14"/>
    <x v="26"/>
    <x v="25"/>
    <x v="17"/>
  </r>
  <r>
    <x v="30"/>
    <x v="27"/>
    <x v="86"/>
    <x v="54"/>
    <x v="9"/>
    <x v="14"/>
    <x v="26"/>
    <x v="25"/>
    <x v="17"/>
  </r>
  <r>
    <x v="12"/>
    <x v="6"/>
    <x v="86"/>
    <x v="54"/>
    <x v="9"/>
    <x v="14"/>
    <x v="26"/>
    <x v="25"/>
    <x v="17"/>
  </r>
  <r>
    <x v="7"/>
    <x v="8"/>
    <x v="86"/>
    <x v="54"/>
    <x v="9"/>
    <x v="14"/>
    <x v="26"/>
    <x v="25"/>
    <x v="17"/>
  </r>
  <r>
    <x v="27"/>
    <x v="18"/>
    <x v="86"/>
    <x v="55"/>
    <x v="10"/>
    <x v="12"/>
    <x v="31"/>
    <x v="32"/>
    <x v="16"/>
  </r>
  <r>
    <x v="7"/>
    <x v="8"/>
    <x v="86"/>
    <x v="55"/>
    <x v="10"/>
    <x v="12"/>
    <x v="31"/>
    <x v="32"/>
    <x v="16"/>
  </r>
  <r>
    <x v="4"/>
    <x v="3"/>
    <x v="86"/>
    <x v="56"/>
    <x v="1"/>
    <x v="11"/>
    <x v="5"/>
    <x v="2"/>
    <x v="5"/>
  </r>
  <r>
    <x v="7"/>
    <x v="8"/>
    <x v="86"/>
    <x v="56"/>
    <x v="1"/>
    <x v="11"/>
    <x v="5"/>
    <x v="2"/>
    <x v="5"/>
  </r>
  <r>
    <x v="4"/>
    <x v="3"/>
    <x v="86"/>
    <x v="57"/>
    <x v="5"/>
    <x v="10"/>
    <x v="6"/>
    <x v="6"/>
    <x v="3"/>
  </r>
  <r>
    <x v="4"/>
    <x v="3"/>
    <x v="86"/>
    <x v="58"/>
    <x v="6"/>
    <x v="2"/>
    <x v="74"/>
    <x v="86"/>
    <x v="10"/>
  </r>
  <r>
    <x v="4"/>
    <x v="3"/>
    <x v="86"/>
    <x v="59"/>
    <x v="7"/>
    <x v="3"/>
    <x v="8"/>
    <x v="7"/>
    <x v="6"/>
  </r>
  <r>
    <x v="8"/>
    <x v="8"/>
    <x v="86"/>
    <x v="60"/>
    <x v="3"/>
    <x v="4"/>
    <x v="7"/>
    <x v="5"/>
    <x v="8"/>
  </r>
  <r>
    <x v="22"/>
    <x v="12"/>
    <x v="86"/>
    <x v="27"/>
    <x v="5"/>
    <x v="10"/>
    <x v="103"/>
    <x v="92"/>
    <x v="62"/>
  </r>
  <r>
    <x v="16"/>
    <x v="10"/>
    <x v="86"/>
    <x v="62"/>
    <x v="2"/>
    <x v="8"/>
    <x v="97"/>
    <x v="62"/>
    <x v="99"/>
  </r>
  <r>
    <x v="16"/>
    <x v="10"/>
    <x v="86"/>
    <x v="63"/>
    <x v="6"/>
    <x v="2"/>
    <x v="73"/>
    <x v="61"/>
    <x v="77"/>
  </r>
  <r>
    <x v="22"/>
    <x v="12"/>
    <x v="86"/>
    <x v="27"/>
    <x v="5"/>
    <x v="10"/>
    <x v="83"/>
    <x v="80"/>
    <x v="65"/>
  </r>
  <r>
    <x v="3"/>
    <x v="2"/>
    <x v="81"/>
    <x v="46"/>
    <x v="2"/>
    <x v="8"/>
    <x v="131"/>
    <x v="101"/>
    <x v="142"/>
  </r>
  <r>
    <x v="10"/>
    <x v="19"/>
    <x v="86"/>
    <x v="64"/>
    <x v="5"/>
    <x v="10"/>
    <x v="110"/>
    <x v="0"/>
    <x v="122"/>
  </r>
  <r>
    <x v="10"/>
    <x v="19"/>
    <x v="86"/>
    <x v="64"/>
    <x v="5"/>
    <x v="10"/>
    <x v="0"/>
    <x v="0"/>
    <x v="0"/>
  </r>
  <r>
    <x v="22"/>
    <x v="12"/>
    <x v="86"/>
    <x v="65"/>
    <x v="1"/>
    <x v="11"/>
    <x v="67"/>
    <x v="51"/>
    <x v="64"/>
  </r>
  <r>
    <x v="26"/>
    <x v="16"/>
    <x v="76"/>
    <x v="66"/>
    <x v="1"/>
    <x v="11"/>
    <x v="2"/>
    <x v="0"/>
    <x v="18"/>
  </r>
  <r>
    <x v="26"/>
    <x v="16"/>
    <x v="76"/>
    <x v="67"/>
    <x v="5"/>
    <x v="10"/>
    <x v="25"/>
    <x v="23"/>
    <x v="19"/>
  </r>
  <r>
    <x v="26"/>
    <x v="16"/>
    <x v="76"/>
    <x v="68"/>
    <x v="6"/>
    <x v="2"/>
    <x v="53"/>
    <x v="57"/>
    <x v="24"/>
  </r>
  <r>
    <x v="6"/>
    <x v="7"/>
    <x v="83"/>
    <x v="69"/>
    <x v="9"/>
    <x v="14"/>
    <x v="55"/>
    <x v="45"/>
    <x v="44"/>
  </r>
  <r>
    <x v="6"/>
    <x v="7"/>
    <x v="83"/>
    <x v="70"/>
    <x v="11"/>
    <x v="4"/>
    <x v="71"/>
    <x v="67"/>
    <x v="47"/>
  </r>
  <r>
    <x v="9"/>
    <x v="9"/>
    <x v="56"/>
    <x v="52"/>
    <x v="8"/>
    <x v="7"/>
    <x v="122"/>
    <x v="0"/>
    <x v="134"/>
  </r>
  <r>
    <x v="14"/>
    <x v="17"/>
    <x v="1"/>
    <x v="72"/>
    <x v="9"/>
    <x v="14"/>
    <x v="115"/>
    <x v="59"/>
    <x v="125"/>
  </r>
  <r>
    <x v="6"/>
    <x v="7"/>
    <x v="83"/>
    <x v="73"/>
    <x v="11"/>
    <x v="4"/>
    <x v="54"/>
    <x v="37"/>
    <x v="46"/>
  </r>
  <r>
    <x v="6"/>
    <x v="7"/>
    <x v="84"/>
    <x v="74"/>
    <x v="1"/>
    <x v="11"/>
    <x v="37"/>
    <x v="30"/>
    <x v="37"/>
  </r>
  <r>
    <x v="23"/>
    <x v="13"/>
    <x v="77"/>
    <x v="75"/>
    <x v="11"/>
    <x v="4"/>
    <x v="24"/>
    <x v="21"/>
    <x v="20"/>
  </r>
  <r>
    <x v="23"/>
    <x v="13"/>
    <x v="77"/>
    <x v="76"/>
    <x v="9"/>
    <x v="14"/>
    <x v="15"/>
    <x v="10"/>
    <x v="14"/>
  </r>
  <r>
    <x v="4"/>
    <x v="3"/>
    <x v="77"/>
    <x v="76"/>
    <x v="9"/>
    <x v="14"/>
    <x v="15"/>
    <x v="10"/>
    <x v="14"/>
  </r>
  <r>
    <x v="8"/>
    <x v="8"/>
    <x v="68"/>
    <x v="77"/>
    <x v="11"/>
    <x v="4"/>
    <x v="71"/>
    <x v="0"/>
    <x v="93"/>
  </r>
  <r>
    <x v="9"/>
    <x v="9"/>
    <x v="57"/>
    <x v="52"/>
    <x v="8"/>
    <x v="7"/>
    <x v="121"/>
    <x v="0"/>
    <x v="132"/>
  </r>
  <r>
    <x v="4"/>
    <x v="3"/>
    <x v="74"/>
    <x v="80"/>
    <x v="3"/>
    <x v="4"/>
    <x v="131"/>
    <x v="101"/>
    <x v="142"/>
  </r>
  <r>
    <x v="22"/>
    <x v="12"/>
    <x v="27"/>
    <x v="61"/>
    <x v="5"/>
    <x v="10"/>
    <x v="39"/>
    <x v="0"/>
    <x v="52"/>
  </r>
  <r>
    <x v="22"/>
    <x v="12"/>
    <x v="26"/>
    <x v="81"/>
    <x v="13"/>
    <x v="3"/>
    <x v="107"/>
    <x v="78"/>
    <x v="102"/>
  </r>
  <r>
    <x v="9"/>
    <x v="9"/>
    <x v="58"/>
    <x v="52"/>
    <x v="8"/>
    <x v="7"/>
    <x v="125"/>
    <x v="81"/>
    <x v="131"/>
  </r>
  <r>
    <x v="16"/>
    <x v="10"/>
    <x v="52"/>
    <x v="86"/>
    <x v="13"/>
    <x v="3"/>
    <x v="65"/>
    <x v="46"/>
    <x v="69"/>
  </r>
  <r>
    <x v="1"/>
    <x v="0"/>
    <x v="8"/>
    <x v="82"/>
    <x v="1"/>
    <x v="11"/>
    <x v="47"/>
    <x v="15"/>
    <x v="51"/>
  </r>
  <r>
    <x v="1"/>
    <x v="0"/>
    <x v="8"/>
    <x v="83"/>
    <x v="16"/>
    <x v="13"/>
    <x v="95"/>
    <x v="97"/>
    <x v="43"/>
  </r>
  <r>
    <x v="1"/>
    <x v="0"/>
    <x v="8"/>
    <x v="84"/>
    <x v="6"/>
    <x v="2"/>
    <x v="11"/>
    <x v="1"/>
    <x v="22"/>
  </r>
  <r>
    <x v="1"/>
    <x v="0"/>
    <x v="8"/>
    <x v="85"/>
    <x v="13"/>
    <x v="3"/>
    <x v="44"/>
    <x v="39"/>
    <x v="15"/>
  </r>
  <r>
    <x v="22"/>
    <x v="12"/>
    <x v="28"/>
    <x v="81"/>
    <x v="13"/>
    <x v="3"/>
    <x v="100"/>
    <x v="50"/>
    <x v="101"/>
  </r>
  <r>
    <x v="14"/>
    <x v="17"/>
    <x v="71"/>
    <x v="71"/>
    <x v="12"/>
    <x v="5"/>
    <x v="131"/>
    <x v="101"/>
    <x v="142"/>
  </r>
  <r>
    <x v="14"/>
    <x v="17"/>
    <x v="2"/>
    <x v="87"/>
    <x v="12"/>
    <x v="5"/>
    <x v="88"/>
    <x v="69"/>
    <x v="91"/>
  </r>
  <r>
    <x v="14"/>
    <x v="17"/>
    <x v="3"/>
    <x v="88"/>
    <x v="12"/>
    <x v="5"/>
    <x v="58"/>
    <x v="36"/>
    <x v="57"/>
  </r>
  <r>
    <x v="20"/>
    <x v="4"/>
    <x v="74"/>
    <x v="89"/>
    <x v="12"/>
    <x v="5"/>
    <x v="16"/>
    <x v="12"/>
    <x v="4"/>
  </r>
  <r>
    <x v="14"/>
    <x v="17"/>
    <x v="71"/>
    <x v="0"/>
    <x v="0"/>
    <x v="1"/>
    <x v="131"/>
    <x v="101"/>
    <x v="142"/>
  </r>
  <r>
    <x v="3"/>
    <x v="2"/>
    <x v="81"/>
    <x v="90"/>
    <x v="12"/>
    <x v="5"/>
    <x v="86"/>
    <x v="82"/>
    <x v="78"/>
  </r>
  <r>
    <x v="3"/>
    <x v="2"/>
    <x v="81"/>
    <x v="91"/>
    <x v="2"/>
    <x v="8"/>
    <x v="91"/>
    <x v="29"/>
    <x v="103"/>
  </r>
  <r>
    <x v="15"/>
    <x v="20"/>
    <x v="74"/>
    <x v="92"/>
    <x v="11"/>
    <x v="4"/>
    <x v="3"/>
    <x v="0"/>
    <x v="13"/>
  </r>
  <r>
    <x v="9"/>
    <x v="9"/>
    <x v="59"/>
    <x v="52"/>
    <x v="8"/>
    <x v="7"/>
    <x v="114"/>
    <x v="0"/>
    <x v="126"/>
  </r>
  <r>
    <x v="9"/>
    <x v="9"/>
    <x v="59"/>
    <x v="52"/>
    <x v="8"/>
    <x v="7"/>
    <x v="112"/>
    <x v="0"/>
    <x v="123"/>
  </r>
  <r>
    <x v="9"/>
    <x v="9"/>
    <x v="60"/>
    <x v="93"/>
    <x v="11"/>
    <x v="4"/>
    <x v="112"/>
    <x v="54"/>
    <x v="120"/>
  </r>
  <r>
    <x v="10"/>
    <x v="19"/>
    <x v="17"/>
    <x v="94"/>
    <x v="5"/>
    <x v="10"/>
    <x v="103"/>
    <x v="0"/>
    <x v="114"/>
  </r>
  <r>
    <x v="13"/>
    <x v="11"/>
    <x v="53"/>
    <x v="95"/>
    <x v="1"/>
    <x v="11"/>
    <x v="67"/>
    <x v="49"/>
    <x v="66"/>
  </r>
  <r>
    <x v="22"/>
    <x v="12"/>
    <x v="29"/>
    <x v="13"/>
    <x v="1"/>
    <x v="11"/>
    <x v="79"/>
    <x v="0"/>
    <x v="100"/>
  </r>
  <r>
    <x v="22"/>
    <x v="12"/>
    <x v="30"/>
    <x v="61"/>
    <x v="5"/>
    <x v="10"/>
    <x v="64"/>
    <x v="44"/>
    <x v="61"/>
  </r>
  <r>
    <x v="22"/>
    <x v="12"/>
    <x v="31"/>
    <x v="61"/>
    <x v="5"/>
    <x v="10"/>
    <x v="43"/>
    <x v="0"/>
    <x v="60"/>
  </r>
  <r>
    <x v="9"/>
    <x v="9"/>
    <x v="59"/>
    <x v="52"/>
    <x v="11"/>
    <x v="4"/>
    <x v="124"/>
    <x v="0"/>
    <x v="136"/>
  </r>
  <r>
    <x v="22"/>
    <x v="12"/>
    <x v="32"/>
    <x v="61"/>
    <x v="5"/>
    <x v="10"/>
    <x v="105"/>
    <x v="91"/>
    <x v="70"/>
  </r>
  <r>
    <x v="20"/>
    <x v="4"/>
    <x v="74"/>
    <x v="97"/>
    <x v="9"/>
    <x v="14"/>
    <x v="18"/>
    <x v="17"/>
    <x v="1"/>
  </r>
  <r>
    <x v="22"/>
    <x v="12"/>
    <x v="33"/>
    <x v="61"/>
    <x v="5"/>
    <x v="10"/>
    <x v="82"/>
    <x v="53"/>
    <x v="81"/>
  </r>
  <r>
    <x v="1"/>
    <x v="0"/>
    <x v="9"/>
    <x v="98"/>
    <x v="1"/>
    <x v="11"/>
    <x v="67"/>
    <x v="0"/>
    <x v="84"/>
  </r>
  <r>
    <x v="15"/>
    <x v="20"/>
    <x v="12"/>
    <x v="99"/>
    <x v="11"/>
    <x v="4"/>
    <x v="71"/>
    <x v="64"/>
    <x v="49"/>
  </r>
  <r>
    <x v="15"/>
    <x v="20"/>
    <x v="13"/>
    <x v="48"/>
    <x v="13"/>
    <x v="3"/>
    <x v="104"/>
    <x v="0"/>
    <x v="116"/>
  </r>
  <r>
    <x v="14"/>
    <x v="17"/>
    <x v="4"/>
    <x v="101"/>
    <x v="1"/>
    <x v="11"/>
    <x v="67"/>
    <x v="44"/>
    <x v="68"/>
  </r>
  <r>
    <x v="1"/>
    <x v="0"/>
    <x v="10"/>
    <x v="102"/>
    <x v="13"/>
    <x v="3"/>
    <x v="70"/>
    <x v="0"/>
    <x v="90"/>
  </r>
  <r>
    <x v="1"/>
    <x v="0"/>
    <x v="10"/>
    <x v="103"/>
    <x v="14"/>
    <x v="2"/>
    <x v="95"/>
    <x v="0"/>
    <x v="106"/>
  </r>
  <r>
    <x v="1"/>
    <x v="0"/>
    <x v="10"/>
    <x v="103"/>
    <x v="6"/>
    <x v="2"/>
    <x v="93"/>
    <x v="75"/>
    <x v="88"/>
  </r>
  <r>
    <x v="1"/>
    <x v="0"/>
    <x v="85"/>
    <x v="0"/>
    <x v="5"/>
    <x v="10"/>
    <x v="4"/>
    <x v="0"/>
    <x v="16"/>
  </r>
  <r>
    <x v="15"/>
    <x v="20"/>
    <x v="14"/>
    <x v="104"/>
    <x v="13"/>
    <x v="3"/>
    <x v="106"/>
    <x v="79"/>
    <x v="86"/>
  </r>
  <r>
    <x v="22"/>
    <x v="12"/>
    <x v="34"/>
    <x v="40"/>
    <x v="13"/>
    <x v="3"/>
    <x v="95"/>
    <x v="89"/>
    <x v="71"/>
  </r>
  <r>
    <x v="18"/>
    <x v="26"/>
    <x v="75"/>
    <x v="105"/>
    <x v="15"/>
    <x v="6"/>
    <x v="10"/>
    <x v="0"/>
    <x v="25"/>
  </r>
  <r>
    <x v="18"/>
    <x v="26"/>
    <x v="75"/>
    <x v="106"/>
    <x v="9"/>
    <x v="14"/>
    <x v="17"/>
    <x v="13"/>
    <x v="9"/>
  </r>
  <r>
    <x v="18"/>
    <x v="26"/>
    <x v="75"/>
    <x v="107"/>
    <x v="5"/>
    <x v="10"/>
    <x v="14"/>
    <x v="11"/>
    <x v="9"/>
  </r>
  <r>
    <x v="10"/>
    <x v="19"/>
    <x v="18"/>
    <x v="94"/>
    <x v="17"/>
    <x v="10"/>
    <x v="117"/>
    <x v="93"/>
    <x v="119"/>
  </r>
  <r>
    <x v="17"/>
    <x v="10"/>
    <x v="51"/>
    <x v="108"/>
    <x v="15"/>
    <x v="6"/>
    <x v="92"/>
    <x v="85"/>
    <x v="75"/>
  </r>
  <r>
    <x v="11"/>
    <x v="21"/>
    <x v="85"/>
    <x v="0"/>
    <x v="1"/>
    <x v="11"/>
    <x v="34"/>
    <x v="28"/>
    <x v="35"/>
  </r>
  <r>
    <x v="22"/>
    <x v="12"/>
    <x v="35"/>
    <x v="13"/>
    <x v="1"/>
    <x v="11"/>
    <x v="43"/>
    <x v="0"/>
    <x v="54"/>
  </r>
  <r>
    <x v="9"/>
    <x v="9"/>
    <x v="61"/>
    <x v="19"/>
    <x v="11"/>
    <x v="4"/>
    <x v="71"/>
    <x v="26"/>
    <x v="79"/>
  </r>
  <r>
    <x v="14"/>
    <x v="17"/>
    <x v="5"/>
    <x v="87"/>
    <x v="12"/>
    <x v="5"/>
    <x v="95"/>
    <x v="0"/>
    <x v="113"/>
  </r>
  <r>
    <x v="14"/>
    <x v="17"/>
    <x v="6"/>
    <x v="109"/>
    <x v="7"/>
    <x v="3"/>
    <x v="1"/>
    <x v="0"/>
    <x v="7"/>
  </r>
  <r>
    <x v="22"/>
    <x v="12"/>
    <x v="36"/>
    <x v="61"/>
    <x v="5"/>
    <x v="10"/>
    <x v="49"/>
    <x v="0"/>
    <x v="67"/>
  </r>
  <r>
    <x v="8"/>
    <x v="8"/>
    <x v="47"/>
    <x v="77"/>
    <x v="11"/>
    <x v="4"/>
    <x v="71"/>
    <x v="0"/>
    <x v="96"/>
  </r>
  <r>
    <x v="22"/>
    <x v="12"/>
    <x v="38"/>
    <x v="38"/>
    <x v="1"/>
    <x v="11"/>
    <x v="41"/>
    <x v="0"/>
    <x v="55"/>
  </r>
  <r>
    <x v="10"/>
    <x v="19"/>
    <x v="19"/>
    <x v="94"/>
    <x v="5"/>
    <x v="10"/>
    <x v="70"/>
    <x v="0"/>
    <x v="87"/>
  </r>
  <r>
    <x v="22"/>
    <x v="12"/>
    <x v="39"/>
    <x v="40"/>
    <x v="13"/>
    <x v="3"/>
    <x v="77"/>
    <x v="77"/>
    <x v="61"/>
  </r>
  <r>
    <x v="15"/>
    <x v="20"/>
    <x v="15"/>
    <x v="110"/>
    <x v="5"/>
    <x v="10"/>
    <x v="102"/>
    <x v="0"/>
    <x v="115"/>
  </r>
  <r>
    <x v="2"/>
    <x v="1"/>
    <x v="80"/>
    <x v="0"/>
    <x v="0"/>
    <x v="8"/>
    <x v="131"/>
    <x v="101"/>
    <x v="142"/>
  </r>
  <r>
    <x v="2"/>
    <x v="1"/>
    <x v="80"/>
    <x v="0"/>
    <x v="0"/>
    <x v="6"/>
    <x v="131"/>
    <x v="101"/>
    <x v="142"/>
  </r>
  <r>
    <x v="2"/>
    <x v="1"/>
    <x v="72"/>
    <x v="0"/>
    <x v="0"/>
    <x v="8"/>
    <x v="131"/>
    <x v="101"/>
    <x v="142"/>
  </r>
  <r>
    <x v="2"/>
    <x v="1"/>
    <x v="72"/>
    <x v="0"/>
    <x v="0"/>
    <x v="6"/>
    <x v="131"/>
    <x v="101"/>
    <x v="142"/>
  </r>
  <r>
    <x v="9"/>
    <x v="9"/>
    <x v="62"/>
    <x v="52"/>
    <x v="11"/>
    <x v="4"/>
    <x v="130"/>
    <x v="0"/>
    <x v="141"/>
  </r>
  <r>
    <x v="14"/>
    <x v="17"/>
    <x v="70"/>
    <x v="100"/>
    <x v="20"/>
    <x v="14"/>
    <x v="126"/>
    <x v="55"/>
    <x v="139"/>
  </r>
  <r>
    <x v="8"/>
    <x v="8"/>
    <x v="69"/>
    <x v="79"/>
    <x v="20"/>
    <x v="14"/>
    <x v="113"/>
    <x v="0"/>
    <x v="124"/>
  </r>
  <r>
    <x v="12"/>
    <x v="6"/>
    <x v="23"/>
    <x v="112"/>
    <x v="20"/>
    <x v="14"/>
    <x v="72"/>
    <x v="0"/>
    <x v="97"/>
  </r>
  <r>
    <x v="19"/>
    <x v="22"/>
    <x v="67"/>
    <x v="44"/>
    <x v="13"/>
    <x v="3"/>
    <x v="63"/>
    <x v="52"/>
    <x v="58"/>
  </r>
  <r>
    <x v="20"/>
    <x v="4"/>
    <x v="66"/>
    <x v="113"/>
    <x v="12"/>
    <x v="5"/>
    <x v="85"/>
    <x v="0"/>
    <x v="104"/>
  </r>
  <r>
    <x v="8"/>
    <x v="8"/>
    <x v="48"/>
    <x v="114"/>
    <x v="11"/>
    <x v="4"/>
    <x v="71"/>
    <x v="0"/>
    <x v="92"/>
  </r>
  <r>
    <x v="22"/>
    <x v="12"/>
    <x v="40"/>
    <x v="96"/>
    <x v="1"/>
    <x v="11"/>
    <x v="97"/>
    <x v="0"/>
    <x v="109"/>
  </r>
  <r>
    <x v="22"/>
    <x v="12"/>
    <x v="37"/>
    <x v="27"/>
    <x v="17"/>
    <x v="10"/>
    <x v="51"/>
    <x v="0"/>
    <x v="74"/>
  </r>
  <r>
    <x v="14"/>
    <x v="17"/>
    <x v="7"/>
    <x v="111"/>
    <x v="1"/>
    <x v="11"/>
    <x v="67"/>
    <x v="51"/>
    <x v="63"/>
  </r>
  <r>
    <x v="18"/>
    <x v="26"/>
    <x v="85"/>
    <x v="0"/>
    <x v="5"/>
    <x v="10"/>
    <x v="9"/>
    <x v="3"/>
    <x v="19"/>
  </r>
  <r>
    <x v="9"/>
    <x v="9"/>
    <x v="63"/>
    <x v="52"/>
    <x v="11"/>
    <x v="4"/>
    <x v="124"/>
    <x v="0"/>
    <x v="137"/>
  </r>
  <r>
    <x v="23"/>
    <x v="13"/>
    <x v="54"/>
    <x v="115"/>
    <x v="20"/>
    <x v="14"/>
    <x v="72"/>
    <x v="0"/>
    <x v="98"/>
  </r>
  <r>
    <x v="23"/>
    <x v="13"/>
    <x v="55"/>
    <x v="116"/>
    <x v="20"/>
    <x v="14"/>
    <x v="72"/>
    <x v="0"/>
    <x v="96"/>
  </r>
  <r>
    <x v="22"/>
    <x v="12"/>
    <x v="41"/>
    <x v="61"/>
    <x v="18"/>
    <x v="10"/>
    <x v="95"/>
    <x v="90"/>
    <x v="62"/>
  </r>
  <r>
    <x v="1"/>
    <x v="0"/>
    <x v="11"/>
    <x v="117"/>
    <x v="18"/>
    <x v="10"/>
    <x v="81"/>
    <x v="52"/>
    <x v="81"/>
  </r>
  <r>
    <x v="29"/>
    <x v="24"/>
    <x v="74"/>
    <x v="119"/>
    <x v="11"/>
    <x v="4"/>
    <x v="32"/>
    <x v="0"/>
    <x v="50"/>
  </r>
  <r>
    <x v="8"/>
    <x v="8"/>
    <x v="49"/>
    <x v="118"/>
    <x v="11"/>
    <x v="4"/>
    <x v="71"/>
    <x v="0"/>
    <x v="96"/>
  </r>
  <r>
    <x v="10"/>
    <x v="19"/>
    <x v="20"/>
    <x v="120"/>
    <x v="20"/>
    <x v="14"/>
    <x v="72"/>
    <x v="0"/>
    <x v="96"/>
  </r>
  <r>
    <x v="22"/>
    <x v="12"/>
    <x v="42"/>
    <x v="38"/>
    <x v="1"/>
    <x v="11"/>
    <x v="67"/>
    <x v="0"/>
    <x v="81"/>
  </r>
  <r>
    <x v="10"/>
    <x v="19"/>
    <x v="21"/>
    <x v="64"/>
    <x v="18"/>
    <x v="10"/>
    <x v="100"/>
    <x v="0"/>
    <x v="111"/>
  </r>
  <r>
    <x v="8"/>
    <x v="8"/>
    <x v="50"/>
    <x v="78"/>
    <x v="11"/>
    <x v="4"/>
    <x v="71"/>
    <x v="0"/>
    <x v="94"/>
  </r>
  <r>
    <x v="12"/>
    <x v="6"/>
    <x v="24"/>
    <x v="121"/>
    <x v="20"/>
    <x v="14"/>
    <x v="72"/>
    <x v="0"/>
    <x v="95"/>
  </r>
  <r>
    <x v="22"/>
    <x v="12"/>
    <x v="43"/>
    <x v="17"/>
    <x v="18"/>
    <x v="10"/>
    <x v="48"/>
    <x v="0"/>
    <x v="71"/>
  </r>
  <r>
    <x v="22"/>
    <x v="12"/>
    <x v="73"/>
    <x v="0"/>
    <x v="0"/>
    <x v="0"/>
    <x v="131"/>
    <x v="101"/>
    <x v="142"/>
  </r>
  <r>
    <x v="10"/>
    <x v="19"/>
    <x v="22"/>
    <x v="122"/>
    <x v="1"/>
    <x v="11"/>
    <x v="97"/>
    <x v="0"/>
    <x v="108"/>
  </r>
  <r>
    <x v="19"/>
    <x v="22"/>
    <x v="25"/>
    <x v="44"/>
    <x v="13"/>
    <x v="3"/>
    <x v="48"/>
    <x v="0"/>
    <x v="71"/>
  </r>
  <r>
    <x v="15"/>
    <x v="20"/>
    <x v="16"/>
    <x v="48"/>
    <x v="19"/>
    <x v="3"/>
    <x v="95"/>
    <x v="0"/>
    <x v="112"/>
  </r>
  <r>
    <x v="22"/>
    <x v="12"/>
    <x v="44"/>
    <x v="123"/>
    <x v="1"/>
    <x v="11"/>
    <x v="94"/>
    <x v="0"/>
    <x v="110"/>
  </r>
  <r>
    <x v="21"/>
    <x v="25"/>
    <x v="78"/>
    <x v="124"/>
    <x v="18"/>
    <x v="10"/>
    <x v="131"/>
    <x v="101"/>
    <x v="142"/>
  </r>
  <r>
    <x v="21"/>
    <x v="25"/>
    <x v="78"/>
    <x v="125"/>
    <x v="13"/>
    <x v="3"/>
    <x v="19"/>
    <x v="16"/>
    <x v="2"/>
  </r>
  <r>
    <x v="11"/>
    <x v="21"/>
    <x v="82"/>
    <x v="126"/>
    <x v="1"/>
    <x v="11"/>
    <x v="67"/>
    <x v="0"/>
    <x v="82"/>
  </r>
  <r>
    <x v="21"/>
    <x v="25"/>
    <x v="79"/>
    <x v="127"/>
    <x v="11"/>
    <x v="4"/>
    <x v="131"/>
    <x v="101"/>
    <x v="142"/>
  </r>
  <r>
    <x v="9"/>
    <x v="9"/>
    <x v="64"/>
    <x v="5"/>
    <x v="12"/>
    <x v="5"/>
    <x v="129"/>
    <x v="0"/>
    <x v="140"/>
  </r>
  <r>
    <x v="9"/>
    <x v="9"/>
    <x v="65"/>
    <x v="5"/>
    <x v="15"/>
    <x v="6"/>
    <x v="123"/>
    <x v="0"/>
    <x v="135"/>
  </r>
  <r>
    <x v="21"/>
    <x v="25"/>
    <x v="79"/>
    <x v="128"/>
    <x v="1"/>
    <x v="11"/>
    <x v="131"/>
    <x v="101"/>
    <x v="142"/>
  </r>
  <r>
    <x v="22"/>
    <x v="12"/>
    <x v="45"/>
    <x v="61"/>
    <x v="18"/>
    <x v="10"/>
    <x v="131"/>
    <x v="101"/>
    <x v="142"/>
  </r>
  <r>
    <x v="22"/>
    <x v="12"/>
    <x v="46"/>
    <x v="129"/>
    <x v="1"/>
    <x v="11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31"/>
    <x v="28"/>
    <x v="85"/>
    <x v="130"/>
    <x v="21"/>
    <x v="16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45"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3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S2:AW6" firstHeaderRow="1" firstDataRow="2" firstDataCol="1"/>
  <pivotFields count="7"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colFields count="1">
    <field x="-2"/>
  </colFields>
  <dataFields count="4">
    <dataField name="Total MSI vendus" fld="3" subtotal="sum" numFmtId="164"/>
    <dataField name="Ventes Total CAD" fld="5" subtotal="sum" numFmtId="164"/>
    <dataField name="Profit total  CAD" fld="6" subtotal="sum" numFmtId="164"/>
    <dataField name="Coût MP total" fld="4" subtotal="sum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BL3:BM21" firstHeaderRow="1" firstDataRow="1" firstDataCol="1" rowPageCount="1" colPageCount="1"/>
  <pivotFields count="9">
    <pivotField showAll="0"/>
    <pivotField axis="axisPage" showAll="0">
      <items count="30"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7"/>
        <item x="2"/>
        <item x="26"/>
        <item x="21"/>
        <item x="1"/>
        <item x="24"/>
        <item x="25"/>
        <item x="28"/>
        <item t="default"/>
      </items>
    </pivotField>
    <pivotField showAll="0"/>
    <pivotField showAll="0"/>
    <pivotField showAll="0"/>
    <pivotField axis="axisRow" showAll="0">
      <items count="18"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6"/>
        <item x="15"/>
        <item x="16"/>
        <item t="default"/>
      </items>
    </pivotField>
    <pivotField showAll="0"/>
    <pivotField showAll="0"/>
    <pivotField dataField="1" showAll="0"/>
  </pivotFields>
  <rowFields count="1">
    <field x="5"/>
  </rowFields>
  <pageFields count="1">
    <pageField fld="1" hier="-1"/>
  </pageFields>
  <dataFields count="1">
    <dataField name="Sum of Qté livrée (msi)" fld="8" subtotal="sum" numFmtId="177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BG2:BI6" firstHeaderRow="1" firstDataRow="2" firstDataCol="1"/>
  <pivotFields count="5"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dataField="1" showAll="0"/>
  </pivotFields>
  <rowFields count="2">
    <field x="1"/>
    <field x="2"/>
  </rowFields>
  <colFields count="1">
    <field x="-2"/>
  </colFields>
  <dataFields count="2">
    <dataField name="Total msi livrés" fld="3" subtotal="sum" numFmtId="164"/>
    <dataField name="Coût total échantillons" fld="4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2" displayName="Table2" ref="A1:N37" headerRowCount="1" totalsRowCount="0" totalsRowShown="0">
  <autoFilter ref="A1:N37"/>
  <tableColumns count="14">
    <tableColumn id="1" name="Spec no"/>
    <tableColumn id="2" name="LE spec"/>
    <tableColumn id="3" name="SUPPLIER"/>
    <tableColumn id="4" name="Supplier Spec"/>
    <tableColumn id="5" name="Product name"/>
    <tableColumn id="6" name="face"/>
    <tableColumn id="7" name="adh"/>
    <tableColumn id="8" name="Liner"/>
    <tableColumn id="9" name="Full description LE"/>
    <tableColumn id="10" name="Description Client"/>
    <tableColumn id="11" name="Origin"/>
    <tableColumn id="12" name="HS code"/>
    <tableColumn id="13" name="Nom Français"/>
    <tableColumn id="14" name="Nom complet"/>
  </tableColumns>
</table>
</file>

<file path=xl/tables/table2.xml><?xml version="1.0" encoding="utf-8"?>
<table xmlns="http://schemas.openxmlformats.org/spreadsheetml/2006/main" id="2" name="Table3" displayName="Table3" ref="A2:AB244" headerRowCount="1" totalsRowCount="0" totalsRowShown="0">
  <autoFilter ref="A2:AB244"/>
  <tableColumns count="28">
    <tableColumn id="1" name="Prix no"/>
    <tableColumn id="2" name="Spec no"/>
    <tableColumn id="3" name="Fournisseur"/>
    <tableColumn id="4" name="Code &#10;Fourn."/>
    <tableColumn id="5" name="Client"/>
    <tableColumn id="6" name="Langue"/>
    <tableColumn id="7" name="Code &#10;Client"/>
    <tableColumn id="8" name="Code Client LabelEdge"/>
    <tableColumn id="9" name="Code LabelEdge"/>
    <tableColumn id="10" name="Descr. Client"/>
    <tableColumn id="11" name="Nom du produit"/>
    <tableColumn id="12" name="Detail 1 (conf comm, BL, CI, Facture)"/>
    <tableColumn id="13" name="Detail 2 (conf comm, Facture)"/>
    <tableColumn id="14" name="Prix unitaire"/>
    <tableColumn id="15" name="Unité Prix"/>
    <tableColumn id="16" name="Largeur"/>
    <tableColumn id="17" name="Longueur"/>
    <tableColumn id="18" name="msi/ roul"/>
    <tableColumn id="19" name="Langue Client"/>
    <tableColumn id="20" name="Prix/roul. (ou autre)"/>
    <tableColumn id="21" name="Unité BL"/>
    <tableColumn id="22" name="Devise (Conf Comm)"/>
    <tableColumn id="23" name="Taux change"/>
    <tableColumn id="24" name="Prix facturation"/>
    <tableColumn id="25" name="Unité facturation"/>
    <tableColumn id="26" name="Devise facturation"/>
    <tableColumn id="27" name="Origine"/>
    <tableColumn id="28" name="Code HS"/>
  </tableColumns>
</table>
</file>

<file path=xl/tables/table3.xml><?xml version="1.0" encoding="utf-8"?>
<table xmlns="http://schemas.openxmlformats.org/spreadsheetml/2006/main" id="3" name="Table34" displayName="Table34" ref="A5:W74" headerRowCount="1" totalsRowCount="0" totalsRowShown="0">
  <autoFilter ref="A5:W74"/>
  <tableColumns count="23">
    <tableColumn id="1" name="Code achat"/>
    <tableColumn id="2" name="Spec no"/>
    <tableColumn id="3" name="PO #"/>
    <tableColumn id="4" name="Fournisseur"/>
    <tableColumn id="5" name="Code &#10;Fourn."/>
    <tableColumn id="6" name="Code LabelEdge"/>
    <tableColumn id="7" name="Descr. Client"/>
    <tableColumn id="8" name="Nom du produit"/>
    <tableColumn id="9" name="Detail 1 (conf comm, BL, CI, Facture)"/>
    <tableColumn id="10" name="Detail 2 (date réception)"/>
    <tableColumn id="11" name="Taux change"/>
    <tableColumn id="12" name="Prix MP /unit"/>
    <tableColumn id="13" name="Prix ship /unit"/>
    <tableColumn id="14" name="Prix achat total /unit"/>
    <tableColumn id="15" name="Unité achat"/>
    <tableColumn id="16" name="Devise achat"/>
    <tableColumn id="17" name="Origine"/>
    <tableColumn id="18" name="Code HS"/>
    <tableColumn id="19" name="Prix achat/msi (USD)"/>
    <tableColumn id="20" name="Prix/msi livres (CAD)"/>
    <tableColumn id="21" name="Prix achat/msi (CAD)"/>
    <tableColumn id="22" name="% shipping"/>
    <tableColumn id="23" name="Ship us/msi"/>
  </tableColumns>
</table>
</file>

<file path=xl/tables/table4.xml><?xml version="1.0" encoding="utf-8"?>
<table xmlns="http://schemas.openxmlformats.org/spreadsheetml/2006/main" id="4" name="Table4" displayName="Table4" ref="A1:BB203" headerRowCount="1" totalsRowCount="0" totalsRowShown="0">
  <autoFilter ref="A1:BB203"/>
  <tableColumns count="54">
    <tableColumn id="1" name="No"/>
    <tableColumn id="2" name="Active/Inactive"/>
    <tableColumn id="3" name="Vendu à"/>
    <tableColumn id="4" name="Livré à"/>
    <tableColumn id="5" name="Date"/>
    <tableColumn id="6" name="No Commande"/>
    <tableColumn id="7" name="Contact/Acheteur"/>
    <tableColumn id="8" name="Commentaire 1 (Conf comm 3)"/>
    <tableColumn id="9" name="Commentaire 2 (Conf comm 4)"/>
    <tableColumn id="10" name="Terme&#10;Paiement"/>
    <tableColumn id="11" name="Terme&#10;Livraison"/>
    <tableColumn id="12" name="Date requise"/>
    <tableColumn id="13" name="Devise Conf"/>
    <tableColumn id="14" name="Devise facturation"/>
    <tableColumn id="15" name="Code Prix 1"/>
    <tableColumn id="16" name="Code LE 1"/>
    <tableColumn id="17" name="Qté Roul 1"/>
    <tableColumn id="18" name="Qté msi 1"/>
    <tableColumn id="19" name="Code Prix 2"/>
    <tableColumn id="20" name="Code LE2"/>
    <tableColumn id="21" name="Qté Roul. 2"/>
    <tableColumn id="22" name="Qté msi 2"/>
    <tableColumn id="23" name="Code Prix 3"/>
    <tableColumn id="24" name="Code LE 3"/>
    <tableColumn id="25" name="Qté Roul 3"/>
    <tableColumn id="26" name="Qté msi 3"/>
    <tableColumn id="27" name="Code Prix 4"/>
    <tableColumn id="28" name="Code LE4"/>
    <tableColumn id="29" name="Qté Roul 4"/>
    <tableColumn id="30" name="Qté msi 4"/>
    <tableColumn id="31" name="Code Prix 5"/>
    <tableColumn id="32" name="Code LE 5"/>
    <tableColumn id="33" name="Qté Roul 5"/>
    <tableColumn id="34" name="Qté msi 5"/>
    <tableColumn id="35" name="Code Prix 6"/>
    <tableColumn id="36" name="Code LE6"/>
    <tableColumn id="37" name="Qté Roul 6"/>
    <tableColumn id="38" name="Qté msi 6"/>
    <tableColumn id="39" name="Code Prix 7"/>
    <tableColumn id="40" name="Code LE 7"/>
    <tableColumn id="41" name="Qté Roul 7"/>
    <tableColumn id="42" name="Qté msi 7"/>
    <tableColumn id="43" name="Code Prix 8"/>
    <tableColumn id="44" name="Code LE8"/>
    <tableColumn id="45" name="Qté Roul 8"/>
    <tableColumn id="46" name="Qté msi 8"/>
    <tableColumn id="47" name="Code Prix 9"/>
    <tableColumn id="48" name="Code LE 9"/>
    <tableColumn id="49" name="Qté Roul 9"/>
    <tableColumn id="50" name="Qté msi 9"/>
    <tableColumn id="51" name="Code Prix 10"/>
    <tableColumn id="52" name="Code LE10"/>
    <tableColumn id="53" name="Qté Roul 10"/>
    <tableColumn id="54" name="Qté msi 10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perry.johnson@digi.us" TargetMode="External"/><Relationship Id="rId2" Type="http://schemas.openxmlformats.org/officeDocument/2006/relationships/hyperlink" Target="mailto:eric.cook@digi.us" TargetMode="External"/><Relationship Id="rId3" Type="http://schemas.openxmlformats.org/officeDocument/2006/relationships/hyperlink" Target="mailto:accountingdai@us.digi-group.com" TargetMode="External"/><Relationship Id="rId4" Type="http://schemas.openxmlformats.org/officeDocument/2006/relationships/hyperlink" Target="mailto:actionworldwide@agotrans.com%20/%20518-297-6600" TargetMode="External"/><Relationship Id="rId5" Type="http://schemas.openxmlformats.org/officeDocument/2006/relationships/hyperlink" Target="mailto:bsaint-gaudens@lelys.com" TargetMode="External"/><Relationship Id="rId6" Type="http://schemas.openxmlformats.org/officeDocument/2006/relationships/hyperlink" Target="mailto:laurent.desjardins@labeledge.com" TargetMode="External"/><Relationship Id="rId7" Type="http://schemas.openxmlformats.org/officeDocument/2006/relationships/hyperlink" Target="mailto:actionworldwide@agotrans.com%20/%20518-297-6600" TargetMode="External"/><Relationship Id="rId8" Type="http://schemas.openxmlformats.org/officeDocument/2006/relationships/hyperlink" Target="mailto:jeremy.boursier@labelink.ca" TargetMode="External"/><Relationship Id="rId9" Type="http://schemas.openxmlformats.org/officeDocument/2006/relationships/hyperlink" Target="mailto:victor@labelink.ca" TargetMode="External"/><Relationship Id="rId10" Type="http://schemas.openxmlformats.org/officeDocument/2006/relationships/hyperlink" Target="mailto:admin@etiquettesrivesud.com;" TargetMode="External"/><Relationship Id="rId11" Type="http://schemas.openxmlformats.org/officeDocument/2006/relationships/hyperlink" Target="mailto:comptable@etiquettesrivesud.com" TargetMode="External"/><Relationship Id="rId12" Type="http://schemas.openxmlformats.org/officeDocument/2006/relationships/hyperlink" Target="mailto:achat@produlith.com" TargetMode="External"/><Relationship Id="rId13" Type="http://schemas.openxmlformats.org/officeDocument/2006/relationships/hyperlink" Target="mailto:fournisseurs@produlith.com" TargetMode="External"/><Relationship Id="rId14" Type="http://schemas.openxmlformats.org/officeDocument/2006/relationships/hyperlink" Target="mailto:laurent.desjardins@labeledge.com" TargetMode="External"/><Relationship Id="rId15" Type="http://schemas.openxmlformats.org/officeDocument/2006/relationships/hyperlink" Target="mailto:mp@impsj.com" TargetMode="External"/><Relationship Id="rId16" Type="http://schemas.openxmlformats.org/officeDocument/2006/relationships/hyperlink" Target="mailto:vtremblay@impsj.com" TargetMode="External"/><Relationship Id="rId17" Type="http://schemas.openxmlformats.org/officeDocument/2006/relationships/hyperlink" Target="mailto:comptabilite@lusoflex.com" TargetMode="External"/><Relationship Id="rId18" Type="http://schemas.openxmlformats.org/officeDocument/2006/relationships/hyperlink" Target="mailto:comptabilite@lusoflex.com" TargetMode="External"/><Relationship Id="rId19" Type="http://schemas.openxmlformats.org/officeDocument/2006/relationships/hyperlink" Target="mailto:laurent.desjardins@labeledge.com" TargetMode="External"/><Relationship Id="rId20" Type="http://schemas.openxmlformats.org/officeDocument/2006/relationships/hyperlink" Target="mailto:comptabilite@lusoflex.com" TargetMode="External"/><Relationship Id="rId21" Type="http://schemas.openxmlformats.org/officeDocument/2006/relationships/hyperlink" Target="mailto:info@multi-flex.com" TargetMode="External"/><Relationship Id="rId22" Type="http://schemas.openxmlformats.org/officeDocument/2006/relationships/hyperlink" Target="mailto:laurent.desjardins@labeledge.com" TargetMode="External"/><Relationship Id="rId23" Type="http://schemas.openxmlformats.org/officeDocument/2006/relationships/hyperlink" Target="mailto:acomptable@multi-flex.com" TargetMode="External"/><Relationship Id="rId24" Type="http://schemas.openxmlformats.org/officeDocument/2006/relationships/hyperlink" Target="mailto:achats@visuascan.com;" TargetMode="External"/><Relationship Id="rId25" Type="http://schemas.openxmlformats.org/officeDocument/2006/relationships/hyperlink" Target="mailto:laurent.desjardins@labeledge.com" TargetMode="External"/><Relationship Id="rId26" Type="http://schemas.openxmlformats.org/officeDocument/2006/relationships/hyperlink" Target="mailto:laurent.desjardins@labeledge.com" TargetMode="External"/><Relationship Id="rId27" Type="http://schemas.openxmlformats.org/officeDocument/2006/relationships/hyperlink" Target="mailto:melissa@etiquettescorsair.com" TargetMode="External"/><Relationship Id="rId28" Type="http://schemas.openxmlformats.org/officeDocument/2006/relationships/hyperlink" Target="mailto:david@mijolabel.com;" TargetMode="External"/><Relationship Id="rId29" Type="http://schemas.openxmlformats.org/officeDocument/2006/relationships/hyperlink" Target="mailto:laurent.desjardins@labeledge.com" TargetMode="External"/><Relationship Id="rId30" Type="http://schemas.openxmlformats.org/officeDocument/2006/relationships/hyperlink" Target="mailto:info@mijolabel.com" TargetMode="External"/><Relationship Id="rId31" Type="http://schemas.openxmlformats.org/officeDocument/2006/relationships/hyperlink" Target="mailto:lino@fantasiagraphics.com" TargetMode="External"/><Relationship Id="rId32" Type="http://schemas.openxmlformats.org/officeDocument/2006/relationships/hyperlink" Target="mailto:laurent.desjardins@labeledge.com" TargetMode="External"/><Relationship Id="rId33" Type="http://schemas.openxmlformats.org/officeDocument/2006/relationships/hyperlink" Target="mailto:accounting@fantasiagraphics.com" TargetMode="External"/><Relationship Id="rId34" Type="http://schemas.openxmlformats.org/officeDocument/2006/relationships/hyperlink" Target="mailto:frederic.labrie@labeledge.com" TargetMode="External"/><Relationship Id="rId35" Type="http://schemas.openxmlformats.org/officeDocument/2006/relationships/hyperlink" Target="mailto:laurent.desjardins@labeledge.com" TargetMode="External"/><Relationship Id="rId36" Type="http://schemas.openxmlformats.org/officeDocument/2006/relationships/hyperlink" Target="mailto:laurent.desjardins@labeledge.com" TargetMode="External"/><Relationship Id="rId37" Type="http://schemas.openxmlformats.org/officeDocument/2006/relationships/hyperlink" Target="mailto:info@amstik.com" TargetMode="External"/><Relationship Id="rId38" Type="http://schemas.openxmlformats.org/officeDocument/2006/relationships/hyperlink" Target="mailto:laurent.desjardins@labeledge.com;" TargetMode="External"/><Relationship Id="rId39" Type="http://schemas.openxmlformats.org/officeDocument/2006/relationships/hyperlink" Target="mailto:production@enationale.ca%20/%20514-329-4432" TargetMode="External"/><Relationship Id="rId40" Type="http://schemas.openxmlformats.org/officeDocument/2006/relationships/hyperlink" Target="mailto:production@enationale.ca" TargetMode="External"/><Relationship Id="rId41" Type="http://schemas.openxmlformats.org/officeDocument/2006/relationships/hyperlink" Target="mailto:laurent.desjardins@labeledge.com" TargetMode="External"/><Relationship Id="rId42" Type="http://schemas.openxmlformats.org/officeDocument/2006/relationships/hyperlink" Target="mailto:bnuckle@damaflex.com;" TargetMode="External"/><Relationship Id="rId43" Type="http://schemas.openxmlformats.org/officeDocument/2006/relationships/hyperlink" Target="mailto:laurent.desjardins@labeledge.com" TargetMode="External"/><Relationship Id="rId44" Type="http://schemas.openxmlformats.org/officeDocument/2006/relationships/hyperlink" Target="mailto:ynuckle@damaflex.com" TargetMode="External"/><Relationship Id="rId45" Type="http://schemas.openxmlformats.org/officeDocument/2006/relationships/hyperlink" Target="mailto:bnuckle@damaflex.com;" TargetMode="External"/><Relationship Id="rId46" Type="http://schemas.openxmlformats.org/officeDocument/2006/relationships/hyperlink" Target="mailto:laurent.desjardins@labeledge.com" TargetMode="External"/><Relationship Id="rId47" Type="http://schemas.openxmlformats.org/officeDocument/2006/relationships/hyperlink" Target="mailto:ynuckle@damaflex.com" TargetMode="External"/><Relationship Id="rId48" Type="http://schemas.openxmlformats.org/officeDocument/2006/relationships/hyperlink" Target="mailto:actionworldwide@agotrans.com%20/%20518-297-6600" TargetMode="External"/><Relationship Id="rId49" Type="http://schemas.openxmlformats.org/officeDocument/2006/relationships/hyperlink" Target="mailto:steoli@imsinc.ca" TargetMode="External"/><Relationship Id="rId50" Type="http://schemas.openxmlformats.org/officeDocument/2006/relationships/hyperlink" Target="mailto:infoproduits@imsinc.ca" TargetMode="External"/><Relationship Id="rId51" Type="http://schemas.openxmlformats.org/officeDocument/2006/relationships/hyperlink" Target="mailto:voula@imsinc.ca" TargetMode="External"/><Relationship Id="rId52" Type="http://schemas.openxmlformats.org/officeDocument/2006/relationships/hyperlink" Target="mailto:laurent.desjardins@labeledge.com" TargetMode="External"/><Relationship Id="rId53" Type="http://schemas.openxmlformats.org/officeDocument/2006/relationships/hyperlink" Target="mailto:accounting@3gprintgroup.ca" TargetMode="External"/><Relationship Id="rId54" Type="http://schemas.openxmlformats.org/officeDocument/2006/relationships/hyperlink" Target="mailto:ibslachat-vente@globetrotter.net" TargetMode="External"/><Relationship Id="rId55" Type="http://schemas.openxmlformats.org/officeDocument/2006/relationships/hyperlink" Target="mailto:laurent.desjardins@labeledge.com" TargetMode="External"/><Relationship Id="rId56" Type="http://schemas.openxmlformats.org/officeDocument/2006/relationships/hyperlink" Target="mailto:ibslachat-vente@globetrotter.net" TargetMode="External"/><Relationship Id="rId57" Type="http://schemas.openxmlformats.org/officeDocument/2006/relationships/hyperlink" Target="mailto:stephane@imprimerie.ca" TargetMode="External"/><Relationship Id="rId58" Type="http://schemas.openxmlformats.org/officeDocument/2006/relationships/hyperlink" Target="mailto:laurent.desjardins@labeledge.com" TargetMode="External"/><Relationship Id="rId59" Type="http://schemas.openxmlformats.org/officeDocument/2006/relationships/hyperlink" Target="mailto:laurent.desjardins@labeledge.com" TargetMode="External"/><Relationship Id="rId60" Type="http://schemas.openxmlformats.org/officeDocument/2006/relationships/hyperlink" Target="mailto:alexis@redemac.com" TargetMode="External"/><Relationship Id="rId61" Type="http://schemas.openxmlformats.org/officeDocument/2006/relationships/hyperlink" Target="mailto:alexis@redemac.com" TargetMode="External"/><Relationship Id="rId62" Type="http://schemas.openxmlformats.org/officeDocument/2006/relationships/hyperlink" Target="mailto:alexis@redemac.com" TargetMode="External"/><Relationship Id="rId63" Type="http://schemas.openxmlformats.org/officeDocument/2006/relationships/hyperlink" Target="mailto:819-537-7633/info@imprimerieselect.com" TargetMode="External"/><Relationship Id="rId64" Type="http://schemas.openxmlformats.org/officeDocument/2006/relationships/hyperlink" Target="mailto:laurent.desjardins@labeledge.com" TargetMode="External"/><Relationship Id="rId65" Type="http://schemas.openxmlformats.org/officeDocument/2006/relationships/hyperlink" Target="mailto:COMPTABLE@IMPRIMERIESELECT.COM" TargetMode="External"/><Relationship Id="rId66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1.vml"/><Relationship Id="rId3" Type="http://schemas.openxmlformats.org/officeDocument/2006/relationships/table" Target="../tables/table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2.vml"/><Relationship Id="rId3" Type="http://schemas.openxmlformats.org/officeDocument/2006/relationships/table" Target="../tables/table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hyperlink" Target="mailto:order@labeledge.com" TargetMode="External"/><Relationship Id="rId2" Type="http://schemas.openxmlformats.org/officeDocument/2006/relationships/drawing" Target="../drawings/drawing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comments" Target="../comments7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comments" Target="../comments9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4.vml"/><Relationship Id="rId4" Type="http://schemas.openxmlformats.org/officeDocument/2006/relationships/pivotTable" Target="../pivotTables/pivotTable1.xml"/><Relationship Id="rId5" Type="http://schemas.openxmlformats.org/officeDocument/2006/relationships/pivotTable" Target="../pivotTables/pivotTable2.xml"/><Relationship Id="rId6" Type="http://schemas.openxmlformats.org/officeDocument/2006/relationships/pivotTable" Target="../pivotTables/pivotTable3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E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1" topLeftCell="D2" activePane="bottomRight" state="frozen"/>
      <selection pane="topLeft" activeCell="A1" activeCellId="0" sqref="A1"/>
      <selection pane="topRight" activeCell="D1" activeCellId="0" sqref="D1"/>
      <selection pane="bottomLeft" activeCell="A2" activeCellId="0" sqref="A2"/>
      <selection pane="bottomRight" activeCell="A3" activeCellId="0" sqref="A3"/>
    </sheetView>
  </sheetViews>
  <sheetFormatPr defaultColWidth="8.59765625" defaultRowHeight="14.25" zeroHeight="false" outlineLevelRow="0" outlineLevelCol="0"/>
  <cols>
    <col collapsed="false" customWidth="true" hidden="false" outlineLevel="0" max="2" min="2" style="1" width="26.3"/>
    <col collapsed="false" customWidth="true" hidden="false" outlineLevel="0" max="3" min="3" style="1" width="19.3"/>
    <col collapsed="false" customWidth="true" hidden="false" outlineLevel="0" max="4" min="4" style="1" width="11.84"/>
    <col collapsed="false" customWidth="true" hidden="false" outlineLevel="0" max="5" min="5" style="1" width="42.15"/>
    <col collapsed="false" customWidth="true" hidden="false" outlineLevel="0" max="7" min="7" style="1" width="14.15"/>
    <col collapsed="false" customWidth="true" hidden="false" outlineLevel="0" max="8" min="8" style="2" width="12.38"/>
    <col collapsed="false" customWidth="true" hidden="false" outlineLevel="0" max="10" min="10" style="1" width="28.3"/>
    <col collapsed="false" customWidth="true" hidden="false" outlineLevel="0" max="12" min="11" style="1" width="14.38"/>
    <col collapsed="false" customWidth="true" hidden="false" outlineLevel="0" max="13" min="13" style="1" width="10.53"/>
    <col collapsed="false" customWidth="true" hidden="false" outlineLevel="0" max="14" min="14" style="1" width="13.38"/>
    <col collapsed="false" customWidth="true" hidden="false" outlineLevel="0" max="15" min="15" style="1" width="11.53"/>
    <col collapsed="false" customWidth="true" hidden="false" outlineLevel="0" max="17" min="16" style="1" width="14.53"/>
    <col collapsed="false" customWidth="true" hidden="false" outlineLevel="0" max="18" min="18" style="1" width="12.69"/>
    <col collapsed="false" customWidth="true" hidden="false" outlineLevel="0" max="19" min="19" style="1" width="15.38"/>
    <col collapsed="false" customWidth="true" hidden="false" outlineLevel="0" max="20" min="20" style="1" width="14.15"/>
    <col collapsed="false" customWidth="true" hidden="false" outlineLevel="0" max="23" min="21" style="1" width="15.38"/>
    <col collapsed="false" customWidth="true" hidden="false" outlineLevel="0" max="25" min="24" style="1" width="10.84"/>
    <col collapsed="false" customWidth="true" hidden="false" outlineLevel="0" max="27" min="27" style="1" width="10.15"/>
    <col collapsed="false" customWidth="true" hidden="false" outlineLevel="0" max="29" min="29" style="1" width="10.69"/>
  </cols>
  <sheetData>
    <row r="1" customFormat="false" ht="76.1" hidden="false" customHeight="false" outlineLevel="0" collapsed="false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3" t="s">
        <v>25</v>
      </c>
      <c r="AA1" s="4" t="s">
        <v>26</v>
      </c>
      <c r="AB1" s="4" t="s">
        <v>27</v>
      </c>
      <c r="AC1" s="7" t="s">
        <v>28</v>
      </c>
      <c r="AD1" s="4" t="s">
        <v>29</v>
      </c>
      <c r="AE1" s="8" t="s">
        <v>30</v>
      </c>
    </row>
    <row r="2" customFormat="false" ht="16.4" hidden="false" customHeight="false" outlineLevel="0" collapsed="false">
      <c r="A2" s="9" t="n">
        <v>300</v>
      </c>
      <c r="B2" s="10" t="s">
        <v>31</v>
      </c>
      <c r="C2" s="11" t="s">
        <v>32</v>
      </c>
      <c r="D2" s="11" t="s">
        <v>33</v>
      </c>
      <c r="E2" s="11" t="s">
        <v>34</v>
      </c>
      <c r="F2" s="11" t="s">
        <v>35</v>
      </c>
      <c r="G2" s="11" t="s">
        <v>36</v>
      </c>
      <c r="H2" s="12" t="s">
        <v>37</v>
      </c>
      <c r="I2" s="11" t="s">
        <v>38</v>
      </c>
      <c r="J2" s="11" t="s">
        <v>39</v>
      </c>
      <c r="K2" s="11" t="s">
        <v>40</v>
      </c>
      <c r="L2" s="11" t="s">
        <v>41</v>
      </c>
      <c r="M2" s="11" t="s">
        <v>42</v>
      </c>
      <c r="N2" s="13" t="s">
        <v>43</v>
      </c>
      <c r="O2" s="14" t="s">
        <v>44</v>
      </c>
      <c r="P2" s="13" t="s">
        <v>45</v>
      </c>
      <c r="Q2" s="15" t="s">
        <v>46</v>
      </c>
      <c r="R2" s="11" t="s">
        <v>47</v>
      </c>
      <c r="S2" s="11" t="s">
        <v>48</v>
      </c>
      <c r="T2" s="13" t="s">
        <v>49</v>
      </c>
      <c r="U2" s="11"/>
      <c r="V2" s="13"/>
      <c r="W2" s="11"/>
      <c r="X2" s="11" t="s">
        <v>50</v>
      </c>
      <c r="Y2" s="11" t="s">
        <v>50</v>
      </c>
      <c r="Z2" s="16"/>
      <c r="AA2" s="11"/>
      <c r="AB2" s="16"/>
      <c r="AC2" s="11"/>
      <c r="AD2" s="11"/>
      <c r="AE2" s="17"/>
    </row>
    <row r="3" customFormat="false" ht="16.4" hidden="false" customHeight="false" outlineLevel="0" collapsed="false">
      <c r="A3" s="9" t="n">
        <v>301</v>
      </c>
      <c r="B3" s="10" t="s">
        <v>51</v>
      </c>
      <c r="C3" s="11" t="s">
        <v>51</v>
      </c>
      <c r="D3" s="11" t="s">
        <v>52</v>
      </c>
      <c r="E3" s="11" t="s">
        <v>53</v>
      </c>
      <c r="F3" s="11" t="s">
        <v>54</v>
      </c>
      <c r="G3" s="11" t="s">
        <v>55</v>
      </c>
      <c r="H3" s="12" t="s">
        <v>56</v>
      </c>
      <c r="I3" s="11" t="s">
        <v>57</v>
      </c>
      <c r="J3" s="11" t="s">
        <v>58</v>
      </c>
      <c r="K3" s="11"/>
      <c r="L3" s="11" t="s">
        <v>59</v>
      </c>
      <c r="M3" s="11" t="s">
        <v>60</v>
      </c>
      <c r="N3" s="13" t="s">
        <v>61</v>
      </c>
      <c r="O3" s="13" t="s">
        <v>62</v>
      </c>
      <c r="P3" s="11"/>
      <c r="Q3" s="11" t="s">
        <v>63</v>
      </c>
      <c r="R3" s="11" t="s">
        <v>64</v>
      </c>
      <c r="S3" s="11"/>
      <c r="T3" s="13"/>
      <c r="U3" s="11"/>
      <c r="V3" s="11"/>
      <c r="W3" s="11"/>
      <c r="X3" s="11" t="s">
        <v>65</v>
      </c>
      <c r="Y3" s="11" t="s">
        <v>65</v>
      </c>
      <c r="Z3" s="16" t="s">
        <v>25</v>
      </c>
      <c r="AA3" s="18" t="n">
        <v>0.05</v>
      </c>
      <c r="AB3" s="16" t="s">
        <v>27</v>
      </c>
      <c r="AC3" s="19" t="n">
        <v>0.09975</v>
      </c>
      <c r="AD3" s="11"/>
      <c r="AE3" s="17"/>
    </row>
    <row r="4" customFormat="false" ht="16.4" hidden="false" customHeight="false" outlineLevel="0" collapsed="false">
      <c r="A4" s="9" t="n">
        <v>302</v>
      </c>
      <c r="B4" s="10" t="s">
        <v>66</v>
      </c>
      <c r="C4" s="11" t="s">
        <v>67</v>
      </c>
      <c r="D4" s="11" t="s">
        <v>33</v>
      </c>
      <c r="E4" s="11" t="s">
        <v>68</v>
      </c>
      <c r="F4" s="11" t="s">
        <v>69</v>
      </c>
      <c r="G4" s="11" t="s">
        <v>70</v>
      </c>
      <c r="H4" s="12" t="s">
        <v>71</v>
      </c>
      <c r="I4" s="12" t="s">
        <v>38</v>
      </c>
      <c r="J4" s="11" t="s">
        <v>72</v>
      </c>
      <c r="K4" s="11"/>
      <c r="L4" s="11"/>
      <c r="M4" s="11" t="s">
        <v>42</v>
      </c>
      <c r="N4" s="11"/>
      <c r="O4" s="14"/>
      <c r="P4" s="11"/>
      <c r="Q4" s="15" t="s">
        <v>46</v>
      </c>
      <c r="R4" s="11" t="s">
        <v>73</v>
      </c>
      <c r="S4" s="11" t="s">
        <v>48</v>
      </c>
      <c r="T4" s="13" t="s">
        <v>49</v>
      </c>
      <c r="U4" s="11"/>
      <c r="V4" s="11"/>
      <c r="W4" s="13"/>
      <c r="X4" s="11" t="s">
        <v>50</v>
      </c>
      <c r="Y4" s="11" t="s">
        <v>50</v>
      </c>
      <c r="Z4" s="16"/>
      <c r="AA4" s="11"/>
      <c r="AB4" s="16"/>
      <c r="AC4" s="11"/>
      <c r="AD4" s="11"/>
      <c r="AE4" s="17"/>
    </row>
    <row r="5" customFormat="false" ht="14.25" hidden="false" customHeight="false" outlineLevel="0" collapsed="false">
      <c r="A5" s="9" t="n">
        <v>303</v>
      </c>
      <c r="B5" s="10" t="s">
        <v>74</v>
      </c>
      <c r="C5" s="11" t="s">
        <v>75</v>
      </c>
      <c r="D5" s="11" t="s">
        <v>52</v>
      </c>
      <c r="E5" s="11" t="s">
        <v>76</v>
      </c>
      <c r="F5" s="20" t="s">
        <v>77</v>
      </c>
      <c r="G5" s="11" t="s">
        <v>78</v>
      </c>
      <c r="H5" s="12" t="s">
        <v>79</v>
      </c>
      <c r="I5" s="11" t="s">
        <v>80</v>
      </c>
      <c r="J5" s="11" t="s">
        <v>81</v>
      </c>
      <c r="K5" s="11"/>
      <c r="L5" s="11"/>
      <c r="M5" s="11" t="s">
        <v>60</v>
      </c>
      <c r="N5" s="11"/>
      <c r="O5" s="14"/>
      <c r="P5" s="11"/>
      <c r="Q5" s="15" t="s">
        <v>46</v>
      </c>
      <c r="R5" s="11" t="s">
        <v>47</v>
      </c>
      <c r="S5" s="11"/>
      <c r="T5" s="11"/>
      <c r="U5" s="11"/>
      <c r="V5" s="11"/>
      <c r="W5" s="11"/>
      <c r="X5" s="11" t="s">
        <v>50</v>
      </c>
      <c r="Y5" s="11" t="s">
        <v>50</v>
      </c>
      <c r="Z5" s="16"/>
      <c r="AA5" s="11"/>
      <c r="AB5" s="16"/>
      <c r="AC5" s="11"/>
      <c r="AD5" s="11"/>
      <c r="AE5" s="17"/>
    </row>
    <row r="6" customFormat="false" ht="16.4" hidden="false" customHeight="false" outlineLevel="0" collapsed="false">
      <c r="A6" s="9" t="n">
        <v>304</v>
      </c>
      <c r="B6" s="10" t="s">
        <v>82</v>
      </c>
      <c r="C6" s="11" t="s">
        <v>83</v>
      </c>
      <c r="D6" s="11" t="s">
        <v>52</v>
      </c>
      <c r="E6" s="11" t="s">
        <v>84</v>
      </c>
      <c r="F6" s="11" t="s">
        <v>85</v>
      </c>
      <c r="G6" s="11" t="s">
        <v>55</v>
      </c>
      <c r="H6" s="12" t="s">
        <v>86</v>
      </c>
      <c r="I6" s="11" t="s">
        <v>57</v>
      </c>
      <c r="J6" s="11" t="s">
        <v>87</v>
      </c>
      <c r="K6" s="11"/>
      <c r="L6" s="11" t="s">
        <v>88</v>
      </c>
      <c r="M6" s="11" t="s">
        <v>60</v>
      </c>
      <c r="N6" s="13" t="s">
        <v>89</v>
      </c>
      <c r="O6" s="14" t="s">
        <v>90</v>
      </c>
      <c r="P6" s="11"/>
      <c r="Q6" s="15" t="s">
        <v>46</v>
      </c>
      <c r="R6" s="11" t="s">
        <v>64</v>
      </c>
      <c r="S6" s="11"/>
      <c r="T6" s="11"/>
      <c r="U6" s="11"/>
      <c r="V6" s="11"/>
      <c r="W6" s="11"/>
      <c r="X6" s="11" t="s">
        <v>65</v>
      </c>
      <c r="Y6" s="11" t="s">
        <v>65</v>
      </c>
      <c r="Z6" s="16" t="s">
        <v>25</v>
      </c>
      <c r="AA6" s="18" t="n">
        <v>0.05</v>
      </c>
      <c r="AB6" s="16" t="s">
        <v>27</v>
      </c>
      <c r="AC6" s="19" t="n">
        <v>0.09975</v>
      </c>
      <c r="AD6" s="11"/>
      <c r="AE6" s="17"/>
    </row>
    <row r="7" customFormat="false" ht="14.25" hidden="false" customHeight="false" outlineLevel="0" collapsed="false">
      <c r="A7" s="9" t="n">
        <v>305</v>
      </c>
      <c r="B7" s="10" t="s">
        <v>91</v>
      </c>
      <c r="C7" s="11" t="s">
        <v>92</v>
      </c>
      <c r="D7" s="11" t="s">
        <v>33</v>
      </c>
      <c r="E7" s="11" t="s">
        <v>93</v>
      </c>
      <c r="F7" s="21" t="s">
        <v>94</v>
      </c>
      <c r="G7" s="21" t="s">
        <v>95</v>
      </c>
      <c r="H7" s="21" t="s">
        <v>96</v>
      </c>
      <c r="I7" s="11" t="s">
        <v>97</v>
      </c>
      <c r="J7" s="11" t="s">
        <v>98</v>
      </c>
      <c r="K7" s="11"/>
      <c r="L7" s="11"/>
      <c r="M7" s="11" t="s">
        <v>42</v>
      </c>
      <c r="N7" s="11"/>
      <c r="O7" s="14"/>
      <c r="P7" s="11"/>
      <c r="Q7" s="15" t="s">
        <v>46</v>
      </c>
      <c r="R7" s="11" t="s">
        <v>99</v>
      </c>
      <c r="S7" s="11"/>
      <c r="T7" s="11"/>
      <c r="U7" s="11"/>
      <c r="V7" s="11"/>
      <c r="W7" s="11"/>
      <c r="X7" s="11" t="s">
        <v>50</v>
      </c>
      <c r="Y7" s="11" t="s">
        <v>50</v>
      </c>
      <c r="Z7" s="16"/>
      <c r="AA7" s="11"/>
      <c r="AB7" s="16"/>
      <c r="AC7" s="11"/>
      <c r="AD7" s="11"/>
      <c r="AE7" s="17"/>
    </row>
    <row r="8" customFormat="false" ht="16.4" hidden="false" customHeight="false" outlineLevel="0" collapsed="false">
      <c r="A8" s="9" t="n">
        <v>306</v>
      </c>
      <c r="B8" s="10" t="s">
        <v>100</v>
      </c>
      <c r="C8" s="11" t="s">
        <v>100</v>
      </c>
      <c r="D8" s="11" t="s">
        <v>52</v>
      </c>
      <c r="E8" s="11" t="s">
        <v>101</v>
      </c>
      <c r="F8" s="11" t="s">
        <v>102</v>
      </c>
      <c r="G8" s="11" t="s">
        <v>55</v>
      </c>
      <c r="H8" s="12" t="s">
        <v>103</v>
      </c>
      <c r="I8" s="11" t="s">
        <v>57</v>
      </c>
      <c r="J8" s="11" t="s">
        <v>104</v>
      </c>
      <c r="K8" s="11"/>
      <c r="L8" s="11" t="s">
        <v>105</v>
      </c>
      <c r="M8" s="11" t="s">
        <v>60</v>
      </c>
      <c r="N8" s="13" t="s">
        <v>106</v>
      </c>
      <c r="O8" s="14" t="s">
        <v>107</v>
      </c>
      <c r="P8" s="11" t="s">
        <v>108</v>
      </c>
      <c r="Q8" s="15" t="s">
        <v>46</v>
      </c>
      <c r="R8" s="11" t="s">
        <v>64</v>
      </c>
      <c r="S8" s="11"/>
      <c r="T8" s="11"/>
      <c r="U8" s="11"/>
      <c r="V8" s="11" t="s">
        <v>109</v>
      </c>
      <c r="W8" s="11"/>
      <c r="X8" s="11" t="s">
        <v>65</v>
      </c>
      <c r="Y8" s="11" t="s">
        <v>65</v>
      </c>
      <c r="Z8" s="16" t="s">
        <v>25</v>
      </c>
      <c r="AA8" s="18" t="n">
        <v>0.05</v>
      </c>
      <c r="AB8" s="16" t="s">
        <v>27</v>
      </c>
      <c r="AC8" s="19" t="n">
        <v>0.09975</v>
      </c>
      <c r="AD8" s="11"/>
      <c r="AE8" s="17"/>
    </row>
    <row r="9" customFormat="false" ht="16.4" hidden="false" customHeight="false" outlineLevel="0" collapsed="false">
      <c r="A9" s="9" t="n">
        <v>307</v>
      </c>
      <c r="B9" s="10" t="s">
        <v>110</v>
      </c>
      <c r="C9" s="11" t="s">
        <v>111</v>
      </c>
      <c r="D9" s="11" t="s">
        <v>52</v>
      </c>
      <c r="E9" s="11" t="s">
        <v>112</v>
      </c>
      <c r="F9" s="21" t="s">
        <v>113</v>
      </c>
      <c r="G9" s="21" t="s">
        <v>55</v>
      </c>
      <c r="H9" s="21" t="s">
        <v>114</v>
      </c>
      <c r="I9" s="11" t="s">
        <v>57</v>
      </c>
      <c r="J9" s="11"/>
      <c r="K9" s="11"/>
      <c r="L9" s="11"/>
      <c r="M9" s="11" t="s">
        <v>60</v>
      </c>
      <c r="N9" s="13" t="s">
        <v>115</v>
      </c>
      <c r="O9" s="22"/>
      <c r="P9" s="13" t="s">
        <v>116</v>
      </c>
      <c r="Q9" s="15" t="s">
        <v>46</v>
      </c>
      <c r="R9" s="11" t="s">
        <v>47</v>
      </c>
      <c r="S9" s="11"/>
      <c r="T9" s="11"/>
      <c r="U9" s="11"/>
      <c r="V9" s="11"/>
      <c r="W9" s="11" t="s">
        <v>117</v>
      </c>
      <c r="X9" s="11" t="s">
        <v>50</v>
      </c>
      <c r="Y9" s="11" t="s">
        <v>50</v>
      </c>
      <c r="Z9" s="16" t="s">
        <v>25</v>
      </c>
      <c r="AA9" s="11" t="n">
        <v>0.05</v>
      </c>
      <c r="AB9" s="16" t="s">
        <v>27</v>
      </c>
      <c r="AC9" s="11" t="n">
        <v>0.09975</v>
      </c>
      <c r="AD9" s="11"/>
      <c r="AE9" s="17"/>
    </row>
    <row r="10" customFormat="false" ht="16.4" hidden="false" customHeight="false" outlineLevel="0" collapsed="false">
      <c r="A10" s="9" t="n">
        <v>308</v>
      </c>
      <c r="B10" s="10" t="s">
        <v>118</v>
      </c>
      <c r="C10" s="11" t="s">
        <v>118</v>
      </c>
      <c r="D10" s="11" t="s">
        <v>52</v>
      </c>
      <c r="E10" s="11" t="s">
        <v>119</v>
      </c>
      <c r="F10" s="11" t="s">
        <v>120</v>
      </c>
      <c r="G10" s="11" t="s">
        <v>55</v>
      </c>
      <c r="H10" s="12" t="s">
        <v>121</v>
      </c>
      <c r="I10" s="11" t="s">
        <v>57</v>
      </c>
      <c r="J10" s="15" t="s">
        <v>122</v>
      </c>
      <c r="K10" s="11"/>
      <c r="L10" s="11" t="s">
        <v>123</v>
      </c>
      <c r="M10" s="11" t="s">
        <v>60</v>
      </c>
      <c r="N10" s="11"/>
      <c r="O10" s="13" t="s">
        <v>62</v>
      </c>
      <c r="P10" s="13"/>
      <c r="Q10" s="11" t="s">
        <v>63</v>
      </c>
      <c r="R10" s="11" t="s">
        <v>64</v>
      </c>
      <c r="S10" s="11"/>
      <c r="T10" s="11"/>
      <c r="U10" s="11"/>
      <c r="V10" s="11"/>
      <c r="W10" s="11"/>
      <c r="X10" s="11" t="s">
        <v>65</v>
      </c>
      <c r="Y10" s="11" t="s">
        <v>65</v>
      </c>
      <c r="Z10" s="16" t="s">
        <v>25</v>
      </c>
      <c r="AA10" s="18" t="n">
        <v>0.05</v>
      </c>
      <c r="AB10" s="16" t="s">
        <v>27</v>
      </c>
      <c r="AC10" s="19" t="n">
        <v>0.09975</v>
      </c>
      <c r="AD10" s="11"/>
      <c r="AE10" s="17"/>
    </row>
    <row r="11" customFormat="false" ht="16.4" hidden="false" customHeight="false" outlineLevel="0" collapsed="false">
      <c r="A11" s="9" t="n">
        <v>309</v>
      </c>
      <c r="B11" s="10" t="s">
        <v>124</v>
      </c>
      <c r="C11" s="10" t="s">
        <v>124</v>
      </c>
      <c r="D11" s="11" t="s">
        <v>52</v>
      </c>
      <c r="E11" s="11" t="s">
        <v>125</v>
      </c>
      <c r="F11" s="21" t="s">
        <v>126</v>
      </c>
      <c r="G11" s="21" t="s">
        <v>55</v>
      </c>
      <c r="H11" s="21" t="s">
        <v>127</v>
      </c>
      <c r="I11" s="11" t="s">
        <v>57</v>
      </c>
      <c r="J11" s="11" t="s">
        <v>128</v>
      </c>
      <c r="K11" s="11" t="s">
        <v>129</v>
      </c>
      <c r="L11" s="11" t="s">
        <v>130</v>
      </c>
      <c r="M11" s="11" t="s">
        <v>60</v>
      </c>
      <c r="N11" s="13" t="s">
        <v>131</v>
      </c>
      <c r="O11" s="14" t="s">
        <v>132</v>
      </c>
      <c r="P11" s="11" t="s">
        <v>133</v>
      </c>
      <c r="Q11" s="15" t="s">
        <v>46</v>
      </c>
      <c r="R11" s="11" t="s">
        <v>47</v>
      </c>
      <c r="S11" s="11"/>
      <c r="T11" s="11"/>
      <c r="U11" s="11"/>
      <c r="V11" s="11"/>
      <c r="W11" s="11"/>
      <c r="X11" s="11" t="s">
        <v>50</v>
      </c>
      <c r="Y11" s="11" t="s">
        <v>50</v>
      </c>
      <c r="Z11" s="16" t="s">
        <v>25</v>
      </c>
      <c r="AA11" s="11" t="n">
        <v>0.05</v>
      </c>
      <c r="AB11" s="16" t="s">
        <v>27</v>
      </c>
      <c r="AC11" s="11" t="n">
        <v>0.09975</v>
      </c>
      <c r="AD11" s="11"/>
      <c r="AE11" s="17"/>
    </row>
    <row r="12" customFormat="false" ht="16.4" hidden="false" customHeight="false" outlineLevel="0" collapsed="false">
      <c r="A12" s="9" t="n">
        <v>310</v>
      </c>
      <c r="B12" s="10" t="s">
        <v>134</v>
      </c>
      <c r="C12" s="11" t="s">
        <v>135</v>
      </c>
      <c r="D12" s="11" t="s">
        <v>52</v>
      </c>
      <c r="E12" s="11" t="s">
        <v>136</v>
      </c>
      <c r="F12" s="11" t="s">
        <v>113</v>
      </c>
      <c r="G12" s="11" t="s">
        <v>55</v>
      </c>
      <c r="H12" s="12" t="s">
        <v>137</v>
      </c>
      <c r="I12" s="11" t="s">
        <v>57</v>
      </c>
      <c r="J12" s="23" t="s">
        <v>138</v>
      </c>
      <c r="K12" s="11" t="s">
        <v>139</v>
      </c>
      <c r="L12" s="11" t="s">
        <v>140</v>
      </c>
      <c r="M12" s="11" t="s">
        <v>60</v>
      </c>
      <c r="N12" s="13" t="s">
        <v>138</v>
      </c>
      <c r="O12" s="13" t="s">
        <v>62</v>
      </c>
      <c r="P12" s="13" t="s">
        <v>138</v>
      </c>
      <c r="Q12" s="11" t="s">
        <v>63</v>
      </c>
      <c r="R12" s="11" t="s">
        <v>47</v>
      </c>
      <c r="S12" s="11"/>
      <c r="T12" s="11"/>
      <c r="U12" s="11"/>
      <c r="V12" s="11" t="s">
        <v>109</v>
      </c>
      <c r="W12" s="11"/>
      <c r="X12" s="11" t="s">
        <v>65</v>
      </c>
      <c r="Y12" s="11" t="s">
        <v>65</v>
      </c>
      <c r="Z12" s="16" t="s">
        <v>25</v>
      </c>
      <c r="AA12" s="18" t="n">
        <v>0.05</v>
      </c>
      <c r="AB12" s="16" t="s">
        <v>27</v>
      </c>
      <c r="AC12" s="19" t="n">
        <v>0.09975</v>
      </c>
      <c r="AD12" s="11"/>
      <c r="AE12" s="17"/>
    </row>
    <row r="13" customFormat="false" ht="16.4" hidden="false" customHeight="false" outlineLevel="0" collapsed="false">
      <c r="A13" s="9" t="n">
        <v>311</v>
      </c>
      <c r="B13" s="24" t="s">
        <v>141</v>
      </c>
      <c r="C13" s="15" t="s">
        <v>142</v>
      </c>
      <c r="D13" s="15" t="s">
        <v>52</v>
      </c>
      <c r="E13" s="15" t="s">
        <v>143</v>
      </c>
      <c r="F13" s="25" t="s">
        <v>144</v>
      </c>
      <c r="G13" s="11" t="s">
        <v>55</v>
      </c>
      <c r="H13" s="2" t="s">
        <v>145</v>
      </c>
      <c r="I13" s="15" t="s">
        <v>57</v>
      </c>
      <c r="J13" s="15" t="s">
        <v>146</v>
      </c>
      <c r="L13" s="15" t="s">
        <v>147</v>
      </c>
      <c r="M13" s="11" t="s">
        <v>60</v>
      </c>
      <c r="N13" s="23" t="s">
        <v>148</v>
      </c>
      <c r="O13" s="13" t="s">
        <v>149</v>
      </c>
      <c r="P13" s="23" t="s">
        <v>150</v>
      </c>
      <c r="Q13" s="11" t="s">
        <v>63</v>
      </c>
      <c r="R13" s="11" t="s">
        <v>64</v>
      </c>
      <c r="V13" s="11" t="s">
        <v>109</v>
      </c>
      <c r="X13" s="11" t="s">
        <v>65</v>
      </c>
      <c r="Y13" s="11" t="s">
        <v>65</v>
      </c>
      <c r="Z13" s="16" t="s">
        <v>25</v>
      </c>
      <c r="AA13" s="18" t="n">
        <v>0.05</v>
      </c>
      <c r="AB13" s="16" t="s">
        <v>27</v>
      </c>
      <c r="AC13" s="19" t="n">
        <v>0.09975</v>
      </c>
    </row>
    <row r="14" customFormat="false" ht="16.4" hidden="false" customHeight="false" outlineLevel="0" collapsed="false">
      <c r="A14" s="9" t="n">
        <v>312</v>
      </c>
      <c r="B14" s="24" t="s">
        <v>151</v>
      </c>
      <c r="C14" s="15" t="s">
        <v>151</v>
      </c>
      <c r="D14" s="15" t="s">
        <v>52</v>
      </c>
      <c r="E14" s="15" t="s">
        <v>152</v>
      </c>
      <c r="F14" s="15" t="s">
        <v>153</v>
      </c>
      <c r="G14" s="11" t="s">
        <v>55</v>
      </c>
      <c r="H14" s="2" t="s">
        <v>154</v>
      </c>
      <c r="I14" s="15" t="s">
        <v>57</v>
      </c>
      <c r="J14" s="15" t="s">
        <v>155</v>
      </c>
      <c r="L14" s="11" t="s">
        <v>156</v>
      </c>
      <c r="M14" s="11" t="s">
        <v>60</v>
      </c>
      <c r="N14" s="13" t="s">
        <v>157</v>
      </c>
      <c r="O14" s="13" t="s">
        <v>158</v>
      </c>
      <c r="P14" s="11" t="s">
        <v>159</v>
      </c>
      <c r="Q14" s="11" t="s">
        <v>63</v>
      </c>
      <c r="R14" s="11" t="s">
        <v>64</v>
      </c>
      <c r="V14" s="11" t="s">
        <v>109</v>
      </c>
      <c r="X14" s="11" t="s">
        <v>65</v>
      </c>
      <c r="Y14" s="11" t="s">
        <v>65</v>
      </c>
      <c r="Z14" s="16" t="s">
        <v>25</v>
      </c>
      <c r="AA14" s="18" t="n">
        <v>0.05</v>
      </c>
      <c r="AB14" s="16" t="s">
        <v>27</v>
      </c>
      <c r="AC14" s="19" t="n">
        <v>0.09975</v>
      </c>
    </row>
    <row r="15" customFormat="false" ht="16.4" hidden="false" customHeight="false" outlineLevel="0" collapsed="false">
      <c r="A15" s="9" t="n">
        <v>313</v>
      </c>
      <c r="B15" s="24" t="s">
        <v>160</v>
      </c>
      <c r="C15" s="15" t="s">
        <v>161</v>
      </c>
      <c r="D15" s="15" t="s">
        <v>52</v>
      </c>
      <c r="E15" s="15" t="s">
        <v>162</v>
      </c>
      <c r="F15" s="15" t="s">
        <v>163</v>
      </c>
      <c r="G15" s="11" t="s">
        <v>55</v>
      </c>
      <c r="H15" s="2" t="s">
        <v>164</v>
      </c>
      <c r="I15" s="15" t="s">
        <v>57</v>
      </c>
      <c r="J15" s="15" t="s">
        <v>165</v>
      </c>
      <c r="K15" s="15" t="s">
        <v>166</v>
      </c>
      <c r="L15" s="15" t="s">
        <v>167</v>
      </c>
      <c r="M15" s="11" t="s">
        <v>60</v>
      </c>
      <c r="N15" s="11" t="s">
        <v>168</v>
      </c>
      <c r="O15" s="13" t="s">
        <v>169</v>
      </c>
      <c r="P15" s="13" t="s">
        <v>170</v>
      </c>
      <c r="Q15" s="11" t="s">
        <v>63</v>
      </c>
      <c r="R15" s="11" t="s">
        <v>64</v>
      </c>
      <c r="X15" s="11" t="s">
        <v>65</v>
      </c>
      <c r="Y15" s="11" t="s">
        <v>65</v>
      </c>
      <c r="Z15" s="16" t="s">
        <v>25</v>
      </c>
      <c r="AA15" s="18" t="n">
        <v>0.05</v>
      </c>
      <c r="AB15" s="16" t="s">
        <v>27</v>
      </c>
      <c r="AC15" s="19" t="n">
        <v>0.09975</v>
      </c>
    </row>
    <row r="16" customFormat="false" ht="14.25" hidden="false" customHeight="false" outlineLevel="0" collapsed="false">
      <c r="A16" s="9" t="n">
        <v>314</v>
      </c>
      <c r="B16" s="24" t="s">
        <v>171</v>
      </c>
      <c r="C16" s="15" t="s">
        <v>172</v>
      </c>
      <c r="D16" s="15" t="s">
        <v>52</v>
      </c>
      <c r="E16" s="15" t="s">
        <v>173</v>
      </c>
      <c r="F16" s="15" t="s">
        <v>174</v>
      </c>
      <c r="G16" s="11" t="s">
        <v>55</v>
      </c>
      <c r="H16" s="2" t="s">
        <v>175</v>
      </c>
      <c r="I16" s="15" t="s">
        <v>57</v>
      </c>
      <c r="J16" s="15" t="s">
        <v>176</v>
      </c>
      <c r="K16" s="15" t="s">
        <v>177</v>
      </c>
      <c r="L16" s="26"/>
      <c r="M16" s="11" t="s">
        <v>60</v>
      </c>
      <c r="N16" s="11"/>
      <c r="O16" s="22"/>
      <c r="P16" s="11"/>
      <c r="Q16" s="15" t="s">
        <v>46</v>
      </c>
      <c r="R16" s="11" t="s">
        <v>64</v>
      </c>
      <c r="X16" s="11" t="s">
        <v>65</v>
      </c>
      <c r="Y16" s="11" t="s">
        <v>65</v>
      </c>
      <c r="Z16" s="16" t="s">
        <v>25</v>
      </c>
      <c r="AA16" s="18" t="n">
        <v>0.05</v>
      </c>
      <c r="AB16" s="16" t="s">
        <v>27</v>
      </c>
      <c r="AC16" s="19" t="n">
        <v>0.09975</v>
      </c>
    </row>
    <row r="17" customFormat="false" ht="16.4" hidden="false" customHeight="false" outlineLevel="0" collapsed="false">
      <c r="A17" s="9" t="n">
        <v>315</v>
      </c>
      <c r="B17" s="24" t="s">
        <v>178</v>
      </c>
      <c r="C17" s="15" t="s">
        <v>179</v>
      </c>
      <c r="D17" s="15" t="s">
        <v>33</v>
      </c>
      <c r="E17" s="15" t="s">
        <v>180</v>
      </c>
      <c r="F17" s="15" t="s">
        <v>181</v>
      </c>
      <c r="G17" s="11" t="s">
        <v>55</v>
      </c>
      <c r="H17" s="2" t="s">
        <v>182</v>
      </c>
      <c r="I17" s="15" t="s">
        <v>57</v>
      </c>
      <c r="J17" s="15" t="s">
        <v>183</v>
      </c>
      <c r="L17" s="15" t="s">
        <v>184</v>
      </c>
      <c r="M17" s="11" t="s">
        <v>60</v>
      </c>
      <c r="N17" s="13" t="s">
        <v>185</v>
      </c>
      <c r="O17" s="13" t="s">
        <v>186</v>
      </c>
      <c r="P17" s="13" t="s">
        <v>187</v>
      </c>
      <c r="Q17" s="11" t="s">
        <v>63</v>
      </c>
      <c r="R17" s="11" t="s">
        <v>188</v>
      </c>
      <c r="X17" s="11" t="s">
        <v>65</v>
      </c>
      <c r="Y17" s="11" t="s">
        <v>65</v>
      </c>
      <c r="Z17" s="16" t="s">
        <v>25</v>
      </c>
      <c r="AA17" s="18" t="n">
        <v>0.05</v>
      </c>
      <c r="AB17" s="16" t="s">
        <v>27</v>
      </c>
      <c r="AC17" s="19" t="n">
        <v>0.09975</v>
      </c>
    </row>
    <row r="18" customFormat="false" ht="16.4" hidden="false" customHeight="false" outlineLevel="0" collapsed="false">
      <c r="A18" s="9" t="n">
        <v>316</v>
      </c>
      <c r="B18" s="24" t="s">
        <v>189</v>
      </c>
      <c r="C18" s="15" t="s">
        <v>190</v>
      </c>
      <c r="D18" s="15" t="s">
        <v>52</v>
      </c>
      <c r="E18" s="15" t="s">
        <v>191</v>
      </c>
      <c r="F18" s="15" t="s">
        <v>181</v>
      </c>
      <c r="G18" s="11" t="s">
        <v>55</v>
      </c>
      <c r="H18" s="2" t="s">
        <v>192</v>
      </c>
      <c r="I18" s="15" t="s">
        <v>57</v>
      </c>
      <c r="J18" s="15" t="s">
        <v>193</v>
      </c>
      <c r="K18" s="15" t="s">
        <v>194</v>
      </c>
      <c r="L18" s="15" t="s">
        <v>195</v>
      </c>
      <c r="M18" s="11" t="s">
        <v>60</v>
      </c>
      <c r="N18" s="13" t="s">
        <v>196</v>
      </c>
      <c r="O18" s="13" t="s">
        <v>197</v>
      </c>
      <c r="P18" s="23" t="s">
        <v>198</v>
      </c>
      <c r="Q18" s="11" t="s">
        <v>63</v>
      </c>
      <c r="R18" s="11" t="s">
        <v>64</v>
      </c>
      <c r="X18" s="15" t="s">
        <v>65</v>
      </c>
      <c r="Y18" s="15" t="s">
        <v>65</v>
      </c>
      <c r="Z18" s="16" t="s">
        <v>25</v>
      </c>
      <c r="AA18" s="18" t="n">
        <v>0.05</v>
      </c>
      <c r="AB18" s="16" t="s">
        <v>27</v>
      </c>
      <c r="AC18" s="19" t="n">
        <v>0.09975</v>
      </c>
    </row>
    <row r="19" customFormat="false" ht="16.4" hidden="false" customHeight="false" outlineLevel="0" collapsed="false">
      <c r="A19" s="9" t="n">
        <v>317</v>
      </c>
      <c r="B19" s="24" t="s">
        <v>199</v>
      </c>
      <c r="C19" s="15" t="s">
        <v>199</v>
      </c>
      <c r="D19" s="15" t="s">
        <v>52</v>
      </c>
      <c r="E19" s="15" t="s">
        <v>200</v>
      </c>
      <c r="F19" s="15" t="s">
        <v>113</v>
      </c>
      <c r="G19" s="15" t="s">
        <v>55</v>
      </c>
      <c r="H19" s="2" t="s">
        <v>201</v>
      </c>
      <c r="I19" s="15" t="s">
        <v>57</v>
      </c>
      <c r="J19" s="23" t="s">
        <v>202</v>
      </c>
      <c r="M19" s="11" t="s">
        <v>60</v>
      </c>
      <c r="O19" s="22"/>
      <c r="Q19" s="15" t="s">
        <v>46</v>
      </c>
      <c r="R19" s="15" t="s">
        <v>99</v>
      </c>
      <c r="X19" s="15" t="s">
        <v>65</v>
      </c>
      <c r="Y19" s="15" t="s">
        <v>65</v>
      </c>
      <c r="Z19" s="16" t="s">
        <v>25</v>
      </c>
      <c r="AA19" s="18" t="n">
        <v>0.05</v>
      </c>
      <c r="AB19" s="16" t="s">
        <v>27</v>
      </c>
      <c r="AC19" s="19" t="n">
        <v>0.09975</v>
      </c>
    </row>
    <row r="20" customFormat="false" ht="16.4" hidden="false" customHeight="false" outlineLevel="0" collapsed="false">
      <c r="A20" s="9" t="n">
        <v>318</v>
      </c>
      <c r="B20" s="24" t="s">
        <v>203</v>
      </c>
      <c r="C20" s="15" t="s">
        <v>204</v>
      </c>
      <c r="D20" s="15" t="s">
        <v>52</v>
      </c>
      <c r="E20" s="15" t="s">
        <v>143</v>
      </c>
      <c r="F20" s="25" t="s">
        <v>144</v>
      </c>
      <c r="G20" s="11" t="s">
        <v>55</v>
      </c>
      <c r="H20" s="2" t="s">
        <v>145</v>
      </c>
      <c r="I20" s="15" t="s">
        <v>57</v>
      </c>
      <c r="J20" s="15" t="s">
        <v>205</v>
      </c>
      <c r="L20" s="15" t="s">
        <v>147</v>
      </c>
      <c r="M20" s="11" t="s">
        <v>60</v>
      </c>
      <c r="O20" s="13" t="s">
        <v>149</v>
      </c>
      <c r="Q20" s="15" t="s">
        <v>63</v>
      </c>
      <c r="R20" s="11" t="s">
        <v>64</v>
      </c>
      <c r="X20" s="15" t="s">
        <v>65</v>
      </c>
      <c r="Y20" s="15" t="s">
        <v>65</v>
      </c>
      <c r="Z20" s="16" t="s">
        <v>25</v>
      </c>
      <c r="AA20" s="18" t="n">
        <v>0.05</v>
      </c>
      <c r="AB20" s="16" t="s">
        <v>27</v>
      </c>
      <c r="AC20" s="19" t="n">
        <v>0.09975</v>
      </c>
    </row>
    <row r="21" s="28" customFormat="true" ht="16.4" hidden="false" customHeight="false" outlineLevel="0" collapsed="false">
      <c r="A21" s="9" t="n">
        <v>319</v>
      </c>
      <c r="B21" s="27" t="s">
        <v>206</v>
      </c>
      <c r="C21" s="28" t="s">
        <v>207</v>
      </c>
      <c r="D21" s="28" t="s">
        <v>52</v>
      </c>
      <c r="E21" s="28" t="s">
        <v>208</v>
      </c>
      <c r="F21" s="28" t="s">
        <v>55</v>
      </c>
      <c r="G21" s="28" t="s">
        <v>55</v>
      </c>
      <c r="H21" s="29" t="s">
        <v>209</v>
      </c>
      <c r="I21" s="28" t="s">
        <v>57</v>
      </c>
      <c r="J21" s="28" t="s">
        <v>210</v>
      </c>
      <c r="M21" s="30" t="s">
        <v>60</v>
      </c>
      <c r="N21" s="31" t="s">
        <v>211</v>
      </c>
      <c r="O21" s="32" t="s">
        <v>149</v>
      </c>
      <c r="P21" s="31" t="s">
        <v>211</v>
      </c>
      <c r="Q21" s="28" t="s">
        <v>46</v>
      </c>
      <c r="R21" s="30" t="s">
        <v>211</v>
      </c>
      <c r="X21" s="30" t="s">
        <v>65</v>
      </c>
      <c r="Y21" s="30" t="s">
        <v>65</v>
      </c>
      <c r="Z21" s="30" t="s">
        <v>25</v>
      </c>
      <c r="AA21" s="33" t="n">
        <v>0.05</v>
      </c>
      <c r="AB21" s="30" t="s">
        <v>27</v>
      </c>
      <c r="AC21" s="34" t="n">
        <v>0.09975</v>
      </c>
    </row>
    <row r="22" customFormat="false" ht="16.4" hidden="false" customHeight="false" outlineLevel="0" collapsed="false">
      <c r="A22" s="9" t="n">
        <v>320</v>
      </c>
      <c r="B22" s="24" t="s">
        <v>212</v>
      </c>
      <c r="C22" s="15" t="s">
        <v>212</v>
      </c>
      <c r="D22" s="15" t="s">
        <v>52</v>
      </c>
      <c r="E22" s="15" t="s">
        <v>213</v>
      </c>
      <c r="F22" s="15" t="s">
        <v>144</v>
      </c>
      <c r="G22" s="15" t="s">
        <v>55</v>
      </c>
      <c r="H22" s="2" t="s">
        <v>214</v>
      </c>
      <c r="I22" s="15" t="s">
        <v>57</v>
      </c>
      <c r="J22" s="15" t="s">
        <v>215</v>
      </c>
      <c r="M22" s="11" t="s">
        <v>60</v>
      </c>
      <c r="N22" s="23" t="s">
        <v>216</v>
      </c>
      <c r="O22" s="13" t="s">
        <v>217</v>
      </c>
      <c r="Q22" s="15" t="s">
        <v>63</v>
      </c>
      <c r="R22" s="11" t="s">
        <v>64</v>
      </c>
      <c r="X22" s="15" t="s">
        <v>65</v>
      </c>
      <c r="Y22" s="15" t="s">
        <v>65</v>
      </c>
      <c r="Z22" s="16" t="s">
        <v>25</v>
      </c>
      <c r="AA22" s="18" t="n">
        <v>0.05</v>
      </c>
      <c r="AB22" s="16" t="s">
        <v>27</v>
      </c>
      <c r="AC22" s="19" t="n">
        <v>0.09975</v>
      </c>
    </row>
    <row r="23" customFormat="false" ht="14.25" hidden="false" customHeight="false" outlineLevel="0" collapsed="false">
      <c r="A23" s="9" t="n">
        <v>321</v>
      </c>
      <c r="B23" s="24" t="s">
        <v>218</v>
      </c>
      <c r="C23" s="15" t="s">
        <v>218</v>
      </c>
      <c r="D23" s="15" t="s">
        <v>52</v>
      </c>
      <c r="E23" s="15" t="s">
        <v>219</v>
      </c>
      <c r="F23" s="15" t="s">
        <v>220</v>
      </c>
      <c r="G23" s="15" t="s">
        <v>55</v>
      </c>
      <c r="H23" s="2" t="s">
        <v>221</v>
      </c>
      <c r="I23" s="15" t="s">
        <v>57</v>
      </c>
      <c r="M23" s="11" t="s">
        <v>60</v>
      </c>
      <c r="Q23" s="15" t="s">
        <v>46</v>
      </c>
      <c r="X23" s="15" t="s">
        <v>65</v>
      </c>
      <c r="Y23" s="15" t="s">
        <v>65</v>
      </c>
      <c r="Z23" s="16" t="s">
        <v>25</v>
      </c>
      <c r="AA23" s="18" t="n">
        <v>0.05</v>
      </c>
      <c r="AB23" s="16" t="s">
        <v>27</v>
      </c>
      <c r="AC23" s="19" t="n">
        <v>0.09975</v>
      </c>
    </row>
    <row r="24" customFormat="false" ht="16.4" hidden="false" customHeight="false" outlineLevel="0" collapsed="false">
      <c r="A24" s="9" t="n">
        <v>322</v>
      </c>
      <c r="B24" s="24" t="s">
        <v>222</v>
      </c>
      <c r="C24" s="15" t="s">
        <v>223</v>
      </c>
      <c r="D24" s="15" t="s">
        <v>52</v>
      </c>
      <c r="E24" s="15" t="s">
        <v>224</v>
      </c>
      <c r="F24" s="15" t="s">
        <v>225</v>
      </c>
      <c r="G24" s="15" t="s">
        <v>55</v>
      </c>
      <c r="H24" s="2" t="s">
        <v>226</v>
      </c>
      <c r="I24" s="15" t="s">
        <v>57</v>
      </c>
      <c r="J24" s="15" t="s">
        <v>227</v>
      </c>
      <c r="L24" s="15" t="s">
        <v>228</v>
      </c>
      <c r="M24" s="11" t="s">
        <v>60</v>
      </c>
      <c r="N24" s="23" t="s">
        <v>229</v>
      </c>
      <c r="O24" s="13" t="s">
        <v>62</v>
      </c>
      <c r="Q24" s="15" t="s">
        <v>63</v>
      </c>
      <c r="R24" s="11" t="s">
        <v>64</v>
      </c>
      <c r="X24" s="15" t="s">
        <v>65</v>
      </c>
      <c r="Y24" s="15" t="s">
        <v>65</v>
      </c>
      <c r="Z24" s="16" t="s">
        <v>25</v>
      </c>
      <c r="AA24" s="18" t="n">
        <v>0.05</v>
      </c>
      <c r="AB24" s="16" t="s">
        <v>27</v>
      </c>
      <c r="AC24" s="19" t="n">
        <v>0.09975</v>
      </c>
    </row>
    <row r="25" customFormat="false" ht="16.4" hidden="false" customHeight="false" outlineLevel="0" collapsed="false">
      <c r="A25" s="9" t="n">
        <v>323</v>
      </c>
      <c r="B25" s="15" t="s">
        <v>230</v>
      </c>
      <c r="C25" s="15" t="s">
        <v>231</v>
      </c>
      <c r="D25" s="15" t="s">
        <v>52</v>
      </c>
      <c r="E25" s="15" t="s">
        <v>232</v>
      </c>
      <c r="F25" s="15" t="s">
        <v>233</v>
      </c>
      <c r="G25" s="15" t="s">
        <v>55</v>
      </c>
      <c r="H25" s="2" t="s">
        <v>234</v>
      </c>
      <c r="I25" s="15" t="s">
        <v>57</v>
      </c>
      <c r="J25" s="26" t="s">
        <v>235</v>
      </c>
      <c r="L25" s="15" t="s">
        <v>236</v>
      </c>
      <c r="M25" s="11" t="s">
        <v>60</v>
      </c>
      <c r="N25" s="23" t="s">
        <v>237</v>
      </c>
      <c r="O25" s="13" t="s">
        <v>238</v>
      </c>
      <c r="P25" s="23" t="s">
        <v>239</v>
      </c>
      <c r="Q25" s="15" t="s">
        <v>63</v>
      </c>
      <c r="R25" s="11" t="s">
        <v>64</v>
      </c>
      <c r="V25" s="11" t="s">
        <v>240</v>
      </c>
      <c r="X25" s="15" t="s">
        <v>65</v>
      </c>
      <c r="Y25" s="15" t="s">
        <v>65</v>
      </c>
      <c r="Z25" s="16" t="s">
        <v>25</v>
      </c>
      <c r="AA25" s="18" t="n">
        <v>0.05</v>
      </c>
      <c r="AB25" s="16" t="s">
        <v>27</v>
      </c>
      <c r="AC25" s="19" t="n">
        <v>0.09975</v>
      </c>
    </row>
    <row r="26" customFormat="false" ht="16.4" hidden="false" customHeight="false" outlineLevel="0" collapsed="false">
      <c r="A26" s="9" t="n">
        <v>324</v>
      </c>
      <c r="B26" s="15" t="s">
        <v>241</v>
      </c>
      <c r="C26" s="15" t="s">
        <v>231</v>
      </c>
      <c r="D26" s="15" t="s">
        <v>52</v>
      </c>
      <c r="E26" s="15" t="s">
        <v>242</v>
      </c>
      <c r="F26" s="15" t="s">
        <v>233</v>
      </c>
      <c r="G26" s="15" t="s">
        <v>55</v>
      </c>
      <c r="H26" s="2" t="s">
        <v>234</v>
      </c>
      <c r="I26" s="15" t="s">
        <v>57</v>
      </c>
      <c r="J26" s="26" t="s">
        <v>235</v>
      </c>
      <c r="M26" s="11" t="s">
        <v>60</v>
      </c>
      <c r="N26" s="23" t="s">
        <v>237</v>
      </c>
      <c r="O26" s="13" t="s">
        <v>238</v>
      </c>
      <c r="P26" s="23" t="s">
        <v>239</v>
      </c>
      <c r="Q26" s="15" t="s">
        <v>63</v>
      </c>
      <c r="R26" s="11" t="s">
        <v>64</v>
      </c>
      <c r="V26" s="11" t="s">
        <v>240</v>
      </c>
      <c r="X26" s="15" t="s">
        <v>65</v>
      </c>
      <c r="Y26" s="15" t="s">
        <v>65</v>
      </c>
      <c r="Z26" s="16" t="s">
        <v>25</v>
      </c>
      <c r="AA26" s="18" t="n">
        <v>0.05</v>
      </c>
      <c r="AB26" s="16" t="s">
        <v>27</v>
      </c>
      <c r="AC26" s="19" t="n">
        <v>0.09975</v>
      </c>
    </row>
    <row r="27" customFormat="false" ht="16.4" hidden="false" customHeight="false" outlineLevel="0" collapsed="false">
      <c r="A27" s="9" t="n">
        <v>325</v>
      </c>
      <c r="B27" s="15" t="s">
        <v>243</v>
      </c>
      <c r="C27" s="15" t="s">
        <v>244</v>
      </c>
      <c r="D27" s="15" t="s">
        <v>33</v>
      </c>
      <c r="E27" s="15" t="s">
        <v>245</v>
      </c>
      <c r="F27" s="15" t="s">
        <v>246</v>
      </c>
      <c r="G27" s="15" t="s">
        <v>247</v>
      </c>
      <c r="H27" s="2" t="s">
        <v>248</v>
      </c>
      <c r="I27" s="15" t="s">
        <v>38</v>
      </c>
      <c r="J27" s="15" t="s">
        <v>249</v>
      </c>
      <c r="M27" s="15" t="s">
        <v>42</v>
      </c>
      <c r="Q27" s="15" t="s">
        <v>46</v>
      </c>
      <c r="T27" s="13" t="s">
        <v>49</v>
      </c>
      <c r="X27" s="15" t="s">
        <v>50</v>
      </c>
      <c r="Y27" s="15" t="s">
        <v>50</v>
      </c>
    </row>
    <row r="28" customFormat="false" ht="16.4" hidden="false" customHeight="false" outlineLevel="0" collapsed="false">
      <c r="A28" s="9" t="n">
        <v>326</v>
      </c>
      <c r="B28" s="15" t="s">
        <v>250</v>
      </c>
      <c r="C28" s="15" t="s">
        <v>250</v>
      </c>
      <c r="D28" s="15" t="s">
        <v>52</v>
      </c>
      <c r="E28" s="15" t="s">
        <v>251</v>
      </c>
      <c r="F28" s="15" t="s">
        <v>181</v>
      </c>
      <c r="G28" s="15" t="s">
        <v>55</v>
      </c>
      <c r="H28" s="2" t="s">
        <v>252</v>
      </c>
      <c r="I28" s="15" t="s">
        <v>57</v>
      </c>
      <c r="J28" s="15" t="s">
        <v>253</v>
      </c>
      <c r="L28" s="15" t="s">
        <v>254</v>
      </c>
      <c r="M28" s="11" t="s">
        <v>60</v>
      </c>
      <c r="N28" s="23" t="s">
        <v>255</v>
      </c>
      <c r="O28" s="35" t="s">
        <v>256</v>
      </c>
      <c r="P28" s="23" t="s">
        <v>257</v>
      </c>
      <c r="Q28" s="15" t="s">
        <v>46</v>
      </c>
      <c r="R28" s="11" t="s">
        <v>64</v>
      </c>
      <c r="X28" s="15" t="s">
        <v>65</v>
      </c>
      <c r="Y28" s="15" t="s">
        <v>65</v>
      </c>
      <c r="Z28" s="16" t="s">
        <v>25</v>
      </c>
      <c r="AA28" s="18" t="n">
        <v>0.05</v>
      </c>
      <c r="AB28" s="16" t="s">
        <v>27</v>
      </c>
      <c r="AC28" s="19" t="n">
        <v>0.09975</v>
      </c>
    </row>
    <row r="29" customFormat="false" ht="16.4" hidden="false" customHeight="false" outlineLevel="0" collapsed="false">
      <c r="A29" s="9" t="n">
        <v>327</v>
      </c>
      <c r="B29" s="15" t="s">
        <v>258</v>
      </c>
      <c r="C29" s="15" t="s">
        <v>259</v>
      </c>
      <c r="D29" s="15" t="s">
        <v>33</v>
      </c>
      <c r="E29" s="15" t="s">
        <v>260</v>
      </c>
      <c r="F29" s="15" t="s">
        <v>261</v>
      </c>
      <c r="G29" s="15" t="s">
        <v>262</v>
      </c>
      <c r="H29" s="2" t="s">
        <v>263</v>
      </c>
      <c r="I29" s="15" t="s">
        <v>57</v>
      </c>
      <c r="J29" s="15" t="s">
        <v>264</v>
      </c>
      <c r="L29" s="15" t="s">
        <v>265</v>
      </c>
      <c r="M29" s="15" t="s">
        <v>42</v>
      </c>
      <c r="N29" s="15" t="s">
        <v>266</v>
      </c>
      <c r="O29" s="23" t="s">
        <v>62</v>
      </c>
      <c r="P29" s="23" t="s">
        <v>267</v>
      </c>
      <c r="Q29" s="15" t="s">
        <v>63</v>
      </c>
      <c r="R29" s="15" t="s">
        <v>188</v>
      </c>
      <c r="X29" s="15" t="s">
        <v>65</v>
      </c>
      <c r="Y29" s="15" t="s">
        <v>65</v>
      </c>
      <c r="Z29" s="15" t="s">
        <v>268</v>
      </c>
      <c r="AA29" s="36" t="n">
        <v>0.13</v>
      </c>
    </row>
    <row r="30" customFormat="false" ht="16.4" hidden="false" customHeight="false" outlineLevel="0" collapsed="false">
      <c r="A30" s="9" t="n">
        <v>328</v>
      </c>
      <c r="B30" s="15" t="s">
        <v>269</v>
      </c>
      <c r="C30" s="15" t="s">
        <v>270</v>
      </c>
      <c r="D30" s="15" t="s">
        <v>52</v>
      </c>
      <c r="E30" s="15" t="s">
        <v>271</v>
      </c>
      <c r="F30" s="15" t="s">
        <v>272</v>
      </c>
      <c r="G30" s="15" t="s">
        <v>55</v>
      </c>
      <c r="H30" s="2" t="s">
        <v>273</v>
      </c>
      <c r="I30" s="15" t="s">
        <v>57</v>
      </c>
      <c r="J30" s="15" t="s">
        <v>274</v>
      </c>
      <c r="M30" s="11" t="s">
        <v>60</v>
      </c>
      <c r="N30" s="15" t="s">
        <v>275</v>
      </c>
      <c r="O30" s="23" t="s">
        <v>62</v>
      </c>
      <c r="P30" s="35" t="s">
        <v>275</v>
      </c>
      <c r="Q30" s="15" t="s">
        <v>63</v>
      </c>
      <c r="R30" s="11" t="s">
        <v>64</v>
      </c>
      <c r="X30" s="15" t="s">
        <v>65</v>
      </c>
      <c r="Y30" s="15" t="s">
        <v>65</v>
      </c>
      <c r="Z30" s="16" t="s">
        <v>25</v>
      </c>
      <c r="AA30" s="18" t="n">
        <v>0.05</v>
      </c>
      <c r="AB30" s="16" t="s">
        <v>27</v>
      </c>
      <c r="AC30" s="19" t="n">
        <v>0.09975</v>
      </c>
    </row>
    <row r="31" customFormat="false" ht="16.4" hidden="false" customHeight="false" outlineLevel="0" collapsed="false">
      <c r="A31" s="9" t="n">
        <v>329</v>
      </c>
      <c r="B31" s="15" t="s">
        <v>276</v>
      </c>
      <c r="C31" s="15" t="s">
        <v>277</v>
      </c>
      <c r="D31" s="15" t="s">
        <v>52</v>
      </c>
      <c r="E31" s="15" t="s">
        <v>278</v>
      </c>
      <c r="F31" s="15" t="s">
        <v>279</v>
      </c>
      <c r="G31" s="15" t="s">
        <v>55</v>
      </c>
      <c r="H31" s="2" t="s">
        <v>280</v>
      </c>
      <c r="I31" s="15" t="s">
        <v>57</v>
      </c>
      <c r="J31" s="15" t="s">
        <v>281</v>
      </c>
      <c r="L31" s="26"/>
      <c r="M31" s="11" t="s">
        <v>60</v>
      </c>
      <c r="N31" s="23" t="s">
        <v>282</v>
      </c>
      <c r="O31" s="15" t="s">
        <v>62</v>
      </c>
      <c r="Q31" s="15" t="s">
        <v>63</v>
      </c>
      <c r="R31" s="11" t="s">
        <v>64</v>
      </c>
      <c r="X31" s="15" t="s">
        <v>65</v>
      </c>
      <c r="Y31" s="15" t="s">
        <v>65</v>
      </c>
      <c r="Z31" s="16" t="s">
        <v>25</v>
      </c>
      <c r="AA31" s="18" t="n">
        <v>0.05</v>
      </c>
      <c r="AB31" s="16" t="s">
        <v>27</v>
      </c>
      <c r="AC31" s="19" t="n">
        <v>0.09975</v>
      </c>
    </row>
    <row r="32" customFormat="false" ht="16.4" hidden="false" customHeight="false" outlineLevel="0" collapsed="false">
      <c r="A32" s="9" t="n">
        <v>330</v>
      </c>
      <c r="B32" s="15" t="s">
        <v>283</v>
      </c>
      <c r="C32" s="15" t="s">
        <v>283</v>
      </c>
      <c r="D32" s="15" t="s">
        <v>52</v>
      </c>
      <c r="E32" s="15" t="s">
        <v>284</v>
      </c>
      <c r="F32" s="15" t="s">
        <v>85</v>
      </c>
      <c r="G32" s="15" t="s">
        <v>55</v>
      </c>
      <c r="H32" s="2" t="s">
        <v>285</v>
      </c>
      <c r="I32" s="15" t="s">
        <v>57</v>
      </c>
      <c r="J32" s="15" t="s">
        <v>286</v>
      </c>
      <c r="M32" s="11" t="s">
        <v>60</v>
      </c>
      <c r="N32" s="13" t="s">
        <v>62</v>
      </c>
      <c r="O32" s="13" t="s">
        <v>62</v>
      </c>
      <c r="P32" s="13" t="s">
        <v>287</v>
      </c>
      <c r="Q32" s="15" t="s">
        <v>46</v>
      </c>
      <c r="X32" s="15" t="s">
        <v>65</v>
      </c>
      <c r="Y32" s="15" t="s">
        <v>65</v>
      </c>
      <c r="Z32" s="16" t="s">
        <v>25</v>
      </c>
      <c r="AA32" s="18" t="n">
        <v>0.05</v>
      </c>
      <c r="AB32" s="16" t="s">
        <v>27</v>
      </c>
      <c r="AC32" s="19" t="n">
        <v>0.09975</v>
      </c>
    </row>
    <row r="33" customFormat="false" ht="16.4" hidden="false" customHeight="false" outlineLevel="0" collapsed="false">
      <c r="A33" s="9" t="n">
        <v>331</v>
      </c>
      <c r="B33" s="15" t="s">
        <v>288</v>
      </c>
      <c r="C33" s="15" t="s">
        <v>288</v>
      </c>
      <c r="D33" s="15" t="s">
        <v>52</v>
      </c>
      <c r="E33" s="15" t="s">
        <v>289</v>
      </c>
      <c r="F33" s="15" t="s">
        <v>163</v>
      </c>
      <c r="G33" s="15" t="s">
        <v>55</v>
      </c>
      <c r="H33" s="2" t="s">
        <v>290</v>
      </c>
      <c r="I33" s="15" t="s">
        <v>57</v>
      </c>
      <c r="J33" s="15" t="s">
        <v>291</v>
      </c>
      <c r="M33" s="11" t="s">
        <v>60</v>
      </c>
      <c r="N33" s="23" t="s">
        <v>292</v>
      </c>
      <c r="O33" s="23" t="s">
        <v>292</v>
      </c>
      <c r="P33" s="23" t="s">
        <v>292</v>
      </c>
      <c r="Q33" s="15" t="s">
        <v>46</v>
      </c>
      <c r="X33" s="15" t="s">
        <v>65</v>
      </c>
      <c r="Y33" s="15" t="s">
        <v>65</v>
      </c>
      <c r="Z33" s="16" t="s">
        <v>25</v>
      </c>
      <c r="AA33" s="18" t="n">
        <v>0.05</v>
      </c>
      <c r="AB33" s="16" t="s">
        <v>27</v>
      </c>
      <c r="AC33" s="19" t="n">
        <v>0.09975</v>
      </c>
    </row>
    <row r="34" customFormat="false" ht="14.25" hidden="false" customHeight="false" outlineLevel="0" collapsed="false">
      <c r="A34" s="9" t="n">
        <v>332</v>
      </c>
      <c r="B34" s="15" t="s">
        <v>293</v>
      </c>
      <c r="C34" s="15" t="s">
        <v>293</v>
      </c>
      <c r="D34" s="15" t="s">
        <v>52</v>
      </c>
    </row>
    <row r="35" customFormat="false" ht="14.25" hidden="false" customHeight="false" outlineLevel="0" collapsed="false">
      <c r="A35" s="9" t="n">
        <v>333</v>
      </c>
      <c r="B35" s="15" t="s">
        <v>294</v>
      </c>
      <c r="C35" s="15" t="s">
        <v>294</v>
      </c>
      <c r="D35" s="15" t="s">
        <v>52</v>
      </c>
    </row>
    <row r="36" customFormat="false" ht="14.25" hidden="false" customHeight="false" outlineLevel="0" collapsed="false">
      <c r="A36" s="9" t="n">
        <v>334</v>
      </c>
      <c r="B36" s="15" t="s">
        <v>92</v>
      </c>
      <c r="C36" s="15" t="s">
        <v>295</v>
      </c>
      <c r="D36" s="15" t="s">
        <v>33</v>
      </c>
      <c r="M36" s="11"/>
      <c r="N36" s="13"/>
      <c r="O36" s="13"/>
    </row>
    <row r="37" customFormat="false" ht="16.4" hidden="false" customHeight="false" outlineLevel="0" collapsed="false">
      <c r="A37" s="9" t="n">
        <v>335</v>
      </c>
      <c r="B37" s="15" t="s">
        <v>296</v>
      </c>
      <c r="C37" s="15" t="s">
        <v>297</v>
      </c>
      <c r="D37" s="15" t="s">
        <v>52</v>
      </c>
      <c r="E37" s="15" t="s">
        <v>298</v>
      </c>
      <c r="F37" s="15" t="s">
        <v>279</v>
      </c>
      <c r="G37" s="15" t="s">
        <v>55</v>
      </c>
      <c r="H37" s="2" t="s">
        <v>280</v>
      </c>
      <c r="I37" s="15" t="s">
        <v>57</v>
      </c>
      <c r="J37" s="23" t="s">
        <v>299</v>
      </c>
      <c r="L37" s="15" t="s">
        <v>300</v>
      </c>
      <c r="M37" s="11" t="s">
        <v>60</v>
      </c>
      <c r="N37" s="13" t="s">
        <v>301</v>
      </c>
      <c r="O37" s="13" t="s">
        <v>302</v>
      </c>
      <c r="P37" s="23" t="s">
        <v>303</v>
      </c>
      <c r="Q37" s="15" t="s">
        <v>63</v>
      </c>
      <c r="R37" s="11" t="s">
        <v>64</v>
      </c>
      <c r="V37" s="11" t="s">
        <v>109</v>
      </c>
      <c r="X37" s="15" t="s">
        <v>65</v>
      </c>
      <c r="Y37" s="15" t="s">
        <v>65</v>
      </c>
      <c r="Z37" s="16" t="s">
        <v>25</v>
      </c>
      <c r="AA37" s="18" t="n">
        <v>0.05</v>
      </c>
      <c r="AB37" s="16" t="s">
        <v>27</v>
      </c>
      <c r="AC37" s="19" t="n">
        <v>0.09975</v>
      </c>
    </row>
  </sheetData>
  <autoFilter ref="B1:AE29"/>
  <dataValidations count="3">
    <dataValidation allowBlank="true" errorStyle="stop" operator="between" showDropDown="false" showErrorMessage="true" showInputMessage="true" sqref="X2:Y10 X12:Y13 X21:Y21" type="list">
      <formula1>"USD,CAD,EUR,GBP"</formula1>
      <formula2>0</formula2>
    </dataValidation>
    <dataValidation allowBlank="true" errorStyle="stop" operator="between" showDropDown="false" showErrorMessage="true" showInputMessage="true" sqref="Z2:Z26 Z28 Z30:Z33 Z37" type="list">
      <formula1>"TPS,GST"</formula1>
      <formula2>0</formula2>
    </dataValidation>
    <dataValidation allowBlank="true" errorStyle="stop" operator="between" showDropDown="false" showErrorMessage="true" showInputMessage="true" sqref="AB2:AB26 AB28 AB30:AB33 AB37" type="list">
      <formula1>"TVQ,QST"</formula1>
      <formula2>0</formula2>
    </dataValidation>
  </dataValidations>
  <hyperlinks>
    <hyperlink ref="N2" r:id="rId1" display="perry.johnson@digi.us"/>
    <hyperlink ref="O2" r:id="rId2" display="eric.cook@digi.us; dan.cahill@digi.us"/>
    <hyperlink ref="P2" r:id="rId3" display="accountingdai@us.digi-group.com"/>
    <hyperlink ref="T2" r:id="rId4" display="actionworldwide@agotrans.com / 518-297-6600"/>
    <hyperlink ref="N3" r:id="rId5" display="bsaint-gaudens@lelys.com"/>
    <hyperlink ref="O3" r:id="rId6" display="laurent.desjardins@labeledge.com"/>
    <hyperlink ref="T4" r:id="rId7" display="actionworldwide@agotrans.com / 518-297-6600"/>
    <hyperlink ref="N6" r:id="rId8" display="jeremy.boursier@labelink.ca"/>
    <hyperlink ref="O6" r:id="rId9" display="victor@labelink.ca"/>
    <hyperlink ref="N8" r:id="rId10" display="admin@etiquettesrivesud.com;"/>
    <hyperlink ref="O8" r:id="rId11" display="comptable@etiquettesrivesud.com"/>
    <hyperlink ref="N9" r:id="rId12" display="achat@produlith.com"/>
    <hyperlink ref="P9" r:id="rId13" display="fournisseurs@produlith.com"/>
    <hyperlink ref="O10" r:id="rId14" display="laurent.desjardins@labeledge.com"/>
    <hyperlink ref="N11" r:id="rId15" display="mp@impsj.com"/>
    <hyperlink ref="O11" r:id="rId16" display="vtremblay@impsj.com; vboivin@impsj.com"/>
    <hyperlink ref="J12" r:id="rId17" display="comptabilite@lusoflex.com"/>
    <hyperlink ref="N12" r:id="rId18" display="comptabilite@lusoflex.com"/>
    <hyperlink ref="O12" r:id="rId19" display="laurent.desjardins@labeledge.com"/>
    <hyperlink ref="P12" r:id="rId20" display="comptabilite@lusoflex.com"/>
    <hyperlink ref="N13" r:id="rId21" display="info@multi-flex.com; pierre@multi-flex.com"/>
    <hyperlink ref="O13" r:id="rId22" display="laurent.desjardins@labeledge.com; info@multi-flex.com"/>
    <hyperlink ref="P13" r:id="rId23" display="acomptable@multi-flex.com"/>
    <hyperlink ref="N14" r:id="rId24" display="achats@visuascan.com;"/>
    <hyperlink ref="O14" r:id="rId25" display="laurent.desjardins@labeledge.com; alain.nuckle@peaktech.com"/>
    <hyperlink ref="O15" r:id="rId26" display="laurent.desjardins@labeledge.com; tdivalerio@etiquettescorsair.com"/>
    <hyperlink ref="P15" r:id="rId27" display="melissa@etiquettescorsair.com"/>
    <hyperlink ref="N17" r:id="rId28" display="david@mijolabel.com;"/>
    <hyperlink ref="O17" r:id="rId29" display="laurent.desjardins@labeledge.com ; david@mijolabel.com"/>
    <hyperlink ref="P17" r:id="rId30" display="info@mijolabel.com"/>
    <hyperlink ref="N18" r:id="rId31" display="lino@fantasiagraphics.com"/>
    <hyperlink ref="O18" r:id="rId32" display="laurent.desjardins@labeledge.com; lino@fantasiagraphics.com"/>
    <hyperlink ref="P18" r:id="rId33" display="accounting@fantasiagraphics.com"/>
    <hyperlink ref="J19" r:id="rId34" display="frederic.labrie@labeledge.com"/>
    <hyperlink ref="O20" r:id="rId35" display="laurent.desjardins@labeledge.com; info@multi-flex.com"/>
    <hyperlink ref="O21" r:id="rId36" display="laurent.desjardins@labeledge.com; info@multi-flex.com"/>
    <hyperlink ref="N22" r:id="rId37" display="info@amstik.com"/>
    <hyperlink ref="O22" r:id="rId38" display="laurent.desjardins@labeledge.com;"/>
    <hyperlink ref="J24" r:id="rId39" display="514-329-4432 - production@enationale.ca"/>
    <hyperlink ref="N24" r:id="rId40" display="production@enationale.ca"/>
    <hyperlink ref="O24" r:id="rId41" display="laurent.desjardins@labeledge.com"/>
    <hyperlink ref="N25" r:id="rId42" display="bnuckle@damaflex.com;"/>
    <hyperlink ref="O25" r:id="rId43" display="laurent.desjardins@labeledge.com; bnuckle@damaflex.com; dnuckle@damaflex.com"/>
    <hyperlink ref="P25" r:id="rId44" display="ynuckle@damaflex.com"/>
    <hyperlink ref="N26" r:id="rId45" display="bnuckle@damaflex.com;"/>
    <hyperlink ref="O26" r:id="rId46" display="laurent.desjardins@labeledge.com; bnuckle@damaflex.com; dnuckle@damaflex.com"/>
    <hyperlink ref="P26" r:id="rId47" display="ynuckle@damaflex.com"/>
    <hyperlink ref="T27" r:id="rId48" display="actionworldwide@agotrans.com / 518-297-6600"/>
    <hyperlink ref="N28" r:id="rId49" display="steoli@imsinc.ca"/>
    <hyperlink ref="O28" r:id="rId50" display="infoproduits@imsinc.ca"/>
    <hyperlink ref="P28" r:id="rId51" display="voula@imsinc.ca"/>
    <hyperlink ref="O29" r:id="rId52" display="laurent.desjardins@labeledge.com"/>
    <hyperlink ref="P29" r:id="rId53" display="accounting@3gprintgroup.ca"/>
    <hyperlink ref="J30" r:id="rId54" display="Martin Leblanc"/>
    <hyperlink ref="O30" r:id="rId55" display="laurent.desjardins@labeledge.com"/>
    <hyperlink ref="P30" r:id="rId56" display="ibslachat-vente@globetrotter.net"/>
    <hyperlink ref="N31" r:id="rId57" display="stephane@imprimerie.ca"/>
    <hyperlink ref="N32" r:id="rId58" display="laurent.desjardins@labeledge.com"/>
    <hyperlink ref="O32" r:id="rId59" display="laurent.desjardins@labeledge.com"/>
    <hyperlink ref="N33" r:id="rId60" display="alexis@redemac.com"/>
    <hyperlink ref="O33" r:id="rId61" display="alexis@redemac.com"/>
    <hyperlink ref="P33" r:id="rId62" display="alexis@redemac.com"/>
    <hyperlink ref="J37" r:id="rId63" display="819-537-7633 / info@imprimerieselect.com"/>
    <hyperlink ref="O37" r:id="rId64" display="laurent.desjardins@labeledge.com; Info@imprimerieselect.com"/>
    <hyperlink ref="P37" r:id="rId65" display="COMPTABLE@IMPRIMERIESELECT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6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1" activeCellId="0" sqref="G31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9.3"/>
    <col collapsed="false" customWidth="true" hidden="false" outlineLevel="0" max="2" min="2" style="1" width="10.15"/>
    <col collapsed="false" customWidth="true" hidden="false" outlineLevel="0" max="3" min="3" style="1" width="10.69"/>
    <col collapsed="false" customWidth="true" hidden="false" outlineLevel="0" max="4" min="4" style="1" width="15.84"/>
    <col collapsed="false" customWidth="true" hidden="false" outlineLevel="0" max="5" min="5" style="1" width="18.38"/>
    <col collapsed="false" customWidth="true" hidden="false" outlineLevel="0" max="6" min="6" style="1" width="12.15"/>
    <col collapsed="false" customWidth="true" hidden="false" outlineLevel="0" max="7" min="7" style="1" width="6.53"/>
    <col collapsed="false" customWidth="true" hidden="false" outlineLevel="0" max="8" min="8" style="1" width="9.38"/>
    <col collapsed="false" customWidth="true" hidden="false" outlineLevel="0" max="9" min="9" style="1" width="24.84"/>
    <col collapsed="false" customWidth="true" hidden="false" outlineLevel="0" max="10" min="10" style="1" width="20.84"/>
    <col collapsed="false" customWidth="true" hidden="false" outlineLevel="0" max="13" min="12" style="1" width="11.84"/>
    <col collapsed="false" customWidth="true" hidden="false" outlineLevel="0" max="14" min="14" style="1" width="43.53"/>
  </cols>
  <sheetData>
    <row r="1" s="37" customFormat="true" ht="14.25" hidden="false" customHeight="false" outlineLevel="0" collapsed="false">
      <c r="A1" s="37" t="s">
        <v>304</v>
      </c>
      <c r="B1" s="37" t="s">
        <v>305</v>
      </c>
      <c r="C1" s="37" t="s">
        <v>306</v>
      </c>
      <c r="D1" s="37" t="s">
        <v>307</v>
      </c>
      <c r="E1" s="37" t="s">
        <v>308</v>
      </c>
      <c r="F1" s="37" t="s">
        <v>309</v>
      </c>
      <c r="G1" s="37" t="s">
        <v>310</v>
      </c>
      <c r="H1" s="37" t="s">
        <v>311</v>
      </c>
      <c r="I1" s="37" t="s">
        <v>312</v>
      </c>
      <c r="J1" s="37" t="s">
        <v>313</v>
      </c>
      <c r="K1" s="37" t="s">
        <v>314</v>
      </c>
      <c r="L1" s="37" t="s">
        <v>315</v>
      </c>
      <c r="M1" s="37" t="s">
        <v>316</v>
      </c>
      <c r="N1" s="37" t="s">
        <v>317</v>
      </c>
    </row>
    <row r="2" customFormat="false" ht="14.25" hidden="false" customHeight="false" outlineLevel="0" collapsed="false">
      <c r="A2" s="1" t="n">
        <v>20000</v>
      </c>
      <c r="B2" s="1" t="s">
        <v>318</v>
      </c>
      <c r="C2" s="1" t="s">
        <v>92</v>
      </c>
      <c r="D2" s="1" t="s">
        <v>319</v>
      </c>
      <c r="E2" s="38" t="s">
        <v>320</v>
      </c>
      <c r="F2" s="15" t="s">
        <v>321</v>
      </c>
      <c r="G2" s="15" t="s">
        <v>322</v>
      </c>
      <c r="H2" s="15" t="s">
        <v>323</v>
      </c>
      <c r="I2" s="15" t="str">
        <f aca="false">"("&amp;F2&amp;";"&amp;G2&amp;";"&amp;H2&amp;")"</f>
        <v>(TCDT HR 70g;HM;WG 58g)</v>
      </c>
      <c r="J2" s="38" t="s">
        <v>324</v>
      </c>
      <c r="K2" s="15" t="s">
        <v>57</v>
      </c>
      <c r="L2" s="1" t="n">
        <v>4811.41</v>
      </c>
      <c r="N2" s="15" t="str">
        <f aca="false">E2&amp;I2</f>
        <v>Self Adhesive Paper(TCDT HR 70g;HM;WG 58g)</v>
      </c>
    </row>
    <row r="3" customFormat="false" ht="14.25" hidden="false" customHeight="false" outlineLevel="0" collapsed="false">
      <c r="A3" s="1" t="n">
        <v>20001</v>
      </c>
      <c r="B3" s="1" t="s">
        <v>325</v>
      </c>
      <c r="C3" s="1" t="s">
        <v>92</v>
      </c>
      <c r="D3" s="1" t="s">
        <v>319</v>
      </c>
      <c r="E3" s="38" t="s">
        <v>320</v>
      </c>
      <c r="F3" s="15" t="s">
        <v>321</v>
      </c>
      <c r="G3" s="15" t="s">
        <v>326</v>
      </c>
      <c r="H3" s="15" t="s">
        <v>323</v>
      </c>
      <c r="I3" s="15" t="str">
        <f aca="false">"("&amp;F3&amp;";"&amp;G3&amp;";"&amp;H3&amp;")"</f>
        <v>(TCDT HR 70g;FHM;WG 58g)</v>
      </c>
      <c r="J3" s="38" t="s">
        <v>327</v>
      </c>
      <c r="K3" s="15" t="s">
        <v>57</v>
      </c>
      <c r="L3" s="1" t="n">
        <v>4811.41</v>
      </c>
      <c r="N3" s="15" t="str">
        <f aca="false">E3&amp;I3</f>
        <v>Self Adhesive Paper(TCDT HR 70g;FHM;WG 58g)</v>
      </c>
    </row>
    <row r="4" customFormat="false" ht="14.25" hidden="false" customHeight="false" outlineLevel="0" collapsed="false">
      <c r="A4" s="1" t="n">
        <v>20002</v>
      </c>
      <c r="B4" s="1" t="s">
        <v>328</v>
      </c>
      <c r="C4" s="1" t="s">
        <v>92</v>
      </c>
      <c r="D4" s="1" t="s">
        <v>329</v>
      </c>
      <c r="E4" s="38" t="s">
        <v>320</v>
      </c>
      <c r="F4" s="15" t="s">
        <v>330</v>
      </c>
      <c r="G4" s="15" t="s">
        <v>322</v>
      </c>
      <c r="H4" s="15" t="s">
        <v>323</v>
      </c>
      <c r="I4" s="15" t="str">
        <f aca="false">"("&amp;F4&amp;";"&amp;G4&amp;";"&amp;H4&amp;")"</f>
        <v>(NTCDT 70g;HM;WG 58g)</v>
      </c>
      <c r="J4" s="38" t="s">
        <v>331</v>
      </c>
      <c r="K4" s="15" t="s">
        <v>57</v>
      </c>
      <c r="L4" s="1" t="n">
        <v>4811.41</v>
      </c>
      <c r="N4" s="15" t="str">
        <f aca="false">E4&amp;I4</f>
        <v>Self Adhesive Paper(NTCDT 70g;HM;WG 58g)</v>
      </c>
    </row>
    <row r="5" customFormat="false" ht="14.25" hidden="false" customHeight="false" outlineLevel="0" collapsed="false">
      <c r="A5" s="1" t="n">
        <v>20003</v>
      </c>
      <c r="B5" s="1" t="s">
        <v>332</v>
      </c>
      <c r="C5" s="1" t="s">
        <v>92</v>
      </c>
      <c r="D5" s="1" t="s">
        <v>333</v>
      </c>
      <c r="E5" s="38" t="s">
        <v>320</v>
      </c>
      <c r="F5" s="15" t="s">
        <v>334</v>
      </c>
      <c r="G5" s="15" t="s">
        <v>322</v>
      </c>
      <c r="H5" s="15" t="s">
        <v>323</v>
      </c>
      <c r="I5" s="15" t="str">
        <f aca="false">"("&amp;F5&amp;";"&amp;G5&amp;";"&amp;H5&amp;")"</f>
        <v>(TT 70g;HM;WG 58g)</v>
      </c>
      <c r="J5" s="38" t="s">
        <v>335</v>
      </c>
      <c r="K5" s="15" t="s">
        <v>57</v>
      </c>
      <c r="L5" s="1" t="n">
        <v>4811.41</v>
      </c>
      <c r="N5" s="15" t="str">
        <f aca="false">E5&amp;I5</f>
        <v>Self Adhesive Paper(TT 70g;HM;WG 58g)</v>
      </c>
    </row>
    <row r="6" customFormat="false" ht="14.25" hidden="false" customHeight="false" outlineLevel="0" collapsed="false">
      <c r="A6" s="1" t="n">
        <v>20004</v>
      </c>
      <c r="B6" s="1" t="s">
        <v>336</v>
      </c>
      <c r="C6" s="1" t="s">
        <v>92</v>
      </c>
      <c r="D6" s="1" t="s">
        <v>337</v>
      </c>
      <c r="E6" s="38" t="s">
        <v>320</v>
      </c>
      <c r="F6" s="15" t="s">
        <v>334</v>
      </c>
      <c r="G6" s="15" t="s">
        <v>326</v>
      </c>
      <c r="H6" s="15" t="s">
        <v>323</v>
      </c>
      <c r="I6" s="15" t="str">
        <f aca="false">"("&amp;F6&amp;";"&amp;G6&amp;";"&amp;H6&amp;")"</f>
        <v>(TT 70g;FHM;WG 58g)</v>
      </c>
      <c r="J6" s="38" t="s">
        <v>338</v>
      </c>
      <c r="K6" s="15" t="s">
        <v>57</v>
      </c>
      <c r="L6" s="1" t="n">
        <v>4811.41</v>
      </c>
      <c r="N6" s="15" t="str">
        <f aca="false">E6&amp;I6</f>
        <v>Self Adhesive Paper(TT 70g;FHM;WG 58g)</v>
      </c>
    </row>
    <row r="7" customFormat="false" ht="14.25" hidden="false" customHeight="false" outlineLevel="0" collapsed="false">
      <c r="A7" s="1" t="n">
        <v>20005</v>
      </c>
      <c r="B7" s="1" t="s">
        <v>339</v>
      </c>
      <c r="C7" s="1" t="s">
        <v>92</v>
      </c>
      <c r="D7" s="1" t="s">
        <v>340</v>
      </c>
      <c r="E7" s="38" t="s">
        <v>320</v>
      </c>
      <c r="F7" s="15" t="s">
        <v>341</v>
      </c>
      <c r="G7" s="15" t="s">
        <v>322</v>
      </c>
      <c r="H7" s="15" t="s">
        <v>323</v>
      </c>
      <c r="I7" s="15" t="str">
        <f aca="false">"("&amp;F7&amp;";"&amp;G7&amp;";"&amp;H7&amp;")"</f>
        <v>(SG 80g;HM;WG 58g)</v>
      </c>
      <c r="J7" s="39" t="s">
        <v>342</v>
      </c>
      <c r="K7" s="15" t="s">
        <v>57</v>
      </c>
      <c r="L7" s="1" t="n">
        <v>4811.41</v>
      </c>
      <c r="N7" s="15" t="str">
        <f aca="false">E7&amp;I7</f>
        <v>Self Adhesive Paper(SG 80g;HM;WG 58g)</v>
      </c>
    </row>
    <row r="8" customFormat="false" ht="14.25" hidden="false" customHeight="false" outlineLevel="0" collapsed="false">
      <c r="A8" s="1" t="n">
        <v>20006</v>
      </c>
      <c r="B8" s="1" t="s">
        <v>343</v>
      </c>
      <c r="C8" s="1" t="s">
        <v>92</v>
      </c>
      <c r="D8" s="1" t="s">
        <v>344</v>
      </c>
      <c r="E8" s="38" t="s">
        <v>345</v>
      </c>
      <c r="F8" s="15" t="s">
        <v>346</v>
      </c>
      <c r="G8" s="15" t="s">
        <v>322</v>
      </c>
      <c r="H8" s="15" t="s">
        <v>323</v>
      </c>
      <c r="I8" s="15" t="str">
        <f aca="false">"("&amp;F8&amp;";"&amp;G8&amp;";"&amp;H8&amp;")"</f>
        <v>(WGPP 60µ;HM;WG 58g)</v>
      </c>
      <c r="J8" s="38" t="s">
        <v>347</v>
      </c>
      <c r="K8" s="15" t="s">
        <v>57</v>
      </c>
      <c r="L8" s="15" t="s">
        <v>348</v>
      </c>
      <c r="M8" s="15"/>
      <c r="N8" s="15" t="str">
        <f aca="false">E8&amp;I8</f>
        <v>Self Adhesive Film(WGPP 60µ;HM;WG 58g)</v>
      </c>
    </row>
    <row r="9" customFormat="false" ht="14.25" hidden="false" customHeight="false" outlineLevel="0" collapsed="false">
      <c r="A9" s="1" t="n">
        <v>20007</v>
      </c>
      <c r="B9" s="1" t="s">
        <v>349</v>
      </c>
      <c r="C9" s="1" t="s">
        <v>92</v>
      </c>
      <c r="D9" s="1" t="s">
        <v>344</v>
      </c>
      <c r="E9" s="38" t="s">
        <v>345</v>
      </c>
      <c r="F9" s="15" t="s">
        <v>346</v>
      </c>
      <c r="G9" s="15" t="s">
        <v>350</v>
      </c>
      <c r="H9" s="15" t="s">
        <v>323</v>
      </c>
      <c r="I9" s="15" t="str">
        <f aca="false">"("&amp;F9&amp;";"&amp;G9&amp;";"&amp;H9&amp;")"</f>
        <v>(WGPP 60µ;ACR;WG 58g)</v>
      </c>
      <c r="J9" s="38" t="s">
        <v>351</v>
      </c>
      <c r="K9" s="15" t="s">
        <v>57</v>
      </c>
      <c r="L9" s="15" t="s">
        <v>348</v>
      </c>
      <c r="M9" s="15"/>
      <c r="N9" s="15" t="str">
        <f aca="false">E9&amp;I9</f>
        <v>Self Adhesive Film(WGPP 60µ;ACR;WG 58g)</v>
      </c>
    </row>
    <row r="10" customFormat="false" ht="14.25" hidden="false" customHeight="false" outlineLevel="0" collapsed="false">
      <c r="A10" s="1" t="n">
        <v>20008</v>
      </c>
      <c r="B10" s="1" t="s">
        <v>352</v>
      </c>
      <c r="C10" s="1" t="s">
        <v>92</v>
      </c>
      <c r="D10" s="1" t="s">
        <v>353</v>
      </c>
      <c r="E10" s="38" t="s">
        <v>345</v>
      </c>
      <c r="F10" s="15" t="s">
        <v>354</v>
      </c>
      <c r="G10" s="15" t="s">
        <v>322</v>
      </c>
      <c r="H10" s="15" t="s">
        <v>323</v>
      </c>
      <c r="I10" s="15" t="str">
        <f aca="false">"("&amp;F10&amp;";"&amp;G10&amp;";"&amp;H10&amp;")"</f>
        <v>(CLPP 50µ;HM;WG 58g)</v>
      </c>
      <c r="J10" s="38" t="s">
        <v>355</v>
      </c>
      <c r="K10" s="15" t="s">
        <v>57</v>
      </c>
      <c r="L10" s="15" t="s">
        <v>348</v>
      </c>
      <c r="M10" s="15"/>
      <c r="N10" s="15" t="str">
        <f aca="false">E10&amp;I10</f>
        <v>Self Adhesive Film(CLPP 50µ;HM;WG 58g)</v>
      </c>
    </row>
    <row r="11" customFormat="false" ht="14.25" hidden="false" customHeight="false" outlineLevel="0" collapsed="false">
      <c r="A11" s="1" t="n">
        <v>20009</v>
      </c>
      <c r="B11" s="1" t="s">
        <v>356</v>
      </c>
      <c r="C11" s="1" t="s">
        <v>92</v>
      </c>
      <c r="D11" s="1" t="s">
        <v>353</v>
      </c>
      <c r="E11" s="38" t="s">
        <v>345</v>
      </c>
      <c r="F11" s="15" t="s">
        <v>354</v>
      </c>
      <c r="G11" s="15" t="s">
        <v>350</v>
      </c>
      <c r="H11" s="15" t="s">
        <v>323</v>
      </c>
      <c r="I11" s="15" t="str">
        <f aca="false">"("&amp;F11&amp;";"&amp;G11&amp;";"&amp;H11&amp;")"</f>
        <v>(CLPP 50µ;ACR;WG 58g)</v>
      </c>
      <c r="J11" s="38" t="s">
        <v>357</v>
      </c>
      <c r="K11" s="15" t="s">
        <v>57</v>
      </c>
      <c r="L11" s="15" t="s">
        <v>348</v>
      </c>
      <c r="M11" s="15"/>
      <c r="N11" s="15" t="str">
        <f aca="false">E11&amp;I11</f>
        <v>Self Adhesive Film(CLPP 50µ;ACR;WG 58g)</v>
      </c>
    </row>
    <row r="12" customFormat="false" ht="14.25" hidden="false" customHeight="false" outlineLevel="0" collapsed="false">
      <c r="A12" s="1" t="n">
        <v>20010</v>
      </c>
      <c r="B12" s="1" t="s">
        <v>358</v>
      </c>
      <c r="C12" s="1" t="s">
        <v>359</v>
      </c>
      <c r="D12" s="1" t="s">
        <v>360</v>
      </c>
      <c r="E12" s="38" t="s">
        <v>320</v>
      </c>
      <c r="F12" s="15" t="s">
        <v>361</v>
      </c>
      <c r="G12" s="15" t="s">
        <v>350</v>
      </c>
      <c r="H12" s="15" t="s">
        <v>362</v>
      </c>
      <c r="I12" s="15" t="str">
        <f aca="false">"("&amp;F12&amp;";"&amp;G12&amp;";"&amp;H12&amp;")"</f>
        <v>(DT 75g;ACR;WG 60g)</v>
      </c>
      <c r="J12" s="38" t="s">
        <v>363</v>
      </c>
      <c r="K12" s="15" t="s">
        <v>57</v>
      </c>
      <c r="L12" s="1" t="n">
        <v>4811.41</v>
      </c>
      <c r="N12" s="15" t="str">
        <f aca="false">E12&amp;I12</f>
        <v>Self Adhesive Paper(DT 75g;ACR;WG 60g)</v>
      </c>
    </row>
    <row r="13" customFormat="false" ht="14.25" hidden="false" customHeight="false" outlineLevel="0" collapsed="false">
      <c r="A13" s="1" t="n">
        <v>20011</v>
      </c>
      <c r="B13" s="1" t="s">
        <v>364</v>
      </c>
      <c r="C13" s="1" t="s">
        <v>92</v>
      </c>
      <c r="D13" s="1" t="s">
        <v>365</v>
      </c>
      <c r="E13" s="38" t="s">
        <v>320</v>
      </c>
      <c r="F13" s="15" t="s">
        <v>341</v>
      </c>
      <c r="G13" s="15" t="s">
        <v>322</v>
      </c>
      <c r="H13" s="15" t="s">
        <v>323</v>
      </c>
      <c r="I13" s="15" t="str">
        <f aca="false">"("&amp;F13&amp;";"&amp;G13&amp;";"&amp;H13&amp;")"</f>
        <v>(SG 80g;HM;WG 58g)</v>
      </c>
      <c r="J13" s="38" t="s">
        <v>366</v>
      </c>
      <c r="K13" s="15" t="s">
        <v>57</v>
      </c>
      <c r="L13" s="1" t="n">
        <v>4811.41</v>
      </c>
      <c r="N13" s="15" t="str">
        <f aca="false">E13&amp;I13</f>
        <v>Self Adhesive Paper(SG 80g;HM;WG 58g)</v>
      </c>
    </row>
    <row r="14" customFormat="false" ht="14.25" hidden="false" customHeight="false" outlineLevel="0" collapsed="false">
      <c r="A14" s="1" t="n">
        <v>20012</v>
      </c>
      <c r="B14" s="1" t="s">
        <v>367</v>
      </c>
      <c r="C14" s="1" t="s">
        <v>92</v>
      </c>
      <c r="D14" s="1" t="s">
        <v>368</v>
      </c>
      <c r="E14" s="38" t="s">
        <v>320</v>
      </c>
      <c r="F14" s="15" t="s">
        <v>369</v>
      </c>
      <c r="G14" s="15" t="s">
        <v>322</v>
      </c>
      <c r="H14" s="15" t="s">
        <v>323</v>
      </c>
      <c r="I14" s="15" t="str">
        <f aca="false">"("&amp;F14&amp;";"&amp;G14&amp;";"&amp;H14&amp;")"</f>
        <v>(TCDT;HM;WG 58g)</v>
      </c>
      <c r="J14" s="38" t="s">
        <v>370</v>
      </c>
      <c r="K14" s="15" t="s">
        <v>57</v>
      </c>
      <c r="L14" s="1" t="n">
        <v>4811.41</v>
      </c>
      <c r="N14" s="15" t="str">
        <f aca="false">E14&amp;I14</f>
        <v>Self Adhesive Paper(TCDT;HM;WG 58g)</v>
      </c>
    </row>
    <row r="15" customFormat="false" ht="14.25" hidden="false" customHeight="false" outlineLevel="0" collapsed="false">
      <c r="A15" s="1" t="n">
        <v>20013</v>
      </c>
      <c r="B15" s="1" t="s">
        <v>371</v>
      </c>
      <c r="C15" s="1" t="s">
        <v>92</v>
      </c>
      <c r="D15" s="1" t="s">
        <v>372</v>
      </c>
      <c r="E15" s="38" t="s">
        <v>320</v>
      </c>
      <c r="F15" s="15" t="s">
        <v>373</v>
      </c>
      <c r="G15" s="15" t="s">
        <v>322</v>
      </c>
      <c r="H15" s="15" t="s">
        <v>323</v>
      </c>
      <c r="I15" s="15" t="str">
        <f aca="false">"("&amp;F15&amp;";"&amp;G15&amp;";"&amp;H15&amp;")"</f>
        <v>(TCDT HR 74g;HM;WG 58g)</v>
      </c>
      <c r="J15" s="38" t="s">
        <v>370</v>
      </c>
      <c r="K15" s="15" t="s">
        <v>57</v>
      </c>
      <c r="L15" s="1" t="n">
        <v>4811.41</v>
      </c>
      <c r="N15" s="15" t="str">
        <f aca="false">E15&amp;I15</f>
        <v>Self Adhesive Paper(TCDT HR 74g;HM;WG 58g)</v>
      </c>
    </row>
    <row r="16" customFormat="false" ht="14.25" hidden="false" customHeight="false" outlineLevel="0" collapsed="false">
      <c r="A16" s="1" t="n">
        <v>20014</v>
      </c>
      <c r="B16" s="1" t="s">
        <v>374</v>
      </c>
      <c r="C16" s="1" t="s">
        <v>375</v>
      </c>
      <c r="D16" s="15" t="s">
        <v>376</v>
      </c>
      <c r="E16" s="38" t="s">
        <v>320</v>
      </c>
      <c r="F16" s="15" t="s">
        <v>341</v>
      </c>
      <c r="G16" s="15" t="s">
        <v>377</v>
      </c>
      <c r="H16" s="15" t="s">
        <v>362</v>
      </c>
      <c r="I16" s="15" t="str">
        <f aca="false">"("&amp;F16&amp;";"&amp;G16&amp;";"&amp;H16&amp;")"</f>
        <v>(SG 80g;H160;WG 60g)</v>
      </c>
      <c r="J16" s="38" t="s">
        <v>366</v>
      </c>
      <c r="K16" s="15" t="s">
        <v>57</v>
      </c>
      <c r="L16" s="1" t="n">
        <v>4811.41</v>
      </c>
      <c r="N16" s="15" t="str">
        <f aca="false">E16&amp;I16</f>
        <v>Self Adhesive Paper(SG 80g;H160;WG 60g)</v>
      </c>
    </row>
    <row r="17" customFormat="false" ht="14.25" hidden="false" customHeight="false" outlineLevel="0" collapsed="false">
      <c r="A17" s="1" t="n">
        <v>20015</v>
      </c>
      <c r="B17" s="1" t="s">
        <v>378</v>
      </c>
      <c r="C17" s="1" t="s">
        <v>375</v>
      </c>
      <c r="D17" s="15" t="s">
        <v>379</v>
      </c>
      <c r="E17" s="38" t="s">
        <v>320</v>
      </c>
      <c r="F17" s="15" t="s">
        <v>341</v>
      </c>
      <c r="G17" s="15" t="s">
        <v>380</v>
      </c>
      <c r="H17" s="15" t="s">
        <v>362</v>
      </c>
      <c r="I17" s="15" t="str">
        <f aca="false">"("&amp;F17&amp;";"&amp;G17&amp;";"&amp;H17&amp;")"</f>
        <v>(SG 80g;AJ900;WG 60g)</v>
      </c>
      <c r="J17" s="38" t="s">
        <v>381</v>
      </c>
      <c r="K17" s="15" t="s">
        <v>57</v>
      </c>
      <c r="L17" s="1" t="n">
        <v>4811.41</v>
      </c>
      <c r="N17" s="15" t="str">
        <f aca="false">E17&amp;I17</f>
        <v>Self Adhesive Paper(SG 80g;AJ900;WG 60g)</v>
      </c>
    </row>
    <row r="18" customFormat="false" ht="14.25" hidden="false" customHeight="false" outlineLevel="0" collapsed="false">
      <c r="A18" s="1" t="n">
        <v>20016</v>
      </c>
      <c r="B18" s="1" t="s">
        <v>382</v>
      </c>
      <c r="C18" s="1" t="s">
        <v>375</v>
      </c>
      <c r="D18" s="15" t="s">
        <v>383</v>
      </c>
      <c r="E18" s="38" t="s">
        <v>345</v>
      </c>
      <c r="F18" s="15" t="s">
        <v>354</v>
      </c>
      <c r="G18" s="15" t="s">
        <v>384</v>
      </c>
      <c r="H18" s="15" t="s">
        <v>362</v>
      </c>
      <c r="I18" s="15" t="str">
        <f aca="false">"("&amp;F18&amp;";"&amp;G18&amp;";"&amp;H18&amp;")"</f>
        <v>(CLPP 50µ;AS500;WG 60g)</v>
      </c>
      <c r="J18" s="38" t="s">
        <v>357</v>
      </c>
      <c r="K18" s="15" t="s">
        <v>57</v>
      </c>
      <c r="L18" s="15" t="s">
        <v>348</v>
      </c>
      <c r="M18" s="15"/>
      <c r="N18" s="15" t="str">
        <f aca="false">E18&amp;I18</f>
        <v>Self Adhesive Film(CLPP 50µ;AS500;WG 60g)</v>
      </c>
    </row>
    <row r="19" customFormat="false" ht="14.25" hidden="false" customHeight="false" outlineLevel="0" collapsed="false">
      <c r="A19" s="1" t="n">
        <v>20017</v>
      </c>
      <c r="B19" s="1" t="s">
        <v>385</v>
      </c>
      <c r="C19" s="1" t="s">
        <v>375</v>
      </c>
      <c r="D19" s="15" t="s">
        <v>386</v>
      </c>
      <c r="E19" s="38" t="s">
        <v>345</v>
      </c>
      <c r="F19" s="15" t="s">
        <v>387</v>
      </c>
      <c r="G19" s="15" t="s">
        <v>384</v>
      </c>
      <c r="H19" s="15" t="s">
        <v>362</v>
      </c>
      <c r="I19" s="15" t="str">
        <f aca="false">"("&amp;F19&amp;";"&amp;G19&amp;";"&amp;H19&amp;")"</f>
        <v>(BWPP 60µ;AS500;WG 60g)</v>
      </c>
      <c r="J19" s="38" t="s">
        <v>351</v>
      </c>
      <c r="K19" s="15" t="s">
        <v>57</v>
      </c>
      <c r="L19" s="15" t="s">
        <v>348</v>
      </c>
      <c r="M19" s="15"/>
      <c r="N19" s="15" t="str">
        <f aca="false">E19&amp;I19</f>
        <v>Self Adhesive Film(BWPP 60µ;AS500;WG 60g)</v>
      </c>
    </row>
    <row r="20" customFormat="false" ht="14.25" hidden="false" customHeight="false" outlineLevel="0" collapsed="false">
      <c r="A20" s="1" t="n">
        <v>20018</v>
      </c>
      <c r="B20" s="1" t="s">
        <v>388</v>
      </c>
      <c r="C20" s="1" t="s">
        <v>92</v>
      </c>
      <c r="D20" s="15" t="s">
        <v>389</v>
      </c>
      <c r="E20" s="38" t="s">
        <v>320</v>
      </c>
      <c r="F20" s="15" t="s">
        <v>373</v>
      </c>
      <c r="G20" s="15" t="s">
        <v>350</v>
      </c>
      <c r="H20" s="15" t="s">
        <v>323</v>
      </c>
      <c r="I20" s="15" t="str">
        <f aca="false">"("&amp;F20&amp;";"&amp;G20&amp;";"&amp;H20&amp;")"</f>
        <v>(TCDT HR 74g;ACR;WG 58g)</v>
      </c>
      <c r="J20" s="38" t="s">
        <v>390</v>
      </c>
      <c r="K20" s="15" t="s">
        <v>57</v>
      </c>
      <c r="L20" s="15" t="n">
        <v>4811.41</v>
      </c>
      <c r="M20" s="15"/>
      <c r="N20" s="15" t="str">
        <f aca="false">E20&amp;I20</f>
        <v>Self Adhesive Paper(TCDT HR 74g;ACR;WG 58g)</v>
      </c>
    </row>
    <row r="21" customFormat="false" ht="14.25" hidden="false" customHeight="false" outlineLevel="0" collapsed="false">
      <c r="A21" s="1" t="n">
        <v>20019</v>
      </c>
      <c r="B21" s="1" t="s">
        <v>391</v>
      </c>
      <c r="C21" s="1" t="s">
        <v>392</v>
      </c>
      <c r="D21" s="1" t="s">
        <v>393</v>
      </c>
      <c r="E21" s="38" t="s">
        <v>394</v>
      </c>
      <c r="F21" s="15" t="s">
        <v>395</v>
      </c>
      <c r="G21" s="15" t="s">
        <v>99</v>
      </c>
      <c r="H21" s="15" t="s">
        <v>99</v>
      </c>
      <c r="I21" s="15" t="str">
        <f aca="false">"("&amp;F21&amp;")"</f>
        <v>(CL PP 95µ)</v>
      </c>
      <c r="J21" s="38" t="s">
        <v>396</v>
      </c>
      <c r="K21" s="15" t="s">
        <v>397</v>
      </c>
      <c r="L21" s="15" t="s">
        <v>398</v>
      </c>
      <c r="M21" s="15"/>
      <c r="N21" s="15" t="str">
        <f aca="false">E21&amp;I21</f>
        <v>Clear BOPP 95µ(CL PP 95µ)</v>
      </c>
    </row>
    <row r="22" customFormat="false" ht="14.25" hidden="false" customHeight="false" outlineLevel="0" collapsed="false">
      <c r="A22" s="1" t="n">
        <v>20020</v>
      </c>
      <c r="B22" s="1" t="s">
        <v>399</v>
      </c>
      <c r="C22" s="1" t="s">
        <v>392</v>
      </c>
      <c r="D22" s="1" t="s">
        <v>400</v>
      </c>
      <c r="E22" s="38" t="s">
        <v>401</v>
      </c>
      <c r="F22" s="15" t="s">
        <v>402</v>
      </c>
      <c r="G22" s="15" t="s">
        <v>99</v>
      </c>
      <c r="H22" s="15" t="s">
        <v>99</v>
      </c>
      <c r="I22" s="15" t="str">
        <f aca="false">"("&amp;F22&amp;")"</f>
        <v>(W PP 95µ)</v>
      </c>
      <c r="J22" s="38" t="s">
        <v>403</v>
      </c>
      <c r="K22" s="15" t="s">
        <v>397</v>
      </c>
      <c r="L22" s="15" t="s">
        <v>398</v>
      </c>
      <c r="M22" s="15"/>
      <c r="N22" s="15" t="str">
        <f aca="false">E22&amp;I22</f>
        <v>White BOPP 95µ(W PP 95µ)</v>
      </c>
    </row>
    <row r="23" customFormat="false" ht="14.25" hidden="false" customHeight="false" outlineLevel="0" collapsed="false">
      <c r="A23" s="1" t="n">
        <v>20021</v>
      </c>
      <c r="B23" s="1" t="s">
        <v>404</v>
      </c>
      <c r="C23" s="1" t="s">
        <v>405</v>
      </c>
      <c r="D23" s="1" t="s">
        <v>406</v>
      </c>
      <c r="E23" s="38" t="s">
        <v>407</v>
      </c>
      <c r="F23" s="15" t="s">
        <v>408</v>
      </c>
      <c r="G23" s="15" t="s">
        <v>99</v>
      </c>
      <c r="H23" s="15" t="s">
        <v>99</v>
      </c>
      <c r="I23" s="15" t="str">
        <f aca="false">"("&amp;F23&amp;")"</f>
        <v>(CL PETG 50µ)</v>
      </c>
      <c r="J23" s="38" t="s">
        <v>409</v>
      </c>
      <c r="K23" s="15" t="s">
        <v>57</v>
      </c>
      <c r="L23" s="15" t="s">
        <v>398</v>
      </c>
      <c r="M23" s="15"/>
      <c r="N23" s="15" t="str">
        <f aca="false">E23&amp;I23</f>
        <v>Clear PETG 50µ(CL PETG 50µ)</v>
      </c>
    </row>
    <row r="24" customFormat="false" ht="14.25" hidden="false" customHeight="false" outlineLevel="0" collapsed="false">
      <c r="A24" s="1" t="n">
        <v>20022</v>
      </c>
      <c r="B24" s="1" t="s">
        <v>410</v>
      </c>
      <c r="C24" s="1" t="s">
        <v>92</v>
      </c>
      <c r="D24" s="1" t="s">
        <v>411</v>
      </c>
      <c r="E24" s="38" t="s">
        <v>320</v>
      </c>
      <c r="F24" s="15" t="s">
        <v>341</v>
      </c>
      <c r="G24" s="15" t="s">
        <v>322</v>
      </c>
      <c r="H24" s="15" t="s">
        <v>412</v>
      </c>
      <c r="I24" s="15" t="str">
        <f aca="false">"("&amp;F24&amp;";"&amp;G24&amp;";"&amp;H24&amp;")"</f>
        <v>(SG 80g;HM;PET 30µ)</v>
      </c>
      <c r="J24" s="38" t="s">
        <v>413</v>
      </c>
      <c r="K24" s="15" t="s">
        <v>57</v>
      </c>
      <c r="L24" s="15" t="n">
        <v>4811.41</v>
      </c>
      <c r="M24" s="15"/>
      <c r="N24" s="15" t="str">
        <f aca="false">E24&amp;I24</f>
        <v>Self Adhesive Paper(SG 80g;HM;PET 30µ)</v>
      </c>
    </row>
    <row r="25" customFormat="false" ht="14.25" hidden="false" customHeight="false" outlineLevel="0" collapsed="false">
      <c r="A25" s="1" t="n">
        <v>20023</v>
      </c>
      <c r="B25" s="1" t="s">
        <v>414</v>
      </c>
      <c r="C25" s="1" t="s">
        <v>375</v>
      </c>
      <c r="D25" s="15" t="s">
        <v>415</v>
      </c>
      <c r="E25" s="38" t="s">
        <v>320</v>
      </c>
      <c r="F25" s="15" t="s">
        <v>416</v>
      </c>
      <c r="G25" s="15" t="s">
        <v>380</v>
      </c>
      <c r="H25" s="15" t="s">
        <v>417</v>
      </c>
      <c r="I25" s="15" t="s">
        <v>418</v>
      </c>
      <c r="J25" s="38" t="s">
        <v>419</v>
      </c>
      <c r="K25" s="15" t="s">
        <v>57</v>
      </c>
      <c r="L25" s="15" t="s">
        <v>420</v>
      </c>
      <c r="M25" s="15"/>
      <c r="N25" s="15" t="str">
        <f aca="false">E25&amp;I25</f>
        <v>Self Adhesive Paper(SemiGlossArtPaper;AJ900;30umPET)</v>
      </c>
    </row>
    <row r="26" customFormat="false" ht="14.25" hidden="false" customHeight="false" outlineLevel="0" collapsed="false">
      <c r="A26" s="1" t="n">
        <v>20024</v>
      </c>
      <c r="B26" s="1" t="s">
        <v>421</v>
      </c>
      <c r="C26" s="1" t="s">
        <v>375</v>
      </c>
      <c r="D26" s="15" t="s">
        <v>422</v>
      </c>
      <c r="E26" s="38" t="s">
        <v>320</v>
      </c>
      <c r="F26" s="15" t="s">
        <v>423</v>
      </c>
      <c r="G26" s="15" t="s">
        <v>377</v>
      </c>
      <c r="H26" s="15" t="s">
        <v>424</v>
      </c>
      <c r="I26" s="15" t="s">
        <v>425</v>
      </c>
      <c r="J26" s="38" t="s">
        <v>370</v>
      </c>
      <c r="K26" s="15" t="s">
        <v>57</v>
      </c>
      <c r="L26" s="1" t="n">
        <v>4811.41</v>
      </c>
      <c r="N26" s="15" t="str">
        <f aca="false">E26&amp;I26</f>
        <v>Self Adhesive Paper(ThermalTopTD7H;H160;60gWhiteGlassine)</v>
      </c>
    </row>
    <row r="27" customFormat="false" ht="14.25" hidden="false" customHeight="false" outlineLevel="0" collapsed="false">
      <c r="A27" s="1" t="n">
        <v>20025</v>
      </c>
      <c r="B27" s="1" t="s">
        <v>426</v>
      </c>
      <c r="C27" s="1" t="s">
        <v>427</v>
      </c>
      <c r="D27" s="1" t="s">
        <v>428</v>
      </c>
      <c r="E27" s="38" t="s">
        <v>320</v>
      </c>
      <c r="F27" s="15" t="s">
        <v>429</v>
      </c>
      <c r="G27" s="15" t="s">
        <v>430</v>
      </c>
      <c r="H27" s="15" t="s">
        <v>431</v>
      </c>
      <c r="I27" s="15" t="str">
        <f aca="false">"("&amp;F27&amp;";"&amp;G27&amp;";"&amp;H27&amp;")"</f>
        <v>(TCDT 75L;HM 19gsm;58WG)</v>
      </c>
      <c r="J27" s="38" t="s">
        <v>370</v>
      </c>
      <c r="K27" s="15" t="s">
        <v>57</v>
      </c>
      <c r="L27" s="1" t="n">
        <v>4811.41</v>
      </c>
      <c r="N27" s="15" t="str">
        <f aca="false">E27&amp;I27</f>
        <v>Self Adhesive Paper(TCDT 75L;HM 19gsm;58WG)</v>
      </c>
    </row>
    <row r="28" customFormat="false" ht="14.25" hidden="false" customHeight="false" outlineLevel="0" collapsed="false">
      <c r="A28" s="1" t="n">
        <v>20026</v>
      </c>
      <c r="B28" s="1" t="s">
        <v>432</v>
      </c>
      <c r="C28" s="1" t="s">
        <v>433</v>
      </c>
      <c r="E28" s="38" t="s">
        <v>434</v>
      </c>
      <c r="J28" s="38" t="s">
        <v>435</v>
      </c>
      <c r="L28" s="1" t="n">
        <v>3920.62</v>
      </c>
    </row>
    <row r="29" customFormat="false" ht="14.25" hidden="false" customHeight="false" outlineLevel="0" collapsed="false">
      <c r="A29" s="1" t="n">
        <v>20027</v>
      </c>
      <c r="B29" s="1" t="s">
        <v>436</v>
      </c>
      <c r="C29" s="1" t="s">
        <v>433</v>
      </c>
      <c r="E29" s="38" t="s">
        <v>437</v>
      </c>
      <c r="J29" s="38" t="s">
        <v>438</v>
      </c>
      <c r="L29" s="1" t="n">
        <v>3920.62</v>
      </c>
    </row>
    <row r="30" customFormat="false" ht="14.25" hidden="false" customHeight="false" outlineLevel="0" collapsed="false">
      <c r="A30" s="1" t="n">
        <v>20028</v>
      </c>
      <c r="B30" s="1" t="s">
        <v>439</v>
      </c>
      <c r="C30" s="1" t="s">
        <v>433</v>
      </c>
      <c r="E30" s="38" t="s">
        <v>440</v>
      </c>
      <c r="J30" s="38" t="s">
        <v>438</v>
      </c>
      <c r="L30" s="1" t="n">
        <v>3920.62</v>
      </c>
    </row>
    <row r="31" customFormat="false" ht="14.25" hidden="false" customHeight="false" outlineLevel="0" collapsed="false">
      <c r="A31" s="1" t="n">
        <v>20029</v>
      </c>
      <c r="B31" s="1" t="s">
        <v>441</v>
      </c>
      <c r="C31" s="1" t="s">
        <v>442</v>
      </c>
      <c r="D31" s="1" t="s">
        <v>443</v>
      </c>
      <c r="E31" s="40" t="s">
        <v>444</v>
      </c>
      <c r="I31" s="15" t="str">
        <f aca="false">"("&amp;F31&amp;";"&amp;G31&amp;";"&amp;H31&amp;")"</f>
        <v>(;;)</v>
      </c>
      <c r="J31" s="38" t="s">
        <v>445</v>
      </c>
      <c r="L31" s="15"/>
      <c r="M31" s="15"/>
      <c r="N31" s="41" t="s">
        <v>446</v>
      </c>
    </row>
    <row r="32" customFormat="false" ht="14.25" hidden="false" customHeight="false" outlineLevel="0" collapsed="false">
      <c r="A32" s="1" t="n">
        <v>20030</v>
      </c>
      <c r="B32" s="1" t="s">
        <v>447</v>
      </c>
      <c r="C32" s="1" t="s">
        <v>375</v>
      </c>
      <c r="D32" s="15" t="s">
        <v>448</v>
      </c>
      <c r="E32" s="38" t="s">
        <v>449</v>
      </c>
      <c r="F32" s="15" t="s">
        <v>450</v>
      </c>
      <c r="G32" s="15" t="s">
        <v>451</v>
      </c>
      <c r="H32" s="15" t="s">
        <v>424</v>
      </c>
      <c r="J32" s="38" t="s">
        <v>452</v>
      </c>
      <c r="K32" s="15" t="s">
        <v>57</v>
      </c>
      <c r="L32" s="15" t="s">
        <v>348</v>
      </c>
    </row>
    <row r="33" customFormat="false" ht="14.25" hidden="false" customHeight="false" outlineLevel="0" collapsed="false">
      <c r="A33" s="1" t="n">
        <v>20031</v>
      </c>
      <c r="B33" s="1" t="s">
        <v>453</v>
      </c>
      <c r="C33" s="1" t="s">
        <v>92</v>
      </c>
      <c r="D33" s="1" t="s">
        <v>454</v>
      </c>
      <c r="E33" s="38" t="s">
        <v>320</v>
      </c>
      <c r="F33" s="15" t="s">
        <v>455</v>
      </c>
      <c r="G33" s="15" t="s">
        <v>322</v>
      </c>
      <c r="H33" s="15" t="s">
        <v>323</v>
      </c>
      <c r="J33" s="38" t="s">
        <v>370</v>
      </c>
      <c r="K33" s="15" t="s">
        <v>57</v>
      </c>
      <c r="L33" s="1" t="n">
        <v>4811.41</v>
      </c>
      <c r="M33" s="15"/>
    </row>
    <row r="34" customFormat="false" ht="14.25" hidden="false" customHeight="false" outlineLevel="0" collapsed="false">
      <c r="A34" s="1" t="n">
        <v>20032</v>
      </c>
      <c r="E34" s="38"/>
      <c r="I34" s="15" t="str">
        <f aca="false">"("&amp;F34&amp;";"&amp;G34&amp;";"&amp;H34&amp;")"</f>
        <v>(;;)</v>
      </c>
      <c r="J34" s="38"/>
      <c r="N34" s="15" t="str">
        <f aca="false">E34&amp;I34</f>
        <v>(;;)</v>
      </c>
    </row>
    <row r="35" customFormat="false" ht="14.25" hidden="false" customHeight="false" outlineLevel="0" collapsed="false">
      <c r="A35" s="1" t="n">
        <v>20033</v>
      </c>
      <c r="E35" s="38"/>
      <c r="I35" s="15" t="str">
        <f aca="false">"("&amp;F35&amp;";"&amp;G35&amp;";"&amp;H35&amp;")"</f>
        <v>(;;)</v>
      </c>
      <c r="J35" s="38"/>
      <c r="L35" s="15"/>
      <c r="M35" s="15"/>
      <c r="N35" s="15" t="str">
        <f aca="false">E35&amp;I35</f>
        <v>(;;)</v>
      </c>
    </row>
    <row r="36" customFormat="false" ht="14.25" hidden="false" customHeight="false" outlineLevel="0" collapsed="false">
      <c r="A36" s="1" t="n">
        <v>20034</v>
      </c>
      <c r="E36" s="38"/>
      <c r="I36" s="15" t="str">
        <f aca="false">"("&amp;F36&amp;";"&amp;G36&amp;";"&amp;H36&amp;")"</f>
        <v>(;;)</v>
      </c>
      <c r="J36" s="38"/>
      <c r="N36" s="15" t="str">
        <f aca="false">E36&amp;I36</f>
        <v>(;;)</v>
      </c>
    </row>
    <row r="37" customFormat="false" ht="14.25" hidden="false" customHeight="false" outlineLevel="0" collapsed="false">
      <c r="A37" s="1" t="n">
        <v>20035</v>
      </c>
      <c r="B37" s="1" t="s">
        <v>456</v>
      </c>
      <c r="C37" s="1" t="s">
        <v>427</v>
      </c>
      <c r="D37" s="1" t="s">
        <v>457</v>
      </c>
      <c r="E37" s="38" t="s">
        <v>458</v>
      </c>
      <c r="F37" s="15" t="s">
        <v>459</v>
      </c>
      <c r="J37" s="38" t="s">
        <v>460</v>
      </c>
      <c r="L37" s="15"/>
      <c r="M37" s="15"/>
      <c r="N37" s="15" t="str">
        <f aca="false">E37&amp;I37</f>
        <v>Self adhesive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7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5" ySplit="5" topLeftCell="F26" activePane="bottomRight" state="frozen"/>
      <selection pane="topLeft" activeCell="A1" activeCellId="0" sqref="A1"/>
      <selection pane="topRight" activeCell="F1" activeCellId="0" sqref="F1"/>
      <selection pane="bottomLeft" activeCell="A26" activeCellId="0" sqref="A26"/>
      <selection pane="bottomRight" activeCell="C53" activeCellId="0" sqref="C5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9.69"/>
    <col collapsed="false" customWidth="true" hidden="false" outlineLevel="0" max="3" min="2" style="1" width="9.3"/>
    <col collapsed="false" customWidth="true" hidden="false" outlineLevel="0" max="4" min="4" style="1" width="10.84"/>
    <col collapsed="false" customWidth="true" hidden="false" outlineLevel="0" max="5" min="5" style="42" width="14"/>
    <col collapsed="false" customWidth="true" hidden="false" outlineLevel="0" max="6" min="6" style="1" width="10.84"/>
    <col collapsed="false" customWidth="true" hidden="false" outlineLevel="0" max="7" min="7" style="1" width="17"/>
    <col collapsed="false" customWidth="true" hidden="false" outlineLevel="0" max="8" min="8" style="1" width="18.53"/>
    <col collapsed="false" customWidth="true" hidden="false" outlineLevel="0" max="10" min="9" style="43" width="16.84"/>
    <col collapsed="false" customWidth="true" hidden="false" outlineLevel="0" max="11" min="11" style="1" width="7.53"/>
    <col collapsed="false" customWidth="true" hidden="false" outlineLevel="0" max="12" min="12" style="1" width="11"/>
    <col collapsed="false" customWidth="true" hidden="false" outlineLevel="0" max="13" min="13" style="1" width="11.53"/>
    <col collapsed="false" customWidth="true" hidden="false" outlineLevel="0" max="14" min="14" style="1" width="10.69"/>
    <col collapsed="false" customWidth="true" hidden="false" outlineLevel="0" max="16" min="15" style="1" width="8"/>
    <col collapsed="false" customWidth="true" hidden="false" outlineLevel="0" max="17" min="17" style="1" width="13.38"/>
    <col collapsed="false" customWidth="true" hidden="false" outlineLevel="0" max="19" min="18" style="44" width="11.38"/>
    <col collapsed="false" customWidth="true" hidden="false" outlineLevel="0" max="20" min="20" style="1" width="9.84"/>
    <col collapsed="false" customWidth="true" hidden="false" outlineLevel="0" max="21" min="21" style="1" width="11.69"/>
  </cols>
  <sheetData>
    <row r="1" customFormat="false" ht="14.25" hidden="false" customHeight="false" outlineLevel="0" collapsed="false">
      <c r="A1" s="45" t="s">
        <v>461</v>
      </c>
      <c r="B1" s="45"/>
      <c r="C1" s="45"/>
      <c r="D1" s="45"/>
      <c r="E1" s="46"/>
      <c r="N1" s="15" t="s">
        <v>462</v>
      </c>
    </row>
    <row r="2" customFormat="false" ht="14.25" hidden="false" customHeight="false" outlineLevel="0" collapsed="false">
      <c r="A2" s="1" t="s">
        <v>463</v>
      </c>
      <c r="N2" s="15" t="s">
        <v>464</v>
      </c>
    </row>
    <row r="3" customFormat="false" ht="14.25" hidden="false" customHeight="false" outlineLevel="0" collapsed="false">
      <c r="A3" s="47" t="s">
        <v>465</v>
      </c>
      <c r="B3" s="47"/>
      <c r="C3" s="47"/>
      <c r="D3" s="47"/>
      <c r="E3" s="48"/>
    </row>
    <row r="5" s="1" customFormat="true" ht="62.25" hidden="false" customHeight="true" outlineLevel="0" collapsed="false">
      <c r="A5" s="49" t="s">
        <v>466</v>
      </c>
      <c r="B5" s="49" t="s">
        <v>304</v>
      </c>
      <c r="C5" s="49" t="s">
        <v>467</v>
      </c>
      <c r="D5" s="50" t="s">
        <v>468</v>
      </c>
      <c r="E5" s="50" t="s">
        <v>469</v>
      </c>
      <c r="F5" s="50" t="s">
        <v>470</v>
      </c>
      <c r="G5" s="50" t="s">
        <v>471</v>
      </c>
      <c r="H5" s="50" t="s">
        <v>472</v>
      </c>
      <c r="I5" s="51" t="s">
        <v>473</v>
      </c>
      <c r="J5" s="49" t="s">
        <v>474</v>
      </c>
      <c r="K5" s="49" t="s">
        <v>475</v>
      </c>
      <c r="L5" s="50" t="s">
        <v>476</v>
      </c>
      <c r="M5" s="50" t="s">
        <v>477</v>
      </c>
      <c r="N5" s="50" t="s">
        <v>478</v>
      </c>
      <c r="O5" s="50" t="s">
        <v>479</v>
      </c>
      <c r="P5" s="50" t="s">
        <v>480</v>
      </c>
      <c r="Q5" s="50" t="s">
        <v>481</v>
      </c>
      <c r="R5" s="50" t="s">
        <v>482</v>
      </c>
      <c r="S5" s="52" t="s">
        <v>483</v>
      </c>
      <c r="T5" s="52" t="s">
        <v>484</v>
      </c>
      <c r="U5" s="52" t="s">
        <v>485</v>
      </c>
      <c r="V5" s="52" t="s">
        <v>486</v>
      </c>
      <c r="W5" s="52" t="s">
        <v>487</v>
      </c>
    </row>
    <row r="6" s="53" customFormat="true" ht="14.25" hidden="false" customHeight="false" outlineLevel="0" collapsed="false">
      <c r="A6" s="53" t="n">
        <v>30000</v>
      </c>
      <c r="B6" s="53" t="n">
        <v>20000</v>
      </c>
      <c r="D6" s="53" t="s">
        <v>92</v>
      </c>
      <c r="E6" s="54" t="s">
        <v>319</v>
      </c>
      <c r="F6" s="53" t="s">
        <v>488</v>
      </c>
      <c r="G6" s="53" t="s">
        <v>489</v>
      </c>
      <c r="H6" s="53" t="s">
        <v>320</v>
      </c>
      <c r="I6" s="53" t="s">
        <v>490</v>
      </c>
      <c r="K6" s="53" t="n">
        <v>1.35</v>
      </c>
      <c r="L6" s="55" t="n">
        <v>0.33</v>
      </c>
      <c r="M6" s="55"/>
      <c r="N6" s="55" t="n">
        <f aca="false">L6+M6</f>
        <v>0.33</v>
      </c>
      <c r="O6" s="53" t="s">
        <v>491</v>
      </c>
      <c r="P6" s="53" t="s">
        <v>50</v>
      </c>
      <c r="Q6" s="53" t="s">
        <v>57</v>
      </c>
      <c r="R6" s="56" t="n">
        <v>4811.41</v>
      </c>
      <c r="S6" s="57" t="n">
        <f aca="false">IF(O6="SQM",L6/1.55,L6)</f>
        <v>0.212903225806452</v>
      </c>
      <c r="T6" s="57" t="n">
        <v>0.28741935483871</v>
      </c>
      <c r="U6" s="57" t="n">
        <f aca="false">IF(P6="CAD",S6,S6*K6)</f>
        <v>0.28741935483871</v>
      </c>
      <c r="W6" s="55"/>
    </row>
    <row r="7" s="53" customFormat="true" ht="14.25" hidden="false" customHeight="false" outlineLevel="0" collapsed="false">
      <c r="A7" s="53" t="n">
        <v>30001</v>
      </c>
      <c r="B7" s="53" t="n">
        <v>20001</v>
      </c>
      <c r="D7" s="53" t="s">
        <v>92</v>
      </c>
      <c r="E7" s="54" t="s">
        <v>319</v>
      </c>
      <c r="F7" s="53" t="s">
        <v>325</v>
      </c>
      <c r="G7" s="53" t="s">
        <v>492</v>
      </c>
      <c r="H7" s="53" t="s">
        <v>320</v>
      </c>
      <c r="I7" s="53" t="s">
        <v>490</v>
      </c>
      <c r="K7" s="53" t="n">
        <v>1.35</v>
      </c>
      <c r="L7" s="55" t="n">
        <v>0.4</v>
      </c>
      <c r="M7" s="55"/>
      <c r="N7" s="55" t="n">
        <f aca="false">L7+M7</f>
        <v>0.4</v>
      </c>
      <c r="O7" s="53" t="s">
        <v>491</v>
      </c>
      <c r="P7" s="53" t="s">
        <v>50</v>
      </c>
      <c r="Q7" s="53" t="s">
        <v>57</v>
      </c>
      <c r="R7" s="56" t="n">
        <v>4811.41</v>
      </c>
      <c r="S7" s="58" t="n">
        <f aca="false">IF(O7="SQM",L7/1.55,L7)</f>
        <v>0.258064516129032</v>
      </c>
      <c r="T7" s="57" t="n">
        <v>0.348387096774194</v>
      </c>
      <c r="U7" s="57" t="n">
        <f aca="false">IF(P7="CAD",S7,S7*K7)</f>
        <v>0.348387096774194</v>
      </c>
      <c r="W7" s="55"/>
    </row>
    <row r="8" s="53" customFormat="true" ht="14.25" hidden="false" customHeight="false" outlineLevel="0" collapsed="false">
      <c r="A8" s="53" t="n">
        <v>30002</v>
      </c>
      <c r="B8" s="53" t="n">
        <v>20002</v>
      </c>
      <c r="D8" s="53" t="s">
        <v>92</v>
      </c>
      <c r="E8" s="54" t="s">
        <v>329</v>
      </c>
      <c r="F8" s="53" t="s">
        <v>328</v>
      </c>
      <c r="G8" s="53" t="s">
        <v>493</v>
      </c>
      <c r="H8" s="53" t="s">
        <v>320</v>
      </c>
      <c r="I8" s="53" t="s">
        <v>490</v>
      </c>
      <c r="K8" s="53" t="n">
        <v>1.35</v>
      </c>
      <c r="L8" s="55" t="n">
        <v>0.288</v>
      </c>
      <c r="M8" s="55"/>
      <c r="N8" s="55" t="n">
        <f aca="false">L8+M8</f>
        <v>0.288</v>
      </c>
      <c r="O8" s="53" t="s">
        <v>491</v>
      </c>
      <c r="P8" s="53" t="s">
        <v>50</v>
      </c>
      <c r="Q8" s="53" t="s">
        <v>57</v>
      </c>
      <c r="R8" s="56" t="n">
        <v>4811.41</v>
      </c>
      <c r="S8" s="58" t="n">
        <f aca="false">IF(O8="SQM",L8/1.55,L8)</f>
        <v>0.185806451612903</v>
      </c>
      <c r="T8" s="57" t="n">
        <v>0.250838709677419</v>
      </c>
      <c r="U8" s="57" t="n">
        <f aca="false">IF(P8="CAD",S8,S8*K8)</f>
        <v>0.250838709677419</v>
      </c>
      <c r="W8" s="55"/>
    </row>
    <row r="9" s="53" customFormat="true" ht="14.25" hidden="false" customHeight="false" outlineLevel="0" collapsed="false">
      <c r="A9" s="53" t="n">
        <v>30003</v>
      </c>
      <c r="B9" s="53" t="n">
        <v>20003</v>
      </c>
      <c r="D9" s="53" t="s">
        <v>92</v>
      </c>
      <c r="E9" s="54" t="s">
        <v>337</v>
      </c>
      <c r="F9" s="53" t="s">
        <v>332</v>
      </c>
      <c r="G9" s="53" t="s">
        <v>494</v>
      </c>
      <c r="H9" s="53" t="s">
        <v>320</v>
      </c>
      <c r="I9" s="53" t="s">
        <v>490</v>
      </c>
      <c r="K9" s="53" t="n">
        <v>1.35</v>
      </c>
      <c r="L9" s="55" t="n">
        <v>0.311</v>
      </c>
      <c r="M9" s="55"/>
      <c r="N9" s="55" t="n">
        <f aca="false">L9+M9</f>
        <v>0.311</v>
      </c>
      <c r="O9" s="53" t="s">
        <v>491</v>
      </c>
      <c r="P9" s="53" t="s">
        <v>50</v>
      </c>
      <c r="Q9" s="53" t="s">
        <v>57</v>
      </c>
      <c r="R9" s="56" t="n">
        <v>4811.41</v>
      </c>
      <c r="S9" s="58" t="n">
        <f aca="false">IF(O9="SQM",L9/1.55,L9)</f>
        <v>0.200645161290323</v>
      </c>
      <c r="T9" s="57" t="n">
        <v>0.270870967741936</v>
      </c>
      <c r="U9" s="57" t="n">
        <f aca="false">IF(P9="CAD",S9,S9*K9)</f>
        <v>0.270870967741936</v>
      </c>
      <c r="W9" s="55"/>
    </row>
    <row r="10" s="53" customFormat="true" ht="14.25" hidden="false" customHeight="false" outlineLevel="0" collapsed="false">
      <c r="A10" s="53" t="n">
        <v>30004</v>
      </c>
      <c r="B10" s="53" t="n">
        <v>20004</v>
      </c>
      <c r="D10" s="53" t="s">
        <v>92</v>
      </c>
      <c r="E10" s="54" t="s">
        <v>337</v>
      </c>
      <c r="F10" s="53" t="s">
        <v>336</v>
      </c>
      <c r="G10" s="53" t="s">
        <v>495</v>
      </c>
      <c r="H10" s="53" t="s">
        <v>320</v>
      </c>
      <c r="I10" s="53" t="s">
        <v>490</v>
      </c>
      <c r="K10" s="53" t="n">
        <v>1.35</v>
      </c>
      <c r="L10" s="55" t="n">
        <v>0.381</v>
      </c>
      <c r="M10" s="55"/>
      <c r="N10" s="55" t="n">
        <f aca="false">L10+M10</f>
        <v>0.381</v>
      </c>
      <c r="O10" s="53" t="s">
        <v>491</v>
      </c>
      <c r="P10" s="53" t="s">
        <v>50</v>
      </c>
      <c r="Q10" s="53" t="s">
        <v>57</v>
      </c>
      <c r="R10" s="56" t="n">
        <v>4811.41</v>
      </c>
      <c r="S10" s="58" t="n">
        <f aca="false">IF(O10="SQM",L10/1.55,L10)</f>
        <v>0.245806451612903</v>
      </c>
      <c r="T10" s="57" t="n">
        <v>0.331838709677419</v>
      </c>
      <c r="U10" s="57" t="n">
        <f aca="false">IF(P10="CAD",S10,S10*K10)</f>
        <v>0.331838709677419</v>
      </c>
      <c r="W10" s="55"/>
    </row>
    <row r="11" s="53" customFormat="true" ht="14.25" hidden="false" customHeight="false" outlineLevel="0" collapsed="false">
      <c r="A11" s="53" t="n">
        <v>30005</v>
      </c>
      <c r="B11" s="53" t="n">
        <v>20005</v>
      </c>
      <c r="D11" s="53" t="s">
        <v>92</v>
      </c>
      <c r="E11" s="54" t="s">
        <v>340</v>
      </c>
      <c r="F11" s="53" t="s">
        <v>339</v>
      </c>
      <c r="G11" s="53" t="s">
        <v>496</v>
      </c>
      <c r="H11" s="53" t="s">
        <v>320</v>
      </c>
      <c r="I11" s="53" t="s">
        <v>490</v>
      </c>
      <c r="K11" s="53" t="n">
        <v>1.35</v>
      </c>
      <c r="L11" s="55" t="n">
        <v>0.268</v>
      </c>
      <c r="M11" s="55"/>
      <c r="N11" s="55" t="n">
        <f aca="false">L11+M11</f>
        <v>0.268</v>
      </c>
      <c r="O11" s="53" t="s">
        <v>491</v>
      </c>
      <c r="P11" s="53" t="s">
        <v>50</v>
      </c>
      <c r="Q11" s="53" t="s">
        <v>57</v>
      </c>
      <c r="R11" s="56" t="n">
        <v>4811.41</v>
      </c>
      <c r="S11" s="58" t="n">
        <f aca="false">IF(O11="SQM",L11/1.55,L11)</f>
        <v>0.172903225806452</v>
      </c>
      <c r="T11" s="57" t="n">
        <v>0.23341935483871</v>
      </c>
      <c r="U11" s="57" t="n">
        <f aca="false">IF(P11="CAD",S11,S11*K11)</f>
        <v>0.23341935483871</v>
      </c>
      <c r="W11" s="55"/>
    </row>
    <row r="12" s="53" customFormat="true" ht="14.25" hidden="false" customHeight="false" outlineLevel="0" collapsed="false">
      <c r="A12" s="53" t="n">
        <v>30006</v>
      </c>
      <c r="B12" s="53" t="n">
        <v>20006</v>
      </c>
      <c r="D12" s="53" t="s">
        <v>92</v>
      </c>
      <c r="E12" s="54" t="s">
        <v>344</v>
      </c>
      <c r="F12" s="53" t="s">
        <v>343</v>
      </c>
      <c r="G12" s="53" t="s">
        <v>497</v>
      </c>
      <c r="H12" s="53" t="s">
        <v>345</v>
      </c>
      <c r="I12" s="53" t="s">
        <v>490</v>
      </c>
      <c r="K12" s="53" t="n">
        <v>1.35</v>
      </c>
      <c r="L12" s="55" t="n">
        <v>0.318</v>
      </c>
      <c r="M12" s="55"/>
      <c r="N12" s="55" t="n">
        <f aca="false">L12+M12</f>
        <v>0.318</v>
      </c>
      <c r="O12" s="53" t="s">
        <v>491</v>
      </c>
      <c r="P12" s="53" t="s">
        <v>50</v>
      </c>
      <c r="Q12" s="53" t="s">
        <v>57</v>
      </c>
      <c r="R12" s="56" t="s">
        <v>348</v>
      </c>
      <c r="S12" s="58" t="n">
        <f aca="false">IF(O12="SQM",L12/1.55,L12)</f>
        <v>0.205161290322581</v>
      </c>
      <c r="T12" s="57" t="n">
        <v>0.276967741935484</v>
      </c>
      <c r="U12" s="57" t="n">
        <f aca="false">IF(P12="CAD",S12,S12*K12)</f>
        <v>0.276967741935484</v>
      </c>
      <c r="W12" s="55"/>
    </row>
    <row r="13" s="53" customFormat="true" ht="14.25" hidden="false" customHeight="false" outlineLevel="0" collapsed="false">
      <c r="A13" s="53" t="n">
        <v>30007</v>
      </c>
      <c r="B13" s="53" t="n">
        <v>20007</v>
      </c>
      <c r="D13" s="53" t="s">
        <v>92</v>
      </c>
      <c r="E13" s="54" t="s">
        <v>344</v>
      </c>
      <c r="F13" s="53" t="s">
        <v>349</v>
      </c>
      <c r="G13" s="53" t="s">
        <v>498</v>
      </c>
      <c r="H13" s="53" t="s">
        <v>345</v>
      </c>
      <c r="I13" s="53" t="s">
        <v>490</v>
      </c>
      <c r="K13" s="53" t="n">
        <v>1.35</v>
      </c>
      <c r="L13" s="55" t="n">
        <v>0.35</v>
      </c>
      <c r="M13" s="55"/>
      <c r="N13" s="55" t="n">
        <f aca="false">L13+M13</f>
        <v>0.35</v>
      </c>
      <c r="O13" s="53" t="s">
        <v>491</v>
      </c>
      <c r="P13" s="53" t="s">
        <v>50</v>
      </c>
      <c r="Q13" s="53" t="s">
        <v>57</v>
      </c>
      <c r="R13" s="56" t="s">
        <v>348</v>
      </c>
      <c r="S13" s="58" t="n">
        <f aca="false">IF(O13="SQM",L13/1.55,L13)</f>
        <v>0.225806451612903</v>
      </c>
      <c r="T13" s="57" t="n">
        <v>0.304838709677419</v>
      </c>
      <c r="U13" s="57" t="n">
        <f aca="false">IF(P13="CAD",S13,S13*K13)</f>
        <v>0.304838709677419</v>
      </c>
      <c r="W13" s="55"/>
    </row>
    <row r="14" s="53" customFormat="true" ht="14.25" hidden="false" customHeight="false" outlineLevel="0" collapsed="false">
      <c r="A14" s="53" t="n">
        <v>30008</v>
      </c>
      <c r="B14" s="53" t="n">
        <v>20008</v>
      </c>
      <c r="D14" s="53" t="s">
        <v>92</v>
      </c>
      <c r="E14" s="54" t="s">
        <v>353</v>
      </c>
      <c r="F14" s="53" t="s">
        <v>352</v>
      </c>
      <c r="G14" s="53" t="s">
        <v>499</v>
      </c>
      <c r="H14" s="53" t="s">
        <v>345</v>
      </c>
      <c r="I14" s="53" t="s">
        <v>490</v>
      </c>
      <c r="K14" s="53" t="n">
        <v>1.35</v>
      </c>
      <c r="L14" s="55" t="n">
        <v>0.332</v>
      </c>
      <c r="M14" s="55"/>
      <c r="N14" s="55" t="n">
        <f aca="false">L14+M14</f>
        <v>0.332</v>
      </c>
      <c r="O14" s="53" t="s">
        <v>491</v>
      </c>
      <c r="P14" s="53" t="s">
        <v>50</v>
      </c>
      <c r="Q14" s="53" t="s">
        <v>57</v>
      </c>
      <c r="R14" s="56" t="s">
        <v>348</v>
      </c>
      <c r="S14" s="58" t="n">
        <f aca="false">IF(O14="SQM",L14/1.55,L14)</f>
        <v>0.214193548387097</v>
      </c>
      <c r="T14" s="57" t="n">
        <v>0.289161290322581</v>
      </c>
      <c r="U14" s="57" t="n">
        <f aca="false">IF(P14="CAD",S14,S14*K14)</f>
        <v>0.289161290322581</v>
      </c>
      <c r="W14" s="55"/>
    </row>
    <row r="15" s="53" customFormat="true" ht="14.25" hidden="false" customHeight="false" outlineLevel="0" collapsed="false">
      <c r="A15" s="53" t="n">
        <v>30009</v>
      </c>
      <c r="B15" s="53" t="n">
        <v>20009</v>
      </c>
      <c r="D15" s="53" t="s">
        <v>92</v>
      </c>
      <c r="E15" s="54" t="s">
        <v>353</v>
      </c>
      <c r="F15" s="53" t="s">
        <v>356</v>
      </c>
      <c r="G15" s="53" t="s">
        <v>500</v>
      </c>
      <c r="H15" s="53" t="s">
        <v>345</v>
      </c>
      <c r="I15" s="53" t="s">
        <v>490</v>
      </c>
      <c r="K15" s="53" t="n">
        <v>1.35</v>
      </c>
      <c r="L15" s="55" t="n">
        <v>0.36</v>
      </c>
      <c r="M15" s="55"/>
      <c r="N15" s="55" t="n">
        <f aca="false">L15+M15</f>
        <v>0.36</v>
      </c>
      <c r="O15" s="53" t="s">
        <v>491</v>
      </c>
      <c r="P15" s="53" t="s">
        <v>50</v>
      </c>
      <c r="Q15" s="53" t="s">
        <v>57</v>
      </c>
      <c r="R15" s="56" t="s">
        <v>348</v>
      </c>
      <c r="S15" s="58" t="n">
        <f aca="false">IF(O15="SQM",L15/1.55,L15)</f>
        <v>0.232258064516129</v>
      </c>
      <c r="T15" s="57" t="n">
        <v>0.313548387096774</v>
      </c>
      <c r="U15" s="57" t="n">
        <f aca="false">IF(P15="CAD",S15,S15*K15)</f>
        <v>0.313548387096774</v>
      </c>
      <c r="W15" s="55"/>
    </row>
    <row r="16" s="53" customFormat="true" ht="14.25" hidden="false" customHeight="false" outlineLevel="0" collapsed="false">
      <c r="A16" s="53" t="n">
        <v>30010</v>
      </c>
      <c r="B16" s="53" t="n">
        <v>20010</v>
      </c>
      <c r="D16" s="53" t="s">
        <v>359</v>
      </c>
      <c r="E16" s="54" t="s">
        <v>360</v>
      </c>
      <c r="F16" s="53" t="s">
        <v>358</v>
      </c>
      <c r="G16" s="53" t="s">
        <v>501</v>
      </c>
      <c r="H16" s="53" t="s">
        <v>320</v>
      </c>
      <c r="I16" s="53" t="s">
        <v>502</v>
      </c>
      <c r="K16" s="53" t="n">
        <v>1.35</v>
      </c>
      <c r="L16" s="55" t="n">
        <v>0.298</v>
      </c>
      <c r="M16" s="55"/>
      <c r="N16" s="55" t="n">
        <f aca="false">L16+M16</f>
        <v>0.298</v>
      </c>
      <c r="O16" s="53" t="s">
        <v>491</v>
      </c>
      <c r="P16" s="53" t="s">
        <v>50</v>
      </c>
      <c r="Q16" s="53" t="s">
        <v>57</v>
      </c>
      <c r="R16" s="56" t="n">
        <v>4811.41</v>
      </c>
      <c r="S16" s="58" t="n">
        <f aca="false">IF(O16="SQM",L16/1.55,L16)</f>
        <v>0.192258064516129</v>
      </c>
      <c r="T16" s="57" t="n">
        <v>0.259548387096774</v>
      </c>
      <c r="U16" s="57" t="n">
        <f aca="false">IF(P16="CAD",S16,S16*K16)</f>
        <v>0.259548387096774</v>
      </c>
      <c r="W16" s="55"/>
    </row>
    <row r="17" customFormat="false" ht="14.25" hidden="false" customHeight="false" outlineLevel="0" collapsed="false">
      <c r="A17" s="1" t="n">
        <v>30011</v>
      </c>
      <c r="B17" s="1" t="n">
        <v>20011</v>
      </c>
      <c r="D17" s="1" t="s">
        <v>92</v>
      </c>
      <c r="E17" s="42" t="s">
        <v>365</v>
      </c>
      <c r="F17" s="15" t="s">
        <v>364</v>
      </c>
      <c r="G17" s="15" t="s">
        <v>503</v>
      </c>
      <c r="H17" s="15" t="s">
        <v>320</v>
      </c>
      <c r="I17" s="43" t="s">
        <v>504</v>
      </c>
      <c r="J17" s="59" t="n">
        <v>45356</v>
      </c>
      <c r="K17" s="1" t="n">
        <v>1.35</v>
      </c>
      <c r="L17" s="43" t="n">
        <v>0.288</v>
      </c>
      <c r="M17" s="43" t="n">
        <v>0.037590291288154</v>
      </c>
      <c r="N17" s="60" t="n">
        <f aca="false">L17+M17</f>
        <v>0.325590291288154</v>
      </c>
      <c r="O17" s="61" t="s">
        <v>491</v>
      </c>
      <c r="P17" s="61" t="s">
        <v>50</v>
      </c>
      <c r="Q17" s="61" t="s">
        <v>57</v>
      </c>
      <c r="R17" s="62" t="n">
        <v>4811.41</v>
      </c>
      <c r="S17" s="63" t="n">
        <f aca="false">IF(O17="SQM",N17/1.55,N17)</f>
        <v>0.21005825244397</v>
      </c>
      <c r="T17" s="64" t="n">
        <v>0</v>
      </c>
      <c r="U17" s="64" t="n">
        <f aca="false">IF(P17="CAD",S17,S17*K17)</f>
        <v>0.28357864079936</v>
      </c>
      <c r="V17" s="65" t="n">
        <f aca="false">M17/L17</f>
        <v>0.130521844750535</v>
      </c>
      <c r="W17" s="60" t="n">
        <f aca="false">M17/1.55</f>
        <v>0.0242518008310671</v>
      </c>
    </row>
    <row r="18" customFormat="false" ht="14.25" hidden="false" customHeight="false" outlineLevel="0" collapsed="false">
      <c r="A18" s="1" t="n">
        <v>30012</v>
      </c>
      <c r="B18" s="1" t="n">
        <v>20012</v>
      </c>
      <c r="D18" s="1" t="s">
        <v>92</v>
      </c>
      <c r="E18" s="42" t="s">
        <v>505</v>
      </c>
      <c r="F18" s="15" t="s">
        <v>367</v>
      </c>
      <c r="G18" s="15" t="s">
        <v>506</v>
      </c>
      <c r="H18" s="15" t="s">
        <v>320</v>
      </c>
      <c r="I18" s="43" t="s">
        <v>507</v>
      </c>
      <c r="J18" s="59" t="n">
        <v>45414</v>
      </c>
      <c r="K18" s="1" t="n">
        <v>1.36</v>
      </c>
      <c r="L18" s="43" t="n">
        <v>0.33</v>
      </c>
      <c r="M18" s="43" t="n">
        <v>0.0437945542079313</v>
      </c>
      <c r="N18" s="60" t="n">
        <f aca="false">L18+M18</f>
        <v>0.373794554207931</v>
      </c>
      <c r="O18" s="61" t="s">
        <v>491</v>
      </c>
      <c r="P18" s="61" t="s">
        <v>50</v>
      </c>
      <c r="Q18" s="61" t="s">
        <v>57</v>
      </c>
      <c r="R18" s="62" t="n">
        <v>4811.41</v>
      </c>
      <c r="S18" s="63" t="n">
        <f aca="false">IF(O18="SQM",N18/1.55,N18)</f>
        <v>0.241157776908343</v>
      </c>
      <c r="T18" s="64" t="n">
        <v>0</v>
      </c>
      <c r="U18" s="64" t="n">
        <f aca="false">IF(P18="CAD",S18,S18*K18)</f>
        <v>0.327974576595346</v>
      </c>
      <c r="V18" s="65" t="n">
        <f aca="false">M18/L18</f>
        <v>0.132710770327065</v>
      </c>
      <c r="W18" s="60" t="n">
        <f aca="false">M18/1.55</f>
        <v>0.0282545511018912</v>
      </c>
    </row>
    <row r="19" customFormat="false" ht="14.25" hidden="false" customHeight="false" outlineLevel="0" collapsed="false">
      <c r="A19" s="53" t="n">
        <v>30013</v>
      </c>
      <c r="B19" s="53" t="n">
        <v>20013</v>
      </c>
      <c r="C19" s="53"/>
      <c r="D19" s="53" t="s">
        <v>92</v>
      </c>
      <c r="E19" s="54" t="s">
        <v>372</v>
      </c>
      <c r="F19" s="53" t="s">
        <v>371</v>
      </c>
      <c r="G19" s="53" t="s">
        <v>506</v>
      </c>
      <c r="H19" s="53" t="s">
        <v>320</v>
      </c>
      <c r="I19" s="53" t="s">
        <v>508</v>
      </c>
      <c r="J19" s="66" t="n">
        <v>45377</v>
      </c>
      <c r="K19" s="53" t="n">
        <v>1.35</v>
      </c>
      <c r="L19" s="55" t="n">
        <v>0.369</v>
      </c>
      <c r="M19" s="55" t="n">
        <v>0.0422367387184546</v>
      </c>
      <c r="N19" s="55" t="n">
        <f aca="false">L19+M19</f>
        <v>0.411236738718455</v>
      </c>
      <c r="O19" s="53" t="s">
        <v>491</v>
      </c>
      <c r="P19" s="53" t="s">
        <v>50</v>
      </c>
      <c r="Q19" s="53" t="s">
        <v>509</v>
      </c>
      <c r="R19" s="56" t="n">
        <v>4811.41</v>
      </c>
      <c r="S19" s="58" t="n">
        <f aca="false">IF(O19="SQM",N19/1.55,N19)</f>
        <v>0.265314024979648</v>
      </c>
      <c r="T19" s="57" t="n">
        <v>0</v>
      </c>
      <c r="U19" s="57" t="n">
        <f aca="false">IF(P19="CAD",S19,S19*K19)</f>
        <v>0.358173933722525</v>
      </c>
      <c r="V19" s="67" t="n">
        <f aca="false">M19/L19</f>
        <v>0.114462706554078</v>
      </c>
      <c r="W19" s="55" t="n">
        <f aca="false">M19/1.55</f>
        <v>0.0272495088506159</v>
      </c>
    </row>
    <row r="20" customFormat="false" ht="14.25" hidden="false" customHeight="false" outlineLevel="0" collapsed="false">
      <c r="A20" s="1" t="n">
        <v>30014</v>
      </c>
      <c r="B20" s="1" t="n">
        <v>20014</v>
      </c>
      <c r="D20" s="1" t="s">
        <v>375</v>
      </c>
      <c r="E20" s="42" t="s">
        <v>376</v>
      </c>
      <c r="F20" s="15" t="s">
        <v>374</v>
      </c>
      <c r="G20" s="15" t="s">
        <v>503</v>
      </c>
      <c r="H20" s="15" t="s">
        <v>320</v>
      </c>
      <c r="I20" s="43" t="s">
        <v>510</v>
      </c>
      <c r="J20" s="59" t="n">
        <v>45421</v>
      </c>
      <c r="K20" s="1" t="n">
        <v>1.3695</v>
      </c>
      <c r="L20" s="43" t="n">
        <v>0.255</v>
      </c>
      <c r="M20" s="43" t="n">
        <v>0.0392892104302252</v>
      </c>
      <c r="N20" s="60" t="n">
        <f aca="false">L20+M20</f>
        <v>0.294289210430225</v>
      </c>
      <c r="O20" s="61" t="s">
        <v>491</v>
      </c>
      <c r="P20" s="61" t="s">
        <v>50</v>
      </c>
      <c r="Q20" s="61" t="s">
        <v>57</v>
      </c>
      <c r="R20" s="62" t="n">
        <v>4811.41</v>
      </c>
      <c r="S20" s="63" t="n">
        <f aca="false">IF(O20="SQM",N20/1.55,N20)</f>
        <v>0.189864006729178</v>
      </c>
      <c r="T20" s="64" t="n">
        <f aca="false">U20</f>
        <v>0.260018757215609</v>
      </c>
      <c r="U20" s="64" t="n">
        <f aca="false">IF(P20="CAD",S20,S20*K20)</f>
        <v>0.260018757215609</v>
      </c>
      <c r="V20" s="65" t="n">
        <f aca="false">M20/L20</f>
        <v>0.154075335020491</v>
      </c>
      <c r="W20" s="60" t="n">
        <f aca="false">M20/1.55</f>
        <v>0.0253478776969195</v>
      </c>
    </row>
    <row r="21" customFormat="false" ht="14.25" hidden="false" customHeight="false" outlineLevel="0" collapsed="false">
      <c r="A21" s="1" t="n">
        <v>30015</v>
      </c>
      <c r="B21" s="1" t="n">
        <v>20015</v>
      </c>
      <c r="D21" s="1" t="s">
        <v>375</v>
      </c>
      <c r="E21" s="42" t="s">
        <v>379</v>
      </c>
      <c r="F21" s="15" t="s">
        <v>378</v>
      </c>
      <c r="G21" s="15" t="s">
        <v>511</v>
      </c>
      <c r="H21" s="15" t="s">
        <v>320</v>
      </c>
      <c r="I21" s="43" t="s">
        <v>510</v>
      </c>
      <c r="J21" s="59" t="n">
        <v>45421</v>
      </c>
      <c r="K21" s="1" t="n">
        <v>1.3695</v>
      </c>
      <c r="L21" s="43" t="n">
        <v>0.265</v>
      </c>
      <c r="M21" s="43" t="n">
        <v>0.0392892104302252</v>
      </c>
      <c r="N21" s="60" t="n">
        <f aca="false">L21+M21</f>
        <v>0.304289210430225</v>
      </c>
      <c r="O21" s="61" t="s">
        <v>491</v>
      </c>
      <c r="P21" s="61" t="s">
        <v>50</v>
      </c>
      <c r="Q21" s="61" t="s">
        <v>57</v>
      </c>
      <c r="R21" s="62" t="n">
        <v>4811.41</v>
      </c>
      <c r="S21" s="63" t="n">
        <f aca="false">IF(O21="SQM",N21/1.55,N21)</f>
        <v>0.196315619632403</v>
      </c>
      <c r="T21" s="64" t="n">
        <f aca="false">U21</f>
        <v>0.268854241086576</v>
      </c>
      <c r="U21" s="64" t="n">
        <f aca="false">IF(P21="CAD",S21,S21*K21)</f>
        <v>0.268854241086576</v>
      </c>
      <c r="V21" s="65" t="n">
        <f aca="false">M21/L21</f>
        <v>0.148261171434812</v>
      </c>
      <c r="W21" s="60" t="n">
        <f aca="false">M21/1.55</f>
        <v>0.0253478776969195</v>
      </c>
    </row>
    <row r="22" customFormat="false" ht="14.25" hidden="false" customHeight="false" outlineLevel="0" collapsed="false">
      <c r="A22" s="1" t="n">
        <v>30016</v>
      </c>
      <c r="B22" s="1" t="n">
        <v>20016</v>
      </c>
      <c r="D22" s="1" t="s">
        <v>375</v>
      </c>
      <c r="E22" s="42" t="s">
        <v>383</v>
      </c>
      <c r="F22" s="15" t="s">
        <v>382</v>
      </c>
      <c r="G22" s="15" t="s">
        <v>500</v>
      </c>
      <c r="H22" s="15" t="s">
        <v>345</v>
      </c>
      <c r="I22" s="43" t="s">
        <v>510</v>
      </c>
      <c r="J22" s="59" t="n">
        <v>45421</v>
      </c>
      <c r="K22" s="1" t="n">
        <v>1.3695</v>
      </c>
      <c r="L22" s="43" t="n">
        <v>0.33</v>
      </c>
      <c r="M22" s="43" t="n">
        <v>0.0392892104302252</v>
      </c>
      <c r="N22" s="60" t="n">
        <f aca="false">L22+M22</f>
        <v>0.369289210430225</v>
      </c>
      <c r="O22" s="61" t="s">
        <v>491</v>
      </c>
      <c r="P22" s="61" t="s">
        <v>50</v>
      </c>
      <c r="Q22" s="61" t="s">
        <v>57</v>
      </c>
      <c r="R22" s="62" t="s">
        <v>348</v>
      </c>
      <c r="S22" s="63" t="n">
        <f aca="false">IF(O22="SQM",N22/1.55,N22)</f>
        <v>0.238251103503371</v>
      </c>
      <c r="T22" s="64" t="n">
        <f aca="false">U22</f>
        <v>0.326284886247867</v>
      </c>
      <c r="U22" s="64" t="n">
        <f aca="false">IF(P22="CAD",S22,S22*K22)</f>
        <v>0.326284886247867</v>
      </c>
      <c r="V22" s="65" t="n">
        <f aca="false">M22/L22</f>
        <v>0.119058213424925</v>
      </c>
      <c r="W22" s="60" t="n">
        <f aca="false">M22/1.55</f>
        <v>0.0253478776969195</v>
      </c>
    </row>
    <row r="23" customFormat="false" ht="14.25" hidden="false" customHeight="false" outlineLevel="0" collapsed="false">
      <c r="A23" s="1" t="n">
        <v>30017</v>
      </c>
      <c r="B23" s="1" t="n">
        <v>20017</v>
      </c>
      <c r="D23" s="1" t="s">
        <v>375</v>
      </c>
      <c r="E23" s="42" t="s">
        <v>386</v>
      </c>
      <c r="F23" s="15" t="s">
        <v>385</v>
      </c>
      <c r="G23" s="15" t="s">
        <v>498</v>
      </c>
      <c r="H23" s="15" t="s">
        <v>345</v>
      </c>
      <c r="I23" s="43" t="s">
        <v>510</v>
      </c>
      <c r="J23" s="59" t="n">
        <v>45421</v>
      </c>
      <c r="K23" s="1" t="n">
        <v>1.3695</v>
      </c>
      <c r="L23" s="43" t="n">
        <v>0.33</v>
      </c>
      <c r="M23" s="43" t="n">
        <v>0.0392892104302252</v>
      </c>
      <c r="N23" s="60" t="n">
        <f aca="false">L23+M23</f>
        <v>0.369289210430225</v>
      </c>
      <c r="O23" s="61" t="s">
        <v>491</v>
      </c>
      <c r="P23" s="61" t="s">
        <v>50</v>
      </c>
      <c r="Q23" s="61" t="s">
        <v>57</v>
      </c>
      <c r="R23" s="62" t="s">
        <v>348</v>
      </c>
      <c r="S23" s="63" t="n">
        <f aca="false">IF(O23="SQM",N23/1.55,N23)</f>
        <v>0.238251103503371</v>
      </c>
      <c r="T23" s="64" t="n">
        <f aca="false">U23</f>
        <v>0.326284886247867</v>
      </c>
      <c r="U23" s="64" t="n">
        <f aca="false">IF(P23="CAD",S23,S23*K23)</f>
        <v>0.326284886247867</v>
      </c>
      <c r="V23" s="65" t="n">
        <f aca="false">M23/L23</f>
        <v>0.119058213424925</v>
      </c>
      <c r="W23" s="60" t="n">
        <f aca="false">M23/1.55</f>
        <v>0.0253478776969195</v>
      </c>
    </row>
    <row r="24" customFormat="false" ht="14.25" hidden="false" customHeight="false" outlineLevel="0" collapsed="false">
      <c r="A24" s="1" t="n">
        <v>30018</v>
      </c>
      <c r="B24" s="1" t="n">
        <v>20011</v>
      </c>
      <c r="D24" s="1" t="str">
        <f aca="false">_xlfn.xlookup(B24,Spec!A:A,Spec!C:C)</f>
        <v>AKO</v>
      </c>
      <c r="E24" s="42" t="str">
        <f aca="false">_xlfn.xlookup(B24,Spec!A:A,Spec!D:D)</f>
        <v>AP1019</v>
      </c>
      <c r="F24" s="15" t="s">
        <v>364</v>
      </c>
      <c r="G24" s="15" t="s">
        <v>503</v>
      </c>
      <c r="H24" s="15" t="s">
        <v>320</v>
      </c>
      <c r="I24" s="43" t="s">
        <v>512</v>
      </c>
      <c r="J24" s="59" t="n">
        <v>45405</v>
      </c>
      <c r="K24" s="1" t="n">
        <v>1.35656921893946</v>
      </c>
      <c r="L24" s="43" t="n">
        <v>0.26</v>
      </c>
      <c r="M24" s="43" t="n">
        <v>0.0419696142424364</v>
      </c>
      <c r="N24" s="60" t="n">
        <f aca="false">L24+M24</f>
        <v>0.301969614242436</v>
      </c>
      <c r="O24" s="61" t="s">
        <v>491</v>
      </c>
      <c r="P24" s="61" t="s">
        <v>50</v>
      </c>
      <c r="Q24" s="61" t="s">
        <v>57</v>
      </c>
      <c r="R24" s="62" t="n">
        <v>4811.41</v>
      </c>
      <c r="S24" s="63" t="n">
        <f aca="false">IF(O24="SQM",N24/1.55,N24)</f>
        <v>0.194819105962862</v>
      </c>
      <c r="T24" s="64" t="n">
        <f aca="false">U24</f>
        <v>0.264285602410524</v>
      </c>
      <c r="U24" s="64" t="n">
        <f aca="false">IF(P24="CAD",S24,S24*K24)</f>
        <v>0.264285602410524</v>
      </c>
      <c r="V24" s="65" t="n">
        <f aca="false">M24/L24</f>
        <v>0.16142159324014</v>
      </c>
      <c r="W24" s="60" t="n">
        <f aca="false">M24/1.55</f>
        <v>0.0270771704789912</v>
      </c>
    </row>
    <row r="25" customFormat="false" ht="14.25" hidden="false" customHeight="false" outlineLevel="0" collapsed="false">
      <c r="A25" s="1" t="n">
        <v>30019</v>
      </c>
      <c r="B25" s="1" t="n">
        <v>20018</v>
      </c>
      <c r="C25" s="1" t="n">
        <v>10033</v>
      </c>
      <c r="D25" s="1" t="str">
        <f aca="false">VLOOKUP(Table34[[#This Row],[Spec no]],Table2[#All],3,FALSE())</f>
        <v>AKO</v>
      </c>
      <c r="E25" s="42" t="str">
        <f aca="false">_xlfn.xlookup(B25,Table2[Spec no],Table2[Supplier Spec],FALSE())</f>
        <v>AH3010</v>
      </c>
      <c r="F25" s="15" t="str">
        <f aca="false">VLOOKUP(Table34[[#This Row],[Spec no]],Table2[#All],2,FALSE())</f>
        <v>D16-1</v>
      </c>
      <c r="G25" s="15" t="s">
        <v>513</v>
      </c>
      <c r="H25" s="15" t="str">
        <f aca="false">VLOOKUP(Table34[[#This Row],[Spec no]],Table2[#All],5,FALSE())</f>
        <v>Self Adhesive Paper</v>
      </c>
      <c r="I25" s="43" t="s">
        <v>514</v>
      </c>
      <c r="J25" s="59" t="n">
        <v>45565</v>
      </c>
      <c r="K25" s="1" t="n">
        <v>1.3546953058996</v>
      </c>
      <c r="L25" s="43" t="n">
        <v>0.375</v>
      </c>
      <c r="M25" s="43" t="n">
        <f aca="false">8856.3/153592</f>
        <v>0.0576612063128288</v>
      </c>
      <c r="N25" s="60" t="n">
        <f aca="false">L25+M25</f>
        <v>0.432661206312829</v>
      </c>
      <c r="O25" s="61" t="s">
        <v>491</v>
      </c>
      <c r="P25" s="61" t="s">
        <v>50</v>
      </c>
      <c r="Q25" s="61" t="s">
        <v>509</v>
      </c>
      <c r="R25" s="62" t="n">
        <v>481141</v>
      </c>
      <c r="S25" s="63" t="n">
        <f aca="false">IF(O25="SQM",N25/1.55,N25)</f>
        <v>0.279136262137309</v>
      </c>
      <c r="T25" s="64" t="n">
        <f aca="false">U25</f>
        <v>0.378144584023772</v>
      </c>
      <c r="U25" s="64" t="n">
        <f aca="false">IF(P25="CAD",S25,S25*K25)</f>
        <v>0.378144584023772</v>
      </c>
      <c r="V25" s="65" t="n">
        <f aca="false">M25/L25</f>
        <v>0.15376321683421</v>
      </c>
      <c r="W25" s="60" t="n">
        <f aca="false">M25/1.55</f>
        <v>0.0372007782663412</v>
      </c>
    </row>
    <row r="26" customFormat="false" ht="14.25" hidden="false" customHeight="false" outlineLevel="0" collapsed="false">
      <c r="A26" s="1" t="n">
        <v>30020</v>
      </c>
      <c r="B26" s="1" t="n">
        <v>20019</v>
      </c>
      <c r="C26" s="1" t="n">
        <v>10022</v>
      </c>
      <c r="D26" s="1" t="s">
        <v>392</v>
      </c>
      <c r="E26" s="42" t="str">
        <f aca="false">_xlfn.xlookup(B26,Table2[Spec no],Table2[Supplier Spec],FALSE())</f>
        <v>C1031</v>
      </c>
      <c r="F26" s="15" t="str">
        <f aca="false">VLOOKUP(Table34[[#This Row],[Spec no]],Table2[#All],2,FALSE())</f>
        <v>F50-5</v>
      </c>
      <c r="G26" s="15" t="s">
        <v>515</v>
      </c>
      <c r="H26" s="15" t="str">
        <f aca="false">VLOOKUP(Table34[[#This Row],[Spec no]],Table2[#All],5,FALSE())</f>
        <v>Clear BOPP 95µ</v>
      </c>
      <c r="I26" s="43" t="s">
        <v>516</v>
      </c>
      <c r="J26" s="59" t="n">
        <v>45593</v>
      </c>
      <c r="K26" s="1" t="n">
        <v>1.3615</v>
      </c>
      <c r="L26" s="43" t="n">
        <f aca="false">1200.8/3780</f>
        <v>0.317671957671958</v>
      </c>
      <c r="M26" s="43" t="n">
        <v>0.28014883201958</v>
      </c>
      <c r="N26" s="60" t="n">
        <f aca="false">L26+M26</f>
        <v>0.597820789691538</v>
      </c>
      <c r="O26" s="61" t="s">
        <v>491</v>
      </c>
      <c r="P26" s="61" t="s">
        <v>50</v>
      </c>
      <c r="Q26" s="61" t="s">
        <v>397</v>
      </c>
      <c r="R26" s="62" t="s">
        <v>398</v>
      </c>
      <c r="S26" s="63" t="n">
        <f aca="false">IF(O26="SQM",N26/1.55,N26)</f>
        <v>0.385690832059057</v>
      </c>
      <c r="T26" s="64" t="n">
        <f aca="false">U26</f>
        <v>0.525118067848406</v>
      </c>
      <c r="U26" s="64" t="n">
        <f aca="false">IF(P26="CAD",S26,S26*K26)</f>
        <v>0.525118067848406</v>
      </c>
      <c r="V26" s="65" t="n">
        <f aca="false">M26/L26</f>
        <v>0.881880900261504</v>
      </c>
      <c r="W26" s="60" t="n">
        <f aca="false">M26/1.55</f>
        <v>0.180741181948116</v>
      </c>
    </row>
    <row r="27" customFormat="false" ht="14.25" hidden="false" customHeight="false" outlineLevel="0" collapsed="false">
      <c r="A27" s="1" t="n">
        <v>30021</v>
      </c>
      <c r="B27" s="1" t="n">
        <v>20020</v>
      </c>
      <c r="C27" s="1" t="n">
        <v>10022</v>
      </c>
      <c r="D27" s="1" t="s">
        <v>392</v>
      </c>
      <c r="E27" s="42" t="str">
        <f aca="false">_xlfn.xlookup(B27,Table2[Spec no],Table2[Supplier Spec],FALSE())</f>
        <v>C1001</v>
      </c>
      <c r="F27" s="15" t="str">
        <f aca="false">VLOOKUP(Table34[[#This Row],[Spec no]],Table2[#All],2,FALSE())</f>
        <v>F60-5</v>
      </c>
      <c r="G27" s="15" t="s">
        <v>517</v>
      </c>
      <c r="H27" s="15" t="str">
        <f aca="false">VLOOKUP(Table34[[#This Row],[Spec no]],Table2[#All],5,FALSE())</f>
        <v>White BOPP 95µ</v>
      </c>
      <c r="I27" s="43" t="s">
        <v>516</v>
      </c>
      <c r="J27" s="59" t="n">
        <v>45593</v>
      </c>
      <c r="K27" s="1" t="n">
        <v>1.3615</v>
      </c>
      <c r="L27" s="43" t="n">
        <f aca="false">1390.25/2805.6</f>
        <v>0.495526803535786</v>
      </c>
      <c r="M27" s="43" t="n">
        <v>0.28014883201958</v>
      </c>
      <c r="N27" s="60" t="n">
        <f aca="false">L27+M27</f>
        <v>0.775675635555366</v>
      </c>
      <c r="O27" s="61" t="s">
        <v>491</v>
      </c>
      <c r="P27" s="61" t="s">
        <v>50</v>
      </c>
      <c r="Q27" s="61" t="s">
        <v>397</v>
      </c>
      <c r="R27" s="62" t="s">
        <v>398</v>
      </c>
      <c r="S27" s="63" t="n">
        <f aca="false">IF(O27="SQM",N27/1.55,N27)</f>
        <v>0.500435893906688</v>
      </c>
      <c r="T27" s="64" t="n">
        <f aca="false">U27</f>
        <v>0.681343469553955</v>
      </c>
      <c r="U27" s="64" t="n">
        <f aca="false">IF(P27="CAD",S27,S27*K27)</f>
        <v>0.681343469553955</v>
      </c>
      <c r="V27" s="65" t="n">
        <f aca="false">M27/L27</f>
        <v>0.565355556996321</v>
      </c>
      <c r="W27" s="60" t="n">
        <f aca="false">M27/1.55</f>
        <v>0.180741181948116</v>
      </c>
    </row>
    <row r="28" customFormat="false" ht="14.25" hidden="false" customHeight="false" outlineLevel="0" collapsed="false">
      <c r="A28" s="47" t="n">
        <v>30022</v>
      </c>
      <c r="B28" s="47" t="n">
        <v>20021</v>
      </c>
      <c r="C28" s="47" t="n">
        <v>10023</v>
      </c>
      <c r="D28" s="15" t="s">
        <v>405</v>
      </c>
      <c r="E28" s="42" t="str">
        <f aca="false">_xlfn.xlookup(B28,Table2[Spec no],Table2[Supplier Spec],FALSE())</f>
        <v>SX503</v>
      </c>
      <c r="F28" s="15" t="str">
        <f aca="false">VLOOKUP(Table34[[#This Row],[Spec no]],Table2[#All],2,FALSE())</f>
        <v>F70-6</v>
      </c>
      <c r="G28" s="15" t="s">
        <v>409</v>
      </c>
      <c r="H28" s="15" t="str">
        <f aca="false">VLOOKUP(Table34[[#This Row],[Spec no]],Table2[#All],5,FALSE())</f>
        <v>Clear PETG 50µ</v>
      </c>
      <c r="I28" s="43" t="s">
        <v>518</v>
      </c>
      <c r="J28" s="68"/>
      <c r="K28" s="1" t="n">
        <v>1.3615</v>
      </c>
      <c r="L28" s="43" t="n">
        <f aca="false">1290/9000</f>
        <v>0.143333333333333</v>
      </c>
      <c r="M28" s="43" t="n">
        <v>0</v>
      </c>
      <c r="N28" s="60" t="n">
        <f aca="false">L28+M28</f>
        <v>0.143333333333333</v>
      </c>
      <c r="O28" s="61" t="s">
        <v>491</v>
      </c>
      <c r="P28" s="61" t="s">
        <v>50</v>
      </c>
      <c r="Q28" s="61" t="s">
        <v>97</v>
      </c>
      <c r="R28" s="62" t="s">
        <v>398</v>
      </c>
      <c r="S28" s="63" t="n">
        <f aca="false">IF(O28="SQM",L28/1.55,L28)</f>
        <v>0.0924731182795699</v>
      </c>
      <c r="T28" s="64" t="n">
        <v>0</v>
      </c>
      <c r="U28" s="64" t="n">
        <f aca="false">IF(P28="CAD",S28,S27*K28)</f>
        <v>0.681343469553955</v>
      </c>
      <c r="V28" s="65" t="n">
        <f aca="false">M28/L28</f>
        <v>0</v>
      </c>
      <c r="W28" s="60" t="n">
        <f aca="false">M28/1.55</f>
        <v>0</v>
      </c>
    </row>
    <row r="29" customFormat="false" ht="14.25" hidden="false" customHeight="false" outlineLevel="0" collapsed="false">
      <c r="A29" s="1" t="n">
        <v>30023</v>
      </c>
      <c r="B29" s="1" t="n">
        <v>20003</v>
      </c>
      <c r="C29" s="1" t="n">
        <v>10033</v>
      </c>
      <c r="D29" s="61" t="str">
        <f aca="false">_xlfn.xlookup(B29,Spec!A:A,Spec!C:C)</f>
        <v>AKO</v>
      </c>
      <c r="E29" s="69" t="str">
        <f aca="false">_xlfn.xlookup(B29,Spec!A:A,Spec!D:D)</f>
        <v>AT1003</v>
      </c>
      <c r="F29" s="61" t="str">
        <f aca="false">_xlfn.xlookup(B29,Spec!A:A,Spec!B:B)</f>
        <v>T11-1</v>
      </c>
      <c r="G29" s="61" t="str">
        <f aca="false">_xlfn.xlookup(B29,Spec!A:A,Spec!J:J)</f>
        <v>TT - HM Adhesive</v>
      </c>
      <c r="H29" s="61" t="str">
        <f aca="false">_xlfn.xlookup(B29,Spec!A:A,Spec!E:E)</f>
        <v>Self Adhesive Paper</v>
      </c>
      <c r="I29" s="43" t="s">
        <v>519</v>
      </c>
      <c r="J29" s="59" t="n">
        <v>45565</v>
      </c>
      <c r="K29" s="1" t="n">
        <v>1.3546953058996</v>
      </c>
      <c r="L29" s="1" t="n">
        <v>0.28</v>
      </c>
      <c r="M29" s="15" t="n">
        <f aca="false">8856.3/153592</f>
        <v>0.0576612063128288</v>
      </c>
      <c r="N29" s="60" t="n">
        <f aca="false">L29+M29</f>
        <v>0.337661206312829</v>
      </c>
      <c r="O29" s="61" t="s">
        <v>491</v>
      </c>
      <c r="P29" s="61" t="s">
        <v>50</v>
      </c>
      <c r="Q29" s="61" t="str">
        <f aca="false">_xlfn.xlookup(B29,Spec!A:A,Spec!K:K,FALSE())</f>
        <v>Canada</v>
      </c>
      <c r="R29" s="62" t="n">
        <f aca="false">_xlfn.xlookup(B29,Spec!A:A,Spec!L:L,FALSE())</f>
        <v>4811.41</v>
      </c>
      <c r="S29" s="63" t="n">
        <f aca="false">IF(O29="SQM",N29/1.55,N29)</f>
        <v>0.217845939556664</v>
      </c>
      <c r="T29" s="64" t="n">
        <f aca="false">U29</f>
        <v>0.2951148717267</v>
      </c>
      <c r="U29" s="64" t="n">
        <f aca="false">IF(P29="CAD",S29,S29*K29)</f>
        <v>0.2951148717267</v>
      </c>
      <c r="V29" s="65" t="n">
        <f aca="false">M29/L29</f>
        <v>0.205932879688674</v>
      </c>
      <c r="W29" s="60" t="n">
        <f aca="false">M29/1.55</f>
        <v>0.0372007782663412</v>
      </c>
    </row>
    <row r="30" customFormat="false" ht="14.25" hidden="false" customHeight="false" outlineLevel="0" collapsed="false">
      <c r="A30" s="1" t="n">
        <v>30024</v>
      </c>
      <c r="B30" s="1" t="n">
        <v>20022</v>
      </c>
      <c r="C30" s="1" t="n">
        <v>10033</v>
      </c>
      <c r="D30" s="61" t="str">
        <f aca="false">_xlfn.xlookup(B30,Spec!A:A,Spec!C:C)</f>
        <v>AKO</v>
      </c>
      <c r="E30" s="69" t="str">
        <f aca="false">_xlfn.xlookup(B30,Spec!A:A,Spec!D:D)</f>
        <v>AP1015</v>
      </c>
      <c r="F30" s="61" t="str">
        <f aca="false">_xlfn.xlookup(B30,Spec!A:A,Spec!B:B)</f>
        <v>S31-1</v>
      </c>
      <c r="G30" s="61" t="str">
        <f aca="false">_xlfn.xlookup(B30,Spec!A:A,Spec!J:J)</f>
        <v>SG - HM Adhesive - PET liner</v>
      </c>
      <c r="H30" s="61" t="str">
        <f aca="false">_xlfn.xlookup(B30,Spec!A:A,Spec!E:E)</f>
        <v>Self Adhesive Paper</v>
      </c>
      <c r="I30" s="43" t="s">
        <v>520</v>
      </c>
      <c r="J30" s="59" t="n">
        <v>45565</v>
      </c>
      <c r="K30" s="1" t="n">
        <v>1.3546953058996</v>
      </c>
      <c r="L30" s="1" t="n">
        <v>0.27</v>
      </c>
      <c r="M30" s="15" t="n">
        <f aca="false">8856.3/153592</f>
        <v>0.0576612063128288</v>
      </c>
      <c r="N30" s="60" t="n">
        <f aca="false">L30+M30</f>
        <v>0.327661206312829</v>
      </c>
      <c r="O30" s="61" t="s">
        <v>491</v>
      </c>
      <c r="P30" s="61" t="s">
        <v>50</v>
      </c>
      <c r="Q30" s="61" t="s">
        <v>57</v>
      </c>
      <c r="R30" s="62" t="n">
        <f aca="false">_xlfn.xlookup(B30,Spec!A:A,Spec!L:L,FALSE())</f>
        <v>4811.41</v>
      </c>
      <c r="S30" s="63" t="n">
        <f aca="false">IF(O30="SQM",N30/1.55,N30)</f>
        <v>0.211394326653438</v>
      </c>
      <c r="T30" s="64" t="n">
        <f aca="false">U30</f>
        <v>0.286374902011219</v>
      </c>
      <c r="U30" s="64" t="n">
        <f aca="false">IF(P30="CAD",S30,S30*K30)</f>
        <v>0.286374902011219</v>
      </c>
      <c r="V30" s="65" t="n">
        <f aca="false">M30/L30</f>
        <v>0.213560023380847</v>
      </c>
      <c r="W30" s="60" t="n">
        <f aca="false">M30/1.55</f>
        <v>0.0372007782663412</v>
      </c>
    </row>
    <row r="31" customFormat="false" ht="14.25" hidden="false" customHeight="false" outlineLevel="0" collapsed="false">
      <c r="A31" s="1" t="n">
        <v>30025</v>
      </c>
      <c r="B31" s="1" t="n">
        <v>20013</v>
      </c>
      <c r="C31" s="1" t="n">
        <v>10034</v>
      </c>
      <c r="D31" s="61" t="str">
        <f aca="false">_xlfn.xlookup(B31,Spec!A:A,Spec!C:C)</f>
        <v>AKO</v>
      </c>
      <c r="E31" s="69" t="str">
        <f aca="false">_xlfn.xlookup(B31,Spec!A:A,Spec!D:D)</f>
        <v>Hansol TC CL74</v>
      </c>
      <c r="F31" s="61" t="str">
        <f aca="false">_xlfn.xlookup(B31,Spec!A:A,Spec!B:B)</f>
        <v>D11-1</v>
      </c>
      <c r="G31" s="61" t="str">
        <f aca="false">_xlfn.xlookup(B31,Spec!A:A,Spec!J:J)</f>
        <v>TC DT - Hotmelt Adhesive</v>
      </c>
      <c r="H31" s="61" t="str">
        <f aca="false">_xlfn.xlookup(B31,Spec!A:A,Spec!E:E)</f>
        <v>Self Adhesive Paper</v>
      </c>
      <c r="I31" s="43" t="s">
        <v>521</v>
      </c>
      <c r="J31" s="59" t="n">
        <v>45580</v>
      </c>
      <c r="K31" s="1" t="n">
        <v>1.3628</v>
      </c>
      <c r="L31" s="1" t="n">
        <v>0.369</v>
      </c>
      <c r="M31" s="1" t="n">
        <v>0.0510769924292305</v>
      </c>
      <c r="N31" s="60" t="n">
        <f aca="false">L31+M31</f>
        <v>0.420076992429231</v>
      </c>
      <c r="O31" s="61" t="s">
        <v>491</v>
      </c>
      <c r="P31" s="61" t="s">
        <v>50</v>
      </c>
      <c r="Q31" s="61" t="str">
        <f aca="false">_xlfn.xlookup(B31,Spec!A:A,Spec!K:K,FALSE())</f>
        <v>Canada</v>
      </c>
      <c r="R31" s="62" t="n">
        <f aca="false">_xlfn.xlookup(B31,Spec!A:A,Spec!L:L,FALSE())</f>
        <v>4811.41</v>
      </c>
      <c r="S31" s="63" t="n">
        <f aca="false">IF(O31="SQM",N31/1.55,N31)</f>
        <v>0.271017414470471</v>
      </c>
      <c r="T31" s="64" t="n">
        <f aca="false">(25620.91+1315)/(171360*1.55)</f>
        <v>0.101412269208759</v>
      </c>
      <c r="U31" s="64" t="n">
        <f aca="false">IF(P31="CAD",S31,S31*K31)</f>
        <v>0.369342532440358</v>
      </c>
      <c r="V31" s="65" t="n">
        <f aca="false">Table34[[#This Row],[Prix ship /unit]]/Table34[[#This Row],[Prix MP /unit]]</f>
        <v>0.138420033683552</v>
      </c>
      <c r="W31" s="60" t="n">
        <f aca="false">Table34[[#This Row],[Prix ship /unit]]/1.55</f>
        <v>0.0329528983414391</v>
      </c>
    </row>
    <row r="32" customFormat="false" ht="14.25" hidden="false" customHeight="false" outlineLevel="0" collapsed="false">
      <c r="A32" s="1" t="n">
        <v>30026</v>
      </c>
      <c r="B32" s="1" t="n">
        <v>20025</v>
      </c>
      <c r="C32" s="1" t="n">
        <v>10036</v>
      </c>
      <c r="D32" s="61" t="str">
        <f aca="false">_xlfn.xlookup(B32,Spec!A:A,Spec!C:C)</f>
        <v>Etsuhiro</v>
      </c>
      <c r="E32" s="69" t="str">
        <f aca="false">_xlfn.xlookup(B32,Spec!A:A,Spec!D:D)</f>
        <v>EL3059</v>
      </c>
      <c r="F32" s="61" t="str">
        <f aca="false">_xlfn.xlookup(B32,Spec!A:A,Spec!B:B)</f>
        <v>D11-2</v>
      </c>
      <c r="G32" s="61" t="str">
        <f aca="false">_xlfn.xlookup(B32,Spec!A:A,Spec!J:J)</f>
        <v>TC DT - Hotmelt Adhesive</v>
      </c>
      <c r="H32" s="61" t="str">
        <f aca="false">_xlfn.xlookup(B32,Spec!A:A,Spec!E:E)</f>
        <v>Self Adhesive Paper</v>
      </c>
      <c r="I32" s="43" t="s">
        <v>522</v>
      </c>
      <c r="J32" s="59" t="n">
        <v>45580</v>
      </c>
      <c r="K32" s="1" t="n">
        <v>1.36416659971003</v>
      </c>
      <c r="L32" s="1" t="n">
        <v>0.27</v>
      </c>
      <c r="M32" s="1" t="n">
        <v>0.0901498346417044</v>
      </c>
      <c r="N32" s="60" t="n">
        <f aca="false">L32+M32</f>
        <v>0.360149834641704</v>
      </c>
      <c r="O32" s="61" t="s">
        <v>491</v>
      </c>
      <c r="P32" s="61" t="s">
        <v>50</v>
      </c>
      <c r="Q32" s="61" t="str">
        <f aca="false">_xlfn.xlookup(B32,Spec!A:A,Spec!K:K,FALSE())</f>
        <v>Canada</v>
      </c>
      <c r="R32" s="62" t="n">
        <f aca="false">_xlfn.xlookup(B32,Spec!A:A,Spec!L:L,FALSE())</f>
        <v>4811.41</v>
      </c>
      <c r="S32" s="63" t="n">
        <f aca="false">IF(O32="SQM",N32/1.55,N32)</f>
        <v>0.232354732026906</v>
      </c>
      <c r="T32" s="64" t="n">
        <f aca="false">U32</f>
        <v>0.31697056471568</v>
      </c>
      <c r="U32" s="64" t="n">
        <f aca="false">IF(P32="CAD",S32,S32*K32)</f>
        <v>0.31697056471568</v>
      </c>
      <c r="V32" s="65" t="n">
        <f aca="false">Table34[[#This Row],[Prix ship /unit]]/Table34[[#This Row],[Prix MP /unit]]</f>
        <v>0.333888276450757</v>
      </c>
      <c r="W32" s="60" t="n">
        <f aca="false">Table34[[#This Row],[Prix ship /unit]]/1.55</f>
        <v>0.0581611836398093</v>
      </c>
    </row>
    <row r="33" customFormat="false" ht="14.25" hidden="false" customHeight="false" outlineLevel="0" collapsed="false">
      <c r="A33" s="1" t="n">
        <v>30027</v>
      </c>
      <c r="B33" s="1" t="n">
        <v>20017</v>
      </c>
      <c r="C33" s="1" t="n">
        <v>10039</v>
      </c>
      <c r="D33" s="61" t="str">
        <f aca="false">_xlfn.xlookup(B33,Spec!A:A,Spec!C:C)</f>
        <v>Jinda</v>
      </c>
      <c r="E33" s="69" t="str">
        <f aca="false">_xlfn.xlookup(B33,Spec!A:A,Spec!D:D)</f>
        <v>0488056</v>
      </c>
      <c r="F33" s="61" t="str">
        <f aca="false">_xlfn.xlookup(B33,Spec!A:A,Spec!B:B)</f>
        <v>B25-3</v>
      </c>
      <c r="G33" s="61" t="str">
        <f aca="false">_xlfn.xlookup(B33,Spec!A:A,Spec!J:J)</f>
        <v>White BOPP - Acrylic Adhesive</v>
      </c>
      <c r="H33" s="61" t="str">
        <f aca="false">_xlfn.xlookup(B33,Spec!A:A,Spec!E:E)</f>
        <v>Self Adhesive Film</v>
      </c>
      <c r="I33" s="43" t="s">
        <v>522</v>
      </c>
      <c r="J33" s="59" t="n">
        <v>45597</v>
      </c>
      <c r="K33" s="1" t="n">
        <v>1.3623</v>
      </c>
      <c r="L33" s="1" t="n">
        <v>0.3</v>
      </c>
      <c r="M33" s="1" t="n">
        <v>0.0495362232859845</v>
      </c>
      <c r="N33" s="60" t="n">
        <f aca="false">L33+M33</f>
        <v>0.349536223285985</v>
      </c>
      <c r="O33" s="61" t="s">
        <v>491</v>
      </c>
      <c r="P33" s="61" t="s">
        <v>50</v>
      </c>
      <c r="Q33" s="61" t="str">
        <f aca="false">_xlfn.xlookup(B33,Spec!A:A,Spec!K:K,FALSE())</f>
        <v>Canada</v>
      </c>
      <c r="R33" s="62" t="str">
        <f aca="false">_xlfn.xlookup(B33,Spec!A:A,Spec!L:L,FALSE())</f>
        <v>3919.90</v>
      </c>
      <c r="S33" s="63" t="n">
        <f aca="false">IF(O33="SQM",N33/1.55,N33)</f>
        <v>0.225507240829667</v>
      </c>
      <c r="T33" s="64" t="n">
        <f aca="false">U33</f>
        <v>0.307208514182256</v>
      </c>
      <c r="U33" s="64" t="n">
        <f aca="false">IF(P33="CAD",S33,S33*K33)</f>
        <v>0.307208514182256</v>
      </c>
      <c r="V33" s="65" t="n">
        <f aca="false">Table34[[#This Row],[Prix ship /unit]]/Table34[[#This Row],[Prix MP /unit]]</f>
        <v>0.165120744286615</v>
      </c>
      <c r="W33" s="60" t="n">
        <f aca="false">Table34[[#This Row],[Prix ship /unit]]/1.55</f>
        <v>0.0319588537328932</v>
      </c>
    </row>
    <row r="34" customFormat="false" ht="14.25" hidden="false" customHeight="false" outlineLevel="0" collapsed="false">
      <c r="A34" s="1" t="n">
        <v>30028</v>
      </c>
      <c r="B34" s="1" t="n">
        <v>20016</v>
      </c>
      <c r="C34" s="1" t="n">
        <v>10039</v>
      </c>
      <c r="D34" s="61" t="str">
        <f aca="false">_xlfn.xlookup(B34,Spec!A:A,Spec!C:C)</f>
        <v>Jinda</v>
      </c>
      <c r="E34" s="69" t="str">
        <f aca="false">_xlfn.xlookup(B34,Spec!A:A,Spec!D:D)</f>
        <v>0488032</v>
      </c>
      <c r="F34" s="61" t="str">
        <f aca="false">_xlfn.xlookup(B34,Spec!A:A,Spec!B:B)</f>
        <v>B15-3</v>
      </c>
      <c r="G34" s="61" t="str">
        <f aca="false">_xlfn.xlookup(B34,Spec!A:A,Spec!J:J)</f>
        <v>Clear BOPP - Acrylic Adhesive</v>
      </c>
      <c r="H34" s="61" t="str">
        <f aca="false">_xlfn.xlookup(B34,Spec!A:A,Spec!E:E)</f>
        <v>Self Adhesive Film</v>
      </c>
      <c r="I34" s="43" t="s">
        <v>522</v>
      </c>
      <c r="J34" s="59" t="n">
        <v>45597</v>
      </c>
      <c r="K34" s="1" t="n">
        <v>1.3623</v>
      </c>
      <c r="L34" s="1" t="n">
        <v>0.3</v>
      </c>
      <c r="M34" s="1" t="n">
        <v>0.0495362232859845</v>
      </c>
      <c r="N34" s="60" t="n">
        <f aca="false">L34+M34</f>
        <v>0.349536223285985</v>
      </c>
      <c r="O34" s="61" t="s">
        <v>491</v>
      </c>
      <c r="P34" s="61" t="s">
        <v>50</v>
      </c>
      <c r="Q34" s="61" t="str">
        <f aca="false">_xlfn.xlookup(B34,Spec!A:A,Spec!K:K,FALSE())</f>
        <v>Canada</v>
      </c>
      <c r="R34" s="62" t="str">
        <f aca="false">_xlfn.xlookup(B34,Spec!A:A,Spec!L:L,FALSE())</f>
        <v>3919.90</v>
      </c>
      <c r="S34" s="63" t="n">
        <f aca="false">IF(O34="SQM",N34/1.55,N34)</f>
        <v>0.225507240829667</v>
      </c>
      <c r="T34" s="64" t="n">
        <f aca="false">U34</f>
        <v>0.307208514182256</v>
      </c>
      <c r="U34" s="64" t="n">
        <f aca="false">IF(P34="CAD",S34,S34*K34)</f>
        <v>0.307208514182256</v>
      </c>
      <c r="V34" s="65" t="n">
        <f aca="false">Table34[[#This Row],[Prix ship /unit]]/Table34[[#This Row],[Prix MP /unit]]</f>
        <v>0.165120744286615</v>
      </c>
      <c r="W34" s="60" t="n">
        <f aca="false">Table34[[#This Row],[Prix ship /unit]]/1.55</f>
        <v>0.0319588537328932</v>
      </c>
    </row>
    <row r="35" customFormat="false" ht="14.25" hidden="false" customHeight="false" outlineLevel="0" collapsed="false">
      <c r="A35" s="1" t="n">
        <v>30029</v>
      </c>
      <c r="B35" s="1" t="n">
        <v>20024</v>
      </c>
      <c r="C35" s="1" t="n">
        <v>10039</v>
      </c>
      <c r="D35" s="61" t="str">
        <f aca="false">_xlfn.xlookup(B35,Spec!A:A,Spec!C:C)</f>
        <v>Jinda</v>
      </c>
      <c r="E35" s="69" t="str">
        <f aca="false">_xlfn.xlookup(B35,Spec!A:A,Spec!D:D)</f>
        <v>0410664</v>
      </c>
      <c r="F35" s="61" t="str">
        <f aca="false">_xlfn.xlookup(B35,Spec!A:A,Spec!B:B)</f>
        <v>D11-3</v>
      </c>
      <c r="G35" s="61" t="str">
        <f aca="false">_xlfn.xlookup(B35,Spec!A:A,Spec!J:J)</f>
        <v>TC DT - Hotmelt Adhesive</v>
      </c>
      <c r="H35" s="61" t="str">
        <f aca="false">_xlfn.xlookup(B35,Spec!A:A,Spec!E:E)</f>
        <v>Self Adhesive Paper</v>
      </c>
      <c r="I35" s="43" t="s">
        <v>522</v>
      </c>
      <c r="J35" s="59" t="n">
        <v>45597</v>
      </c>
      <c r="K35" s="1" t="n">
        <v>1.3623</v>
      </c>
      <c r="L35" s="1" t="n">
        <v>0.275</v>
      </c>
      <c r="M35" s="1" t="n">
        <v>0.0495362232859845</v>
      </c>
      <c r="N35" s="60" t="n">
        <f aca="false">L35+M35</f>
        <v>0.324536223285985</v>
      </c>
      <c r="O35" s="61" t="s">
        <v>491</v>
      </c>
      <c r="P35" s="61" t="s">
        <v>50</v>
      </c>
      <c r="Q35" s="61" t="str">
        <f aca="false">_xlfn.xlookup(B35,Spec!A:A,Spec!K:K,FALSE())</f>
        <v>Canada</v>
      </c>
      <c r="R35" s="62" t="n">
        <f aca="false">_xlfn.xlookup(B35,Spec!A:A,Spec!L:L,FALSE())</f>
        <v>4811.41</v>
      </c>
      <c r="S35" s="63" t="n">
        <f aca="false">IF(O35="SQM",N35/1.55,N35)</f>
        <v>0.209378208571603</v>
      </c>
      <c r="T35" s="64" t="n">
        <f aca="false">U35</f>
        <v>0.285235933537095</v>
      </c>
      <c r="U35" s="64" t="n">
        <f aca="false">IF(P35="CAD",S35,S35*K35)</f>
        <v>0.285235933537095</v>
      </c>
      <c r="V35" s="65" t="n">
        <f aca="false">Table34[[#This Row],[Prix ship /unit]]/Table34[[#This Row],[Prix MP /unit]]</f>
        <v>0.180131721039944</v>
      </c>
      <c r="W35" s="60" t="n">
        <f aca="false">Table34[[#This Row],[Prix ship /unit]]/1.55</f>
        <v>0.0319588537328932</v>
      </c>
    </row>
    <row r="36" customFormat="false" ht="14.25" hidden="false" customHeight="false" outlineLevel="0" collapsed="false">
      <c r="A36" s="1" t="n">
        <v>30030</v>
      </c>
      <c r="B36" s="1" t="n">
        <v>20023</v>
      </c>
      <c r="C36" s="1" t="n">
        <v>10039</v>
      </c>
      <c r="D36" s="61" t="str">
        <f aca="false">_xlfn.xlookup(B36,Spec!A:A,Spec!C:C)</f>
        <v>Jinda</v>
      </c>
      <c r="E36" s="69" t="str">
        <f aca="false">_xlfn.xlookup(B36,Spec!A:A,Spec!D:D)</f>
        <v>0402115</v>
      </c>
      <c r="F36" s="61" t="str">
        <f aca="false">_xlfn.xlookup(B36,Spec!A:A,Spec!B:B)</f>
        <v>S35-3</v>
      </c>
      <c r="G36" s="61" t="str">
        <f aca="false">_xlfn.xlookup(B36,Spec!A:A,Spec!J:J)</f>
        <v>SG - ACR Adh - PET liner</v>
      </c>
      <c r="H36" s="61" t="str">
        <f aca="false">_xlfn.xlookup(B36,Spec!A:A,Spec!E:E)</f>
        <v>Self Adhesive Paper</v>
      </c>
      <c r="I36" s="43" t="s">
        <v>522</v>
      </c>
      <c r="J36" s="59" t="n">
        <v>45597</v>
      </c>
      <c r="K36" s="1" t="n">
        <v>1.3623</v>
      </c>
      <c r="L36" s="1" t="n">
        <v>0.265</v>
      </c>
      <c r="M36" s="1" t="n">
        <v>0.0495362232859845</v>
      </c>
      <c r="N36" s="60" t="n">
        <f aca="false">L36+M36</f>
        <v>0.314536223285985</v>
      </c>
      <c r="O36" s="61" t="s">
        <v>491</v>
      </c>
      <c r="P36" s="61" t="s">
        <v>50</v>
      </c>
      <c r="Q36" s="61" t="str">
        <f aca="false">_xlfn.xlookup(B36,Spec!A:A,Spec!K:K,FALSE())</f>
        <v>Canada</v>
      </c>
      <c r="R36" s="62" t="str">
        <f aca="false">_xlfn.xlookup(B36,Spec!A:A,Spec!L:L,FALSE())</f>
        <v>4811.41</v>
      </c>
      <c r="S36" s="63" t="n">
        <f aca="false">IF(O36="SQM",N36/1.55,N36)</f>
        <v>0.202926595668377</v>
      </c>
      <c r="T36" s="64" t="n">
        <f aca="false">U36</f>
        <v>0.27644690127903</v>
      </c>
      <c r="U36" s="64" t="n">
        <f aca="false">IF(P36="CAD",S36,S36*K36)</f>
        <v>0.27644690127903</v>
      </c>
      <c r="V36" s="65" t="n">
        <f aca="false">Table34[[#This Row],[Prix ship /unit]]/Table34[[#This Row],[Prix MP /unit]]</f>
        <v>0.186929144475413</v>
      </c>
      <c r="W36" s="60" t="n">
        <f aca="false">Table34[[#This Row],[Prix ship /unit]]/1.55</f>
        <v>0.0319588537328932</v>
      </c>
    </row>
    <row r="37" customFormat="false" ht="14.25" hidden="false" customHeight="false" outlineLevel="0" collapsed="false">
      <c r="A37" s="1" t="n">
        <v>30031</v>
      </c>
      <c r="B37" s="1" t="n">
        <v>20015</v>
      </c>
      <c r="C37" s="1" t="n">
        <v>10039</v>
      </c>
      <c r="D37" s="61" t="str">
        <f aca="false">_xlfn.xlookup(B37,Spec!A:A,Spec!C:C)</f>
        <v>Jinda</v>
      </c>
      <c r="E37" s="69" t="str">
        <f aca="false">_xlfn.xlookup(B37,Spec!A:A,Spec!D:D)</f>
        <v>0402105</v>
      </c>
      <c r="F37" s="61" t="str">
        <f aca="false">_xlfn.xlookup(B37,Spec!A:A,Spec!B:B)</f>
        <v>S15-3</v>
      </c>
      <c r="G37" s="61" t="str">
        <f aca="false">_xlfn.xlookup(B37,Spec!A:A,Spec!J:J)</f>
        <v>SG - Acrylic Adhesive</v>
      </c>
      <c r="H37" s="61" t="str">
        <f aca="false">_xlfn.xlookup(B37,Spec!A:A,Spec!E:E)</f>
        <v>Self Adhesive Paper</v>
      </c>
      <c r="I37" s="43" t="s">
        <v>522</v>
      </c>
      <c r="J37" s="59" t="n">
        <v>45597</v>
      </c>
      <c r="K37" s="1" t="n">
        <v>1.3623</v>
      </c>
      <c r="L37" s="1" t="n">
        <v>0.245</v>
      </c>
      <c r="M37" s="1" t="n">
        <v>0.0495362232859845</v>
      </c>
      <c r="N37" s="60" t="n">
        <f aca="false">L37+M37</f>
        <v>0.294536223285985</v>
      </c>
      <c r="O37" s="61" t="s">
        <v>491</v>
      </c>
      <c r="P37" s="61" t="s">
        <v>50</v>
      </c>
      <c r="Q37" s="61" t="str">
        <f aca="false">_xlfn.xlookup(B37,Spec!A:A,Spec!K:K,FALSE())</f>
        <v>Canada</v>
      </c>
      <c r="R37" s="62" t="n">
        <f aca="false">_xlfn.xlookup(B37,Spec!A:A,Spec!L:L,FALSE())</f>
        <v>4811.41</v>
      </c>
      <c r="S37" s="63" t="n">
        <f aca="false">IF(O37="SQM",N37/1.55,N37)</f>
        <v>0.190023369861925</v>
      </c>
      <c r="T37" s="64" t="n">
        <f aca="false">U37</f>
        <v>0.258868836762901</v>
      </c>
      <c r="U37" s="64" t="n">
        <f aca="false">IF(P37="CAD",S37,S37*K37)</f>
        <v>0.258868836762901</v>
      </c>
      <c r="V37" s="65" t="n">
        <f aca="false">Table34[[#This Row],[Prix ship /unit]]/Table34[[#This Row],[Prix MP /unit]]</f>
        <v>0.202188666473406</v>
      </c>
      <c r="W37" s="60" t="n">
        <f aca="false">Table34[[#This Row],[Prix ship /unit]]/1.55</f>
        <v>0.0319588537328932</v>
      </c>
    </row>
    <row r="38" customFormat="false" ht="14.25" hidden="false" customHeight="false" outlineLevel="0" collapsed="false">
      <c r="A38" s="47" t="n">
        <v>30032</v>
      </c>
      <c r="B38" s="47" t="n">
        <v>20026</v>
      </c>
      <c r="C38" s="47" t="n">
        <v>10053</v>
      </c>
      <c r="D38" s="61" t="str">
        <f aca="false">_xlfn.xlookup(B38,Spec!A:A,Spec!C:C)</f>
        <v>Kens</v>
      </c>
      <c r="E38" s="69" t="n">
        <f aca="false">_xlfn.xlookup(B38,Spec!A:A,Spec!D:D)</f>
        <v>0</v>
      </c>
      <c r="F38" s="61" t="str">
        <f aca="false">_xlfn.xlookup(B38,Spec!A:A,Spec!B:B)</f>
        <v>F80</v>
      </c>
      <c r="G38" s="61" t="str">
        <f aca="false">_xlfn.xlookup(B38,Spec!A:A,Spec!J:J)</f>
        <v>Master 55po x 5000pi</v>
      </c>
      <c r="H38" s="61" t="str">
        <f aca="false">_xlfn.xlookup(B38,Spec!A:A,Spec!E:E)</f>
        <v>White PET C2S - 190µ - 7.5mils</v>
      </c>
      <c r="I38" s="61"/>
      <c r="J38" s="68"/>
      <c r="K38" s="70" t="n">
        <v>1.39129862181697</v>
      </c>
      <c r="L38" s="1" t="n">
        <v>1.2</v>
      </c>
      <c r="M38" s="26"/>
      <c r="N38" s="60" t="n">
        <f aca="false">L38+M38</f>
        <v>1.2</v>
      </c>
      <c r="O38" s="61" t="s">
        <v>491</v>
      </c>
      <c r="P38" s="61" t="s">
        <v>50</v>
      </c>
      <c r="Q38" s="61" t="n">
        <f aca="false">_xlfn.xlookup(B38,Spec!A:A,Spec!K:K,FALSE())</f>
        <v>0</v>
      </c>
      <c r="R38" s="62" t="n">
        <f aca="false">_xlfn.xlookup(B38,Spec!A:A,Spec!L:L,FALSE())</f>
        <v>3920.62</v>
      </c>
      <c r="S38" s="63" t="n">
        <f aca="false">IF(O38="SQM",N38/1.55,N38)</f>
        <v>0.774193548387097</v>
      </c>
      <c r="T38" s="64" t="n">
        <f aca="false">U38</f>
        <v>1.07713441689056</v>
      </c>
      <c r="U38" s="64" t="n">
        <f aca="false">IF(P38="CAD",S38,S38*K38)</f>
        <v>1.07713441689056</v>
      </c>
      <c r="V38" s="65" t="n">
        <f aca="false">Table34[[#This Row],[Prix ship /unit]]/Table34[[#This Row],[Prix MP /unit]]</f>
        <v>0</v>
      </c>
      <c r="W38" s="60" t="n">
        <f aca="false">Table34[[#This Row],[Prix ship /unit]]/1.55</f>
        <v>0</v>
      </c>
    </row>
    <row r="39" customFormat="false" ht="14.25" hidden="false" customHeight="false" outlineLevel="0" collapsed="false">
      <c r="A39" s="47" t="n">
        <v>30033</v>
      </c>
      <c r="B39" s="47" t="n">
        <v>20027</v>
      </c>
      <c r="C39" s="47" t="n">
        <v>10053</v>
      </c>
      <c r="D39" s="61" t="str">
        <f aca="false">_xlfn.xlookup(B39,Spec!A:A,Spec!C:C)</f>
        <v>Kens</v>
      </c>
      <c r="E39" s="69" t="n">
        <f aca="false">_xlfn.xlookup(B39,Spec!A:A,Spec!D:D)</f>
        <v>0</v>
      </c>
      <c r="F39" s="61" t="str">
        <f aca="false">_xlfn.xlookup(B39,Spec!A:A,Spec!B:B)</f>
        <v>F81</v>
      </c>
      <c r="G39" s="61" t="str">
        <f aca="false">_xlfn.xlookup(B39,Spec!A:A,Spec!J:J)</f>
        <v>500 Feuilles 8.5x11po</v>
      </c>
      <c r="H39" s="61" t="str">
        <f aca="false">_xlfn.xlookup(B39,Spec!A:A,Spec!E:E)</f>
        <v>White PET C2S - 140µ - 5.5mils</v>
      </c>
      <c r="I39" s="61"/>
      <c r="J39" s="68"/>
      <c r="K39" s="70" t="n">
        <v>1.39129862181697</v>
      </c>
      <c r="L39" s="1" t="n">
        <v>0</v>
      </c>
      <c r="M39" s="26"/>
      <c r="N39" s="60" t="n">
        <f aca="false">L39+M39</f>
        <v>0</v>
      </c>
      <c r="O39" s="61" t="s">
        <v>491</v>
      </c>
      <c r="P39" s="61" t="s">
        <v>50</v>
      </c>
      <c r="Q39" s="61" t="n">
        <f aca="false">_xlfn.xlookup(B39,Spec!A:A,Spec!K:K,FALSE())</f>
        <v>0</v>
      </c>
      <c r="R39" s="62" t="n">
        <f aca="false">_xlfn.xlookup(B39,Spec!A:A,Spec!L:L,FALSE())</f>
        <v>3920.62</v>
      </c>
      <c r="S39" s="63" t="n">
        <f aca="false">IF(O39="SQM",N39/1.55,N39)</f>
        <v>0</v>
      </c>
      <c r="T39" s="64" t="n">
        <f aca="false">U39</f>
        <v>0</v>
      </c>
      <c r="U39" s="64" t="n">
        <f aca="false">IF(P39="CAD",S39,S39*K39)</f>
        <v>0</v>
      </c>
      <c r="V39" s="65" t="e">
        <f aca="false">Table34[[#This Row],[Prix ship /unit]]/Table34[[#This Row],[Prix MP /unit]]</f>
        <v>#DIV/0!</v>
      </c>
      <c r="W39" s="60" t="n">
        <f aca="false">Table34[[#This Row],[Prix ship /unit]]/1.55</f>
        <v>0</v>
      </c>
    </row>
    <row r="40" customFormat="false" ht="14.25" hidden="false" customHeight="false" outlineLevel="0" collapsed="false">
      <c r="A40" s="47" t="n">
        <v>30034</v>
      </c>
      <c r="B40" s="47" t="n">
        <v>20028</v>
      </c>
      <c r="C40" s="47" t="n">
        <v>10053</v>
      </c>
      <c r="D40" s="61" t="str">
        <f aca="false">_xlfn.xlookup(B40,Spec!A:A,Spec!C:C)</f>
        <v>Kens</v>
      </c>
      <c r="E40" s="69" t="n">
        <f aca="false">_xlfn.xlookup(B40,Spec!A:A,Spec!D:D)</f>
        <v>0</v>
      </c>
      <c r="F40" s="61" t="str">
        <f aca="false">_xlfn.xlookup(B40,Spec!A:A,Spec!B:B)</f>
        <v>F82</v>
      </c>
      <c r="G40" s="61" t="str">
        <f aca="false">_xlfn.xlookup(B40,Spec!A:A,Spec!J:J)</f>
        <v>500 Feuilles 8.5x11po</v>
      </c>
      <c r="H40" s="61" t="str">
        <f aca="false">_xlfn.xlookup(B40,Spec!A:A,Spec!E:E)</f>
        <v>White PET C2S - 110µ - 4.5mils</v>
      </c>
      <c r="I40" s="61"/>
      <c r="J40" s="68"/>
      <c r="K40" s="70" t="n">
        <v>1.39129862181697</v>
      </c>
      <c r="L40" s="1" t="n">
        <v>0</v>
      </c>
      <c r="M40" s="26"/>
      <c r="N40" s="60" t="n">
        <f aca="false">L40+M40</f>
        <v>0</v>
      </c>
      <c r="O40" s="61" t="s">
        <v>491</v>
      </c>
      <c r="P40" s="61" t="s">
        <v>50</v>
      </c>
      <c r="Q40" s="61" t="n">
        <f aca="false">_xlfn.xlookup(B40,Spec!A:A,Spec!K:K,FALSE())</f>
        <v>0</v>
      </c>
      <c r="R40" s="62" t="n">
        <f aca="false">_xlfn.xlookup(B40,Spec!A:A,Spec!L:L,FALSE())</f>
        <v>3920.62</v>
      </c>
      <c r="S40" s="63" t="n">
        <f aca="false">IF(O40="SQM",N40/1.55,N40)</f>
        <v>0</v>
      </c>
      <c r="T40" s="64" t="n">
        <f aca="false">U40</f>
        <v>0</v>
      </c>
      <c r="U40" s="64" t="n">
        <f aca="false">IF(P40="CAD",S40,S40*K40)</f>
        <v>0</v>
      </c>
      <c r="V40" s="65" t="e">
        <f aca="false">Table34[[#This Row],[Prix ship /unit]]/Table34[[#This Row],[Prix MP /unit]]</f>
        <v>#DIV/0!</v>
      </c>
      <c r="W40" s="60" t="n">
        <f aca="false">Table34[[#This Row],[Prix ship /unit]]/1.55</f>
        <v>0</v>
      </c>
    </row>
    <row r="41" customFormat="false" ht="14.25" hidden="false" customHeight="false" outlineLevel="0" collapsed="false">
      <c r="A41" s="47" t="n">
        <v>30035</v>
      </c>
      <c r="B41" s="47" t="n">
        <v>20029</v>
      </c>
      <c r="C41" s="47" t="n">
        <v>10063</v>
      </c>
      <c r="D41" s="61" t="str">
        <f aca="false">_xlfn.xlookup(B41,Spec!A:A,Spec!C:C)</f>
        <v>Fujian Mingyou New Mat</v>
      </c>
      <c r="E41" s="69" t="str">
        <f aca="false">_xlfn.xlookup(B41,Spec!A:A,Spec!D:D)</f>
        <v>W728</v>
      </c>
      <c r="F41" s="61" t="str">
        <f aca="false">_xlfn.xlookup(B41,Spec!A:A,Spec!B:B)</f>
        <v>Z110450-W28</v>
      </c>
      <c r="G41" s="61" t="str">
        <f aca="false">_xlfn.xlookup(B41,Spec!A:A,Spec!J:J)</f>
        <v>110mm x 450 m</v>
      </c>
      <c r="H41" s="61" t="str">
        <f aca="false">_xlfn.xlookup(B41,Spec!A:A,Spec!E:E)</f>
        <v>W28 – BLACK RIBBON WAX PREMIUM</v>
      </c>
      <c r="I41" s="43" t="s">
        <v>523</v>
      </c>
      <c r="J41" s="68"/>
      <c r="K41" s="70" t="n">
        <v>1.38660051149103</v>
      </c>
      <c r="L41" s="1" t="n">
        <v>2.23</v>
      </c>
      <c r="M41" s="26"/>
      <c r="N41" s="60" t="n">
        <f aca="false">L41+M41</f>
        <v>2.23</v>
      </c>
      <c r="O41" s="61" t="s">
        <v>524</v>
      </c>
      <c r="P41" s="61" t="s">
        <v>50</v>
      </c>
      <c r="Q41" s="61" t="n">
        <f aca="false">_xlfn.xlookup(B41,Spec!A:A,Spec!K:K,FALSE())</f>
        <v>0</v>
      </c>
      <c r="R41" s="62" t="n">
        <v>9612100000</v>
      </c>
      <c r="S41" s="63" t="n">
        <v>2.23</v>
      </c>
      <c r="T41" s="64" t="n">
        <v>2.23</v>
      </c>
      <c r="U41" s="64" t="n">
        <f aca="false">S41*M41</f>
        <v>0</v>
      </c>
      <c r="V41" s="65" t="n">
        <f aca="false">Table34[[#This Row],[Prix ship /unit]]/Table34[[#This Row],[Prix MP /unit]]</f>
        <v>0</v>
      </c>
      <c r="W41" s="60" t="n">
        <f aca="false">Table34[[#This Row],[Prix ship /unit]]/1.55</f>
        <v>0</v>
      </c>
    </row>
    <row r="42" customFormat="false" ht="14.25" hidden="false" customHeight="false" outlineLevel="0" collapsed="false">
      <c r="A42" s="1" t="n">
        <v>30036</v>
      </c>
      <c r="B42" s="1" t="n">
        <v>20015</v>
      </c>
      <c r="C42" s="1" t="n">
        <v>10045</v>
      </c>
      <c r="D42" s="61" t="str">
        <f aca="false">_xlfn.xlookup(B42,Spec!A:A,Spec!C:C)</f>
        <v>Jinda</v>
      </c>
      <c r="E42" s="69" t="str">
        <f aca="false">_xlfn.xlookup(B42,Spec!A:A,Spec!D:D)</f>
        <v>0402105</v>
      </c>
      <c r="F42" s="61" t="str">
        <f aca="false">_xlfn.xlookup(B42,Spec!A:A,Spec!B:B)</f>
        <v>S15-3</v>
      </c>
      <c r="G42" s="61" t="str">
        <f aca="false">_xlfn.xlookup(B42,Spec!A:A,Spec!J:J)</f>
        <v>SG - Acrylic Adhesive</v>
      </c>
      <c r="H42" s="61" t="str">
        <f aca="false">_xlfn.xlookup(B42,Spec!A:A,Spec!E:E)</f>
        <v>Self Adhesive Paper</v>
      </c>
      <c r="I42" s="43" t="s">
        <v>522</v>
      </c>
      <c r="J42" s="59" t="n">
        <v>45648</v>
      </c>
      <c r="K42" s="1" t="n">
        <v>1.4018</v>
      </c>
      <c r="L42" s="1" t="n">
        <v>0.245</v>
      </c>
      <c r="M42" s="1" t="n">
        <v>0.0405600543821446</v>
      </c>
      <c r="N42" s="60" t="n">
        <f aca="false">L42+M42</f>
        <v>0.285560054382145</v>
      </c>
      <c r="O42" s="61" t="s">
        <v>491</v>
      </c>
      <c r="P42" s="61" t="s">
        <v>50</v>
      </c>
      <c r="Q42" s="61" t="str">
        <f aca="false">_xlfn.xlookup(B42,Spec!A:A,Spec!K:K,FALSE())</f>
        <v>Canada</v>
      </c>
      <c r="R42" s="62" t="n">
        <f aca="false">_xlfn.xlookup(B42,Spec!A:A,Spec!L:L,FALSE())</f>
        <v>4811.41</v>
      </c>
      <c r="S42" s="63" t="n">
        <f aca="false">IF(O42="SQM",N42/1.55,N42)</f>
        <v>0.184232293149771</v>
      </c>
      <c r="T42" s="64" t="n">
        <f aca="false">U42</f>
        <v>0.258256828537349</v>
      </c>
      <c r="U42" s="64" t="n">
        <f aca="false">IF(P42="CAD",S42,S42*K42)</f>
        <v>0.258256828537349</v>
      </c>
      <c r="V42" s="65" t="n">
        <f aca="false">Table34[[#This Row],[Prix ship /unit]]/Table34[[#This Row],[Prix MP /unit]]</f>
        <v>0.1655512423761</v>
      </c>
      <c r="W42" s="60" t="n">
        <f aca="false">Table34[[#This Row],[Prix ship /unit]]/1.55</f>
        <v>0.0261677770207385</v>
      </c>
    </row>
    <row r="43" customFormat="false" ht="14.25" hidden="false" customHeight="false" outlineLevel="0" collapsed="false">
      <c r="A43" s="1" t="n">
        <v>30037</v>
      </c>
      <c r="B43" s="1" t="n">
        <v>20030</v>
      </c>
      <c r="C43" s="1" t="n">
        <v>10045</v>
      </c>
      <c r="D43" s="61" t="str">
        <f aca="false">_xlfn.xlookup(B43,Spec!A:A,Spec!C:C)</f>
        <v>Jinda</v>
      </c>
      <c r="E43" s="69" t="str">
        <f aca="false">_xlfn.xlookup(B43,Spec!A:A,Spec!D:D)</f>
        <v>0410308</v>
      </c>
      <c r="F43" s="61" t="str">
        <f aca="false">_xlfn.xlookup(B43,Spec!A:A,Spec!B:B)</f>
        <v>DF52</v>
      </c>
      <c r="G43" s="61" t="str">
        <f aca="false">_xlfn.xlookup(B43,Spec!A:A,Spec!J:J)</f>
        <v>White BOPP - HM Freezer Adh.</v>
      </c>
      <c r="H43" s="61" t="str">
        <f aca="false">_xlfn.xlookup(B43,Spec!A:A,Spec!E:E)</f>
        <v>ThermalPP80um/H380/60gWhiteGlassine</v>
      </c>
      <c r="I43" s="43" t="s">
        <v>522</v>
      </c>
      <c r="J43" s="59" t="n">
        <v>45648</v>
      </c>
      <c r="K43" s="1" t="n">
        <v>1.4018</v>
      </c>
      <c r="L43" s="1" t="n">
        <v>0.485</v>
      </c>
      <c r="M43" s="1" t="n">
        <v>0.0405600543821446</v>
      </c>
      <c r="N43" s="60" t="n">
        <f aca="false">L43+M43</f>
        <v>0.525560054382145</v>
      </c>
      <c r="O43" s="61" t="s">
        <v>491</v>
      </c>
      <c r="P43" s="61" t="s">
        <v>50</v>
      </c>
      <c r="Q43" s="61" t="str">
        <f aca="false">_xlfn.xlookup(B43,Spec!A:A,Spec!K:K,FALSE())</f>
        <v>Canada</v>
      </c>
      <c r="R43" s="62" t="str">
        <f aca="false">_xlfn.xlookup(B43,Spec!A:A,Spec!L:L,FALSE())</f>
        <v>3919.90</v>
      </c>
      <c r="S43" s="63" t="n">
        <f aca="false">IF(O43="SQM",N43/1.55,N43)</f>
        <v>0.33907100282719</v>
      </c>
      <c r="T43" s="64" t="n">
        <f aca="false">U43</f>
        <v>0.475309731763155</v>
      </c>
      <c r="U43" s="64" t="n">
        <f aca="false">IF(P43="CAD",S43,S43*K43)</f>
        <v>0.475309731763155</v>
      </c>
      <c r="V43" s="65" t="n">
        <f aca="false">Table34[[#This Row],[Prix ship /unit]]/Table34[[#This Row],[Prix MP /unit]]</f>
        <v>0.0836289781075146</v>
      </c>
      <c r="W43" s="60" t="n">
        <f aca="false">Table34[[#This Row],[Prix ship /unit]]/1.55</f>
        <v>0.0261677770207385</v>
      </c>
    </row>
    <row r="44" customFormat="false" ht="14.25" hidden="false" customHeight="false" outlineLevel="0" collapsed="false">
      <c r="A44" s="1" t="n">
        <v>30038</v>
      </c>
      <c r="B44" s="1" t="n">
        <v>20016</v>
      </c>
      <c r="C44" s="1" t="n">
        <v>10045</v>
      </c>
      <c r="D44" s="61" t="str">
        <f aca="false">_xlfn.xlookup(B44,Spec!A:A,Spec!C:C)</f>
        <v>Jinda</v>
      </c>
      <c r="E44" s="69" t="str">
        <f aca="false">_xlfn.xlookup(B44,Spec!A:A,Spec!D:D)</f>
        <v>0488032</v>
      </c>
      <c r="F44" s="61" t="str">
        <f aca="false">_xlfn.xlookup(B44,Spec!A:A,Spec!B:B)</f>
        <v>B15-3</v>
      </c>
      <c r="G44" s="61" t="str">
        <f aca="false">_xlfn.xlookup(B44,Spec!A:A,Spec!J:J)</f>
        <v>Clear BOPP - Acrylic Adhesive</v>
      </c>
      <c r="H44" s="61" t="str">
        <f aca="false">_xlfn.xlookup(B44,Spec!A:A,Spec!E:E)</f>
        <v>Self Adhesive Film</v>
      </c>
      <c r="I44" s="43" t="s">
        <v>522</v>
      </c>
      <c r="J44" s="59" t="n">
        <v>45648</v>
      </c>
      <c r="K44" s="1" t="n">
        <v>1.4018</v>
      </c>
      <c r="L44" s="1" t="n">
        <v>0.28</v>
      </c>
      <c r="M44" s="1" t="n">
        <v>0.0405600543821446</v>
      </c>
      <c r="N44" s="60" t="n">
        <f aca="false">L44+M44</f>
        <v>0.320560054382145</v>
      </c>
      <c r="O44" s="61" t="s">
        <v>491</v>
      </c>
      <c r="P44" s="61" t="s">
        <v>50</v>
      </c>
      <c r="Q44" s="61" t="str">
        <f aca="false">_xlfn.xlookup(B44,Spec!A:A,Spec!K:K,FALSE())</f>
        <v>Canada</v>
      </c>
      <c r="R44" s="62" t="str">
        <f aca="false">_xlfn.xlookup(B44,Spec!A:A,Spec!L:L,FALSE())</f>
        <v>3919.90</v>
      </c>
      <c r="S44" s="63" t="n">
        <f aca="false">IF(O44="SQM",N44/1.55,N44)</f>
        <v>0.206812938311061</v>
      </c>
      <c r="T44" s="64" t="n">
        <f aca="false">U44</f>
        <v>0.289910376924445</v>
      </c>
      <c r="U44" s="64" t="n">
        <f aca="false">IF(P44="CAD",S44,S44*K44)</f>
        <v>0.289910376924445</v>
      </c>
      <c r="V44" s="65" t="n">
        <f aca="false">Table34[[#This Row],[Prix ship /unit]]/Table34[[#This Row],[Prix MP /unit]]</f>
        <v>0.144857337079088</v>
      </c>
      <c r="W44" s="60" t="n">
        <f aca="false">Table34[[#This Row],[Prix ship /unit]]/1.55</f>
        <v>0.0261677770207385</v>
      </c>
    </row>
    <row r="45" customFormat="false" ht="14.25" hidden="false" customHeight="false" outlineLevel="0" collapsed="false">
      <c r="A45" s="1" t="n">
        <v>30039</v>
      </c>
      <c r="B45" s="1" t="n">
        <v>20017</v>
      </c>
      <c r="C45" s="1" t="n">
        <v>10045</v>
      </c>
      <c r="D45" s="61" t="str">
        <f aca="false">_xlfn.xlookup(B45,Spec!A:A,Spec!C:C)</f>
        <v>Jinda</v>
      </c>
      <c r="E45" s="69" t="str">
        <f aca="false">_xlfn.xlookup(B45,Spec!A:A,Spec!D:D)</f>
        <v>0488056</v>
      </c>
      <c r="F45" s="61" t="str">
        <f aca="false">_xlfn.xlookup(B45,Spec!A:A,Spec!B:B)</f>
        <v>B25-3</v>
      </c>
      <c r="G45" s="61" t="str">
        <f aca="false">_xlfn.xlookup(B45,Spec!A:A,Spec!J:J)</f>
        <v>White BOPP - Acrylic Adhesive</v>
      </c>
      <c r="H45" s="61" t="str">
        <f aca="false">_xlfn.xlookup(B45,Spec!A:A,Spec!E:E)</f>
        <v>Self Adhesive Film</v>
      </c>
      <c r="I45" s="43" t="s">
        <v>522</v>
      </c>
      <c r="J45" s="59" t="n">
        <v>45648</v>
      </c>
      <c r="K45" s="1" t="n">
        <v>1.4018</v>
      </c>
      <c r="L45" s="1" t="n">
        <v>0.28</v>
      </c>
      <c r="M45" s="1" t="n">
        <v>0.0405600543821446</v>
      </c>
      <c r="N45" s="60" t="n">
        <f aca="false">L45+M45</f>
        <v>0.320560054382145</v>
      </c>
      <c r="O45" s="61" t="s">
        <v>491</v>
      </c>
      <c r="P45" s="61" t="s">
        <v>50</v>
      </c>
      <c r="Q45" s="61" t="str">
        <f aca="false">_xlfn.xlookup(B45,Spec!A:A,Spec!K:K,FALSE())</f>
        <v>Canada</v>
      </c>
      <c r="R45" s="62" t="str">
        <f aca="false">_xlfn.xlookup(B45,Spec!A:A,Spec!L:L,FALSE())</f>
        <v>3919.90</v>
      </c>
      <c r="S45" s="63" t="n">
        <f aca="false">IF(O45="SQM",N45/1.55,N45)</f>
        <v>0.206812938311061</v>
      </c>
      <c r="T45" s="64" t="n">
        <f aca="false">U45</f>
        <v>0.289910376924445</v>
      </c>
      <c r="U45" s="64" t="n">
        <f aca="false">IF(P45="CAD",S45,S45*K45)</f>
        <v>0.289910376924445</v>
      </c>
      <c r="V45" s="65" t="n">
        <f aca="false">Table34[[#This Row],[Prix ship /unit]]/Table34[[#This Row],[Prix MP /unit]]</f>
        <v>0.144857337079088</v>
      </c>
      <c r="W45" s="60" t="n">
        <f aca="false">Table34[[#This Row],[Prix ship /unit]]/1.55</f>
        <v>0.0261677770207385</v>
      </c>
    </row>
    <row r="46" customFormat="false" ht="14.25" hidden="false" customHeight="false" outlineLevel="0" collapsed="false">
      <c r="A46" s="47" t="n">
        <v>30040</v>
      </c>
      <c r="B46" s="47" t="n">
        <v>20031</v>
      </c>
      <c r="C46" s="47" t="n">
        <v>10043</v>
      </c>
      <c r="D46" s="61" t="str">
        <f aca="false">_xlfn.xlookup(B46,Spec!A:A,Spec!C:C)</f>
        <v>AKO</v>
      </c>
      <c r="E46" s="69" t="str">
        <f aca="false">_xlfn.xlookup(B46,Spec!A:A,Spec!D:D)</f>
        <v>AH2016</v>
      </c>
      <c r="F46" s="61" t="str">
        <f aca="false">_xlfn.xlookup(B46,Spec!A:A,Spec!B:B)</f>
        <v>D11-12</v>
      </c>
      <c r="G46" s="61" t="str">
        <f aca="false">_xlfn.xlookup(B46,Spec!A:A,Spec!J:J)</f>
        <v>TC DT - Hotmelt Adhesive</v>
      </c>
      <c r="H46" s="61" t="str">
        <f aca="false">_xlfn.xlookup(B46,Spec!A:A,Spec!E:E)</f>
        <v>Self Adhesive Paper</v>
      </c>
      <c r="I46" s="43" t="s">
        <v>525</v>
      </c>
      <c r="J46" s="68"/>
      <c r="K46" s="1" t="n">
        <v>1.4</v>
      </c>
      <c r="L46" s="1" t="n">
        <v>0.34</v>
      </c>
      <c r="M46" s="26"/>
      <c r="N46" s="60" t="n">
        <f aca="false">L46+M46</f>
        <v>0.34</v>
      </c>
      <c r="O46" s="61" t="s">
        <v>491</v>
      </c>
      <c r="P46" s="61" t="s">
        <v>50</v>
      </c>
      <c r="Q46" s="61" t="str">
        <f aca="false">_xlfn.xlookup(B46,Spec!A:A,Spec!K:K,FALSE())</f>
        <v>Canada</v>
      </c>
      <c r="R46" s="62" t="n">
        <f aca="false">_xlfn.xlookup(B46,Spec!A:A,Spec!L:L,FALSE())</f>
        <v>4811.41</v>
      </c>
      <c r="S46" s="63" t="n">
        <f aca="false">IF(O46="SQM",N46/1.55,N46)</f>
        <v>0.219354838709677</v>
      </c>
      <c r="T46" s="64" t="n">
        <f aca="false">U46</f>
        <v>0.307096774193548</v>
      </c>
      <c r="U46" s="64" t="n">
        <f aca="false">IF(P46="CAD",S46,S46*K46)</f>
        <v>0.307096774193548</v>
      </c>
      <c r="V46" s="65" t="n">
        <f aca="false">Table34[[#This Row],[Prix ship /unit]]/Table34[[#This Row],[Prix MP /unit]]</f>
        <v>0</v>
      </c>
      <c r="W46" s="60" t="n">
        <f aca="false">Table34[[#This Row],[Prix ship /unit]]/1.55</f>
        <v>0</v>
      </c>
    </row>
    <row r="47" customFormat="false" ht="14.25" hidden="false" customHeight="false" outlineLevel="0" collapsed="false">
      <c r="A47" s="47" t="n">
        <v>30041</v>
      </c>
      <c r="B47" s="47" t="n">
        <v>20003</v>
      </c>
      <c r="C47" s="47" t="n">
        <v>10043</v>
      </c>
      <c r="D47" s="61" t="str">
        <f aca="false">_xlfn.xlookup(B47,Spec!A:A,Spec!C:C)</f>
        <v>AKO</v>
      </c>
      <c r="E47" s="69" t="str">
        <f aca="false">_xlfn.xlookup(B47,Spec!A:A,Spec!D:D)</f>
        <v>AT1003</v>
      </c>
      <c r="F47" s="61" t="str">
        <f aca="false">_xlfn.xlookup(B47,Spec!A:A,Spec!B:B)</f>
        <v>T11-1</v>
      </c>
      <c r="G47" s="61" t="str">
        <f aca="false">_xlfn.xlookup(B47,Spec!A:A,Spec!J:J)</f>
        <v>TT - HM Adhesive</v>
      </c>
      <c r="H47" s="61" t="str">
        <f aca="false">_xlfn.xlookup(B47,Spec!A:A,Spec!E:E)</f>
        <v>Self Adhesive Paper</v>
      </c>
      <c r="I47" s="43" t="s">
        <v>525</v>
      </c>
      <c r="J47" s="68"/>
      <c r="K47" s="1" t="n">
        <v>1.4</v>
      </c>
      <c r="L47" s="1" t="n">
        <v>0.26</v>
      </c>
      <c r="M47" s="26"/>
      <c r="N47" s="60" t="n">
        <f aca="false">L47+M47</f>
        <v>0.26</v>
      </c>
      <c r="O47" s="61" t="s">
        <v>491</v>
      </c>
      <c r="P47" s="61" t="s">
        <v>50</v>
      </c>
      <c r="Q47" s="61" t="str">
        <f aca="false">_xlfn.xlookup(B47,Spec!A:A,Spec!K:K,FALSE())</f>
        <v>Canada</v>
      </c>
      <c r="R47" s="62" t="n">
        <f aca="false">_xlfn.xlookup(B47,Spec!A:A,Spec!L:L,FALSE())</f>
        <v>4811.41</v>
      </c>
      <c r="S47" s="63" t="n">
        <f aca="false">IF(O47="SQM",N47/1.55,N47)</f>
        <v>0.167741935483871</v>
      </c>
      <c r="T47" s="64" t="n">
        <f aca="false">U47</f>
        <v>0.234838709677419</v>
      </c>
      <c r="U47" s="64" t="n">
        <f aca="false">IF(P47="CAD",S47,S47*K47)</f>
        <v>0.234838709677419</v>
      </c>
      <c r="V47" s="65" t="n">
        <f aca="false">Table34[[#This Row],[Prix ship /unit]]/Table34[[#This Row],[Prix MP /unit]]</f>
        <v>0</v>
      </c>
      <c r="W47" s="60" t="n">
        <f aca="false">Table34[[#This Row],[Prix ship /unit]]/1.55</f>
        <v>0</v>
      </c>
    </row>
    <row r="48" customFormat="false" ht="14.25" hidden="false" customHeight="false" outlineLevel="0" collapsed="false">
      <c r="A48" s="1" t="n">
        <v>30042</v>
      </c>
      <c r="B48" s="1" t="n">
        <v>20003</v>
      </c>
      <c r="C48" s="1" t="n">
        <v>10051</v>
      </c>
      <c r="D48" s="61" t="str">
        <f aca="false">_xlfn.xlookup(B48,Spec!A:A,Spec!C:C)</f>
        <v>AKO</v>
      </c>
      <c r="E48" s="69" t="str">
        <f aca="false">_xlfn.xlookup(B48,Spec!A:A,Spec!D:D)</f>
        <v>AT1003</v>
      </c>
      <c r="F48" s="61" t="str">
        <f aca="false">_xlfn.xlookup(B48,Spec!A:A,Spec!B:B)</f>
        <v>T11-1</v>
      </c>
      <c r="G48" s="61" t="str">
        <f aca="false">_xlfn.xlookup(B48,Spec!A:A,Spec!J:J)</f>
        <v>TT - HM Adhesive</v>
      </c>
      <c r="H48" s="61" t="str">
        <f aca="false">_xlfn.xlookup(B48,Spec!A:A,Spec!E:E)</f>
        <v>Self Adhesive Paper</v>
      </c>
      <c r="I48" s="43" t="s">
        <v>525</v>
      </c>
      <c r="J48" s="59" t="n">
        <v>45672</v>
      </c>
      <c r="K48" s="1" t="n">
        <v>1.4265</v>
      </c>
      <c r="L48" s="1" t="n">
        <v>0.26</v>
      </c>
      <c r="M48" s="1" t="n">
        <v>0.0371632978256765</v>
      </c>
      <c r="N48" s="60" t="n">
        <f aca="false">L48+M48</f>
        <v>0.297163297825677</v>
      </c>
      <c r="O48" s="61" t="s">
        <v>491</v>
      </c>
      <c r="P48" s="61" t="s">
        <v>50</v>
      </c>
      <c r="Q48" s="61" t="str">
        <f aca="false">_xlfn.xlookup(B48,Spec!A:A,Spec!K:K,FALSE())</f>
        <v>Canada</v>
      </c>
      <c r="R48" s="62" t="n">
        <f aca="false">_xlfn.xlookup(B48,Spec!A:A,Spec!L:L,FALSE())</f>
        <v>4811.41</v>
      </c>
      <c r="S48" s="63" t="n">
        <f aca="false">IF(O48="SQM",N48/1.55,N48)</f>
        <v>0.191718256661727</v>
      </c>
      <c r="T48" s="64" t="n">
        <f aca="false">U48</f>
        <v>0.273486093127953</v>
      </c>
      <c r="U48" s="64" t="n">
        <f aca="false">IF(P48="CAD",S48,S48*K48)</f>
        <v>0.273486093127953</v>
      </c>
      <c r="V48" s="65" t="n">
        <f aca="false">Table34[[#This Row],[Prix ship /unit]]/Table34[[#This Row],[Prix MP /unit]]</f>
        <v>0.142935760867987</v>
      </c>
      <c r="W48" s="60" t="n">
        <f aca="false">Table34[[#This Row],[Prix ship /unit]]/1.55</f>
        <v>0.0239763211778558</v>
      </c>
    </row>
    <row r="49" customFormat="false" ht="14.25" hidden="false" customHeight="false" outlineLevel="0" collapsed="false">
      <c r="A49" s="47" t="n">
        <v>30043</v>
      </c>
      <c r="B49" s="47" t="n">
        <v>20031</v>
      </c>
      <c r="C49" s="47" t="n">
        <v>10052</v>
      </c>
      <c r="D49" s="61" t="str">
        <f aca="false">_xlfn.xlookup(B49,Spec!A:A,Spec!C:C)</f>
        <v>AKO</v>
      </c>
      <c r="E49" s="69" t="str">
        <f aca="false">_xlfn.xlookup(B49,Spec!A:A,Spec!D:D)</f>
        <v>AH2016</v>
      </c>
      <c r="F49" s="61" t="str">
        <f aca="false">_xlfn.xlookup(B49,Spec!A:A,Spec!B:B)</f>
        <v>D11-12</v>
      </c>
      <c r="G49" s="61" t="str">
        <f aca="false">_xlfn.xlookup(B49,Spec!A:A,Spec!J:J)</f>
        <v>TC DT - Hotmelt Adhesive</v>
      </c>
      <c r="H49" s="61" t="str">
        <f aca="false">_xlfn.xlookup(B49,Spec!A:A,Spec!E:E)</f>
        <v>Self Adhesive Paper</v>
      </c>
      <c r="I49" s="43" t="s">
        <v>525</v>
      </c>
      <c r="J49" s="68"/>
      <c r="K49" s="26"/>
      <c r="L49" s="1" t="n">
        <v>0.34</v>
      </c>
      <c r="M49" s="26"/>
      <c r="N49" s="60" t="n">
        <f aca="false">L49+M49</f>
        <v>0.34</v>
      </c>
      <c r="O49" s="61" t="s">
        <v>491</v>
      </c>
      <c r="P49" s="61" t="s">
        <v>50</v>
      </c>
      <c r="Q49" s="61" t="str">
        <f aca="false">_xlfn.xlookup(B49,Spec!A:A,Spec!K:K,FALSE())</f>
        <v>Canada</v>
      </c>
      <c r="R49" s="62" t="n">
        <f aca="false">_xlfn.xlookup(B49,Spec!A:A,Spec!L:L,FALSE())</f>
        <v>4811.41</v>
      </c>
      <c r="S49" s="63" t="n">
        <f aca="false">IF(O49="SQM",N49/1.55,N49)</f>
        <v>0.219354838709677</v>
      </c>
      <c r="T49" s="64" t="n">
        <f aca="false">U49</f>
        <v>0</v>
      </c>
      <c r="U49" s="64" t="n">
        <f aca="false">IF(P49="CAD",S49,S49*K49)</f>
        <v>0</v>
      </c>
      <c r="V49" s="65" t="n">
        <f aca="false">Table34[[#This Row],[Prix ship /unit]]/Table34[[#This Row],[Prix MP /unit]]</f>
        <v>0</v>
      </c>
      <c r="W49" s="60" t="n">
        <f aca="false">Table34[[#This Row],[Prix ship /unit]]/1.55</f>
        <v>0</v>
      </c>
    </row>
    <row r="50" customFormat="false" ht="14.25" hidden="false" customHeight="false" outlineLevel="0" collapsed="false">
      <c r="A50" s="1" t="n">
        <v>30044</v>
      </c>
      <c r="B50" s="1" t="n">
        <v>20035</v>
      </c>
      <c r="D50" s="61" t="str">
        <f aca="false">_xlfn.xlookup(B50,Spec!A:A,Spec!C:C)</f>
        <v>Etsuhiro</v>
      </c>
      <c r="E50" s="69" t="str">
        <f aca="false">_xlfn.xlookup(B50,Spec!A:A,Spec!D:D)</f>
        <v>ED3049</v>
      </c>
      <c r="F50" s="61" t="str">
        <f aca="false">_xlfn.xlookup(B50,Spec!A:A,Spec!B:B)</f>
        <v>D1001</v>
      </c>
      <c r="G50" s="61" t="str">
        <f aca="false">_xlfn.xlookup(B50,Spec!A:A,Spec!J:J)</f>
        <v>1000 /roll ; 4 roll / box</v>
      </c>
      <c r="H50" s="61" t="str">
        <f aca="false">_xlfn.xlookup(B50,Spec!A:A,Spec!E:E)</f>
        <v>Self adhesive</v>
      </c>
      <c r="J50" s="59"/>
      <c r="N50" s="60" t="n">
        <f aca="false">L50+M50</f>
        <v>0</v>
      </c>
      <c r="O50" s="61"/>
      <c r="P50" s="61"/>
      <c r="Q50" s="61" t="n">
        <f aca="false">_xlfn.xlookup(B50,Spec!A:A,Spec!K:K,FALSE())</f>
        <v>0</v>
      </c>
      <c r="R50" s="62" t="n">
        <f aca="false">_xlfn.xlookup(B50,Spec!A:A,Spec!L:L,FALSE())</f>
        <v>0</v>
      </c>
      <c r="S50" s="63" t="n">
        <f aca="false">IF(O50="SQM",N50/1.55,N50)</f>
        <v>0</v>
      </c>
      <c r="T50" s="64" t="n">
        <f aca="false">U50</f>
        <v>0</v>
      </c>
      <c r="U50" s="64" t="n">
        <f aca="false">IF(P50="CAD",S50,S50*K50)</f>
        <v>0</v>
      </c>
      <c r="V50" s="65" t="e">
        <f aca="false">Table34[[#This Row],[Prix ship /unit]]/Table34[[#This Row],[Prix MP /unit]]</f>
        <v>#DIV/0!</v>
      </c>
      <c r="W50" s="60" t="n">
        <f aca="false">Table34[[#This Row],[Prix ship /unit]]/1.55</f>
        <v>0</v>
      </c>
    </row>
    <row r="51" customFormat="false" ht="14.25" hidden="false" customHeight="false" outlineLevel="0" collapsed="false">
      <c r="A51" s="47" t="n">
        <v>30045</v>
      </c>
      <c r="B51" s="47" t="n">
        <v>20025</v>
      </c>
      <c r="C51" s="47" t="n">
        <v>10060</v>
      </c>
      <c r="D51" s="61" t="str">
        <f aca="false">_xlfn.xlookup(B51,Spec!A:A,Spec!C:C)</f>
        <v>Etsuhiro</v>
      </c>
      <c r="E51" s="69" t="str">
        <f aca="false">_xlfn.xlookup(B51,Spec!A:A,Spec!D:D)</f>
        <v>EL3059</v>
      </c>
      <c r="F51" s="61" t="str">
        <f aca="false">_xlfn.xlookup(B51,Spec!A:A,Spec!B:B)</f>
        <v>D11-2</v>
      </c>
      <c r="G51" s="61" t="str">
        <f aca="false">_xlfn.xlookup(B51,Spec!A:A,Spec!J:J)</f>
        <v>TC DT - Hotmelt Adhesive</v>
      </c>
      <c r="H51" s="61" t="str">
        <f aca="false">_xlfn.xlookup(B51,Spec!A:A,Spec!E:E)</f>
        <v>Self Adhesive Paper</v>
      </c>
      <c r="I51" s="43" t="s">
        <v>526</v>
      </c>
      <c r="J51" s="68"/>
      <c r="K51" s="26"/>
      <c r="L51" s="1" t="n">
        <v>0.27</v>
      </c>
      <c r="M51" s="26"/>
      <c r="N51" s="60" t="n">
        <f aca="false">L51+M51</f>
        <v>0.27</v>
      </c>
      <c r="O51" s="61" t="s">
        <v>491</v>
      </c>
      <c r="P51" s="61" t="s">
        <v>50</v>
      </c>
      <c r="Q51" s="61" t="str">
        <f aca="false">_xlfn.xlookup(B51,Spec!A:A,Spec!K:K,FALSE())</f>
        <v>Canada</v>
      </c>
      <c r="R51" s="62" t="n">
        <f aca="false">_xlfn.xlookup(B51,Spec!A:A,Spec!L:L,FALSE())</f>
        <v>4811.41</v>
      </c>
      <c r="S51" s="63" t="n">
        <f aca="false">IF(O51="SQM",N51/1.55,N51)</f>
        <v>0.174193548387097</v>
      </c>
      <c r="T51" s="64" t="n">
        <f aca="false">U51</f>
        <v>0</v>
      </c>
      <c r="U51" s="64" t="n">
        <f aca="false">IF(P51="CAD",S51,S51*K51)</f>
        <v>0</v>
      </c>
      <c r="V51" s="65" t="n">
        <f aca="false">Table34[[#This Row],[Prix ship /unit]]/Table34[[#This Row],[Prix MP /unit]]</f>
        <v>0</v>
      </c>
      <c r="W51" s="60" t="n">
        <f aca="false">Table34[[#This Row],[Prix ship /unit]]/1.55</f>
        <v>0</v>
      </c>
    </row>
    <row r="52" customFormat="false" ht="14.25" hidden="false" customHeight="false" outlineLevel="0" collapsed="false">
      <c r="A52" s="47" t="n">
        <v>30046</v>
      </c>
      <c r="B52" s="47" t="n">
        <v>20003</v>
      </c>
      <c r="C52" s="47" t="n">
        <v>10058</v>
      </c>
      <c r="D52" s="61" t="str">
        <f aca="false">_xlfn.xlookup(B52,Spec!A:A,Spec!C:C)</f>
        <v>AKO</v>
      </c>
      <c r="E52" s="69" t="str">
        <f aca="false">_xlfn.xlookup(B52,Spec!A:A,Spec!D:D)</f>
        <v>AT1003</v>
      </c>
      <c r="F52" s="61" t="str">
        <f aca="false">_xlfn.xlookup(B52,Spec!A:A,Spec!B:B)</f>
        <v>T11-1</v>
      </c>
      <c r="G52" s="61" t="str">
        <f aca="false">_xlfn.xlookup(B52,Spec!A:A,Spec!J:J)</f>
        <v>TT - HM Adhesive</v>
      </c>
      <c r="H52" s="61" t="str">
        <f aca="false">_xlfn.xlookup(B52,Spec!A:A,Spec!E:E)</f>
        <v>Self Adhesive Paper</v>
      </c>
      <c r="I52" s="43" t="s">
        <v>525</v>
      </c>
      <c r="J52" s="68"/>
      <c r="K52" s="26"/>
      <c r="L52" s="1" t="n">
        <v>0.26</v>
      </c>
      <c r="M52" s="26"/>
      <c r="N52" s="60" t="n">
        <f aca="false">L52+M52</f>
        <v>0.26</v>
      </c>
      <c r="O52" s="61" t="s">
        <v>491</v>
      </c>
      <c r="P52" s="61" t="s">
        <v>50</v>
      </c>
      <c r="Q52" s="61" t="str">
        <f aca="false">_xlfn.xlookup(B52,Spec!A:A,Spec!K:K,FALSE())</f>
        <v>Canada</v>
      </c>
      <c r="R52" s="62" t="n">
        <f aca="false">_xlfn.xlookup(B52,Spec!A:A,Spec!L:L,FALSE())</f>
        <v>4811.41</v>
      </c>
      <c r="S52" s="63" t="n">
        <f aca="false">IF(O52="SQM",N52/1.55,N52)</f>
        <v>0.167741935483871</v>
      </c>
      <c r="T52" s="64" t="n">
        <f aca="false">U52</f>
        <v>0</v>
      </c>
      <c r="U52" s="64" t="n">
        <f aca="false">IF(P52="CAD",S52,S52*K52)</f>
        <v>0</v>
      </c>
      <c r="V52" s="65" t="n">
        <f aca="false">Table34[[#This Row],[Prix ship /unit]]/Table34[[#This Row],[Prix MP /unit]]</f>
        <v>0</v>
      </c>
      <c r="W52" s="60" t="n">
        <f aca="false">Table34[[#This Row],[Prix ship /unit]]/1.55</f>
        <v>0</v>
      </c>
    </row>
    <row r="53" customFormat="false" ht="14.25" hidden="false" customHeight="false" outlineLevel="0" collapsed="false">
      <c r="A53" s="1" t="n">
        <v>30047</v>
      </c>
      <c r="D53" s="61" t="n">
        <f aca="false">_xlfn.xlookup(B53,Spec!A:A,Spec!C:C)</f>
        <v>0</v>
      </c>
      <c r="E53" s="69" t="n">
        <f aca="false">_xlfn.xlookup(B53,Spec!A:A,Spec!D:D)</f>
        <v>0</v>
      </c>
      <c r="F53" s="61" t="n">
        <f aca="false">_xlfn.xlookup(B53,Spec!A:A,Spec!B:B)</f>
        <v>0</v>
      </c>
      <c r="G53" s="61" t="n">
        <f aca="false">_xlfn.xlookup(B53,Spec!A:A,Spec!J:J)</f>
        <v>0</v>
      </c>
      <c r="H53" s="61" t="n">
        <f aca="false">_xlfn.xlookup(B53,Spec!A:A,Spec!E:E)</f>
        <v>0</v>
      </c>
      <c r="J53" s="59"/>
      <c r="N53" s="60" t="n">
        <f aca="false">L53+M53</f>
        <v>0</v>
      </c>
      <c r="O53" s="61"/>
      <c r="P53" s="61"/>
      <c r="Q53" s="61" t="n">
        <f aca="false">_xlfn.xlookup(B53,Spec!A:A,Spec!K:K,FALSE())</f>
        <v>0</v>
      </c>
      <c r="R53" s="62" t="n">
        <f aca="false">_xlfn.xlookup(B53,Spec!A:A,Spec!L:L,FALSE())</f>
        <v>0</v>
      </c>
      <c r="S53" s="63" t="n">
        <f aca="false">IF(O53="SQM",N53/1.55,N53)</f>
        <v>0</v>
      </c>
      <c r="T53" s="64" t="n">
        <f aca="false">U53</f>
        <v>0</v>
      </c>
      <c r="U53" s="64" t="n">
        <f aca="false">IF(P53="CAD",S53,S53*K53)</f>
        <v>0</v>
      </c>
      <c r="V53" s="65" t="e">
        <f aca="false">Table34[[#This Row],[Prix ship /unit]]/Table34[[#This Row],[Prix MP /unit]]</f>
        <v>#DIV/0!</v>
      </c>
      <c r="W53" s="60" t="n">
        <f aca="false">Table34[[#This Row],[Prix ship /unit]]/1.55</f>
        <v>0</v>
      </c>
    </row>
    <row r="54" customFormat="false" ht="14.25" hidden="false" customHeight="false" outlineLevel="0" collapsed="false">
      <c r="A54" s="1" t="n">
        <v>30048</v>
      </c>
      <c r="D54" s="61" t="n">
        <f aca="false">_xlfn.xlookup(B54,Spec!A:A,Spec!C:C)</f>
        <v>0</v>
      </c>
      <c r="E54" s="69" t="n">
        <f aca="false">_xlfn.xlookup(B54,Spec!A:A,Spec!D:D)</f>
        <v>0</v>
      </c>
      <c r="F54" s="61" t="n">
        <f aca="false">_xlfn.xlookup(B54,Spec!A:A,Spec!B:B)</f>
        <v>0</v>
      </c>
      <c r="G54" s="61" t="n">
        <f aca="false">_xlfn.xlookup(B54,Spec!A:A,Spec!J:J)</f>
        <v>0</v>
      </c>
      <c r="H54" s="61" t="n">
        <f aca="false">_xlfn.xlookup(B54,Spec!A:A,Spec!E:E)</f>
        <v>0</v>
      </c>
      <c r="J54" s="59"/>
      <c r="N54" s="60" t="n">
        <f aca="false">L54+M54</f>
        <v>0</v>
      </c>
      <c r="O54" s="61"/>
      <c r="P54" s="61"/>
      <c r="Q54" s="61" t="n">
        <f aca="false">_xlfn.xlookup(B54,Spec!A:A,Spec!K:K,FALSE())</f>
        <v>0</v>
      </c>
      <c r="R54" s="62" t="n">
        <f aca="false">_xlfn.xlookup(B54,Spec!A:A,Spec!L:L,FALSE())</f>
        <v>0</v>
      </c>
      <c r="S54" s="63" t="n">
        <f aca="false">IF(O54="SQM",N54/1.55,N54)</f>
        <v>0</v>
      </c>
      <c r="T54" s="64" t="n">
        <f aca="false">U54</f>
        <v>0</v>
      </c>
      <c r="U54" s="64" t="n">
        <f aca="false">IF(P54="CAD",S54,S54*K54)</f>
        <v>0</v>
      </c>
      <c r="V54" s="65" t="e">
        <f aca="false">Table34[[#This Row],[Prix ship /unit]]/Table34[[#This Row],[Prix MP /unit]]</f>
        <v>#DIV/0!</v>
      </c>
      <c r="W54" s="60" t="n">
        <f aca="false">Table34[[#This Row],[Prix ship /unit]]/1.55</f>
        <v>0</v>
      </c>
    </row>
    <row r="55" customFormat="false" ht="14.25" hidden="false" customHeight="false" outlineLevel="0" collapsed="false">
      <c r="A55" s="1" t="n">
        <v>30049</v>
      </c>
      <c r="D55" s="61" t="n">
        <f aca="false">_xlfn.xlookup(B55,Spec!A:A,Spec!C:C)</f>
        <v>0</v>
      </c>
      <c r="E55" s="69" t="n">
        <f aca="false">_xlfn.xlookup(B55,Spec!A:A,Spec!D:D)</f>
        <v>0</v>
      </c>
      <c r="F55" s="61" t="n">
        <f aca="false">_xlfn.xlookup(B55,Spec!A:A,Spec!B:B)</f>
        <v>0</v>
      </c>
      <c r="G55" s="61" t="n">
        <f aca="false">_xlfn.xlookup(B55,Spec!A:A,Spec!J:J)</f>
        <v>0</v>
      </c>
      <c r="H55" s="61" t="n">
        <f aca="false">_xlfn.xlookup(B55,Spec!A:A,Spec!E:E)</f>
        <v>0</v>
      </c>
      <c r="J55" s="59"/>
      <c r="N55" s="60" t="n">
        <f aca="false">L55+M55</f>
        <v>0</v>
      </c>
      <c r="O55" s="61"/>
      <c r="P55" s="61"/>
      <c r="Q55" s="61" t="n">
        <f aca="false">_xlfn.xlookup(B55,Spec!A:A,Spec!K:K,FALSE())</f>
        <v>0</v>
      </c>
      <c r="R55" s="62" t="n">
        <f aca="false">_xlfn.xlookup(B55,Spec!A:A,Spec!L:L,FALSE())</f>
        <v>0</v>
      </c>
      <c r="S55" s="63" t="n">
        <f aca="false">IF(O55="SQM",N55/1.55,N55)</f>
        <v>0</v>
      </c>
      <c r="T55" s="64" t="n">
        <f aca="false">U55</f>
        <v>0</v>
      </c>
      <c r="U55" s="64" t="n">
        <f aca="false">IF(P55="CAD",S55,S55*K55)</f>
        <v>0</v>
      </c>
      <c r="V55" s="65" t="e">
        <f aca="false">Table34[[#This Row],[Prix ship /unit]]/Table34[[#This Row],[Prix MP /unit]]</f>
        <v>#DIV/0!</v>
      </c>
      <c r="W55" s="60" t="n">
        <f aca="false">Table34[[#This Row],[Prix ship /unit]]/1.55</f>
        <v>0</v>
      </c>
    </row>
    <row r="56" customFormat="false" ht="14.25" hidden="false" customHeight="false" outlineLevel="0" collapsed="false">
      <c r="A56" s="1" t="n">
        <v>30050</v>
      </c>
      <c r="D56" s="61" t="n">
        <f aca="false">_xlfn.xlookup(B56,Spec!A:A,Spec!C:C)</f>
        <v>0</v>
      </c>
      <c r="E56" s="69" t="n">
        <f aca="false">_xlfn.xlookup(B56,Spec!A:A,Spec!D:D)</f>
        <v>0</v>
      </c>
      <c r="F56" s="61" t="n">
        <f aca="false">_xlfn.xlookup(B56,Spec!A:A,Spec!B:B)</f>
        <v>0</v>
      </c>
      <c r="G56" s="61" t="n">
        <f aca="false">_xlfn.xlookup(B56,Spec!A:A,Spec!J:J)</f>
        <v>0</v>
      </c>
      <c r="H56" s="61" t="n">
        <f aca="false">_xlfn.xlookup(B56,Spec!A:A,Spec!E:E)</f>
        <v>0</v>
      </c>
      <c r="J56" s="59"/>
      <c r="N56" s="60" t="n">
        <f aca="false">L56+M56</f>
        <v>0</v>
      </c>
      <c r="O56" s="61"/>
      <c r="P56" s="61"/>
      <c r="Q56" s="61" t="n">
        <f aca="false">_xlfn.xlookup(B56,Spec!A:A,Spec!K:K,FALSE())</f>
        <v>0</v>
      </c>
      <c r="R56" s="62" t="n">
        <f aca="false">_xlfn.xlookup(B56,Spec!A:A,Spec!L:L,FALSE())</f>
        <v>0</v>
      </c>
      <c r="S56" s="63" t="n">
        <f aca="false">IF(O56="SQM",N56/1.55,N56)</f>
        <v>0</v>
      </c>
      <c r="T56" s="64" t="n">
        <f aca="false">U56</f>
        <v>0</v>
      </c>
      <c r="U56" s="64" t="n">
        <f aca="false">IF(P56="CAD",S56,S56*K56)</f>
        <v>0</v>
      </c>
      <c r="V56" s="65" t="e">
        <f aca="false">Table34[[#This Row],[Prix ship /unit]]/Table34[[#This Row],[Prix MP /unit]]</f>
        <v>#DIV/0!</v>
      </c>
      <c r="W56" s="60" t="n">
        <f aca="false">Table34[[#This Row],[Prix ship /unit]]/1.55</f>
        <v>0</v>
      </c>
    </row>
    <row r="57" customFormat="false" ht="14.25" hidden="false" customHeight="false" outlineLevel="0" collapsed="false">
      <c r="A57" s="1" t="n">
        <v>30051</v>
      </c>
      <c r="D57" s="61" t="n">
        <f aca="false">_xlfn.xlookup(B57,Spec!A:A,Spec!C:C)</f>
        <v>0</v>
      </c>
      <c r="E57" s="69" t="n">
        <f aca="false">_xlfn.xlookup(B57,Spec!A:A,Spec!D:D)</f>
        <v>0</v>
      </c>
      <c r="F57" s="61" t="n">
        <f aca="false">_xlfn.xlookup(B57,Spec!A:A,Spec!B:B)</f>
        <v>0</v>
      </c>
      <c r="G57" s="61" t="n">
        <f aca="false">_xlfn.xlookup(B57,Spec!A:A,Spec!J:J)</f>
        <v>0</v>
      </c>
      <c r="H57" s="61" t="n">
        <f aca="false">_xlfn.xlookup(B57,Spec!A:A,Spec!E:E)</f>
        <v>0</v>
      </c>
      <c r="J57" s="59"/>
      <c r="N57" s="60" t="n">
        <f aca="false">L57+M57</f>
        <v>0</v>
      </c>
      <c r="O57" s="61"/>
      <c r="P57" s="61"/>
      <c r="Q57" s="61" t="n">
        <f aca="false">_xlfn.xlookup(B57,Spec!A:A,Spec!K:K,FALSE())</f>
        <v>0</v>
      </c>
      <c r="R57" s="62" t="n">
        <f aca="false">_xlfn.xlookup(B57,Spec!A:A,Spec!L:L,FALSE())</f>
        <v>0</v>
      </c>
      <c r="S57" s="63" t="n">
        <f aca="false">IF(O57="SQM",N57/1.55,N57)</f>
        <v>0</v>
      </c>
      <c r="T57" s="64" t="n">
        <f aca="false">U57</f>
        <v>0</v>
      </c>
      <c r="U57" s="64" t="n">
        <f aca="false">IF(P57="CAD",S57,S57*K57)</f>
        <v>0</v>
      </c>
      <c r="V57" s="65" t="e">
        <f aca="false">Table34[[#This Row],[Prix ship /unit]]/Table34[[#This Row],[Prix MP /unit]]</f>
        <v>#DIV/0!</v>
      </c>
      <c r="W57" s="60" t="n">
        <f aca="false">Table34[[#This Row],[Prix ship /unit]]/1.55</f>
        <v>0</v>
      </c>
    </row>
    <row r="58" customFormat="false" ht="14.25" hidden="false" customHeight="false" outlineLevel="0" collapsed="false">
      <c r="A58" s="1" t="n">
        <v>30052</v>
      </c>
      <c r="D58" s="61" t="n">
        <f aca="false">_xlfn.xlookup(B58,Spec!A:A,Spec!C:C)</f>
        <v>0</v>
      </c>
      <c r="E58" s="69" t="n">
        <f aca="false">_xlfn.xlookup(B58,Spec!A:A,Spec!D:D)</f>
        <v>0</v>
      </c>
      <c r="F58" s="61" t="n">
        <f aca="false">_xlfn.xlookup(B58,Spec!A:A,Spec!B:B)</f>
        <v>0</v>
      </c>
      <c r="G58" s="61" t="n">
        <f aca="false">_xlfn.xlookup(B58,Spec!A:A,Spec!J:J)</f>
        <v>0</v>
      </c>
      <c r="H58" s="61" t="n">
        <f aca="false">_xlfn.xlookup(B58,Spec!A:A,Spec!E:E)</f>
        <v>0</v>
      </c>
      <c r="J58" s="59"/>
      <c r="N58" s="60" t="n">
        <f aca="false">L58+M58</f>
        <v>0</v>
      </c>
      <c r="O58" s="61"/>
      <c r="P58" s="61"/>
      <c r="Q58" s="61" t="n">
        <f aca="false">_xlfn.xlookup(B58,Spec!A:A,Spec!K:K,FALSE())</f>
        <v>0</v>
      </c>
      <c r="R58" s="62" t="n">
        <f aca="false">_xlfn.xlookup(B58,Spec!A:A,Spec!L:L,FALSE())</f>
        <v>0</v>
      </c>
      <c r="S58" s="63" t="n">
        <f aca="false">IF(O58="SQM",N58/1.55,N58)</f>
        <v>0</v>
      </c>
      <c r="T58" s="64" t="n">
        <f aca="false">U58</f>
        <v>0</v>
      </c>
      <c r="U58" s="64" t="n">
        <f aca="false">IF(P58="CAD",S58,S58*K58)</f>
        <v>0</v>
      </c>
      <c r="V58" s="65" t="e">
        <f aca="false">Table34[[#This Row],[Prix ship /unit]]/Table34[[#This Row],[Prix MP /unit]]</f>
        <v>#DIV/0!</v>
      </c>
      <c r="W58" s="60" t="n">
        <f aca="false">Table34[[#This Row],[Prix ship /unit]]/1.55</f>
        <v>0</v>
      </c>
    </row>
    <row r="59" customFormat="false" ht="14.25" hidden="false" customHeight="false" outlineLevel="0" collapsed="false">
      <c r="A59" s="1" t="n">
        <v>30053</v>
      </c>
      <c r="D59" s="61" t="n">
        <f aca="false">_xlfn.xlookup(B59,Spec!A:A,Spec!C:C)</f>
        <v>0</v>
      </c>
      <c r="E59" s="69" t="n">
        <f aca="false">_xlfn.xlookup(B59,Spec!A:A,Spec!D:D)</f>
        <v>0</v>
      </c>
      <c r="F59" s="61" t="n">
        <f aca="false">_xlfn.xlookup(B59,Spec!A:A,Spec!B:B)</f>
        <v>0</v>
      </c>
      <c r="G59" s="61" t="n">
        <f aca="false">_xlfn.xlookup(B59,Spec!A:A,Spec!J:J)</f>
        <v>0</v>
      </c>
      <c r="H59" s="61" t="n">
        <f aca="false">_xlfn.xlookup(B59,Spec!A:A,Spec!E:E)</f>
        <v>0</v>
      </c>
      <c r="J59" s="59"/>
      <c r="N59" s="60" t="n">
        <f aca="false">L59+M59</f>
        <v>0</v>
      </c>
      <c r="O59" s="61"/>
      <c r="P59" s="61"/>
      <c r="Q59" s="61" t="n">
        <f aca="false">_xlfn.xlookup(B59,Spec!A:A,Spec!K:K,FALSE())</f>
        <v>0</v>
      </c>
      <c r="R59" s="62" t="n">
        <f aca="false">_xlfn.xlookup(B59,Spec!A:A,Spec!L:L,FALSE())</f>
        <v>0</v>
      </c>
      <c r="S59" s="63" t="n">
        <f aca="false">IF(O59="SQM",N59/1.55,N59)</f>
        <v>0</v>
      </c>
      <c r="T59" s="64" t="n">
        <f aca="false">U59</f>
        <v>0</v>
      </c>
      <c r="U59" s="64" t="n">
        <f aca="false">IF(P59="CAD",S59,S59*K59)</f>
        <v>0</v>
      </c>
      <c r="V59" s="65" t="e">
        <f aca="false">Table34[[#This Row],[Prix ship /unit]]/Table34[[#This Row],[Prix MP /unit]]</f>
        <v>#DIV/0!</v>
      </c>
      <c r="W59" s="60" t="n">
        <f aca="false">Table34[[#This Row],[Prix ship /unit]]/1.55</f>
        <v>0</v>
      </c>
    </row>
    <row r="60" customFormat="false" ht="14.25" hidden="false" customHeight="false" outlineLevel="0" collapsed="false">
      <c r="A60" s="1" t="n">
        <v>30054</v>
      </c>
      <c r="D60" s="61" t="n">
        <f aca="false">_xlfn.xlookup(B60,Spec!A:A,Spec!C:C)</f>
        <v>0</v>
      </c>
      <c r="E60" s="69" t="n">
        <f aca="false">_xlfn.xlookup(B60,Spec!A:A,Spec!D:D)</f>
        <v>0</v>
      </c>
      <c r="F60" s="61" t="n">
        <f aca="false">_xlfn.xlookup(B60,Spec!A:A,Spec!B:B)</f>
        <v>0</v>
      </c>
      <c r="G60" s="61" t="n">
        <f aca="false">_xlfn.xlookup(B60,Spec!A:A,Spec!J:J)</f>
        <v>0</v>
      </c>
      <c r="H60" s="61" t="n">
        <f aca="false">_xlfn.xlookup(B60,Spec!A:A,Spec!E:E)</f>
        <v>0</v>
      </c>
      <c r="J60" s="59"/>
      <c r="N60" s="60" t="n">
        <f aca="false">L60+M60</f>
        <v>0</v>
      </c>
      <c r="O60" s="61"/>
      <c r="P60" s="61"/>
      <c r="Q60" s="61" t="n">
        <f aca="false">_xlfn.xlookup(B60,Spec!A:A,Spec!K:K,FALSE())</f>
        <v>0</v>
      </c>
      <c r="R60" s="62" t="n">
        <f aca="false">_xlfn.xlookup(B60,Spec!A:A,Spec!L:L,FALSE())</f>
        <v>0</v>
      </c>
      <c r="S60" s="63" t="n">
        <f aca="false">IF(O60="SQM",N60/1.55,N60)</f>
        <v>0</v>
      </c>
      <c r="T60" s="64" t="n">
        <f aca="false">U60</f>
        <v>0</v>
      </c>
      <c r="U60" s="64" t="n">
        <f aca="false">IF(P60="CAD",S60,S60*K60)</f>
        <v>0</v>
      </c>
      <c r="V60" s="65" t="e">
        <f aca="false">Table34[[#This Row],[Prix ship /unit]]/Table34[[#This Row],[Prix MP /unit]]</f>
        <v>#DIV/0!</v>
      </c>
      <c r="W60" s="60" t="n">
        <f aca="false">Table34[[#This Row],[Prix ship /unit]]/1.55</f>
        <v>0</v>
      </c>
    </row>
    <row r="61" customFormat="false" ht="14.25" hidden="false" customHeight="false" outlineLevel="0" collapsed="false">
      <c r="A61" s="1" t="n">
        <v>30055</v>
      </c>
      <c r="D61" s="61" t="n">
        <f aca="false">_xlfn.xlookup(B61,Spec!A:A,Spec!C:C)</f>
        <v>0</v>
      </c>
      <c r="E61" s="69" t="n">
        <f aca="false">_xlfn.xlookup(B61,Spec!A:A,Spec!D:D)</f>
        <v>0</v>
      </c>
      <c r="F61" s="61" t="n">
        <f aca="false">_xlfn.xlookup(B61,Spec!A:A,Spec!B:B)</f>
        <v>0</v>
      </c>
      <c r="G61" s="61" t="n">
        <f aca="false">_xlfn.xlookup(B61,Spec!A:A,Spec!J:J)</f>
        <v>0</v>
      </c>
      <c r="H61" s="61" t="n">
        <f aca="false">_xlfn.xlookup(B61,Spec!A:A,Spec!E:E)</f>
        <v>0</v>
      </c>
      <c r="J61" s="59"/>
      <c r="N61" s="60" t="n">
        <f aca="false">L61+M61</f>
        <v>0</v>
      </c>
      <c r="O61" s="61"/>
      <c r="P61" s="61"/>
      <c r="Q61" s="61" t="n">
        <f aca="false">_xlfn.xlookup(B61,Spec!A:A,Spec!K:K,FALSE())</f>
        <v>0</v>
      </c>
      <c r="R61" s="62" t="n">
        <f aca="false">_xlfn.xlookup(B61,Spec!A:A,Spec!L:L,FALSE())</f>
        <v>0</v>
      </c>
      <c r="S61" s="63" t="n">
        <f aca="false">IF(O61="SQM",N61/1.55,N61)</f>
        <v>0</v>
      </c>
      <c r="T61" s="64" t="n">
        <f aca="false">U61</f>
        <v>0</v>
      </c>
      <c r="U61" s="64" t="n">
        <f aca="false">IF(P61="CAD",S61,S61*K61)</f>
        <v>0</v>
      </c>
      <c r="V61" s="65" t="e">
        <f aca="false">Table34[[#This Row],[Prix ship /unit]]/Table34[[#This Row],[Prix MP /unit]]</f>
        <v>#DIV/0!</v>
      </c>
      <c r="W61" s="60" t="n">
        <f aca="false">Table34[[#This Row],[Prix ship /unit]]/1.55</f>
        <v>0</v>
      </c>
    </row>
    <row r="62" customFormat="false" ht="14.25" hidden="false" customHeight="false" outlineLevel="0" collapsed="false">
      <c r="A62" s="1" t="n">
        <v>30056</v>
      </c>
      <c r="D62" s="61" t="n">
        <f aca="false">_xlfn.xlookup(B62,Spec!A:A,Spec!C:C)</f>
        <v>0</v>
      </c>
      <c r="E62" s="69" t="n">
        <f aca="false">_xlfn.xlookup(B62,Spec!A:A,Spec!D:D)</f>
        <v>0</v>
      </c>
      <c r="F62" s="61" t="n">
        <f aca="false">_xlfn.xlookup(B62,Spec!A:A,Spec!B:B)</f>
        <v>0</v>
      </c>
      <c r="G62" s="61" t="n">
        <f aca="false">_xlfn.xlookup(B62,Spec!A:A,Spec!J:J)</f>
        <v>0</v>
      </c>
      <c r="H62" s="61" t="n">
        <f aca="false">_xlfn.xlookup(B62,Spec!A:A,Spec!E:E)</f>
        <v>0</v>
      </c>
      <c r="J62" s="59"/>
      <c r="N62" s="60" t="n">
        <f aca="false">L62+M62</f>
        <v>0</v>
      </c>
      <c r="O62" s="61"/>
      <c r="P62" s="61"/>
      <c r="Q62" s="61" t="n">
        <f aca="false">_xlfn.xlookup(B62,Spec!A:A,Spec!K:K,FALSE())</f>
        <v>0</v>
      </c>
      <c r="R62" s="62" t="n">
        <f aca="false">_xlfn.xlookup(B62,Spec!A:A,Spec!L:L,FALSE())</f>
        <v>0</v>
      </c>
      <c r="S62" s="63" t="n">
        <f aca="false">IF(O62="SQM",N62/1.55,N62)</f>
        <v>0</v>
      </c>
      <c r="T62" s="64" t="n">
        <f aca="false">U62</f>
        <v>0</v>
      </c>
      <c r="U62" s="64" t="n">
        <f aca="false">IF(P62="CAD",S62,S62*K62)</f>
        <v>0</v>
      </c>
      <c r="V62" s="65" t="e">
        <f aca="false">Table34[[#This Row],[Prix ship /unit]]/Table34[[#This Row],[Prix MP /unit]]</f>
        <v>#DIV/0!</v>
      </c>
      <c r="W62" s="60" t="n">
        <f aca="false">Table34[[#This Row],[Prix ship /unit]]/1.55</f>
        <v>0</v>
      </c>
    </row>
    <row r="63" customFormat="false" ht="14.25" hidden="false" customHeight="false" outlineLevel="0" collapsed="false">
      <c r="A63" s="1" t="n">
        <v>30057</v>
      </c>
      <c r="D63" s="61" t="n">
        <f aca="false">_xlfn.xlookup(B63,Spec!A:A,Spec!C:C)</f>
        <v>0</v>
      </c>
      <c r="E63" s="69" t="n">
        <f aca="false">_xlfn.xlookup(B63,Spec!A:A,Spec!D:D)</f>
        <v>0</v>
      </c>
      <c r="F63" s="61" t="n">
        <f aca="false">_xlfn.xlookup(B63,Spec!A:A,Spec!B:B)</f>
        <v>0</v>
      </c>
      <c r="G63" s="61" t="n">
        <f aca="false">_xlfn.xlookup(B63,Spec!A:A,Spec!J:J)</f>
        <v>0</v>
      </c>
      <c r="H63" s="61" t="n">
        <f aca="false">_xlfn.xlookup(B63,Spec!A:A,Spec!E:E)</f>
        <v>0</v>
      </c>
      <c r="J63" s="59"/>
      <c r="N63" s="60" t="n">
        <f aca="false">L63+M63</f>
        <v>0</v>
      </c>
      <c r="O63" s="61"/>
      <c r="P63" s="61"/>
      <c r="Q63" s="61" t="n">
        <f aca="false">_xlfn.xlookup(B63,Spec!A:A,Spec!K:K,FALSE())</f>
        <v>0</v>
      </c>
      <c r="R63" s="62" t="n">
        <f aca="false">_xlfn.xlookup(B63,Spec!A:A,Spec!L:L,FALSE())</f>
        <v>0</v>
      </c>
      <c r="S63" s="63" t="n">
        <f aca="false">IF(O63="SQM",N63/1.55,N63)</f>
        <v>0</v>
      </c>
      <c r="T63" s="64" t="n">
        <f aca="false">U63</f>
        <v>0</v>
      </c>
      <c r="U63" s="64" t="n">
        <f aca="false">IF(P63="CAD",S63,S63*K63)</f>
        <v>0</v>
      </c>
      <c r="V63" s="65" t="e">
        <f aca="false">Table34[[#This Row],[Prix ship /unit]]/Table34[[#This Row],[Prix MP /unit]]</f>
        <v>#DIV/0!</v>
      </c>
      <c r="W63" s="60" t="n">
        <f aca="false">Table34[[#This Row],[Prix ship /unit]]/1.55</f>
        <v>0</v>
      </c>
    </row>
    <row r="64" customFormat="false" ht="14.25" hidden="false" customHeight="false" outlineLevel="0" collapsed="false">
      <c r="A64" s="1" t="n">
        <v>30058</v>
      </c>
      <c r="D64" s="61" t="n">
        <f aca="false">_xlfn.xlookup(B64,Spec!A:A,Spec!C:C)</f>
        <v>0</v>
      </c>
      <c r="E64" s="69" t="n">
        <f aca="false">_xlfn.xlookup(B64,Spec!A:A,Spec!D:D)</f>
        <v>0</v>
      </c>
      <c r="F64" s="61" t="n">
        <f aca="false">_xlfn.xlookup(B64,Spec!A:A,Spec!B:B)</f>
        <v>0</v>
      </c>
      <c r="G64" s="61" t="n">
        <f aca="false">_xlfn.xlookup(B64,Spec!A:A,Spec!J:J)</f>
        <v>0</v>
      </c>
      <c r="H64" s="61" t="n">
        <f aca="false">_xlfn.xlookup(B64,Spec!A:A,Spec!E:E)</f>
        <v>0</v>
      </c>
      <c r="J64" s="59"/>
      <c r="N64" s="60" t="n">
        <f aca="false">L64+M64</f>
        <v>0</v>
      </c>
      <c r="O64" s="61"/>
      <c r="P64" s="61"/>
      <c r="Q64" s="61" t="n">
        <f aca="false">_xlfn.xlookup(B64,Spec!A:A,Spec!K:K,FALSE())</f>
        <v>0</v>
      </c>
      <c r="R64" s="62" t="n">
        <f aca="false">_xlfn.xlookup(B64,Spec!A:A,Spec!L:L,FALSE())</f>
        <v>0</v>
      </c>
      <c r="S64" s="63" t="n">
        <f aca="false">IF(O64="SQM",N64/1.55,N64)</f>
        <v>0</v>
      </c>
      <c r="T64" s="64" t="n">
        <f aca="false">U64</f>
        <v>0</v>
      </c>
      <c r="U64" s="64" t="n">
        <f aca="false">IF(P64="CAD",S64,S64*K64)</f>
        <v>0</v>
      </c>
      <c r="V64" s="65" t="e">
        <f aca="false">Table34[[#This Row],[Prix ship /unit]]/Table34[[#This Row],[Prix MP /unit]]</f>
        <v>#DIV/0!</v>
      </c>
      <c r="W64" s="60" t="n">
        <f aca="false">Table34[[#This Row],[Prix ship /unit]]/1.55</f>
        <v>0</v>
      </c>
    </row>
    <row r="65" customFormat="false" ht="14.25" hidden="false" customHeight="false" outlineLevel="0" collapsed="false">
      <c r="A65" s="1" t="n">
        <v>30059</v>
      </c>
      <c r="D65" s="61" t="n">
        <f aca="false">_xlfn.xlookup(B65,Spec!A:A,Spec!C:C)</f>
        <v>0</v>
      </c>
      <c r="E65" s="69" t="n">
        <f aca="false">_xlfn.xlookup(B65,Spec!A:A,Spec!D:D)</f>
        <v>0</v>
      </c>
      <c r="F65" s="61" t="n">
        <f aca="false">_xlfn.xlookup(B65,Spec!A:A,Spec!B:B)</f>
        <v>0</v>
      </c>
      <c r="G65" s="61" t="n">
        <f aca="false">_xlfn.xlookup(B65,Spec!A:A,Spec!J:J)</f>
        <v>0</v>
      </c>
      <c r="H65" s="61" t="n">
        <f aca="false">_xlfn.xlookup(B65,Spec!A:A,Spec!E:E)</f>
        <v>0</v>
      </c>
      <c r="J65" s="59"/>
      <c r="N65" s="60" t="n">
        <f aca="false">L65+M65</f>
        <v>0</v>
      </c>
      <c r="O65" s="61"/>
      <c r="P65" s="61"/>
      <c r="Q65" s="61" t="n">
        <f aca="false">_xlfn.xlookup(B65,Spec!A:A,Spec!K:K,FALSE())</f>
        <v>0</v>
      </c>
      <c r="R65" s="62" t="n">
        <f aca="false">_xlfn.xlookup(B65,Spec!A:A,Spec!L:L,FALSE())</f>
        <v>0</v>
      </c>
      <c r="S65" s="63" t="n">
        <f aca="false">IF(O65="SQM",N65/1.55,N65)</f>
        <v>0</v>
      </c>
      <c r="T65" s="64" t="n">
        <f aca="false">U65</f>
        <v>0</v>
      </c>
      <c r="U65" s="64" t="n">
        <f aca="false">IF(P65="CAD",S65,S65*K65)</f>
        <v>0</v>
      </c>
      <c r="V65" s="65" t="e">
        <f aca="false">Table34[[#This Row],[Prix ship /unit]]/Table34[[#This Row],[Prix MP /unit]]</f>
        <v>#DIV/0!</v>
      </c>
      <c r="W65" s="60" t="n">
        <f aca="false">Table34[[#This Row],[Prix ship /unit]]/1.55</f>
        <v>0</v>
      </c>
    </row>
    <row r="66" customFormat="false" ht="14.25" hidden="false" customHeight="false" outlineLevel="0" collapsed="false">
      <c r="A66" s="1" t="n">
        <v>30060</v>
      </c>
      <c r="D66" s="61" t="n">
        <f aca="false">_xlfn.xlookup(B66,Spec!A:A,Spec!C:C)</f>
        <v>0</v>
      </c>
      <c r="E66" s="69" t="n">
        <f aca="false">_xlfn.xlookup(B66,Spec!A:A,Spec!D:D)</f>
        <v>0</v>
      </c>
      <c r="F66" s="61" t="n">
        <f aca="false">_xlfn.xlookup(B66,Spec!A:A,Spec!B:B)</f>
        <v>0</v>
      </c>
      <c r="G66" s="61" t="n">
        <f aca="false">_xlfn.xlookup(B66,Spec!A:A,Spec!J:J)</f>
        <v>0</v>
      </c>
      <c r="H66" s="61" t="n">
        <f aca="false">_xlfn.xlookup(B66,Spec!A:A,Spec!E:E)</f>
        <v>0</v>
      </c>
      <c r="J66" s="59"/>
      <c r="N66" s="60" t="n">
        <f aca="false">L66+M66</f>
        <v>0</v>
      </c>
      <c r="O66" s="61"/>
      <c r="P66" s="61"/>
      <c r="Q66" s="61" t="n">
        <f aca="false">_xlfn.xlookup(B66,Spec!A:A,Spec!K:K,FALSE())</f>
        <v>0</v>
      </c>
      <c r="R66" s="62" t="n">
        <f aca="false">_xlfn.xlookup(B66,Spec!A:A,Spec!L:L,FALSE())</f>
        <v>0</v>
      </c>
      <c r="S66" s="63" t="n">
        <f aca="false">IF(O66="SQM",N66/1.55,N66)</f>
        <v>0</v>
      </c>
      <c r="T66" s="64" t="n">
        <f aca="false">U66</f>
        <v>0</v>
      </c>
      <c r="U66" s="64" t="n">
        <f aca="false">IF(P66="CAD",S66,S66*K66)</f>
        <v>0</v>
      </c>
      <c r="V66" s="65" t="e">
        <f aca="false">Table34[[#This Row],[Prix ship /unit]]/Table34[[#This Row],[Prix MP /unit]]</f>
        <v>#DIV/0!</v>
      </c>
      <c r="W66" s="60" t="n">
        <f aca="false">Table34[[#This Row],[Prix ship /unit]]/1.55</f>
        <v>0</v>
      </c>
    </row>
    <row r="67" customFormat="false" ht="14.25" hidden="false" customHeight="false" outlineLevel="0" collapsed="false">
      <c r="A67" s="1" t="n">
        <v>30061</v>
      </c>
      <c r="D67" s="61" t="n">
        <f aca="false">_xlfn.xlookup(B67,Spec!A:A,Spec!C:C)</f>
        <v>0</v>
      </c>
      <c r="E67" s="69" t="n">
        <f aca="false">_xlfn.xlookup(B67,Spec!A:A,Spec!D:D)</f>
        <v>0</v>
      </c>
      <c r="F67" s="61" t="n">
        <f aca="false">_xlfn.xlookup(B67,Spec!A:A,Spec!B:B)</f>
        <v>0</v>
      </c>
      <c r="G67" s="61" t="n">
        <f aca="false">_xlfn.xlookup(B67,Spec!A:A,Spec!J:J)</f>
        <v>0</v>
      </c>
      <c r="H67" s="61" t="n">
        <f aca="false">_xlfn.xlookup(B67,Spec!A:A,Spec!E:E)</f>
        <v>0</v>
      </c>
      <c r="J67" s="59"/>
      <c r="N67" s="60" t="n">
        <f aca="false">L67+M67</f>
        <v>0</v>
      </c>
      <c r="O67" s="61"/>
      <c r="P67" s="61"/>
      <c r="Q67" s="61" t="n">
        <f aca="false">_xlfn.xlookup(B67,Spec!A:A,Spec!K:K,FALSE())</f>
        <v>0</v>
      </c>
      <c r="R67" s="62" t="n">
        <f aca="false">_xlfn.xlookup(B67,Spec!A:A,Spec!L:L,FALSE())</f>
        <v>0</v>
      </c>
      <c r="S67" s="63" t="n">
        <f aca="false">IF(O67="SQM",N67/1.55,N67)</f>
        <v>0</v>
      </c>
      <c r="T67" s="64" t="n">
        <f aca="false">U67</f>
        <v>0</v>
      </c>
      <c r="U67" s="64" t="n">
        <f aca="false">IF(P67="CAD",S67,S67*K67)</f>
        <v>0</v>
      </c>
      <c r="V67" s="65" t="e">
        <f aca="false">Table34[[#This Row],[Prix ship /unit]]/Table34[[#This Row],[Prix MP /unit]]</f>
        <v>#DIV/0!</v>
      </c>
      <c r="W67" s="60" t="n">
        <f aca="false">Table34[[#This Row],[Prix ship /unit]]/1.55</f>
        <v>0</v>
      </c>
    </row>
    <row r="68" customFormat="false" ht="14.25" hidden="false" customHeight="false" outlineLevel="0" collapsed="false">
      <c r="A68" s="1" t="n">
        <v>30062</v>
      </c>
      <c r="D68" s="61" t="n">
        <f aca="false">_xlfn.xlookup(B68,Spec!A:A,Spec!C:C)</f>
        <v>0</v>
      </c>
      <c r="E68" s="69" t="n">
        <f aca="false">_xlfn.xlookup(B68,Spec!A:A,Spec!D:D)</f>
        <v>0</v>
      </c>
      <c r="F68" s="61" t="n">
        <f aca="false">_xlfn.xlookup(B68,Spec!A:A,Spec!B:B)</f>
        <v>0</v>
      </c>
      <c r="G68" s="61" t="n">
        <f aca="false">_xlfn.xlookup(B68,Spec!A:A,Spec!J:J)</f>
        <v>0</v>
      </c>
      <c r="H68" s="61" t="n">
        <f aca="false">_xlfn.xlookup(B68,Spec!A:A,Spec!E:E)</f>
        <v>0</v>
      </c>
      <c r="J68" s="59"/>
      <c r="N68" s="60" t="n">
        <f aca="false">L68+M68</f>
        <v>0</v>
      </c>
      <c r="O68" s="61"/>
      <c r="P68" s="61"/>
      <c r="Q68" s="61" t="n">
        <f aca="false">_xlfn.xlookup(B68,Spec!A:A,Spec!K:K,FALSE())</f>
        <v>0</v>
      </c>
      <c r="R68" s="62" t="n">
        <f aca="false">_xlfn.xlookup(B68,Spec!A:A,Spec!L:L,FALSE())</f>
        <v>0</v>
      </c>
      <c r="S68" s="63" t="n">
        <f aca="false">IF(O68="SQM",N68/1.55,N68)</f>
        <v>0</v>
      </c>
      <c r="T68" s="64" t="n">
        <f aca="false">U68</f>
        <v>0</v>
      </c>
      <c r="U68" s="64" t="n">
        <f aca="false">IF(P68="CAD",S68,S68*K68)</f>
        <v>0</v>
      </c>
      <c r="V68" s="65" t="e">
        <f aca="false">Table34[[#This Row],[Prix ship /unit]]/Table34[[#This Row],[Prix MP /unit]]</f>
        <v>#DIV/0!</v>
      </c>
      <c r="W68" s="60" t="n">
        <f aca="false">Table34[[#This Row],[Prix ship /unit]]/1.55</f>
        <v>0</v>
      </c>
    </row>
    <row r="69" customFormat="false" ht="14.25" hidden="false" customHeight="false" outlineLevel="0" collapsed="false">
      <c r="A69" s="1" t="n">
        <v>30063</v>
      </c>
      <c r="D69" s="61" t="n">
        <f aca="false">_xlfn.xlookup(B69,Spec!A:A,Spec!C:C)</f>
        <v>0</v>
      </c>
      <c r="E69" s="69" t="n">
        <f aca="false">_xlfn.xlookup(B69,Spec!A:A,Spec!D:D)</f>
        <v>0</v>
      </c>
      <c r="F69" s="61" t="n">
        <f aca="false">_xlfn.xlookup(B69,Spec!A:A,Spec!B:B)</f>
        <v>0</v>
      </c>
      <c r="G69" s="61" t="n">
        <f aca="false">_xlfn.xlookup(B69,Spec!A:A,Spec!J:J)</f>
        <v>0</v>
      </c>
      <c r="H69" s="61" t="n">
        <f aca="false">_xlfn.xlookup(B69,Spec!A:A,Spec!E:E)</f>
        <v>0</v>
      </c>
      <c r="J69" s="59"/>
      <c r="N69" s="60" t="n">
        <f aca="false">L69+M69</f>
        <v>0</v>
      </c>
      <c r="O69" s="61"/>
      <c r="P69" s="61"/>
      <c r="Q69" s="61" t="n">
        <f aca="false">_xlfn.xlookup(B69,Spec!A:A,Spec!K:K,FALSE())</f>
        <v>0</v>
      </c>
      <c r="R69" s="62" t="n">
        <f aca="false">_xlfn.xlookup(B69,Spec!A:A,Spec!L:L,FALSE())</f>
        <v>0</v>
      </c>
      <c r="S69" s="63" t="n">
        <f aca="false">IF(O69="SQM",N69/1.55,N69)</f>
        <v>0</v>
      </c>
      <c r="T69" s="64" t="n">
        <f aca="false">U69</f>
        <v>0</v>
      </c>
      <c r="U69" s="64" t="n">
        <f aca="false">IF(P69="CAD",S69,S69*K69)</f>
        <v>0</v>
      </c>
      <c r="V69" s="65" t="e">
        <f aca="false">Table34[[#This Row],[Prix ship /unit]]/Table34[[#This Row],[Prix MP /unit]]</f>
        <v>#DIV/0!</v>
      </c>
      <c r="W69" s="60" t="n">
        <f aca="false">Table34[[#This Row],[Prix ship /unit]]/1.55</f>
        <v>0</v>
      </c>
    </row>
    <row r="70" customFormat="false" ht="14.25" hidden="false" customHeight="false" outlineLevel="0" collapsed="false">
      <c r="A70" s="1" t="n">
        <v>30064</v>
      </c>
      <c r="D70" s="61" t="n">
        <f aca="false">_xlfn.xlookup(B70,Spec!A:A,Spec!C:C)</f>
        <v>0</v>
      </c>
      <c r="E70" s="69" t="n">
        <f aca="false">_xlfn.xlookup(B70,Spec!A:A,Spec!D:D)</f>
        <v>0</v>
      </c>
      <c r="F70" s="61" t="n">
        <f aca="false">_xlfn.xlookup(B70,Spec!A:A,Spec!B:B)</f>
        <v>0</v>
      </c>
      <c r="G70" s="61" t="n">
        <f aca="false">_xlfn.xlookup(B70,Spec!A:A,Spec!J:J)</f>
        <v>0</v>
      </c>
      <c r="H70" s="61" t="n">
        <f aca="false">_xlfn.xlookup(B70,Spec!A:A,Spec!E:E)</f>
        <v>0</v>
      </c>
      <c r="J70" s="59"/>
      <c r="N70" s="60" t="n">
        <f aca="false">L70+M70</f>
        <v>0</v>
      </c>
      <c r="O70" s="61"/>
      <c r="P70" s="61"/>
      <c r="Q70" s="61" t="n">
        <f aca="false">_xlfn.xlookup(B70,Spec!A:A,Spec!K:K,FALSE())</f>
        <v>0</v>
      </c>
      <c r="R70" s="62" t="n">
        <f aca="false">_xlfn.xlookup(B70,Spec!A:A,Spec!L:L,FALSE())</f>
        <v>0</v>
      </c>
      <c r="S70" s="63" t="n">
        <f aca="false">IF(O70="SQM",N70/1.55,N70)</f>
        <v>0</v>
      </c>
      <c r="T70" s="64" t="n">
        <f aca="false">U70</f>
        <v>0</v>
      </c>
      <c r="U70" s="64" t="n">
        <f aca="false">IF(P70="CAD",S70,S70*K70)</f>
        <v>0</v>
      </c>
      <c r="V70" s="65" t="e">
        <f aca="false">Table34[[#This Row],[Prix ship /unit]]/Table34[[#This Row],[Prix MP /unit]]</f>
        <v>#DIV/0!</v>
      </c>
      <c r="W70" s="60" t="n">
        <f aca="false">Table34[[#This Row],[Prix ship /unit]]/1.55</f>
        <v>0</v>
      </c>
    </row>
    <row r="71" customFormat="false" ht="14.25" hidden="false" customHeight="false" outlineLevel="0" collapsed="false">
      <c r="A71" s="1" t="n">
        <v>30065</v>
      </c>
      <c r="D71" s="61" t="n">
        <f aca="false">_xlfn.xlookup(B71,Spec!A:A,Spec!C:C)</f>
        <v>0</v>
      </c>
      <c r="E71" s="69" t="n">
        <f aca="false">_xlfn.xlookup(B71,Spec!A:A,Spec!D:D)</f>
        <v>0</v>
      </c>
      <c r="F71" s="61" t="n">
        <f aca="false">_xlfn.xlookup(B71,Spec!A:A,Spec!B:B)</f>
        <v>0</v>
      </c>
      <c r="G71" s="61" t="n">
        <f aca="false">_xlfn.xlookup(B71,Spec!A:A,Spec!J:J)</f>
        <v>0</v>
      </c>
      <c r="H71" s="61" t="n">
        <f aca="false">_xlfn.xlookup(B71,Spec!A:A,Spec!E:E)</f>
        <v>0</v>
      </c>
      <c r="J71" s="59"/>
      <c r="N71" s="60" t="n">
        <f aca="false">L71+M71</f>
        <v>0</v>
      </c>
      <c r="O71" s="61"/>
      <c r="P71" s="61"/>
      <c r="Q71" s="61" t="n">
        <f aca="false">_xlfn.xlookup(B71,Spec!A:A,Spec!K:K,FALSE())</f>
        <v>0</v>
      </c>
      <c r="R71" s="62" t="n">
        <f aca="false">_xlfn.xlookup(B71,Spec!A:A,Spec!L:L,FALSE())</f>
        <v>0</v>
      </c>
      <c r="S71" s="63" t="n">
        <f aca="false">IF(O71="SQM",N71/1.55,N71)</f>
        <v>0</v>
      </c>
      <c r="T71" s="64" t="n">
        <f aca="false">U71</f>
        <v>0</v>
      </c>
      <c r="U71" s="64" t="n">
        <f aca="false">IF(P71="CAD",S71,S71*K71)</f>
        <v>0</v>
      </c>
      <c r="V71" s="65" t="e">
        <f aca="false">Table34[[#This Row],[Prix ship /unit]]/Table34[[#This Row],[Prix MP /unit]]</f>
        <v>#DIV/0!</v>
      </c>
      <c r="W71" s="60" t="n">
        <f aca="false">Table34[[#This Row],[Prix ship /unit]]/1.55</f>
        <v>0</v>
      </c>
    </row>
    <row r="72" customFormat="false" ht="14.25" hidden="false" customHeight="false" outlineLevel="0" collapsed="false">
      <c r="A72" s="1" t="n">
        <v>30066</v>
      </c>
      <c r="D72" s="61" t="n">
        <f aca="false">_xlfn.xlookup(B72,Spec!A:A,Spec!C:C)</f>
        <v>0</v>
      </c>
      <c r="E72" s="69" t="n">
        <f aca="false">_xlfn.xlookup(B72,Spec!A:A,Spec!D:D)</f>
        <v>0</v>
      </c>
      <c r="F72" s="61" t="n">
        <f aca="false">_xlfn.xlookup(B72,Spec!A:A,Spec!B:B)</f>
        <v>0</v>
      </c>
      <c r="G72" s="61" t="n">
        <f aca="false">_xlfn.xlookup(B72,Spec!A:A,Spec!J:J)</f>
        <v>0</v>
      </c>
      <c r="H72" s="61" t="n">
        <f aca="false">_xlfn.xlookup(B72,Spec!A:A,Spec!E:E)</f>
        <v>0</v>
      </c>
      <c r="J72" s="59"/>
      <c r="N72" s="60" t="n">
        <f aca="false">L72+M72</f>
        <v>0</v>
      </c>
      <c r="O72" s="61"/>
      <c r="P72" s="61"/>
      <c r="Q72" s="61" t="n">
        <f aca="false">_xlfn.xlookup(B72,Spec!A:A,Spec!K:K,FALSE())</f>
        <v>0</v>
      </c>
      <c r="R72" s="62" t="n">
        <f aca="false">_xlfn.xlookup(B72,Spec!A:A,Spec!L:L,FALSE())</f>
        <v>0</v>
      </c>
      <c r="S72" s="63" t="n">
        <f aca="false">IF(O72="SQM",N72/1.55,N72)</f>
        <v>0</v>
      </c>
      <c r="T72" s="64" t="n">
        <f aca="false">U72</f>
        <v>0</v>
      </c>
      <c r="U72" s="64" t="n">
        <f aca="false">IF(P72="CAD",S72,S72*K72)</f>
        <v>0</v>
      </c>
      <c r="V72" s="65" t="e">
        <f aca="false">Table34[[#This Row],[Prix ship /unit]]/Table34[[#This Row],[Prix MP /unit]]</f>
        <v>#DIV/0!</v>
      </c>
      <c r="W72" s="60" t="n">
        <f aca="false">Table34[[#This Row],[Prix ship /unit]]/1.55</f>
        <v>0</v>
      </c>
    </row>
    <row r="73" customFormat="false" ht="14.25" hidden="false" customHeight="false" outlineLevel="0" collapsed="false">
      <c r="A73" s="1" t="n">
        <v>30067</v>
      </c>
      <c r="D73" s="61" t="n">
        <f aca="false">_xlfn.xlookup(B73,Spec!A:A,Spec!C:C)</f>
        <v>0</v>
      </c>
      <c r="E73" s="69" t="n">
        <f aca="false">_xlfn.xlookup(B73,Spec!A:A,Spec!D:D)</f>
        <v>0</v>
      </c>
      <c r="F73" s="61" t="n">
        <f aca="false">_xlfn.xlookup(B73,Spec!A:A,Spec!B:B)</f>
        <v>0</v>
      </c>
      <c r="G73" s="61" t="n">
        <f aca="false">_xlfn.xlookup(B73,Spec!A:A,Spec!J:J)</f>
        <v>0</v>
      </c>
      <c r="H73" s="61" t="n">
        <f aca="false">_xlfn.xlookup(B73,Spec!A:A,Spec!E:E)</f>
        <v>0</v>
      </c>
      <c r="J73" s="59"/>
      <c r="N73" s="60" t="n">
        <f aca="false">L73+M73</f>
        <v>0</v>
      </c>
      <c r="O73" s="61"/>
      <c r="P73" s="61"/>
      <c r="Q73" s="61" t="n">
        <f aca="false">_xlfn.xlookup(B73,Spec!A:A,Spec!K:K,FALSE())</f>
        <v>0</v>
      </c>
      <c r="R73" s="62" t="n">
        <f aca="false">_xlfn.xlookup(B73,Spec!A:A,Spec!L:L,FALSE())</f>
        <v>0</v>
      </c>
      <c r="S73" s="63" t="n">
        <f aca="false">IF(O73="SQM",N73/1.55,N73)</f>
        <v>0</v>
      </c>
      <c r="T73" s="64" t="n">
        <f aca="false">U73</f>
        <v>0</v>
      </c>
      <c r="U73" s="64" t="n">
        <f aca="false">IF(P73="CAD",S73,S73*K73)</f>
        <v>0</v>
      </c>
      <c r="V73" s="65" t="e">
        <f aca="false">Table34[[#This Row],[Prix ship /unit]]/Table34[[#This Row],[Prix MP /unit]]</f>
        <v>#DIV/0!</v>
      </c>
      <c r="W73" s="60" t="n">
        <f aca="false">Table34[[#This Row],[Prix ship /unit]]/1.55</f>
        <v>0</v>
      </c>
    </row>
    <row r="74" customFormat="false" ht="14.25" hidden="false" customHeight="false" outlineLevel="0" collapsed="false">
      <c r="A74" s="1" t="n">
        <v>30068</v>
      </c>
      <c r="D74" s="61" t="n">
        <f aca="false">_xlfn.xlookup(B74,Spec!A:A,Spec!C:C)</f>
        <v>0</v>
      </c>
      <c r="E74" s="69" t="n">
        <f aca="false">_xlfn.xlookup(B74,Spec!A:A,Spec!D:D)</f>
        <v>0</v>
      </c>
      <c r="F74" s="61" t="n">
        <f aca="false">_xlfn.xlookup(B74,Spec!A:A,Spec!B:B)</f>
        <v>0</v>
      </c>
      <c r="G74" s="61" t="n">
        <f aca="false">_xlfn.xlookup(B74,Spec!A:A,Spec!J:J)</f>
        <v>0</v>
      </c>
      <c r="H74" s="61" t="n">
        <f aca="false">_xlfn.xlookup(B74,Spec!A:A,Spec!E:E)</f>
        <v>0</v>
      </c>
      <c r="J74" s="59"/>
      <c r="N74" s="60" t="n">
        <f aca="false">L74+M74</f>
        <v>0</v>
      </c>
      <c r="O74" s="61"/>
      <c r="P74" s="61"/>
      <c r="Q74" s="61" t="n">
        <f aca="false">_xlfn.xlookup(B74,Spec!A:A,Spec!K:K,FALSE())</f>
        <v>0</v>
      </c>
      <c r="R74" s="62" t="n">
        <f aca="false">_xlfn.xlookup(B74,Spec!A:A,Spec!L:L,FALSE())</f>
        <v>0</v>
      </c>
      <c r="S74" s="63" t="n">
        <f aca="false">IF(O74="SQM",N74/1.55,N74)</f>
        <v>0</v>
      </c>
      <c r="T74" s="64" t="n">
        <f aca="false">U74</f>
        <v>0</v>
      </c>
      <c r="U74" s="64" t="n">
        <f aca="false">IF(P74="CAD",S74,S74*K74)</f>
        <v>0</v>
      </c>
      <c r="V74" s="65" t="e">
        <f aca="false">Table34[[#This Row],[Prix ship /unit]]/Table34[[#This Row],[Prix MP /unit]]</f>
        <v>#DIV/0!</v>
      </c>
      <c r="W74" s="60" t="n">
        <f aca="false">Table34[[#This Row],[Prix ship /unit]]/1.55</f>
        <v>0</v>
      </c>
    </row>
    <row r="77" customFormat="false" ht="14.25" hidden="false" customHeight="false" outlineLevel="0" collapsed="false">
      <c r="L77" s="71"/>
      <c r="M77" s="71"/>
      <c r="N77" s="71"/>
    </row>
    <row r="78" customFormat="false" ht="14.25" hidden="false" customHeight="false" outlineLevel="0" collapsed="false">
      <c r="L78" s="71"/>
      <c r="M78" s="71"/>
      <c r="N78" s="7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  <tableParts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D244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8" ySplit="2" topLeftCell="Q48" activePane="bottomRight" state="frozen"/>
      <selection pane="topLeft" activeCell="A1" activeCellId="0" sqref="A1"/>
      <selection pane="topRight" activeCell="Q1" activeCellId="0" sqref="Q1"/>
      <selection pane="bottomLeft" activeCell="A48" activeCellId="0" sqref="A48"/>
      <selection pane="bottomRight" activeCell="C56" activeCellId="0" sqref="C56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9.69"/>
    <col collapsed="false" customWidth="true" hidden="false" outlineLevel="0" max="2" min="2" style="1" width="9.3"/>
    <col collapsed="false" customWidth="true" hidden="false" outlineLevel="0" max="3" min="3" style="1" width="10.84"/>
    <col collapsed="false" customWidth="true" hidden="false" outlineLevel="0" max="4" min="4" style="42" width="14"/>
    <col collapsed="false" customWidth="true" hidden="false" outlineLevel="0" max="5" min="5" style="1" width="41"/>
    <col collapsed="false" customWidth="true" hidden="false" outlineLevel="0" max="6" min="6" style="1" width="8.84"/>
    <col collapsed="false" customWidth="true" hidden="false" outlineLevel="0" max="8" min="7" style="1" width="11.69"/>
    <col collapsed="false" customWidth="true" hidden="false" outlineLevel="0" max="9" min="9" style="1" width="10.84"/>
    <col collapsed="false" customWidth="true" hidden="false" outlineLevel="0" max="10" min="10" style="1" width="42.84"/>
    <col collapsed="false" customWidth="true" hidden="false" outlineLevel="0" max="11" min="11" style="1" width="18.53"/>
    <col collapsed="false" customWidth="true" hidden="false" outlineLevel="0" max="12" min="12" style="43" width="22"/>
    <col collapsed="false" customWidth="true" hidden="false" outlineLevel="0" max="13" min="13" style="43" width="14.3"/>
    <col collapsed="false" customWidth="true" hidden="false" outlineLevel="0" max="14" min="14" style="72" width="11.3"/>
    <col collapsed="false" customWidth="true" hidden="false" outlineLevel="0" max="15" min="15" style="72" width="7"/>
    <col collapsed="false" customWidth="true" hidden="false" outlineLevel="0" max="16" min="16" style="73" width="11.15"/>
    <col collapsed="false" customWidth="true" hidden="false" outlineLevel="0" max="17" min="17" style="43" width="11.69"/>
    <col collapsed="false" customWidth="true" hidden="false" outlineLevel="0" max="18" min="18" style="74" width="9.3"/>
    <col collapsed="false" customWidth="true" hidden="false" outlineLevel="0" max="19" min="19" style="1" width="6.84"/>
    <col collapsed="false" customWidth="true" hidden="false" outlineLevel="0" max="20" min="20" style="75" width="11.84"/>
    <col collapsed="false" customWidth="true" hidden="false" outlineLevel="0" max="21" min="21" style="1" width="6.84"/>
    <col collapsed="false" customWidth="true" hidden="false" outlineLevel="0" max="22" min="22" style="1" width="9.3"/>
    <col collapsed="false" customWidth="true" hidden="false" outlineLevel="0" max="23" min="23" style="1" width="7.53"/>
    <col collapsed="false" customWidth="true" hidden="false" outlineLevel="0" max="24" min="24" style="1" width="11.3"/>
    <col collapsed="false" customWidth="true" hidden="false" outlineLevel="0" max="26" min="25" style="1" width="8"/>
    <col collapsed="false" customWidth="true" hidden="false" outlineLevel="0" max="27" min="27" style="1" width="13.38"/>
    <col collapsed="false" customWidth="true" hidden="false" outlineLevel="0" max="28" min="28" style="44" width="13.38"/>
  </cols>
  <sheetData>
    <row r="2" s="1" customFormat="true" ht="62.25" hidden="false" customHeight="true" outlineLevel="0" collapsed="false">
      <c r="A2" s="49" t="s">
        <v>527</v>
      </c>
      <c r="B2" s="49" t="s">
        <v>304</v>
      </c>
      <c r="C2" s="50" t="s">
        <v>468</v>
      </c>
      <c r="D2" s="50" t="s">
        <v>469</v>
      </c>
      <c r="E2" s="49" t="s">
        <v>528</v>
      </c>
      <c r="F2" s="49" t="s">
        <v>529</v>
      </c>
      <c r="G2" s="76" t="s">
        <v>530</v>
      </c>
      <c r="H2" s="49" t="s">
        <v>531</v>
      </c>
      <c r="I2" s="50" t="s">
        <v>470</v>
      </c>
      <c r="J2" s="50" t="s">
        <v>471</v>
      </c>
      <c r="K2" s="50" t="s">
        <v>472</v>
      </c>
      <c r="L2" s="51" t="s">
        <v>473</v>
      </c>
      <c r="M2" s="49" t="s">
        <v>532</v>
      </c>
      <c r="N2" s="77" t="s">
        <v>533</v>
      </c>
      <c r="O2" s="77" t="s">
        <v>534</v>
      </c>
      <c r="P2" s="77" t="s">
        <v>535</v>
      </c>
      <c r="Q2" s="78" t="s">
        <v>536</v>
      </c>
      <c r="R2" s="79" t="s">
        <v>537</v>
      </c>
      <c r="S2" s="80" t="s">
        <v>538</v>
      </c>
      <c r="T2" s="81" t="s">
        <v>539</v>
      </c>
      <c r="U2" s="80" t="s">
        <v>540</v>
      </c>
      <c r="V2" s="50" t="s">
        <v>541</v>
      </c>
      <c r="W2" s="49" t="s">
        <v>475</v>
      </c>
      <c r="X2" s="50" t="s">
        <v>542</v>
      </c>
      <c r="Y2" s="50" t="s">
        <v>543</v>
      </c>
      <c r="Z2" s="50" t="s">
        <v>544</v>
      </c>
      <c r="AA2" s="50" t="s">
        <v>481</v>
      </c>
      <c r="AB2" s="50" t="s">
        <v>482</v>
      </c>
      <c r="AD2" s="82" t="s">
        <v>545</v>
      </c>
    </row>
    <row r="3" customFormat="false" ht="16.4" hidden="false" customHeight="false" outlineLevel="0" collapsed="false">
      <c r="A3" s="1" t="n">
        <v>40010</v>
      </c>
      <c r="B3" s="1" t="n">
        <v>20000</v>
      </c>
      <c r="C3" s="61" t="s">
        <v>92</v>
      </c>
      <c r="D3" s="69"/>
      <c r="E3" s="15" t="s">
        <v>31</v>
      </c>
      <c r="F3" s="15" t="str">
        <f aca="false">_xlfn.xlookup(E3,Clients!B:B,Clients!D:D,FALSE())</f>
        <v>A</v>
      </c>
      <c r="G3" s="42"/>
      <c r="H3" s="15" t="s">
        <v>546</v>
      </c>
      <c r="I3" s="61" t="s">
        <v>488</v>
      </c>
      <c r="J3" s="61" t="s">
        <v>489</v>
      </c>
      <c r="K3" s="61" t="s">
        <v>320</v>
      </c>
      <c r="L3" s="43" t="s">
        <v>547</v>
      </c>
      <c r="N3" s="43" t="n">
        <v>0.0001</v>
      </c>
      <c r="O3" s="72" t="s">
        <v>524</v>
      </c>
      <c r="P3" s="72"/>
      <c r="Q3" s="73"/>
      <c r="R3" s="83" t="n">
        <f aca="false">P3*12*Q3/1000</f>
        <v>0</v>
      </c>
      <c r="S3" s="61" t="str">
        <f aca="false">_xlfn.xlookup(E3,Clients!B:B,Clients!D:D,FALSE())</f>
        <v>A</v>
      </c>
      <c r="T3" s="84"/>
      <c r="U3" s="61" t="str">
        <f aca="false">IF(OR(O3="msi",O3="sqm"),"roll",O3)</f>
        <v>roll</v>
      </c>
      <c r="V3" s="61" t="s">
        <v>65</v>
      </c>
      <c r="W3" s="1" t="n">
        <v>1.3</v>
      </c>
      <c r="X3" s="85" t="n">
        <f aca="false">IF(V3=Z3,N3,N3*W3)</f>
        <v>0.0001</v>
      </c>
      <c r="Y3" s="61" t="str">
        <f aca="false">O3</f>
        <v>roll</v>
      </c>
      <c r="Z3" s="61" t="s">
        <v>65</v>
      </c>
      <c r="AA3" s="61" t="s">
        <v>57</v>
      </c>
      <c r="AB3" s="61" t="s">
        <v>548</v>
      </c>
    </row>
    <row r="4" customFormat="false" ht="16.4" hidden="false" customHeight="false" outlineLevel="0" collapsed="false">
      <c r="A4" s="1" t="n">
        <v>40011</v>
      </c>
      <c r="B4" s="1" t="n">
        <v>20005</v>
      </c>
      <c r="C4" s="61" t="s">
        <v>92</v>
      </c>
      <c r="D4" s="69"/>
      <c r="E4" s="15" t="s">
        <v>51</v>
      </c>
      <c r="F4" s="15" t="str">
        <f aca="false">_xlfn.xlookup(E4,Clients!B:B,Clients!D:D,FALSE())</f>
        <v>F</v>
      </c>
      <c r="G4" s="42"/>
      <c r="H4" s="15" t="s">
        <v>549</v>
      </c>
      <c r="I4" s="61" t="s">
        <v>339</v>
      </c>
      <c r="J4" s="61" t="s">
        <v>496</v>
      </c>
      <c r="K4" s="61" t="s">
        <v>550</v>
      </c>
      <c r="L4" s="61" t="str">
        <f aca="false">IF(F4="F","Larg: "&amp;P4&amp;"po   Long: "&amp;Q4&amp;"pi","W: "&amp;P4&amp;"in   L: "&amp;Q4&amp;"ft")</f>
        <v>Larg: 13po   Long: 1000pi</v>
      </c>
      <c r="N4" s="43" t="n">
        <v>0.0001</v>
      </c>
      <c r="O4" s="72" t="s">
        <v>551</v>
      </c>
      <c r="P4" s="72" t="n">
        <v>13</v>
      </c>
      <c r="Q4" s="73" t="n">
        <v>1000</v>
      </c>
      <c r="R4" s="83" t="n">
        <f aca="false">P4*12*Q4/1000</f>
        <v>156</v>
      </c>
      <c r="S4" s="61" t="str">
        <f aca="false">_xlfn.xlookup(E4,Clients!B:B,Clients!D:D,FALSE())</f>
        <v>F</v>
      </c>
      <c r="T4" s="84"/>
      <c r="U4" s="61" t="str">
        <f aca="false">IF(OR(O4="msi",O4="sqm"),"roll",O4)</f>
        <v>roul.</v>
      </c>
      <c r="V4" s="61" t="s">
        <v>65</v>
      </c>
      <c r="W4" s="1" t="n">
        <v>1.3</v>
      </c>
      <c r="X4" s="85" t="n">
        <f aca="false">IF(V4=Z4,N4,N4*W4)</f>
        <v>0.0001</v>
      </c>
      <c r="Y4" s="61" t="str">
        <f aca="false">O4</f>
        <v>roul.</v>
      </c>
      <c r="Z4" s="61" t="s">
        <v>65</v>
      </c>
      <c r="AA4" s="61" t="s">
        <v>57</v>
      </c>
      <c r="AB4" s="61" t="s">
        <v>548</v>
      </c>
    </row>
    <row r="5" customFormat="false" ht="14.25" hidden="false" customHeight="false" outlineLevel="0" collapsed="false">
      <c r="A5" s="1" t="n">
        <v>40020</v>
      </c>
      <c r="B5" s="1" t="n">
        <v>20010</v>
      </c>
      <c r="C5" s="61" t="s">
        <v>552</v>
      </c>
      <c r="D5" s="69"/>
      <c r="E5" s="15" t="s">
        <v>31</v>
      </c>
      <c r="F5" s="15" t="str">
        <f aca="false">_xlfn.xlookup(E5,Clients!B:B,Clients!D:D,FALSE())</f>
        <v>A</v>
      </c>
      <c r="G5" s="42"/>
      <c r="H5" s="15" t="s">
        <v>358</v>
      </c>
      <c r="I5" s="61" t="s">
        <v>358</v>
      </c>
      <c r="J5" s="61" t="s">
        <v>501</v>
      </c>
      <c r="K5" s="61" t="s">
        <v>320</v>
      </c>
      <c r="L5" s="43" t="s">
        <v>553</v>
      </c>
      <c r="N5" s="43" t="n">
        <v>0.31</v>
      </c>
      <c r="O5" s="72" t="s">
        <v>554</v>
      </c>
      <c r="P5" s="72"/>
      <c r="Q5" s="73"/>
      <c r="R5" s="83" t="n">
        <f aca="false">P5*12*Q5/1000</f>
        <v>0</v>
      </c>
      <c r="S5" s="61" t="str">
        <f aca="false">_xlfn.xlookup(E5,Clients!B:B,Clients!D:D,FALSE())</f>
        <v>A</v>
      </c>
      <c r="T5" s="84"/>
      <c r="U5" s="61" t="str">
        <f aca="false">IF(OR(O5="msi",O5="sqm"),"roll",O5)</f>
        <v>roll</v>
      </c>
      <c r="V5" s="61" t="s">
        <v>50</v>
      </c>
      <c r="X5" s="85" t="n">
        <f aca="false">IF(V5=Z5,N5,N5*W5)</f>
        <v>0.31</v>
      </c>
      <c r="Y5" s="61" t="str">
        <f aca="false">O5</f>
        <v>msi</v>
      </c>
      <c r="Z5" s="61" t="s">
        <v>50</v>
      </c>
      <c r="AA5" s="61" t="s">
        <v>57</v>
      </c>
      <c r="AB5" s="61" t="s">
        <v>548</v>
      </c>
    </row>
    <row r="6" customFormat="false" ht="14.25" hidden="false" customHeight="false" outlineLevel="0" collapsed="false">
      <c r="A6" s="1" t="n">
        <v>40021</v>
      </c>
      <c r="B6" s="1" t="n">
        <v>20011</v>
      </c>
      <c r="C6" s="61" t="s">
        <v>92</v>
      </c>
      <c r="D6" s="69"/>
      <c r="E6" s="15" t="s">
        <v>66</v>
      </c>
      <c r="F6" s="15" t="str">
        <f aca="false">_xlfn.xlookup(E6,Clients!B:B,Clients!D:D,FALSE())</f>
        <v>A</v>
      </c>
      <c r="G6" s="42"/>
      <c r="I6" s="61" t="s">
        <v>555</v>
      </c>
      <c r="J6" s="61" t="s">
        <v>503</v>
      </c>
      <c r="K6" s="61" t="s">
        <v>320</v>
      </c>
      <c r="L6" s="43" t="s">
        <v>556</v>
      </c>
      <c r="N6" s="43" t="n">
        <v>510.84</v>
      </c>
      <c r="O6" s="72" t="s">
        <v>524</v>
      </c>
      <c r="P6" s="72"/>
      <c r="Q6" s="73"/>
      <c r="R6" s="83" t="n">
        <f aca="false">P6*12*Q6/1000</f>
        <v>0</v>
      </c>
      <c r="S6" s="61" t="str">
        <f aca="false">_xlfn.xlookup(E6,Clients!B:B,Clients!D:D,FALSE())</f>
        <v>A</v>
      </c>
      <c r="T6" s="84"/>
      <c r="U6" s="61" t="str">
        <f aca="false">IF(OR(O6="msi",O6="sqm"),"roll",O6)</f>
        <v>roll</v>
      </c>
      <c r="V6" s="61" t="s">
        <v>50</v>
      </c>
      <c r="X6" s="85" t="n">
        <f aca="false">IF(V6=Z6,N6,N6*W6)</f>
        <v>510.84</v>
      </c>
      <c r="Y6" s="61" t="str">
        <f aca="false">O6</f>
        <v>roll</v>
      </c>
      <c r="Z6" s="61" t="s">
        <v>50</v>
      </c>
      <c r="AA6" s="61" t="s">
        <v>57</v>
      </c>
      <c r="AB6" s="61" t="s">
        <v>548</v>
      </c>
    </row>
    <row r="7" customFormat="false" ht="14.25" hidden="false" customHeight="false" outlineLevel="0" collapsed="false">
      <c r="A7" s="1" t="n">
        <v>40022</v>
      </c>
      <c r="B7" s="1" t="n">
        <v>20005</v>
      </c>
      <c r="C7" s="61" t="s">
        <v>92</v>
      </c>
      <c r="D7" s="69"/>
      <c r="E7" s="15" t="s">
        <v>66</v>
      </c>
      <c r="F7" s="15" t="str">
        <f aca="false">_xlfn.xlookup(E7,Clients!B:B,Clients!D:D,FALSE())</f>
        <v>A</v>
      </c>
      <c r="G7" s="42"/>
      <c r="I7" s="61" t="s">
        <v>339</v>
      </c>
      <c r="J7" s="61" t="s">
        <v>496</v>
      </c>
      <c r="K7" s="61" t="s">
        <v>320</v>
      </c>
      <c r="L7" s="43" t="s">
        <v>557</v>
      </c>
      <c r="N7" s="43" t="n">
        <v>511.0722</v>
      </c>
      <c r="O7" s="72" t="s">
        <v>524</v>
      </c>
      <c r="P7" s="72"/>
      <c r="Q7" s="73"/>
      <c r="R7" s="83" t="n">
        <f aca="false">P7*12*Q7/1000</f>
        <v>0</v>
      </c>
      <c r="S7" s="61" t="str">
        <f aca="false">_xlfn.xlookup(E7,Clients!B:B,Clients!D:D,FALSE())</f>
        <v>A</v>
      </c>
      <c r="T7" s="84"/>
      <c r="U7" s="61" t="str">
        <f aca="false">IF(OR(O7="msi",O7="sqm"),"roll",O7)</f>
        <v>roll</v>
      </c>
      <c r="V7" s="61" t="s">
        <v>50</v>
      </c>
      <c r="X7" s="85" t="n">
        <f aca="false">IF(V7=Z7,N7,N7*W7)</f>
        <v>511.0722</v>
      </c>
      <c r="Y7" s="61" t="str">
        <f aca="false">O7</f>
        <v>roll</v>
      </c>
      <c r="Z7" s="61" t="s">
        <v>50</v>
      </c>
      <c r="AA7" s="61" t="s">
        <v>57</v>
      </c>
      <c r="AB7" s="61" t="s">
        <v>548</v>
      </c>
    </row>
    <row r="8" customFormat="false" ht="14.25" hidden="false" customHeight="false" outlineLevel="0" collapsed="false">
      <c r="A8" s="1" t="n">
        <v>40023</v>
      </c>
      <c r="B8" s="1" t="n">
        <v>20005</v>
      </c>
      <c r="C8" s="61" t="s">
        <v>92</v>
      </c>
      <c r="D8" s="69"/>
      <c r="E8" s="15" t="s">
        <v>66</v>
      </c>
      <c r="F8" s="15" t="str">
        <f aca="false">_xlfn.xlookup(E8,Clients!B:B,Clients!D:D,FALSE())</f>
        <v>A</v>
      </c>
      <c r="G8" s="42"/>
      <c r="I8" s="61" t="s">
        <v>339</v>
      </c>
      <c r="J8" s="61" t="s">
        <v>496</v>
      </c>
      <c r="K8" s="61" t="s">
        <v>320</v>
      </c>
      <c r="L8" s="43" t="s">
        <v>558</v>
      </c>
      <c r="N8" s="43" t="n">
        <v>302.3244</v>
      </c>
      <c r="O8" s="72" t="s">
        <v>524</v>
      </c>
      <c r="P8" s="72"/>
      <c r="Q8" s="73"/>
      <c r="R8" s="83" t="n">
        <f aca="false">P8*12*Q8/1000</f>
        <v>0</v>
      </c>
      <c r="S8" s="61" t="str">
        <f aca="false">_xlfn.xlookup(E8,Clients!B:B,Clients!D:D,FALSE())</f>
        <v>A</v>
      </c>
      <c r="T8" s="84"/>
      <c r="U8" s="61" t="str">
        <f aca="false">IF(OR(O8="msi",O8="sqm"),"roll",O8)</f>
        <v>roll</v>
      </c>
      <c r="V8" s="61" t="s">
        <v>50</v>
      </c>
      <c r="X8" s="85" t="n">
        <f aca="false">IF(V8=Z8,N8,N8*W8)</f>
        <v>302.3244</v>
      </c>
      <c r="Y8" s="61" t="str">
        <f aca="false">O8</f>
        <v>roll</v>
      </c>
      <c r="Z8" s="61" t="s">
        <v>50</v>
      </c>
      <c r="AA8" s="61" t="s">
        <v>57</v>
      </c>
      <c r="AB8" s="61" t="s">
        <v>548</v>
      </c>
    </row>
    <row r="9" customFormat="false" ht="14.25" hidden="false" customHeight="false" outlineLevel="0" collapsed="false">
      <c r="A9" s="1" t="n">
        <v>40024</v>
      </c>
      <c r="B9" s="1" t="n">
        <v>20011</v>
      </c>
      <c r="C9" s="61" t="s">
        <v>92</v>
      </c>
      <c r="D9" s="69" t="str">
        <f aca="false">_xlfn.xlookup(B9,Table2[Spec no],Table2[Supplier Spec],FALSE())</f>
        <v>AP1019</v>
      </c>
      <c r="E9" s="15" t="s">
        <v>66</v>
      </c>
      <c r="F9" s="15" t="str">
        <f aca="false">_xlfn.xlookup(E9,Clients!B:B,Clients!D:D,FALSE())</f>
        <v>A</v>
      </c>
      <c r="G9" s="42" t="n">
        <v>817</v>
      </c>
      <c r="H9" s="15" t="s">
        <v>364</v>
      </c>
      <c r="I9" s="61" t="s">
        <v>364</v>
      </c>
      <c r="J9" s="61" t="s">
        <v>503</v>
      </c>
      <c r="K9" s="61" t="s">
        <v>320</v>
      </c>
      <c r="L9" s="43" t="s">
        <v>557</v>
      </c>
      <c r="N9" s="43" t="n">
        <v>0.258</v>
      </c>
      <c r="O9" s="72" t="s">
        <v>554</v>
      </c>
      <c r="P9" s="72" t="n">
        <v>16.75</v>
      </c>
      <c r="Q9" s="73" t="n">
        <v>9842.5</v>
      </c>
      <c r="R9" s="83" t="n">
        <f aca="false">P9*12*Q9/1000</f>
        <v>1978.3425</v>
      </c>
      <c r="S9" s="61" t="str">
        <f aca="false">_xlfn.xlookup(E9,Clients!B:B,Clients!D:D,FALSE())</f>
        <v>A</v>
      </c>
      <c r="T9" s="84" t="n">
        <f aca="false">16.75*12*10*0.258</f>
        <v>518.58</v>
      </c>
      <c r="U9" s="61" t="str">
        <f aca="false">IF(OR(O9="msi",O9="sqm"),"roll",O9)</f>
        <v>roll</v>
      </c>
      <c r="V9" s="61" t="s">
        <v>50</v>
      </c>
      <c r="X9" s="85" t="n">
        <f aca="false">IF(V9=Z9,N9,N9*W9)</f>
        <v>0.258</v>
      </c>
      <c r="Y9" s="61" t="str">
        <f aca="false">O9</f>
        <v>msi</v>
      </c>
      <c r="Z9" s="61" t="s">
        <v>50</v>
      </c>
      <c r="AA9" s="61" t="s">
        <v>57</v>
      </c>
      <c r="AB9" s="61" t="s">
        <v>548</v>
      </c>
    </row>
    <row r="10" customFormat="false" ht="14.25" hidden="false" customHeight="false" outlineLevel="0" collapsed="false">
      <c r="A10" s="1" t="n">
        <v>40025</v>
      </c>
      <c r="B10" s="1" t="n">
        <v>20011</v>
      </c>
      <c r="C10" s="61" t="s">
        <v>92</v>
      </c>
      <c r="D10" s="69" t="str">
        <f aca="false">_xlfn.xlookup(B10,Table2[Spec no],Table2[Supplier Spec],FALSE())</f>
        <v>AP1019</v>
      </c>
      <c r="E10" s="15" t="s">
        <v>66</v>
      </c>
      <c r="F10" s="15" t="str">
        <f aca="false">_xlfn.xlookup(E10,Clients!B:B,Clients!D:D,FALSE())</f>
        <v>A</v>
      </c>
      <c r="G10" s="42" t="n">
        <v>817</v>
      </c>
      <c r="H10" s="15" t="s">
        <v>364</v>
      </c>
      <c r="I10" s="61" t="s">
        <v>364</v>
      </c>
      <c r="J10" s="61" t="s">
        <v>503</v>
      </c>
      <c r="K10" s="61" t="s">
        <v>320</v>
      </c>
      <c r="L10" s="43" t="s">
        <v>558</v>
      </c>
      <c r="N10" s="43" t="n">
        <v>0.258</v>
      </c>
      <c r="O10" s="72" t="s">
        <v>554</v>
      </c>
      <c r="P10" s="72" t="n">
        <v>9.75</v>
      </c>
      <c r="Q10" s="73" t="n">
        <v>9842.5</v>
      </c>
      <c r="R10" s="83" t="n">
        <f aca="false">P10*12*Q10/1000</f>
        <v>1151.5725</v>
      </c>
      <c r="S10" s="61" t="str">
        <f aca="false">_xlfn.xlookup(E10,Clients!B:B,Clients!D:D,FALSE())</f>
        <v>A</v>
      </c>
      <c r="T10" s="84" t="n">
        <f aca="false">9.75*12*10*0.258</f>
        <v>301.86</v>
      </c>
      <c r="U10" s="61" t="str">
        <f aca="false">IF(OR(O10="msi",O10="sqm"),"roll",O10)</f>
        <v>roll</v>
      </c>
      <c r="V10" s="61" t="s">
        <v>50</v>
      </c>
      <c r="X10" s="85" t="n">
        <f aca="false">IF(V10=Z10,N10,N10*W10)</f>
        <v>0.258</v>
      </c>
      <c r="Y10" s="61" t="str">
        <f aca="false">O10</f>
        <v>msi</v>
      </c>
      <c r="Z10" s="61" t="s">
        <v>50</v>
      </c>
      <c r="AA10" s="61" t="s">
        <v>57</v>
      </c>
      <c r="AB10" s="61" t="s">
        <v>548</v>
      </c>
    </row>
    <row r="11" customFormat="false" ht="14.25" hidden="false" customHeight="false" outlineLevel="0" collapsed="false">
      <c r="A11" s="1" t="n">
        <v>40026</v>
      </c>
      <c r="B11" s="1" t="n">
        <v>20011</v>
      </c>
      <c r="C11" s="61" t="s">
        <v>92</v>
      </c>
      <c r="D11" s="69" t="str">
        <f aca="false">_xlfn.xlookup(B11,Table2[Spec no],Table2[Supplier Spec],FALSE())</f>
        <v>AP1019</v>
      </c>
      <c r="E11" s="15" t="s">
        <v>66</v>
      </c>
      <c r="F11" s="15" t="str">
        <f aca="false">_xlfn.xlookup(E11,Clients!B:B,Clients!D:D,FALSE())</f>
        <v>A</v>
      </c>
      <c r="G11" s="42" t="n">
        <v>817</v>
      </c>
      <c r="H11" s="15" t="s">
        <v>364</v>
      </c>
      <c r="I11" s="61" t="s">
        <v>364</v>
      </c>
      <c r="J11" s="61" t="s">
        <v>503</v>
      </c>
      <c r="K11" s="61" t="s">
        <v>559</v>
      </c>
      <c r="L11" s="43" t="s">
        <v>560</v>
      </c>
      <c r="N11" s="43" t="n">
        <v>0.258</v>
      </c>
      <c r="O11" s="72" t="s">
        <v>554</v>
      </c>
      <c r="P11" s="72"/>
      <c r="Q11" s="73"/>
      <c r="R11" s="83" t="n">
        <f aca="false">P11*12*Q11/1000</f>
        <v>0</v>
      </c>
      <c r="S11" s="61" t="str">
        <f aca="false">_xlfn.xlookup(E11,Clients!B:B,Clients!D:D,FALSE())</f>
        <v>A</v>
      </c>
      <c r="T11" s="84"/>
      <c r="U11" s="61" t="str">
        <f aca="false">IF(OR(O11="msi",O11="sqm"),"roll",O11)</f>
        <v>roll</v>
      </c>
      <c r="V11" s="61" t="s">
        <v>50</v>
      </c>
      <c r="X11" s="85" t="n">
        <f aca="false">IF(V11=Z11,N11,N11*W11)</f>
        <v>0.258</v>
      </c>
      <c r="Y11" s="61" t="str">
        <f aca="false">O11</f>
        <v>msi</v>
      </c>
      <c r="Z11" s="61" t="s">
        <v>50</v>
      </c>
      <c r="AA11" s="61" t="s">
        <v>57</v>
      </c>
      <c r="AB11" s="61" t="s">
        <v>548</v>
      </c>
    </row>
    <row r="12" customFormat="false" ht="14.25" hidden="false" customHeight="false" outlineLevel="0" collapsed="false">
      <c r="A12" s="1" t="n">
        <v>40027</v>
      </c>
      <c r="B12" s="1" t="n">
        <v>20011</v>
      </c>
      <c r="C12" s="61" t="s">
        <v>199</v>
      </c>
      <c r="D12" s="69"/>
      <c r="E12" s="15" t="s">
        <v>66</v>
      </c>
      <c r="F12" s="15" t="str">
        <f aca="false">_xlfn.xlookup(E12,Clients!B:B,Clients!D:D,FALSE())</f>
        <v>A</v>
      </c>
      <c r="G12" s="42"/>
      <c r="I12" s="61" t="s">
        <v>561</v>
      </c>
      <c r="J12" s="61" t="s">
        <v>562</v>
      </c>
      <c r="K12" s="61" t="s">
        <v>563</v>
      </c>
      <c r="N12" s="43" t="n">
        <v>510.84</v>
      </c>
      <c r="O12" s="72" t="s">
        <v>524</v>
      </c>
      <c r="P12" s="72"/>
      <c r="Q12" s="73"/>
      <c r="R12" s="83" t="n">
        <f aca="false">P12*12*Q12/1000</f>
        <v>0</v>
      </c>
      <c r="S12" s="61" t="str">
        <f aca="false">_xlfn.xlookup(E12,Clients!B:B,Clients!D:D,FALSE())</f>
        <v>A</v>
      </c>
      <c r="T12" s="84"/>
      <c r="U12" s="61" t="str">
        <f aca="false">IF(OR(O12="msi",O12="sqm"),"roll",O12)</f>
        <v>roll</v>
      </c>
      <c r="V12" s="61" t="s">
        <v>50</v>
      </c>
      <c r="X12" s="85" t="n">
        <f aca="false">IF(V12=Z12,N12,N12*W12)</f>
        <v>510.84</v>
      </c>
      <c r="Y12" s="61" t="str">
        <f aca="false">O12</f>
        <v>roll</v>
      </c>
      <c r="Z12" s="61" t="s">
        <v>50</v>
      </c>
      <c r="AA12" s="61" t="s">
        <v>57</v>
      </c>
      <c r="AB12" s="61" t="s">
        <v>548</v>
      </c>
    </row>
    <row r="13" customFormat="false" ht="14.25" hidden="false" customHeight="false" outlineLevel="0" collapsed="false">
      <c r="A13" s="1" t="n">
        <v>40028</v>
      </c>
      <c r="B13" s="1" t="n">
        <v>20011</v>
      </c>
      <c r="C13" s="61" t="s">
        <v>92</v>
      </c>
      <c r="D13" s="69" t="str">
        <f aca="false">_xlfn.xlookup(B13,Table2[Spec no],Table2[Supplier Spec],FALSE())</f>
        <v>AP1019</v>
      </c>
      <c r="E13" s="15" t="s">
        <v>66</v>
      </c>
      <c r="F13" s="15" t="str">
        <f aca="false">_xlfn.xlookup(E13,Clients!B:B,Clients!D:D,FALSE())</f>
        <v>A</v>
      </c>
      <c r="G13" s="42" t="n">
        <v>817</v>
      </c>
      <c r="H13" s="15" t="s">
        <v>364</v>
      </c>
      <c r="I13" s="61" t="s">
        <v>364</v>
      </c>
      <c r="J13" s="61" t="s">
        <v>503</v>
      </c>
      <c r="K13" s="61" t="s">
        <v>564</v>
      </c>
      <c r="L13" s="43" t="s">
        <v>565</v>
      </c>
      <c r="N13" s="43" t="n">
        <v>1E-008</v>
      </c>
      <c r="O13" s="72" t="s">
        <v>554</v>
      </c>
      <c r="P13" s="72" t="n">
        <v>16.75</v>
      </c>
      <c r="Q13" s="73" t="n">
        <v>9600</v>
      </c>
      <c r="R13" s="83" t="n">
        <f aca="false">P13*12*Q13/1000</f>
        <v>1929.6</v>
      </c>
      <c r="S13" s="61" t="str">
        <f aca="false">_xlfn.xlookup(E13,Clients!B:B,Clients!D:D,FALSE())</f>
        <v>A</v>
      </c>
      <c r="T13" s="84" t="n">
        <v>1.9296E-005</v>
      </c>
      <c r="U13" s="61" t="str">
        <f aca="false">IF(OR(O13="msi",O13="sqm"),"roll",O13)</f>
        <v>roll</v>
      </c>
      <c r="V13" s="61" t="s">
        <v>50</v>
      </c>
      <c r="X13" s="85" t="n">
        <f aca="false">IF(V13=Z13,N13,N13*W13)</f>
        <v>1E-008</v>
      </c>
      <c r="Y13" s="61" t="str">
        <f aca="false">O13</f>
        <v>msi</v>
      </c>
      <c r="Z13" s="61" t="s">
        <v>50</v>
      </c>
      <c r="AA13" s="61" t="s">
        <v>57</v>
      </c>
      <c r="AB13" s="61" t="s">
        <v>548</v>
      </c>
    </row>
    <row r="14" customFormat="false" ht="14.25" hidden="false" customHeight="false" outlineLevel="0" collapsed="false">
      <c r="A14" s="1" t="n">
        <v>40029</v>
      </c>
      <c r="C14" s="61" t="s">
        <v>566</v>
      </c>
      <c r="D14" s="69"/>
      <c r="E14" s="15" t="s">
        <v>74</v>
      </c>
      <c r="F14" s="15" t="str">
        <f aca="false">_xlfn.xlookup(E14,Clients!B:B,Clients!D:D,FALSE())</f>
        <v>F</v>
      </c>
      <c r="G14" s="42"/>
      <c r="H14" s="86" t="s">
        <v>567</v>
      </c>
      <c r="I14" s="87" t="s">
        <v>567</v>
      </c>
      <c r="J14" s="87"/>
      <c r="K14" s="61" t="s">
        <v>568</v>
      </c>
      <c r="N14" s="43" t="n">
        <v>290</v>
      </c>
      <c r="O14" s="72" t="s">
        <v>569</v>
      </c>
      <c r="P14" s="72"/>
      <c r="Q14" s="73"/>
      <c r="R14" s="83" t="n">
        <f aca="false">P14*12*Q14/1000</f>
        <v>0</v>
      </c>
      <c r="S14" s="61" t="str">
        <f aca="false">_xlfn.xlookup(E14,Clients!B:B,Clients!D:D,FALSE())</f>
        <v>F</v>
      </c>
      <c r="T14" s="84" t="n">
        <v>290</v>
      </c>
      <c r="U14" s="61" t="str">
        <f aca="false">IF(OR(O14="msi",O14="sqm"),"roll",O14)</f>
        <v>ch.</v>
      </c>
      <c r="V14" s="61" t="s">
        <v>50</v>
      </c>
      <c r="X14" s="85" t="n">
        <f aca="false">IF(V14=Z14,N14,N14*W14)</f>
        <v>290</v>
      </c>
      <c r="Y14" s="61" t="str">
        <f aca="false">O14</f>
        <v>ch.</v>
      </c>
      <c r="Z14" s="61" t="s">
        <v>50</v>
      </c>
      <c r="AA14" s="61" t="s">
        <v>57</v>
      </c>
      <c r="AB14" s="61" t="n">
        <v>8443.91</v>
      </c>
    </row>
    <row r="15" customFormat="false" ht="14.25" hidden="false" customHeight="false" outlineLevel="0" collapsed="false">
      <c r="A15" s="1" t="n">
        <v>40030</v>
      </c>
      <c r="C15" s="61" t="s">
        <v>566</v>
      </c>
      <c r="D15" s="69"/>
      <c r="E15" s="15" t="s">
        <v>74</v>
      </c>
      <c r="F15" s="15" t="str">
        <f aca="false">_xlfn.xlookup(E15,Clients!B:B,Clients!D:D,FALSE())</f>
        <v>F</v>
      </c>
      <c r="G15" s="42"/>
      <c r="H15" s="15" t="s">
        <v>570</v>
      </c>
      <c r="I15" s="61" t="s">
        <v>570</v>
      </c>
      <c r="J15" s="61"/>
      <c r="K15" s="61" t="s">
        <v>571</v>
      </c>
      <c r="N15" s="43" t="n">
        <v>260</v>
      </c>
      <c r="O15" s="75" t="s">
        <v>569</v>
      </c>
      <c r="P15" s="72"/>
      <c r="Q15" s="73"/>
      <c r="R15" s="83" t="n">
        <f aca="false">P15*12*Q15/1000</f>
        <v>0</v>
      </c>
      <c r="S15" s="61" t="str">
        <f aca="false">_xlfn.xlookup(E15,Clients!B:B,Clients!D:D,FALSE())</f>
        <v>F</v>
      </c>
      <c r="T15" s="84" t="n">
        <v>260</v>
      </c>
      <c r="U15" s="61" t="str">
        <f aca="false">IF(OR(O15="msi",O15="sqm"),"roll",O15)</f>
        <v>ch.</v>
      </c>
      <c r="V15" s="61" t="s">
        <v>50</v>
      </c>
      <c r="X15" s="85" t="n">
        <f aca="false">IF(V15=Z15,N15,N15*W15)</f>
        <v>260</v>
      </c>
      <c r="Y15" s="61" t="str">
        <f aca="false">O15</f>
        <v>ch.</v>
      </c>
      <c r="Z15" s="61" t="s">
        <v>50</v>
      </c>
      <c r="AA15" s="61" t="s">
        <v>57</v>
      </c>
      <c r="AB15" s="61" t="n">
        <v>8443.91</v>
      </c>
    </row>
    <row r="16" customFormat="false" ht="14.25" hidden="false" customHeight="false" outlineLevel="0" collapsed="false">
      <c r="A16" s="1" t="n">
        <v>40031</v>
      </c>
      <c r="B16" s="1" t="n">
        <v>20011</v>
      </c>
      <c r="C16" s="61" t="s">
        <v>92</v>
      </c>
      <c r="D16" s="69"/>
      <c r="E16" s="15" t="s">
        <v>82</v>
      </c>
      <c r="F16" s="15" t="str">
        <f aca="false">_xlfn.xlookup(E16,Clients!B:B,Clients!D:D,FALSE())</f>
        <v>F</v>
      </c>
      <c r="G16" s="42"/>
      <c r="H16" s="15" t="s">
        <v>364</v>
      </c>
      <c r="I16" s="61" t="s">
        <v>364</v>
      </c>
      <c r="J16" s="61" t="s">
        <v>503</v>
      </c>
      <c r="K16" s="61" t="s">
        <v>320</v>
      </c>
      <c r="L16" s="43" t="s">
        <v>572</v>
      </c>
      <c r="N16" s="43" t="n">
        <v>1E-008</v>
      </c>
      <c r="O16" s="72" t="s">
        <v>554</v>
      </c>
      <c r="P16" s="72" t="n">
        <v>13</v>
      </c>
      <c r="Q16" s="73" t="n">
        <v>10000</v>
      </c>
      <c r="R16" s="83" t="n">
        <f aca="false">P16*12*Q16/1000</f>
        <v>1560</v>
      </c>
      <c r="S16" s="61" t="str">
        <f aca="false">_xlfn.xlookup(E16,Clients!B:B,Clients!D:D,FALSE())</f>
        <v>F</v>
      </c>
      <c r="T16" s="84" t="n">
        <v>1.56E-005</v>
      </c>
      <c r="U16" s="61" t="str">
        <f aca="false">IF(OR(O16="msi",O16="sqm"),"roll",O16)</f>
        <v>roll</v>
      </c>
      <c r="V16" s="61" t="s">
        <v>50</v>
      </c>
      <c r="X16" s="85" t="n">
        <f aca="false">IF(V16=Z16,N16,N16*W16)</f>
        <v>1E-008</v>
      </c>
      <c r="Y16" s="61" t="str">
        <f aca="false">O16</f>
        <v>msi</v>
      </c>
      <c r="Z16" s="61" t="s">
        <v>50</v>
      </c>
      <c r="AA16" s="61" t="s">
        <v>57</v>
      </c>
      <c r="AB16" s="61" t="s">
        <v>548</v>
      </c>
    </row>
    <row r="17" customFormat="false" ht="14.25" hidden="false" customHeight="false" outlineLevel="0" collapsed="false">
      <c r="A17" s="1" t="n">
        <v>40032</v>
      </c>
      <c r="B17" s="1" t="n">
        <v>20013</v>
      </c>
      <c r="C17" s="61" t="s">
        <v>92</v>
      </c>
      <c r="D17" s="69" t="str">
        <f aca="false">_xlfn.xlookup(B17,Table2[Spec no],Table2[Supplier Spec],FALSE())</f>
        <v>Hansol TC CL74</v>
      </c>
      <c r="E17" s="15" t="s">
        <v>31</v>
      </c>
      <c r="F17" s="15" t="str">
        <f aca="false">_xlfn.xlookup(E17,Clients!B:B,Clients!D:D,FALSE())</f>
        <v>A</v>
      </c>
      <c r="G17" s="42" t="s">
        <v>573</v>
      </c>
      <c r="H17" s="15" t="s">
        <v>358</v>
      </c>
      <c r="I17" s="61" t="s">
        <v>371</v>
      </c>
      <c r="J17" s="61" t="s">
        <v>501</v>
      </c>
      <c r="K17" s="61" t="s">
        <v>320</v>
      </c>
      <c r="L17" s="43" t="s">
        <v>553</v>
      </c>
      <c r="N17" s="43" t="n">
        <v>0.31</v>
      </c>
      <c r="O17" s="75" t="s">
        <v>554</v>
      </c>
      <c r="P17" s="72" t="n">
        <v>10</v>
      </c>
      <c r="Q17" s="73" t="n">
        <v>5000</v>
      </c>
      <c r="R17" s="83" t="n">
        <f aca="false">P17*12*Q17/1000</f>
        <v>600</v>
      </c>
      <c r="S17" s="61" t="str">
        <f aca="false">_xlfn.xlookup(E17,Clients!B:B,Clients!D:D,FALSE())</f>
        <v>A</v>
      </c>
      <c r="T17" s="84" t="n">
        <v>186</v>
      </c>
      <c r="U17" s="61" t="str">
        <f aca="false">IF(OR(O17="msi",O17="sqm"),"roll",O17)</f>
        <v>roll</v>
      </c>
      <c r="V17" s="61" t="s">
        <v>50</v>
      </c>
      <c r="X17" s="85" t="n">
        <f aca="false">IF(V17=Z17,N17,N17*W17)</f>
        <v>0.31</v>
      </c>
      <c r="Y17" s="61" t="str">
        <f aca="false">O17</f>
        <v>msi</v>
      </c>
      <c r="Z17" s="61" t="s">
        <v>50</v>
      </c>
      <c r="AA17" s="61" t="s">
        <v>57</v>
      </c>
      <c r="AB17" s="61" t="s">
        <v>548</v>
      </c>
    </row>
    <row r="18" customFormat="false" ht="14.25" hidden="false" customHeight="false" outlineLevel="0" collapsed="false">
      <c r="A18" s="1" t="n">
        <v>40033</v>
      </c>
      <c r="B18" s="1" t="n">
        <v>20013</v>
      </c>
      <c r="C18" s="61" t="s">
        <v>92</v>
      </c>
      <c r="D18" s="69" t="str">
        <f aca="false">_xlfn.xlookup(B18,Table2[Spec no],Table2[Supplier Spec],FALSE())</f>
        <v>Hansol TC CL74</v>
      </c>
      <c r="E18" s="15" t="s">
        <v>31</v>
      </c>
      <c r="F18" s="15" t="str">
        <f aca="false">_xlfn.xlookup(E18,Clients!B:B,Clients!D:D,FALSE())</f>
        <v>A</v>
      </c>
      <c r="G18" s="42" t="s">
        <v>573</v>
      </c>
      <c r="H18" s="15" t="s">
        <v>574</v>
      </c>
      <c r="I18" s="61" t="s">
        <v>371</v>
      </c>
      <c r="J18" s="61" t="s">
        <v>575</v>
      </c>
      <c r="K18" s="61" t="s">
        <v>320</v>
      </c>
      <c r="L18" s="43" t="s">
        <v>553</v>
      </c>
      <c r="N18" s="43" t="n">
        <v>0.31</v>
      </c>
      <c r="O18" s="75" t="s">
        <v>554</v>
      </c>
      <c r="P18" s="72" t="n">
        <v>10</v>
      </c>
      <c r="Q18" s="73" t="n">
        <v>5000</v>
      </c>
      <c r="R18" s="83" t="n">
        <f aca="false">P18*12*Q18/1000</f>
        <v>600</v>
      </c>
      <c r="S18" s="61" t="str">
        <f aca="false">_xlfn.xlookup(E18,Clients!B:B,Clients!D:D,FALSE())</f>
        <v>A</v>
      </c>
      <c r="T18" s="84" t="n">
        <v>186</v>
      </c>
      <c r="U18" s="61" t="str">
        <f aca="false">IF(OR(O18="msi",O18="sqm"),"roll",O18)</f>
        <v>roll</v>
      </c>
      <c r="V18" s="61" t="s">
        <v>50</v>
      </c>
      <c r="X18" s="85" t="n">
        <f aca="false">IF(V18=Z18,N18,N18*W18)</f>
        <v>0.31</v>
      </c>
      <c r="Y18" s="61" t="str">
        <f aca="false">O18</f>
        <v>msi</v>
      </c>
      <c r="Z18" s="61" t="s">
        <v>50</v>
      </c>
      <c r="AA18" s="61" t="s">
        <v>57</v>
      </c>
      <c r="AB18" s="61" t="n">
        <v>4811.41</v>
      </c>
    </row>
    <row r="19" customFormat="false" ht="14.25" hidden="false" customHeight="false" outlineLevel="0" collapsed="false">
      <c r="A19" s="1" t="n">
        <v>40034</v>
      </c>
      <c r="C19" s="61" t="s">
        <v>199</v>
      </c>
      <c r="D19" s="69"/>
      <c r="E19" s="15" t="s">
        <v>91</v>
      </c>
      <c r="F19" s="15" t="str">
        <f aca="false">_xlfn.xlookup(E19,Clients!B:B,Clients!D:D,FALSE())</f>
        <v>A</v>
      </c>
      <c r="G19" s="42"/>
      <c r="I19" s="61" t="s">
        <v>576</v>
      </c>
      <c r="J19" s="61"/>
      <c r="K19" s="61" t="s">
        <v>577</v>
      </c>
      <c r="L19" s="43" t="s">
        <v>578</v>
      </c>
      <c r="N19" s="43" t="n">
        <v>60</v>
      </c>
      <c r="O19" s="43" t="s">
        <v>579</v>
      </c>
      <c r="P19" s="72"/>
      <c r="Q19" s="73"/>
      <c r="R19" s="83" t="n">
        <f aca="false">P19*12*Q19/1000</f>
        <v>0</v>
      </c>
      <c r="S19" s="61" t="str">
        <f aca="false">_xlfn.xlookup(E19,Clients!B:B,Clients!D:D,FALSE())</f>
        <v>A</v>
      </c>
      <c r="T19" s="84" t="n">
        <v>60</v>
      </c>
      <c r="U19" s="61" t="str">
        <f aca="false">IF(OR(O19="msi",O19="sqm"),"roll",O19)</f>
        <v>hr</v>
      </c>
      <c r="V19" s="61" t="s">
        <v>50</v>
      </c>
      <c r="X19" s="85" t="n">
        <f aca="false">IF(V19=Z19,N19,N19*W19)</f>
        <v>60</v>
      </c>
      <c r="Y19" s="61" t="str">
        <f aca="false">O19</f>
        <v>hr</v>
      </c>
      <c r="Z19" s="61" t="s">
        <v>50</v>
      </c>
      <c r="AA19" s="61"/>
      <c r="AB19" s="61"/>
    </row>
    <row r="20" customFormat="false" ht="14.25" hidden="false" customHeight="false" outlineLevel="0" collapsed="false">
      <c r="A20" s="1" t="n">
        <v>40035</v>
      </c>
      <c r="C20" s="61" t="s">
        <v>199</v>
      </c>
      <c r="D20" s="69"/>
      <c r="E20" s="15" t="s">
        <v>91</v>
      </c>
      <c r="F20" s="15" t="str">
        <f aca="false">_xlfn.xlookup(E20,Clients!B:B,Clients!D:D,FALSE())</f>
        <v>A</v>
      </c>
      <c r="G20" s="42"/>
      <c r="I20" s="61" t="s">
        <v>580</v>
      </c>
      <c r="J20" s="61"/>
      <c r="K20" s="61" t="s">
        <v>581</v>
      </c>
      <c r="L20" s="43" t="s">
        <v>582</v>
      </c>
      <c r="N20" s="43" t="n">
        <v>1032.33</v>
      </c>
      <c r="O20" s="72" t="s">
        <v>583</v>
      </c>
      <c r="P20" s="72"/>
      <c r="Q20" s="73"/>
      <c r="R20" s="83" t="n">
        <f aca="false">P20*12*Q20/1000</f>
        <v>0</v>
      </c>
      <c r="S20" s="61" t="str">
        <f aca="false">_xlfn.xlookup(E20,Clients!B:B,Clients!D:D,FALSE())</f>
        <v>A</v>
      </c>
      <c r="T20" s="84" t="n">
        <v>1032.33</v>
      </c>
      <c r="U20" s="61" t="str">
        <f aca="false">IF(OR(O20="msi",O20="sqm"),"roll",O20)</f>
        <v>ea.</v>
      </c>
      <c r="V20" s="61" t="s">
        <v>50</v>
      </c>
      <c r="X20" s="85" t="n">
        <f aca="false">IF(V20=Z20,N20,N20*W20)</f>
        <v>1032.33</v>
      </c>
      <c r="Y20" s="61" t="str">
        <f aca="false">O20</f>
        <v>ea.</v>
      </c>
      <c r="Z20" s="61" t="s">
        <v>50</v>
      </c>
      <c r="AA20" s="61"/>
      <c r="AB20" s="61"/>
    </row>
    <row r="21" customFormat="false" ht="14.25" hidden="false" customHeight="false" outlineLevel="0" collapsed="false">
      <c r="A21" s="1" t="n">
        <v>40036</v>
      </c>
      <c r="B21" s="1" t="n">
        <v>20014</v>
      </c>
      <c r="C21" s="61" t="str">
        <f aca="false">VLOOKUP(Table3[[#This Row],[Spec no]],Table2[#All],3,FALSE())</f>
        <v>Jinda</v>
      </c>
      <c r="D21" s="69" t="str">
        <f aca="false">_xlfn.xlookup(B21,Table2[Spec no],Table2[Supplier Spec],FALSE())</f>
        <v>0402035</v>
      </c>
      <c r="E21" s="15" t="s">
        <v>66</v>
      </c>
      <c r="F21" s="15" t="str">
        <f aca="false">_xlfn.xlookup(E21,Clients!B:B,Clients!D:D,FALSE())</f>
        <v>A</v>
      </c>
      <c r="G21" s="42"/>
      <c r="H21" s="15" t="s">
        <v>584</v>
      </c>
      <c r="I21" s="61" t="str">
        <f aca="false">VLOOKUP(Table3[[#This Row],[Spec no]],Table2[#All],2,FALSE())</f>
        <v>S11-3</v>
      </c>
      <c r="J21" s="61" t="s">
        <v>503</v>
      </c>
      <c r="K21" s="61" t="str">
        <f aca="false">VLOOKUP(Table3[[#This Row],[Spec no]],Table2[#All],5,FALSE())</f>
        <v>Self Adhesive Paper</v>
      </c>
      <c r="L21" s="43" t="s">
        <v>585</v>
      </c>
      <c r="N21" s="43" t="n">
        <v>20</v>
      </c>
      <c r="O21" s="72" t="s">
        <v>524</v>
      </c>
      <c r="P21" s="72"/>
      <c r="Q21" s="73"/>
      <c r="R21" s="83" t="n">
        <f aca="false">P21*12*Q21/1000</f>
        <v>0</v>
      </c>
      <c r="S21" s="61" t="str">
        <f aca="false">_xlfn.xlookup(E21,Clients!B:B,Clients!D:D,FALSE())</f>
        <v>A</v>
      </c>
      <c r="T21" s="84" t="n">
        <v>20</v>
      </c>
      <c r="U21" s="61" t="str">
        <f aca="false">IF(OR(O21="msi",O21="sqm"),"roll",O21)</f>
        <v>roll</v>
      </c>
      <c r="V21" s="61" t="s">
        <v>50</v>
      </c>
      <c r="X21" s="85" t="n">
        <f aca="false">IF(V21=Z21,N21,N21*W21)</f>
        <v>20</v>
      </c>
      <c r="Y21" s="61" t="str">
        <f aca="false">O21</f>
        <v>roll</v>
      </c>
      <c r="Z21" s="61" t="s">
        <v>50</v>
      </c>
      <c r="AA21" s="61" t="s">
        <v>57</v>
      </c>
      <c r="AB21" s="61" t="s">
        <v>548</v>
      </c>
    </row>
    <row r="22" customFormat="false" ht="14.25" hidden="false" customHeight="false" outlineLevel="0" collapsed="false">
      <c r="A22" s="1" t="n">
        <v>40037</v>
      </c>
      <c r="B22" s="1" t="n">
        <v>20015</v>
      </c>
      <c r="C22" s="61" t="str">
        <f aca="false">VLOOKUP(Table3[[#This Row],[Spec no]],Table2[#All],3,FALSE())</f>
        <v>Jinda</v>
      </c>
      <c r="D22" s="69" t="str">
        <f aca="false">_xlfn.xlookup(B22,Table2[Spec no],Table2[Supplier Spec],FALSE())</f>
        <v>0402105</v>
      </c>
      <c r="E22" s="15" t="s">
        <v>66</v>
      </c>
      <c r="F22" s="15" t="str">
        <f aca="false">_xlfn.xlookup(E22,Clients!B:B,Clients!D:D,FALSE())</f>
        <v>A</v>
      </c>
      <c r="G22" s="42"/>
      <c r="H22" s="15" t="s">
        <v>586</v>
      </c>
      <c r="I22" s="61" t="str">
        <f aca="false">VLOOKUP(Table3[[#This Row],[Spec no]],Table2[#All],2,FALSE())</f>
        <v>S15-3</v>
      </c>
      <c r="J22" s="61" t="s">
        <v>511</v>
      </c>
      <c r="K22" s="61" t="str">
        <f aca="false">VLOOKUP(Table3[[#This Row],[Spec no]],Table2[#All],5,FALSE())</f>
        <v>Self Adhesive Paper</v>
      </c>
      <c r="L22" s="43" t="s">
        <v>585</v>
      </c>
      <c r="N22" s="43" t="n">
        <v>20</v>
      </c>
      <c r="O22" s="72" t="s">
        <v>524</v>
      </c>
      <c r="P22" s="72"/>
      <c r="Q22" s="73"/>
      <c r="R22" s="83" t="n">
        <f aca="false">P22*12*Q22/1000</f>
        <v>0</v>
      </c>
      <c r="S22" s="61" t="str">
        <f aca="false">_xlfn.xlookup(E22,Clients!B:B,Clients!D:D,FALSE())</f>
        <v>A</v>
      </c>
      <c r="T22" s="84" t="n">
        <v>20</v>
      </c>
      <c r="U22" s="61" t="str">
        <f aca="false">IF(OR(O22="msi",O22="sqm"),"roll",O22)</f>
        <v>roll</v>
      </c>
      <c r="V22" s="61" t="s">
        <v>50</v>
      </c>
      <c r="X22" s="85" t="n">
        <f aca="false">IF(V22=Z22,N22,N22*W22)</f>
        <v>20</v>
      </c>
      <c r="Y22" s="61" t="str">
        <f aca="false">O22</f>
        <v>roll</v>
      </c>
      <c r="Z22" s="61" t="s">
        <v>50</v>
      </c>
      <c r="AA22" s="61" t="s">
        <v>57</v>
      </c>
      <c r="AB22" s="61" t="s">
        <v>548</v>
      </c>
    </row>
    <row r="23" customFormat="false" ht="14.25" hidden="false" customHeight="false" outlineLevel="0" collapsed="false">
      <c r="A23" s="1" t="n">
        <v>40038</v>
      </c>
      <c r="B23" s="1" t="n">
        <v>20015</v>
      </c>
      <c r="C23" s="61" t="str">
        <f aca="false">VLOOKUP(Table3[[#This Row],[Spec no]],Table2[#All],3,FALSE())</f>
        <v>Jinda</v>
      </c>
      <c r="D23" s="69" t="str">
        <f aca="false">_xlfn.xlookup(B23,Table2[Spec no],Table2[Supplier Spec],FALSE())</f>
        <v>0402105</v>
      </c>
      <c r="E23" s="15" t="s">
        <v>82</v>
      </c>
      <c r="F23" s="15" t="str">
        <f aca="false">_xlfn.xlookup(E23,Clients!B:B,Clients!D:D,FALSE())</f>
        <v>F</v>
      </c>
      <c r="G23" s="42"/>
      <c r="H23" s="15" t="s">
        <v>586</v>
      </c>
      <c r="I23" s="61" t="str">
        <f aca="false">VLOOKUP(Table3[[#This Row],[Spec no]],Table2[#All],2,FALSE())</f>
        <v>S15-3</v>
      </c>
      <c r="J23" s="61" t="s">
        <v>511</v>
      </c>
      <c r="K23" s="61" t="str">
        <f aca="false">VLOOKUP(Table3[[#This Row],[Spec no]],Table2[#All],5,FALSE())</f>
        <v>Self Adhesive Paper</v>
      </c>
      <c r="L23" s="43" t="s">
        <v>587</v>
      </c>
      <c r="N23" s="43" t="n">
        <v>0</v>
      </c>
      <c r="O23" s="72" t="s">
        <v>524</v>
      </c>
      <c r="P23" s="72" t="n">
        <v>13</v>
      </c>
      <c r="Q23" s="73" t="n">
        <v>5000</v>
      </c>
      <c r="R23" s="83" t="n">
        <f aca="false">P23*12*Q23/1000</f>
        <v>780</v>
      </c>
      <c r="S23" s="61" t="str">
        <f aca="false">_xlfn.xlookup(E23,Clients!B:B,Clients!D:D,FALSE())</f>
        <v>F</v>
      </c>
      <c r="T23" s="84" t="n">
        <v>0</v>
      </c>
      <c r="U23" s="61" t="str">
        <f aca="false">IF(OR(O23="msi",O23="sqm"),"roll",O23)</f>
        <v>roll</v>
      </c>
      <c r="V23" s="61" t="s">
        <v>50</v>
      </c>
      <c r="X23" s="85" t="n">
        <f aca="false">IF(V23=Z23,N23,N23*W23)</f>
        <v>0</v>
      </c>
      <c r="Y23" s="61" t="str">
        <f aca="false">O23</f>
        <v>roll</v>
      </c>
      <c r="Z23" s="61" t="s">
        <v>50</v>
      </c>
      <c r="AA23" s="61" t="s">
        <v>57</v>
      </c>
      <c r="AB23" s="61" t="s">
        <v>548</v>
      </c>
    </row>
    <row r="24" customFormat="false" ht="16.4" hidden="false" customHeight="false" outlineLevel="0" collapsed="false">
      <c r="A24" s="1" t="n">
        <v>40039</v>
      </c>
      <c r="B24" s="1" t="n">
        <v>20012</v>
      </c>
      <c r="C24" s="61" t="s">
        <v>92</v>
      </c>
      <c r="D24" s="69" t="str">
        <f aca="false">_xlfn.xlookup(B24,Table2[Spec no],Table2[Supplier Spec],FALSE())</f>
        <v>AR316 (AH2002)</v>
      </c>
      <c r="E24" s="15" t="s">
        <v>100</v>
      </c>
      <c r="F24" s="15" t="str">
        <f aca="false">_xlfn.xlookup(E24,Clients!B:B,Clients!D:D,FALSE())</f>
        <v>F</v>
      </c>
      <c r="G24" s="42" t="s">
        <v>588</v>
      </c>
      <c r="H24" s="15" t="s">
        <v>589</v>
      </c>
      <c r="I24" s="61" t="str">
        <f aca="false">VLOOKUP(Table3[[#This Row],[Spec no]],Table2[#All],2,FALSE())</f>
        <v>D21-1</v>
      </c>
      <c r="J24" s="61" t="s">
        <v>506</v>
      </c>
      <c r="K24" s="61" t="str">
        <f aca="false">VLOOKUP(Table3[[#This Row],[Spec no]],Table2[#All],5,FALSE())</f>
        <v>Self Adhesive Paper</v>
      </c>
      <c r="L24" s="43" t="s">
        <v>590</v>
      </c>
      <c r="M24" s="43" t="s">
        <v>591</v>
      </c>
      <c r="N24" s="43" t="n">
        <f aca="false">0.32</f>
        <v>0.32</v>
      </c>
      <c r="O24" s="72" t="s">
        <v>554</v>
      </c>
      <c r="P24" s="72" t="n">
        <v>8.66</v>
      </c>
      <c r="Q24" s="73" t="n">
        <v>5000</v>
      </c>
      <c r="R24" s="83" t="n">
        <f aca="false">P24*12*Q24/1000</f>
        <v>519.6</v>
      </c>
      <c r="S24" s="61" t="str">
        <f aca="false">_xlfn.xlookup(E24,Clients!B:B,Clients!D:D,FALSE())</f>
        <v>F</v>
      </c>
      <c r="T24" s="84" t="n">
        <v>166.272</v>
      </c>
      <c r="U24" s="61" t="str">
        <f aca="false">IF(OR(O24="msi",O24="sqm"),"roll",O24)</f>
        <v>roll</v>
      </c>
      <c r="V24" s="61" t="s">
        <v>50</v>
      </c>
      <c r="W24" s="1" t="n">
        <v>1.4</v>
      </c>
      <c r="X24" s="61" t="n">
        <f aca="false">IF(V24=Z24,N24,N24*W24)</f>
        <v>0.448</v>
      </c>
      <c r="Y24" s="61" t="str">
        <f aca="false">O24</f>
        <v>msi</v>
      </c>
      <c r="Z24" s="61" t="s">
        <v>65</v>
      </c>
      <c r="AA24" s="61" t="s">
        <v>57</v>
      </c>
      <c r="AB24" s="61" t="s">
        <v>548</v>
      </c>
    </row>
    <row r="25" customFormat="false" ht="16.4" hidden="false" customHeight="false" outlineLevel="0" collapsed="false">
      <c r="A25" s="1" t="n">
        <v>40044</v>
      </c>
      <c r="B25" s="1" t="n">
        <v>20017</v>
      </c>
      <c r="C25" s="61" t="str">
        <f aca="false">VLOOKUP(Table3[[#This Row],[Spec no]],Table2[#All],3,FALSE())</f>
        <v>Jinda</v>
      </c>
      <c r="D25" s="69" t="str">
        <f aca="false">_xlfn.xlookup(B25,Table2[Spec no],Table2[Supplier Spec],FALSE())</f>
        <v>0488056</v>
      </c>
      <c r="E25" s="15" t="s">
        <v>100</v>
      </c>
      <c r="F25" s="15" t="str">
        <f aca="false">_xlfn.xlookup(E25,Clients!B:B,Clients!D:D,FALSE())</f>
        <v>F</v>
      </c>
      <c r="G25" s="15" t="s">
        <v>592</v>
      </c>
      <c r="H25" s="15" t="s">
        <v>593</v>
      </c>
      <c r="I25" s="61" t="str">
        <f aca="false">VLOOKUP(Table3[[#This Row],[Spec no]],Table2[#All],2,FALSE())</f>
        <v>B25-3</v>
      </c>
      <c r="J25" s="61" t="s">
        <v>498</v>
      </c>
      <c r="K25" s="61" t="s">
        <v>345</v>
      </c>
      <c r="L25" s="43" t="s">
        <v>590</v>
      </c>
      <c r="M25" s="43" t="s">
        <v>594</v>
      </c>
      <c r="N25" s="43" t="n">
        <f aca="false">0.38</f>
        <v>0.38</v>
      </c>
      <c r="O25" s="72" t="s">
        <v>554</v>
      </c>
      <c r="P25" s="72" t="n">
        <v>8.66</v>
      </c>
      <c r="Q25" s="73" t="n">
        <v>5000</v>
      </c>
      <c r="R25" s="83" t="n">
        <f aca="false">P25*12*Q25/1000</f>
        <v>519.6</v>
      </c>
      <c r="S25" s="60" t="str">
        <f aca="false">_xlfn.xlookup(E25,Clients!B:B,Clients!D:D,FALSE())</f>
        <v>F</v>
      </c>
      <c r="T25" s="84" t="n">
        <v>197.448</v>
      </c>
      <c r="U25" s="60" t="s">
        <v>551</v>
      </c>
      <c r="V25" s="61" t="s">
        <v>50</v>
      </c>
      <c r="W25" s="1" t="n">
        <v>1.4</v>
      </c>
      <c r="X25" s="61" t="n">
        <f aca="false">IF(V25=Z25,N25,N25*W25)</f>
        <v>0.532</v>
      </c>
      <c r="Y25" s="61" t="str">
        <f aca="false">O25</f>
        <v>msi</v>
      </c>
      <c r="Z25" s="61" t="s">
        <v>65</v>
      </c>
      <c r="AA25" s="61" t="s">
        <v>57</v>
      </c>
      <c r="AB25" s="61" t="s">
        <v>348</v>
      </c>
    </row>
    <row r="26" customFormat="false" ht="14.25" hidden="false" customHeight="false" outlineLevel="0" collapsed="false">
      <c r="A26" s="1" t="n">
        <v>40045</v>
      </c>
      <c r="B26" s="1" t="n">
        <v>20017</v>
      </c>
      <c r="C26" s="61" t="str">
        <f aca="false">VLOOKUP(Table3[[#This Row],[Spec no]],Table2[#All],3,FALSE())</f>
        <v>Jinda</v>
      </c>
      <c r="D26" s="69" t="str">
        <f aca="false">_xlfn.xlookup(B26,Table2[Spec no],Table2[Supplier Spec],FALSE())</f>
        <v>0488056</v>
      </c>
      <c r="E26" s="15" t="s">
        <v>110</v>
      </c>
      <c r="F26" s="15" t="str">
        <f aca="false">_xlfn.xlookup(E26,Clients!B:B,Clients!D:D,FALSE())</f>
        <v>F</v>
      </c>
      <c r="G26" s="42"/>
      <c r="H26" s="15" t="s">
        <v>593</v>
      </c>
      <c r="I26" s="61" t="str">
        <f aca="false">VLOOKUP(Table3[[#This Row],[Spec no]],Table2[#All],2,FALSE())</f>
        <v>B25-3</v>
      </c>
      <c r="J26" s="61" t="s">
        <v>498</v>
      </c>
      <c r="K26" s="61" t="s">
        <v>345</v>
      </c>
      <c r="L26" s="43" t="s">
        <v>595</v>
      </c>
      <c r="M26" s="43" t="s">
        <v>596</v>
      </c>
      <c r="N26" s="43" t="n">
        <v>0.34</v>
      </c>
      <c r="O26" s="72" t="s">
        <v>554</v>
      </c>
      <c r="P26" s="72" t="n">
        <v>15</v>
      </c>
      <c r="Q26" s="73" t="n">
        <v>5000</v>
      </c>
      <c r="R26" s="83" t="n">
        <f aca="false">P26*12*Q26/1000</f>
        <v>900</v>
      </c>
      <c r="S26" s="60" t="str">
        <f aca="false">_xlfn.xlookup(E26,Clients!B:B,Clients!D:D,FALSE())</f>
        <v>F</v>
      </c>
      <c r="T26" s="84" t="n">
        <v>306</v>
      </c>
      <c r="U26" s="60" t="s">
        <v>551</v>
      </c>
      <c r="V26" s="61" t="s">
        <v>50</v>
      </c>
      <c r="X26" s="85" t="n">
        <f aca="false">IF(V26=Z26,N26,N26*W26)</f>
        <v>0.34</v>
      </c>
      <c r="Y26" s="61" t="str">
        <f aca="false">O26</f>
        <v>msi</v>
      </c>
      <c r="Z26" s="61" t="s">
        <v>50</v>
      </c>
      <c r="AA26" s="61" t="s">
        <v>57</v>
      </c>
      <c r="AB26" s="61" t="s">
        <v>348</v>
      </c>
    </row>
    <row r="27" customFormat="false" ht="14.25" hidden="false" customHeight="false" outlineLevel="0" collapsed="false">
      <c r="A27" s="1" t="n">
        <v>40046</v>
      </c>
      <c r="C27" s="61" t="s">
        <v>199</v>
      </c>
      <c r="D27" s="69" t="e">
        <f aca="false">_xlfn.xlookup(B27,Table2[Spec no],Table2[Supplier Spec],FALSE())</f>
        <v>#NAME?</v>
      </c>
      <c r="E27" s="15" t="s">
        <v>110</v>
      </c>
      <c r="F27" s="15" t="str">
        <f aca="false">_xlfn.xlookup(E27,Clients!B:B,Clients!D:D,FALSE())</f>
        <v>F</v>
      </c>
      <c r="G27" s="42"/>
      <c r="H27" s="15" t="s">
        <v>597</v>
      </c>
      <c r="I27" s="61" t="s">
        <v>597</v>
      </c>
      <c r="J27" s="61"/>
      <c r="K27" s="61" t="s">
        <v>598</v>
      </c>
      <c r="N27" s="43" t="n">
        <v>0.34</v>
      </c>
      <c r="O27" s="72" t="s">
        <v>554</v>
      </c>
      <c r="P27" s="72"/>
      <c r="Q27" s="73"/>
      <c r="R27" s="83" t="n">
        <f aca="false">P27*12*Q27/1000</f>
        <v>0</v>
      </c>
      <c r="S27" s="60" t="str">
        <f aca="false">_xlfn.xlookup(E27,Clients!B:B,Clients!D:D,FALSE())</f>
        <v>F</v>
      </c>
      <c r="T27" s="84" t="n">
        <v>306</v>
      </c>
      <c r="U27" s="60" t="s">
        <v>551</v>
      </c>
      <c r="V27" s="61" t="s">
        <v>50</v>
      </c>
      <c r="X27" s="85" t="n">
        <f aca="false">IF(V27=Z27,N27,N27*W27)</f>
        <v>0.34</v>
      </c>
      <c r="Y27" s="61" t="str">
        <f aca="false">O27</f>
        <v>msi</v>
      </c>
      <c r="Z27" s="61" t="s">
        <v>50</v>
      </c>
      <c r="AA27" s="61"/>
      <c r="AB27" s="61"/>
    </row>
    <row r="28" customFormat="false" ht="14.25" hidden="false" customHeight="false" outlineLevel="0" collapsed="false">
      <c r="A28" s="1" t="n">
        <v>40047</v>
      </c>
      <c r="B28" s="1" t="n">
        <v>20011</v>
      </c>
      <c r="C28" s="61" t="str">
        <f aca="false">VLOOKUP(Table3[[#This Row],[Spec no]],Table2[#All],3,FALSE())</f>
        <v>AKO</v>
      </c>
      <c r="D28" s="69" t="str">
        <f aca="false">_xlfn.xlookup(B28,Table2[Spec no],Table2[Supplier Spec],FALSE())</f>
        <v>AP1019</v>
      </c>
      <c r="E28" s="15" t="s">
        <v>118</v>
      </c>
      <c r="F28" s="15" t="str">
        <f aca="false">_xlfn.xlookup(E28,Clients!B:B,Clients!D:D,FALSE())</f>
        <v>F</v>
      </c>
      <c r="G28" s="42"/>
      <c r="H28" s="15" t="s">
        <v>599</v>
      </c>
      <c r="I28" s="61" t="str">
        <f aca="false">VLOOKUP(Table3[[#This Row],[Spec no]],Table2[#All],2,FALSE())</f>
        <v>S21-1</v>
      </c>
      <c r="J28" s="61" t="str">
        <f aca="false">VLOOKUP(Table3[[#This Row],[Spec no]],Table2[#All],10,FALSE())</f>
        <v>SG - Hotmelt Adhesive</v>
      </c>
      <c r="K28" s="61" t="str">
        <f aca="false">VLOOKUP(Table3[[#This Row],[Spec no]],Table2[#All],5,FALSE())</f>
        <v>Self Adhesive Paper</v>
      </c>
      <c r="L28" s="43" t="s">
        <v>600</v>
      </c>
      <c r="M28" s="43" t="s">
        <v>601</v>
      </c>
      <c r="N28" s="43" t="n">
        <v>0.26</v>
      </c>
      <c r="O28" s="72" t="s">
        <v>554</v>
      </c>
      <c r="P28" s="72" t="n">
        <v>13</v>
      </c>
      <c r="Q28" s="73" t="n">
        <v>5000</v>
      </c>
      <c r="R28" s="83" t="n">
        <f aca="false">P28*12*Q28/1000</f>
        <v>780</v>
      </c>
      <c r="S28" s="60" t="str">
        <f aca="false">_xlfn.xlookup(E28,Clients!B:B,Clients!D:D,FALSE())</f>
        <v>F</v>
      </c>
      <c r="T28" s="84" t="n">
        <v>202.8</v>
      </c>
      <c r="U28" s="60" t="s">
        <v>551</v>
      </c>
      <c r="V28" s="61" t="s">
        <v>50</v>
      </c>
      <c r="X28" s="85" t="n">
        <f aca="false">IF(V28=Z28,N28,N28*W28)</f>
        <v>0.26</v>
      </c>
      <c r="Y28" s="61" t="str">
        <f aca="false">O28</f>
        <v>msi</v>
      </c>
      <c r="Z28" s="61" t="s">
        <v>50</v>
      </c>
      <c r="AA28" s="61" t="s">
        <v>57</v>
      </c>
      <c r="AB28" s="61" t="s">
        <v>548</v>
      </c>
    </row>
    <row r="29" customFormat="false" ht="14.25" hidden="false" customHeight="false" outlineLevel="0" collapsed="false">
      <c r="A29" s="1" t="n">
        <v>40048</v>
      </c>
      <c r="B29" s="1" t="n">
        <v>20011</v>
      </c>
      <c r="C29" s="61" t="str">
        <f aca="false">VLOOKUP(Table3[[#This Row],[Spec no]],Table2[#All],3,FALSE())</f>
        <v>AKO</v>
      </c>
      <c r="D29" s="69" t="str">
        <f aca="false">_xlfn.xlookup(B29,Table2[Spec no],Table2[Supplier Spec],FALSE())</f>
        <v>AP1019</v>
      </c>
      <c r="E29" s="15" t="s">
        <v>124</v>
      </c>
      <c r="F29" s="15" t="str">
        <f aca="false">_xlfn.xlookup(E29,Clients!B:B,Clients!D:D,FALSE())</f>
        <v>F</v>
      </c>
      <c r="G29" s="42" t="n">
        <v>2212</v>
      </c>
      <c r="H29" s="15" t="s">
        <v>602</v>
      </c>
      <c r="I29" s="61" t="str">
        <f aca="false">VLOOKUP(Table3[[#This Row],[Spec no]],Table2[#All],2,FALSE())</f>
        <v>S21-1</v>
      </c>
      <c r="J29" s="61" t="str">
        <f aca="false">VLOOKUP(Table3[[#This Row],[Spec no]],Table2[#All],10,FALSE())</f>
        <v>SG - Hotmelt Adhesive</v>
      </c>
      <c r="K29" s="61" t="str">
        <f aca="false">VLOOKUP(Table3[[#This Row],[Spec no]],Table2[#All],5,FALSE())</f>
        <v>Self Adhesive Paper</v>
      </c>
      <c r="L29" s="61" t="str">
        <f aca="false">IF(F29="F","Larg: "&amp;P29&amp;"po   Long: "&amp;Q29&amp;"pi","W: "&amp;P29&amp;"in   L: "&amp;Q29&amp;"ft")</f>
        <v>Larg: 12po   Long: 5000pi</v>
      </c>
      <c r="N29" s="43" t="n">
        <v>0.27</v>
      </c>
      <c r="O29" s="72" t="s">
        <v>554</v>
      </c>
      <c r="P29" s="72" t="n">
        <v>12</v>
      </c>
      <c r="Q29" s="73" t="n">
        <v>5000</v>
      </c>
      <c r="R29" s="83" t="n">
        <f aca="false">P29*12*Q29/1000</f>
        <v>720</v>
      </c>
      <c r="S29" s="60" t="str">
        <f aca="false">_xlfn.xlookup(E29,Clients!B:B,Clients!D:D,FALSE())</f>
        <v>F</v>
      </c>
      <c r="T29" s="84" t="n">
        <v>194.4</v>
      </c>
      <c r="U29" s="60" t="s">
        <v>551</v>
      </c>
      <c r="V29" s="61" t="s">
        <v>50</v>
      </c>
      <c r="X29" s="85" t="n">
        <f aca="false">IF(V29=Z29,N29,N29*W29)</f>
        <v>0.27</v>
      </c>
      <c r="Y29" s="61" t="str">
        <f aca="false">O29</f>
        <v>msi</v>
      </c>
      <c r="Z29" s="61" t="s">
        <v>50</v>
      </c>
      <c r="AA29" s="61" t="s">
        <v>57</v>
      </c>
      <c r="AB29" s="61" t="s">
        <v>548</v>
      </c>
    </row>
    <row r="30" customFormat="false" ht="16.4" hidden="false" customHeight="false" outlineLevel="0" collapsed="false">
      <c r="A30" s="1" t="n">
        <v>40049</v>
      </c>
      <c r="B30" s="1" t="n">
        <v>20012</v>
      </c>
      <c r="C30" s="61" t="str">
        <f aca="false">VLOOKUP(Table3[[#This Row],[Spec no]],Table2[#All],3,FALSE())</f>
        <v>AKO</v>
      </c>
      <c r="D30" s="69" t="str">
        <f aca="false">_xlfn.xlookup(B30,Table2[Spec no],Table2[Supplier Spec],FALSE())</f>
        <v>AR316 (AH2002)</v>
      </c>
      <c r="E30" s="15" t="s">
        <v>134</v>
      </c>
      <c r="F30" s="15" t="str">
        <f aca="false">_xlfn.xlookup(E30,Clients!B:B,Clients!D:D,FALSE())</f>
        <v>F</v>
      </c>
      <c r="G30" s="42"/>
      <c r="H30" s="15" t="s">
        <v>589</v>
      </c>
      <c r="I30" s="61" t="str">
        <f aca="false">VLOOKUP(Table3[[#This Row],[Spec no]],Table2[#All],2,FALSE())</f>
        <v>D21-1</v>
      </c>
      <c r="J30" s="61" t="str">
        <f aca="false">VLOOKUP(Table3[[#This Row],[Spec no]],Table2[#All],10,FALSE())</f>
        <v>TC DT - Hotmelt Adhesive</v>
      </c>
      <c r="K30" s="61" t="str">
        <f aca="false">VLOOKUP(Table3[[#This Row],[Spec no]],Table2[#All],5,FALSE())</f>
        <v>Self Adhesive Paper</v>
      </c>
      <c r="L30" s="43" t="s">
        <v>603</v>
      </c>
      <c r="M30" s="43" t="s">
        <v>604</v>
      </c>
      <c r="N30" s="43" t="n">
        <v>0.466</v>
      </c>
      <c r="O30" s="72" t="s">
        <v>554</v>
      </c>
      <c r="P30" s="72" t="n">
        <v>12.875</v>
      </c>
      <c r="Q30" s="73" t="n">
        <v>5000</v>
      </c>
      <c r="R30" s="83" t="n">
        <f aca="false">P30*12*Q30/1000</f>
        <v>772.5</v>
      </c>
      <c r="S30" s="60" t="str">
        <f aca="false">_xlfn.xlookup(E30,Clients!B:B,Clients!D:D,FALSE())</f>
        <v>F</v>
      </c>
      <c r="T30" s="84" t="n">
        <v>359.985</v>
      </c>
      <c r="U30" s="60" t="s">
        <v>551</v>
      </c>
      <c r="V30" s="61" t="s">
        <v>65</v>
      </c>
      <c r="W30" s="1" t="n">
        <v>1</v>
      </c>
      <c r="X30" s="85" t="n">
        <f aca="false">IF(V30=Z30,N30,N30*W30)</f>
        <v>0.466</v>
      </c>
      <c r="Y30" s="61" t="str">
        <f aca="false">O30</f>
        <v>msi</v>
      </c>
      <c r="Z30" s="61" t="s">
        <v>65</v>
      </c>
      <c r="AA30" s="61" t="s">
        <v>57</v>
      </c>
      <c r="AB30" s="61" t="n">
        <f aca="false">_xlfn.xlookup(B30,Spec!A:A,Spec!L:L,FALSE())</f>
        <v>4811.41</v>
      </c>
    </row>
    <row r="31" customFormat="false" ht="14.25" hidden="false" customHeight="false" outlineLevel="0" collapsed="false">
      <c r="A31" s="1" t="n">
        <v>40050</v>
      </c>
      <c r="B31" s="1" t="n">
        <v>20017</v>
      </c>
      <c r="C31" s="61" t="str">
        <f aca="false">VLOOKUP(Table3[[#This Row],[Spec no]],Table2[#All],3,FALSE())</f>
        <v>Jinda</v>
      </c>
      <c r="D31" s="69" t="str">
        <f aca="false">_xlfn.xlookup(B31,Table2[Spec no],Table2[Supplier Spec],FALSE())</f>
        <v>0488056</v>
      </c>
      <c r="E31" s="15" t="s">
        <v>110</v>
      </c>
      <c r="F31" s="15" t="str">
        <f aca="false">_xlfn.xlookup(E31,Clients!B:B,Clients!D:D,FALSE())</f>
        <v>F</v>
      </c>
      <c r="G31" s="42" t="s">
        <v>605</v>
      </c>
      <c r="H31" s="15" t="s">
        <v>593</v>
      </c>
      <c r="I31" s="61" t="str">
        <f aca="false">VLOOKUP(Table3[[#This Row],[Spec no]],Table2[#All],2,FALSE())</f>
        <v>B25-3</v>
      </c>
      <c r="J31" s="61" t="str">
        <f aca="false">VLOOKUP(Table3[[#This Row],[Spec no]],Table2[#All],10,FALSE())</f>
        <v>White BOPP - Acrylic Adhesive</v>
      </c>
      <c r="K31" s="61" t="str">
        <f aca="false">VLOOKUP(Table3[[#This Row],[Spec no]],Table2[#All],5,FALSE())</f>
        <v>Self Adhesive Film</v>
      </c>
      <c r="L31" s="43" t="s">
        <v>606</v>
      </c>
      <c r="M31" s="43" t="s">
        <v>604</v>
      </c>
      <c r="N31" s="43" t="n">
        <v>0.34</v>
      </c>
      <c r="O31" s="72" t="s">
        <v>554</v>
      </c>
      <c r="P31" s="72" t="n">
        <v>15</v>
      </c>
      <c r="Q31" s="73" t="n">
        <v>2500</v>
      </c>
      <c r="R31" s="83" t="n">
        <f aca="false">P31*12*Q31/1000</f>
        <v>450</v>
      </c>
      <c r="S31" s="60" t="str">
        <f aca="false">_xlfn.xlookup(E31,Clients!B:B,Clients!D:D,FALSE())</f>
        <v>F</v>
      </c>
      <c r="T31" s="84" t="n">
        <v>153</v>
      </c>
      <c r="U31" s="60" t="s">
        <v>551</v>
      </c>
      <c r="V31" s="61" t="s">
        <v>50</v>
      </c>
      <c r="X31" s="85" t="n">
        <f aca="false">IF(V31=Z31,N31,N31*W31)</f>
        <v>0.34</v>
      </c>
      <c r="Y31" s="61" t="str">
        <f aca="false">O31</f>
        <v>msi</v>
      </c>
      <c r="Z31" s="61" t="s">
        <v>50</v>
      </c>
      <c r="AA31" s="61" t="s">
        <v>57</v>
      </c>
      <c r="AB31" s="61" t="s">
        <v>348</v>
      </c>
    </row>
    <row r="32" customFormat="false" ht="14.25" hidden="false" customHeight="false" outlineLevel="0" collapsed="false">
      <c r="A32" s="1" t="n">
        <v>40051</v>
      </c>
      <c r="B32" s="1" t="n">
        <v>20016</v>
      </c>
      <c r="C32" s="61" t="str">
        <f aca="false">VLOOKUP(Table3[[#This Row],[Spec no]],Table2[#All],3,FALSE())</f>
        <v>Jinda</v>
      </c>
      <c r="D32" s="69" t="str">
        <f aca="false">_xlfn.xlookup(B32,Table2[Spec no],Table2[Supplier Spec],FALSE())</f>
        <v>0488032</v>
      </c>
      <c r="E32" s="15" t="s">
        <v>110</v>
      </c>
      <c r="F32" s="15" t="str">
        <f aca="false">_xlfn.xlookup(E32,Clients!B:B,Clients!D:D,FALSE())</f>
        <v>F</v>
      </c>
      <c r="G32" s="42" t="s">
        <v>607</v>
      </c>
      <c r="H32" s="15" t="s">
        <v>608</v>
      </c>
      <c r="I32" s="61" t="str">
        <f aca="false">VLOOKUP(Table3[[#This Row],[Spec no]],Table2[#All],2,FALSE())</f>
        <v>B15-3</v>
      </c>
      <c r="J32" s="61" t="str">
        <f aca="false">VLOOKUP(Table3[[#This Row],[Spec no]],Table2[#All],10,FALSE())</f>
        <v>Clear BOPP - Acrylic Adhesive</v>
      </c>
      <c r="K32" s="61" t="str">
        <f aca="false">VLOOKUP(Table3[[#This Row],[Spec no]],Table2[#All],5,FALSE())</f>
        <v>Self Adhesive Film</v>
      </c>
      <c r="L32" s="43" t="s">
        <v>606</v>
      </c>
      <c r="N32" s="43" t="n">
        <v>0.34</v>
      </c>
      <c r="O32" s="72" t="s">
        <v>554</v>
      </c>
      <c r="P32" s="72" t="n">
        <v>15</v>
      </c>
      <c r="Q32" s="73" t="n">
        <v>2500</v>
      </c>
      <c r="R32" s="83" t="n">
        <f aca="false">P32*12*Q32/1000</f>
        <v>450</v>
      </c>
      <c r="S32" s="60" t="str">
        <f aca="false">_xlfn.xlookup(E32,Clients!B:B,Clients!D:D,FALSE())</f>
        <v>F</v>
      </c>
      <c r="T32" s="84" t="n">
        <v>153</v>
      </c>
      <c r="U32" s="60" t="s">
        <v>551</v>
      </c>
      <c r="V32" s="61" t="s">
        <v>50</v>
      </c>
      <c r="X32" s="85" t="n">
        <f aca="false">IF(V32=Z32,N32,N32*W32)</f>
        <v>0.34</v>
      </c>
      <c r="Y32" s="61" t="str">
        <f aca="false">O32</f>
        <v>msi</v>
      </c>
      <c r="Z32" s="61" t="s">
        <v>50</v>
      </c>
      <c r="AA32" s="61" t="s">
        <v>57</v>
      </c>
      <c r="AB32" s="61" t="s">
        <v>348</v>
      </c>
    </row>
    <row r="33" customFormat="false" ht="14.25" hidden="false" customHeight="false" outlineLevel="0" collapsed="false">
      <c r="A33" s="1" t="n">
        <v>40052</v>
      </c>
      <c r="B33" s="1" t="n">
        <v>20015</v>
      </c>
      <c r="C33" s="61" t="str">
        <f aca="false">VLOOKUP(Table3[[#This Row],[Spec no]],Table2[#All],3,FALSE())</f>
        <v>Jinda</v>
      </c>
      <c r="D33" s="69" t="str">
        <f aca="false">_xlfn.xlookup(B33,Table2[Spec no],Table2[Supplier Spec],FALSE())</f>
        <v>0402105</v>
      </c>
      <c r="E33" s="15" t="s">
        <v>124</v>
      </c>
      <c r="F33" s="15" t="str">
        <f aca="false">_xlfn.xlookup(E33,Clients!B:B,Clients!D:D,FALSE())</f>
        <v>F</v>
      </c>
      <c r="G33" s="42" t="n">
        <v>2213</v>
      </c>
      <c r="H33" s="15" t="s">
        <v>586</v>
      </c>
      <c r="I33" s="61" t="str">
        <f aca="false">VLOOKUP(Table3[[#This Row],[Spec no]],Table2[#All],2,FALSE())</f>
        <v>S15-3</v>
      </c>
      <c r="J33" s="61" t="str">
        <f aca="false">VLOOKUP(Table3[[#This Row],[Spec no]],Table2[#All],10,FALSE())</f>
        <v>SG - Acrylic Adhesive</v>
      </c>
      <c r="K33" s="61" t="str">
        <f aca="false">VLOOKUP(Table3[[#This Row],[Spec no]],Table2[#All],5,FALSE())</f>
        <v>Self Adhesive Paper</v>
      </c>
      <c r="L33" s="43" t="s">
        <v>609</v>
      </c>
      <c r="N33" s="43" t="n">
        <v>0.28</v>
      </c>
      <c r="O33" s="72" t="s">
        <v>554</v>
      </c>
      <c r="P33" s="72" t="n">
        <v>13</v>
      </c>
      <c r="Q33" s="73" t="n">
        <v>5000</v>
      </c>
      <c r="R33" s="83" t="n">
        <f aca="false">P33*12*Q33/1000</f>
        <v>780</v>
      </c>
      <c r="S33" s="60" t="str">
        <f aca="false">_xlfn.xlookup(E33,Clients!B:B,Clients!D:D,FALSE())</f>
        <v>F</v>
      </c>
      <c r="T33" s="84" t="n">
        <v>218.4</v>
      </c>
      <c r="U33" s="60" t="s">
        <v>551</v>
      </c>
      <c r="V33" s="61" t="s">
        <v>50</v>
      </c>
      <c r="X33" s="85" t="n">
        <f aca="false">IF(V33=Z33,N33,N33*W33)</f>
        <v>0.28</v>
      </c>
      <c r="Y33" s="61" t="str">
        <f aca="false">O33</f>
        <v>msi</v>
      </c>
      <c r="Z33" s="61" t="s">
        <v>50</v>
      </c>
      <c r="AA33" s="61" t="s">
        <v>57</v>
      </c>
      <c r="AB33" s="61" t="s">
        <v>548</v>
      </c>
    </row>
    <row r="34" customFormat="false" ht="14.25" hidden="false" customHeight="false" outlineLevel="0" collapsed="false">
      <c r="A34" s="1" t="n">
        <v>40053</v>
      </c>
      <c r="B34" s="1" t="n">
        <v>20017</v>
      </c>
      <c r="C34" s="61" t="str">
        <f aca="false">VLOOKUP(Table3[[#This Row],[Spec no]],Table2[#All],3,FALSE())</f>
        <v>Jinda</v>
      </c>
      <c r="D34" s="69" t="str">
        <f aca="false">_xlfn.xlookup(B34,Table2[Spec no],Table2[Supplier Spec],FALSE())</f>
        <v>0488056</v>
      </c>
      <c r="E34" s="15" t="s">
        <v>124</v>
      </c>
      <c r="F34" s="15" t="str">
        <f aca="false">_xlfn.xlookup(E34,Clients!B:B,Clients!D:D,FALSE())</f>
        <v>F</v>
      </c>
      <c r="G34" s="1" t="n">
        <v>2084</v>
      </c>
      <c r="H34" s="15" t="s">
        <v>593</v>
      </c>
      <c r="I34" s="61" t="str">
        <f aca="false">VLOOKUP(Table3[[#This Row],[Spec no]],Table2[#All],2,FALSE())</f>
        <v>B25-3</v>
      </c>
      <c r="J34" s="61" t="str">
        <f aca="false">VLOOKUP(Table3[[#This Row],[Spec no]],Table2[#All],10,FALSE())</f>
        <v>White BOPP - Acrylic Adhesive</v>
      </c>
      <c r="K34" s="61" t="str">
        <f aca="false">VLOOKUP(Table3[[#This Row],[Spec no]],Table2[#All],5,FALSE())</f>
        <v>Self Adhesive Film</v>
      </c>
      <c r="L34" s="43" t="s">
        <v>609</v>
      </c>
      <c r="M34" s="43" t="s">
        <v>610</v>
      </c>
      <c r="N34" s="43" t="n">
        <v>0.33</v>
      </c>
      <c r="O34" s="72" t="s">
        <v>554</v>
      </c>
      <c r="P34" s="72" t="n">
        <v>13</v>
      </c>
      <c r="Q34" s="73" t="n">
        <v>5000</v>
      </c>
      <c r="R34" s="83" t="n">
        <f aca="false">P34*12*Q34/1000</f>
        <v>780</v>
      </c>
      <c r="S34" s="60" t="str">
        <f aca="false">_xlfn.xlookup(E34,Clients!B:B,Clients!D:D,FALSE())</f>
        <v>F</v>
      </c>
      <c r="T34" s="84" t="n">
        <v>257.4</v>
      </c>
      <c r="U34" s="60" t="s">
        <v>551</v>
      </c>
      <c r="V34" s="61" t="s">
        <v>50</v>
      </c>
      <c r="X34" s="85" t="n">
        <f aca="false">IF(V34=Z34,N34,N34*W34)</f>
        <v>0.33</v>
      </c>
      <c r="Y34" s="61" t="str">
        <f aca="false">O34</f>
        <v>msi</v>
      </c>
      <c r="Z34" s="61" t="s">
        <v>50</v>
      </c>
      <c r="AA34" s="61" t="s">
        <v>57</v>
      </c>
      <c r="AB34" s="61" t="s">
        <v>348</v>
      </c>
    </row>
    <row r="35" customFormat="false" ht="14.25" hidden="false" customHeight="false" outlineLevel="0" collapsed="false">
      <c r="A35" s="1" t="n">
        <v>40054</v>
      </c>
      <c r="B35" s="1" t="n">
        <v>20013</v>
      </c>
      <c r="C35" s="61" t="str">
        <f aca="false">VLOOKUP(Table3[[#This Row],[Spec no]],Table2[#All],3,FALSE())</f>
        <v>AKO</v>
      </c>
      <c r="D35" s="69" t="str">
        <f aca="false">_xlfn.xlookup(B35,Table2[Spec no],Table2[Supplier Spec],FALSE())</f>
        <v>Hansol TC CL74</v>
      </c>
      <c r="E35" s="15" t="s">
        <v>31</v>
      </c>
      <c r="F35" s="15" t="str">
        <f aca="false">_xlfn.xlookup(E35,Clients!B:B,Clients!D:D,FALSE())</f>
        <v>A</v>
      </c>
      <c r="G35" s="42" t="s">
        <v>611</v>
      </c>
      <c r="H35" s="15" t="s">
        <v>574</v>
      </c>
      <c r="I35" s="61" t="s">
        <v>371</v>
      </c>
      <c r="J35" s="61" t="s">
        <v>612</v>
      </c>
      <c r="K35" s="61" t="s">
        <v>320</v>
      </c>
      <c r="L35" s="43" t="s">
        <v>613</v>
      </c>
      <c r="M35" s="43" t="s">
        <v>614</v>
      </c>
      <c r="N35" s="43" t="n">
        <v>0.31</v>
      </c>
      <c r="O35" s="72" t="s">
        <v>554</v>
      </c>
      <c r="P35" s="72" t="n">
        <v>9</v>
      </c>
      <c r="Q35" s="73" t="n">
        <v>5000</v>
      </c>
      <c r="R35" s="83" t="n">
        <f aca="false">P35*12*Q35/1000</f>
        <v>540</v>
      </c>
      <c r="S35" s="60" t="str">
        <f aca="false">_xlfn.xlookup(E35,Clients!B:B,Clients!D:D,FALSE())</f>
        <v>A</v>
      </c>
      <c r="T35" s="84" t="n">
        <f aca="false">IF(O35="msi",P35*12*Q35/1000*N35,IF(O35="sqm",P35/1000*Q35,N35))</f>
        <v>167.4</v>
      </c>
      <c r="U35" s="60" t="s">
        <v>524</v>
      </c>
      <c r="V35" s="61" t="s">
        <v>50</v>
      </c>
      <c r="X35" s="85" t="n">
        <f aca="false">IF(V35=Z35,N35,N35*W35)</f>
        <v>0.31</v>
      </c>
      <c r="Y35" s="61" t="str">
        <f aca="false">O35</f>
        <v>msi</v>
      </c>
      <c r="Z35" s="61" t="s">
        <v>50</v>
      </c>
      <c r="AA35" s="61" t="s">
        <v>57</v>
      </c>
      <c r="AB35" s="61" t="n">
        <v>4811.41</v>
      </c>
    </row>
    <row r="36" customFormat="false" ht="14.25" hidden="false" customHeight="false" outlineLevel="0" collapsed="false">
      <c r="A36" s="1" t="n">
        <v>40055</v>
      </c>
      <c r="B36" s="1" t="n">
        <v>20012</v>
      </c>
      <c r="C36" s="61" t="str">
        <f aca="false">VLOOKUP(Table3[[#This Row],[Spec no]],Table2[#All],3,FALSE())</f>
        <v>AKO</v>
      </c>
      <c r="D36" s="69" t="str">
        <f aca="false">_xlfn.xlookup(B36,Table2[Spec no],Table2[Supplier Spec],FALSE())</f>
        <v>AR316 (AH2002)</v>
      </c>
      <c r="E36" s="15" t="s">
        <v>134</v>
      </c>
      <c r="F36" s="15" t="str">
        <f aca="false">_xlfn.xlookup(E36,Clients!B:B,Clients!D:D,FALSE())</f>
        <v>F</v>
      </c>
      <c r="G36" s="42"/>
      <c r="H36" s="15" t="s">
        <v>589</v>
      </c>
      <c r="I36" s="61" t="str">
        <f aca="false">VLOOKUP(Table3[[#This Row],[Spec no]],Table2[#All],2,FALSE())</f>
        <v>D21-1</v>
      </c>
      <c r="J36" s="61" t="str">
        <f aca="false">VLOOKUP(Table3[[#This Row],[Spec no]],Table2[#All],10,FALSE())</f>
        <v>TC DT - Hotmelt Adhesive</v>
      </c>
      <c r="K36" s="61" t="str">
        <f aca="false">VLOOKUP(Table3[[#This Row],[Spec no]],Table2[#All],5,FALSE())</f>
        <v>Self Adhesive Paper</v>
      </c>
      <c r="L36" s="43" t="s">
        <v>615</v>
      </c>
      <c r="N36" s="43" t="n">
        <v>0.466</v>
      </c>
      <c r="O36" s="72" t="s">
        <v>554</v>
      </c>
      <c r="P36" s="72" t="n">
        <v>12</v>
      </c>
      <c r="Q36" s="73" t="n">
        <v>5000</v>
      </c>
      <c r="R36" s="83" t="n">
        <f aca="false">P36*12*Q36/1000</f>
        <v>720</v>
      </c>
      <c r="S36" s="60" t="str">
        <f aca="false">_xlfn.xlookup(E36,Clients!B:B,Clients!D:D,FALSE())</f>
        <v>F</v>
      </c>
      <c r="T36" s="84" t="n">
        <v>335.52</v>
      </c>
      <c r="U36" s="60" t="s">
        <v>551</v>
      </c>
      <c r="V36" s="61" t="s">
        <v>65</v>
      </c>
      <c r="X36" s="85" t="n">
        <f aca="false">IF(V36=Z36,N36,N36*W36)</f>
        <v>0.466</v>
      </c>
      <c r="Y36" s="61" t="str">
        <f aca="false">O36</f>
        <v>msi</v>
      </c>
      <c r="Z36" s="61" t="s">
        <v>65</v>
      </c>
      <c r="AA36" s="61" t="s">
        <v>57</v>
      </c>
      <c r="AB36" s="61" t="n">
        <f aca="false">_xlfn.xlookup(B36,Spec!A:A,Spec!L:L,FALSE())</f>
        <v>4811.41</v>
      </c>
    </row>
    <row r="37" customFormat="false" ht="14.25" hidden="false" customHeight="false" outlineLevel="0" collapsed="false">
      <c r="A37" s="1" t="n">
        <v>40056</v>
      </c>
      <c r="B37" s="1" t="n">
        <v>20012</v>
      </c>
      <c r="C37" s="61" t="str">
        <f aca="false">VLOOKUP(Table3[[#This Row],[Spec no]],Table2[#All],3,FALSE())</f>
        <v>AKO</v>
      </c>
      <c r="D37" s="69" t="str">
        <f aca="false">_xlfn.xlookup(B37,Table2[Spec no],Table2[Supplier Spec],FALSE())</f>
        <v>AR316 (AH2002)</v>
      </c>
      <c r="E37" s="15" t="s">
        <v>134</v>
      </c>
      <c r="F37" s="15" t="str">
        <f aca="false">_xlfn.xlookup(E37,Clients!B:B,Clients!D:D,FALSE())</f>
        <v>F</v>
      </c>
      <c r="G37" s="42"/>
      <c r="H37" s="15" t="s">
        <v>589</v>
      </c>
      <c r="I37" s="61" t="str">
        <f aca="false">VLOOKUP(Table3[[#This Row],[Spec no]],Table2[#All],2,FALSE())</f>
        <v>D21-1</v>
      </c>
      <c r="J37" s="61" t="str">
        <f aca="false">VLOOKUP(Table3[[#This Row],[Spec no]],Table2[#All],10,FALSE())</f>
        <v>TC DT - Hotmelt Adhesive</v>
      </c>
      <c r="K37" s="61" t="str">
        <f aca="false">VLOOKUP(Table3[[#This Row],[Spec no]],Table2[#All],5,FALSE())</f>
        <v>Self Adhesive Paper</v>
      </c>
      <c r="L37" s="43" t="s">
        <v>616</v>
      </c>
      <c r="N37" s="43" t="n">
        <v>0.466</v>
      </c>
      <c r="O37" s="72" t="s">
        <v>554</v>
      </c>
      <c r="P37" s="72" t="n">
        <v>12</v>
      </c>
      <c r="Q37" s="73" t="n">
        <v>10000</v>
      </c>
      <c r="R37" s="83" t="n">
        <f aca="false">P37*12*Q37/1000</f>
        <v>1440</v>
      </c>
      <c r="S37" s="60" t="str">
        <f aca="false">_xlfn.xlookup(E37,Clients!B:B,Clients!D:D,FALSE())</f>
        <v>F</v>
      </c>
      <c r="T37" s="84" t="n">
        <v>671.04</v>
      </c>
      <c r="U37" s="60" t="s">
        <v>551</v>
      </c>
      <c r="V37" s="61" t="s">
        <v>65</v>
      </c>
      <c r="X37" s="85" t="n">
        <f aca="false">IF(V37=Z37,N37,N37*W37)</f>
        <v>0.466</v>
      </c>
      <c r="Y37" s="61" t="str">
        <f aca="false">O37</f>
        <v>msi</v>
      </c>
      <c r="Z37" s="61" t="s">
        <v>65</v>
      </c>
      <c r="AA37" s="61" t="s">
        <v>57</v>
      </c>
      <c r="AB37" s="61" t="n">
        <f aca="false">_xlfn.xlookup(B37,Spec!A:A,Spec!L:L,FALSE())</f>
        <v>4811.41</v>
      </c>
    </row>
    <row r="38" customFormat="false" ht="14.25" hidden="false" customHeight="false" outlineLevel="0" collapsed="false">
      <c r="A38" s="1" t="n">
        <v>40057</v>
      </c>
      <c r="B38" s="1" t="n">
        <v>20012</v>
      </c>
      <c r="C38" s="61" t="str">
        <f aca="false">VLOOKUP(Table3[[#This Row],[Spec no]],Table2[#All],3,FALSE())</f>
        <v>AKO</v>
      </c>
      <c r="D38" s="69" t="str">
        <f aca="false">_xlfn.xlookup(B38,Table2[Spec no],Table2[Supplier Spec],FALSE())</f>
        <v>AR316 (AH2002)</v>
      </c>
      <c r="E38" s="15" t="s">
        <v>134</v>
      </c>
      <c r="F38" s="15" t="str">
        <f aca="false">_xlfn.xlookup(E38,Clients!B:B,Clients!D:D,FALSE())</f>
        <v>F</v>
      </c>
      <c r="G38" s="42"/>
      <c r="H38" s="15" t="s">
        <v>589</v>
      </c>
      <c r="I38" s="61" t="str">
        <f aca="false">VLOOKUP(Table3[[#This Row],[Spec no]],Table2[#All],2,FALSE())</f>
        <v>D21-1</v>
      </c>
      <c r="J38" s="61" t="str">
        <f aca="false">VLOOKUP(Table3[[#This Row],[Spec no]],Table2[#All],10,FALSE())</f>
        <v>TC DT - Hotmelt Adhesive</v>
      </c>
      <c r="K38" s="61" t="str">
        <f aca="false">VLOOKUP(Table3[[#This Row],[Spec no]],Table2[#All],5,FALSE())</f>
        <v>Self Adhesive Paper</v>
      </c>
      <c r="L38" s="43" t="s">
        <v>617</v>
      </c>
      <c r="M38" s="43" t="s">
        <v>604</v>
      </c>
      <c r="N38" s="43" t="n">
        <v>0.466</v>
      </c>
      <c r="O38" s="72" t="s">
        <v>554</v>
      </c>
      <c r="P38" s="72" t="n">
        <v>12.875</v>
      </c>
      <c r="Q38" s="73" t="n">
        <v>10000</v>
      </c>
      <c r="R38" s="83" t="n">
        <f aca="false">P38*12*Q38/1000</f>
        <v>1545</v>
      </c>
      <c r="S38" s="60" t="str">
        <f aca="false">_xlfn.xlookup(E38,Clients!B:B,Clients!D:D,FALSE())</f>
        <v>F</v>
      </c>
      <c r="T38" s="84" t="n">
        <v>719.97</v>
      </c>
      <c r="U38" s="60" t="s">
        <v>551</v>
      </c>
      <c r="V38" s="61" t="s">
        <v>65</v>
      </c>
      <c r="X38" s="85" t="n">
        <f aca="false">IF(V38=Z38,N38,N38*W38)</f>
        <v>0.466</v>
      </c>
      <c r="Y38" s="61" t="str">
        <f aca="false">O38</f>
        <v>msi</v>
      </c>
      <c r="Z38" s="61" t="s">
        <v>65</v>
      </c>
      <c r="AA38" s="61" t="s">
        <v>57</v>
      </c>
      <c r="AB38" s="61" t="n">
        <f aca="false">_xlfn.xlookup(B38,Spec!A:A,Spec!L:L,FALSE())</f>
        <v>4811.41</v>
      </c>
    </row>
    <row r="39" customFormat="false" ht="16.4" hidden="false" customHeight="false" outlineLevel="0" collapsed="false">
      <c r="A39" s="1" t="n">
        <v>40058</v>
      </c>
      <c r="B39" s="1" t="n">
        <v>20012</v>
      </c>
      <c r="C39" s="61" t="s">
        <v>92</v>
      </c>
      <c r="D39" s="69" t="str">
        <f aca="false">_xlfn.xlookup(B39,Table2[Spec no],Table2[Supplier Spec],FALSE())</f>
        <v>AR316 (AH2002)</v>
      </c>
      <c r="E39" s="15" t="s">
        <v>100</v>
      </c>
      <c r="F39" s="15" t="str">
        <f aca="false">_xlfn.xlookup(E39,Clients!B:B,Clients!D:D,FALSE())</f>
        <v>F</v>
      </c>
      <c r="G39" s="42" t="s">
        <v>588</v>
      </c>
      <c r="H39" s="15" t="s">
        <v>589</v>
      </c>
      <c r="I39" s="61" t="str">
        <f aca="false">VLOOKUP(Table3[[#This Row],[Spec no]],Table2[#All],2,FALSE())</f>
        <v>D21-1</v>
      </c>
      <c r="J39" s="61" t="str">
        <f aca="false">VLOOKUP(Table3[[#This Row],[Spec no]],Table2[#All],10,FALSE())</f>
        <v>TC DT - Hotmelt Adhesive</v>
      </c>
      <c r="K39" s="61" t="str">
        <f aca="false">VLOOKUP(Table3[[#This Row],[Spec no]],Table2[#All],5,FALSE())</f>
        <v>Self Adhesive Paper</v>
      </c>
      <c r="L39" s="43" t="s">
        <v>618</v>
      </c>
      <c r="M39" s="43" t="s">
        <v>619</v>
      </c>
      <c r="N39" s="43" t="n">
        <v>0.32</v>
      </c>
      <c r="O39" s="72" t="s">
        <v>554</v>
      </c>
      <c r="P39" s="72" t="n">
        <v>9.25</v>
      </c>
      <c r="Q39" s="73" t="n">
        <v>5000</v>
      </c>
      <c r="R39" s="83" t="n">
        <f aca="false">P39*12*Q39/1000</f>
        <v>555</v>
      </c>
      <c r="S39" s="60" t="str">
        <f aca="false">_xlfn.xlookup(E39,Clients!B:B,Clients!D:D,FALSE())</f>
        <v>F</v>
      </c>
      <c r="T39" s="84" t="n">
        <v>248.64</v>
      </c>
      <c r="U39" s="60" t="s">
        <v>551</v>
      </c>
      <c r="V39" s="61" t="s">
        <v>50</v>
      </c>
      <c r="W39" s="1" t="n">
        <v>1.4</v>
      </c>
      <c r="X39" s="61" t="n">
        <f aca="false">IF(V39=Z39,N39,N39*W39)</f>
        <v>0.448</v>
      </c>
      <c r="Y39" s="61" t="str">
        <f aca="false">O39</f>
        <v>msi</v>
      </c>
      <c r="Z39" s="61" t="s">
        <v>65</v>
      </c>
      <c r="AA39" s="61" t="s">
        <v>57</v>
      </c>
      <c r="AB39" s="61" t="s">
        <v>548</v>
      </c>
    </row>
    <row r="40" customFormat="false" ht="16.4" hidden="false" customHeight="false" outlineLevel="0" collapsed="false">
      <c r="A40" s="1" t="n">
        <v>40059</v>
      </c>
      <c r="B40" s="1" t="n">
        <v>20012</v>
      </c>
      <c r="C40" s="61" t="s">
        <v>92</v>
      </c>
      <c r="D40" s="69" t="str">
        <f aca="false">_xlfn.xlookup(B40,Table2[Spec no],Table2[Supplier Spec],FALSE())</f>
        <v>AR316 (AH2002)</v>
      </c>
      <c r="E40" s="15" t="s">
        <v>100</v>
      </c>
      <c r="F40" s="15" t="str">
        <f aca="false">_xlfn.xlookup(E40,Clients!B:B,Clients!D:D,FALSE())</f>
        <v>F</v>
      </c>
      <c r="G40" s="42" t="s">
        <v>588</v>
      </c>
      <c r="H40" s="15" t="s">
        <v>589</v>
      </c>
      <c r="I40" s="61" t="str">
        <f aca="false">VLOOKUP(Table3[[#This Row],[Spec no]],Table2[#All],2,FALSE())</f>
        <v>D21-1</v>
      </c>
      <c r="J40" s="61" t="str">
        <f aca="false">VLOOKUP(Table3[[#This Row],[Spec no]],Table2[#All],10,FALSE())</f>
        <v>TC DT - Hotmelt Adhesive</v>
      </c>
      <c r="K40" s="61" t="str">
        <f aca="false">VLOOKUP(Table3[[#This Row],[Spec no]],Table2[#All],5,FALSE())</f>
        <v>Self Adhesive Paper</v>
      </c>
      <c r="L40" s="43" t="s">
        <v>620</v>
      </c>
      <c r="M40" s="43" t="s">
        <v>619</v>
      </c>
      <c r="N40" s="43" t="n">
        <v>0.32</v>
      </c>
      <c r="O40" s="72" t="s">
        <v>554</v>
      </c>
      <c r="P40" s="72" t="n">
        <v>4.5</v>
      </c>
      <c r="Q40" s="73" t="n">
        <v>5000</v>
      </c>
      <c r="R40" s="83" t="n">
        <f aca="false">P40*12*Q40/1000</f>
        <v>270</v>
      </c>
      <c r="S40" s="60" t="str">
        <f aca="false">_xlfn.xlookup(E40,Clients!B:B,Clients!D:D,FALSE())</f>
        <v>F</v>
      </c>
      <c r="T40" s="84" t="n">
        <v>120.96</v>
      </c>
      <c r="U40" s="60" t="s">
        <v>551</v>
      </c>
      <c r="V40" s="61" t="str">
        <f aca="false">_xlfn.xlookup(E40,Clients!B:B,Clients!X:X,FALSE())</f>
        <v>CAD</v>
      </c>
      <c r="W40" s="1" t="n">
        <v>1.4</v>
      </c>
      <c r="X40" s="85" t="n">
        <f aca="false">IF(V40=Z40,N40,N40*W40)</f>
        <v>0.32</v>
      </c>
      <c r="Y40" s="61" t="str">
        <f aca="false">O40</f>
        <v>msi</v>
      </c>
      <c r="Z40" s="61" t="str">
        <f aca="false">_xlfn.xlookup(E40,Clients!B:B,Clients!Y:Y,FALSE())</f>
        <v>CAD</v>
      </c>
      <c r="AA40" s="61" t="s">
        <v>57</v>
      </c>
      <c r="AB40" s="61" t="s">
        <v>548</v>
      </c>
    </row>
    <row r="41" customFormat="false" ht="14.25" hidden="false" customHeight="false" outlineLevel="0" collapsed="false">
      <c r="A41" s="1" t="n">
        <v>40060</v>
      </c>
      <c r="B41" s="1" t="n">
        <v>20012</v>
      </c>
      <c r="C41" s="61" t="str">
        <f aca="false">VLOOKUP(Table3[[#This Row],[Spec no]],Table2[#All],3,FALSE())</f>
        <v>AKO</v>
      </c>
      <c r="D41" s="69" t="str">
        <f aca="false">_xlfn.xlookup(B41,Table2[Spec no],Table2[Supplier Spec],FALSE())</f>
        <v>AR316 (AH2002)</v>
      </c>
      <c r="E41" s="15" t="s">
        <v>134</v>
      </c>
      <c r="F41" s="15" t="str">
        <f aca="false">_xlfn.xlookup(E41,Clients!B:B,Clients!D:D,FALSE())</f>
        <v>F</v>
      </c>
      <c r="G41" s="42"/>
      <c r="H41" s="15" t="s">
        <v>589</v>
      </c>
      <c r="I41" s="61" t="str">
        <f aca="false">VLOOKUP(Table3[[#This Row],[Spec no]],Table2[#All],2,FALSE())</f>
        <v>D21-1</v>
      </c>
      <c r="J41" s="61" t="str">
        <f aca="false">VLOOKUP(Table3[[#This Row],[Spec no]],Table2[#All],10,FALSE())</f>
        <v>TC DT - Hotmelt Adhesive</v>
      </c>
      <c r="K41" s="61" t="str">
        <f aca="false">VLOOKUP(Table3[[#This Row],[Spec no]],Table2[#All],5,FALSE())</f>
        <v>Self Adhesive Paper</v>
      </c>
      <c r="L41" s="43" t="s">
        <v>621</v>
      </c>
      <c r="N41" s="43" t="n">
        <v>0.466</v>
      </c>
      <c r="O41" s="72" t="s">
        <v>554</v>
      </c>
      <c r="P41" s="72" t="n">
        <v>8.75</v>
      </c>
      <c r="Q41" s="73" t="n">
        <v>10000</v>
      </c>
      <c r="R41" s="83" t="n">
        <f aca="false">P41*12*Q41/1000</f>
        <v>1050</v>
      </c>
      <c r="S41" s="60" t="str">
        <f aca="false">_xlfn.xlookup(E41,Clients!B:B,Clients!D:D,FALSE())</f>
        <v>F</v>
      </c>
      <c r="T41" s="84" t="n">
        <v>489.3</v>
      </c>
      <c r="U41" s="60" t="s">
        <v>551</v>
      </c>
      <c r="V41" s="61" t="str">
        <f aca="false">_xlfn.xlookup(E41,Clients!B:B,Clients!X:X,FALSE())</f>
        <v>CAD</v>
      </c>
      <c r="X41" s="85" t="n">
        <f aca="false">IF(V41=Z41,N41,N41*W41)</f>
        <v>0.466</v>
      </c>
      <c r="Y41" s="61" t="str">
        <f aca="false">O41</f>
        <v>msi</v>
      </c>
      <c r="Z41" s="61" t="str">
        <f aca="false">_xlfn.xlookup(E41,Clients!B:B,Clients!Y:Y,FALSE())</f>
        <v>CAD</v>
      </c>
      <c r="AA41" s="61" t="s">
        <v>57</v>
      </c>
      <c r="AB41" s="61" t="n">
        <f aca="false">_xlfn.xlookup(B41,Spec!A:A,Spec!L:L,FALSE())</f>
        <v>4811.41</v>
      </c>
    </row>
    <row r="42" customFormat="false" ht="14.25" hidden="false" customHeight="false" outlineLevel="0" collapsed="false">
      <c r="A42" s="1" t="n">
        <v>40061</v>
      </c>
      <c r="B42" s="1" t="n">
        <v>20012</v>
      </c>
      <c r="C42" s="61" t="str">
        <f aca="false">VLOOKUP(Table3[[#This Row],[Spec no]],Table2[#All],3,FALSE())</f>
        <v>AKO</v>
      </c>
      <c r="D42" s="69" t="str">
        <f aca="false">_xlfn.xlookup(B42,Table2[Spec no],Table2[Supplier Spec],FALSE())</f>
        <v>AR316 (AH2002)</v>
      </c>
      <c r="E42" s="15" t="s">
        <v>134</v>
      </c>
      <c r="F42" s="15" t="str">
        <f aca="false">_xlfn.xlookup(E42,Clients!B:B,Clients!D:D,FALSE())</f>
        <v>F</v>
      </c>
      <c r="G42" s="42"/>
      <c r="H42" s="15" t="s">
        <v>589</v>
      </c>
      <c r="I42" s="61" t="str">
        <f aca="false">VLOOKUP(Table3[[#This Row],[Spec no]],Table2[#All],2,FALSE())</f>
        <v>D21-1</v>
      </c>
      <c r="J42" s="61" t="str">
        <f aca="false">VLOOKUP(Table3[[#This Row],[Spec no]],Table2[#All],10,FALSE())</f>
        <v>TC DT - Hotmelt Adhesive</v>
      </c>
      <c r="K42" s="61" t="str">
        <f aca="false">VLOOKUP(Table3[[#This Row],[Spec no]],Table2[#All],5,FALSE())</f>
        <v>Self Adhesive Paper</v>
      </c>
      <c r="L42" s="43" t="s">
        <v>622</v>
      </c>
      <c r="N42" s="43" t="n">
        <v>0.466</v>
      </c>
      <c r="O42" s="72" t="s">
        <v>554</v>
      </c>
      <c r="P42" s="72" t="n">
        <v>7.5</v>
      </c>
      <c r="Q42" s="73" t="n">
        <v>10000</v>
      </c>
      <c r="R42" s="83" t="n">
        <f aca="false">P42*12*Q42/1000</f>
        <v>900</v>
      </c>
      <c r="S42" s="60" t="str">
        <f aca="false">_xlfn.xlookup(E42,Clients!B:B,Clients!D:D,FALSE())</f>
        <v>F</v>
      </c>
      <c r="T42" s="84" t="n">
        <v>419.4</v>
      </c>
      <c r="U42" s="60" t="s">
        <v>551</v>
      </c>
      <c r="V42" s="61" t="str">
        <f aca="false">_xlfn.xlookup(E42,Clients!B:B,Clients!X:X,FALSE())</f>
        <v>CAD</v>
      </c>
      <c r="X42" s="85" t="n">
        <f aca="false">IF(V42=Z42,N42,N42*W42)</f>
        <v>0.466</v>
      </c>
      <c r="Y42" s="61" t="str">
        <f aca="false">O42</f>
        <v>msi</v>
      </c>
      <c r="Z42" s="61" t="str">
        <f aca="false">_xlfn.xlookup(E42,Clients!B:B,Clients!Y:Y,FALSE())</f>
        <v>CAD</v>
      </c>
      <c r="AA42" s="61" t="s">
        <v>57</v>
      </c>
      <c r="AB42" s="61" t="n">
        <f aca="false">_xlfn.xlookup(B42,Spec!A:A,Spec!L:L,FALSE())</f>
        <v>4811.41</v>
      </c>
    </row>
    <row r="43" customFormat="false" ht="14.25" hidden="false" customHeight="false" outlineLevel="0" collapsed="false">
      <c r="A43" s="1" t="n">
        <v>40062</v>
      </c>
      <c r="B43" s="1" t="n">
        <v>20017</v>
      </c>
      <c r="C43" s="61" t="str">
        <f aca="false">VLOOKUP(Table3[[#This Row],[Spec no]],Table2[#All],3,FALSE())</f>
        <v>Jinda</v>
      </c>
      <c r="D43" s="69" t="str">
        <f aca="false">_xlfn.xlookup(B43,Table2[Spec no],Table2[Supplier Spec],FALSE())</f>
        <v>0488056</v>
      </c>
      <c r="E43" s="15" t="s">
        <v>110</v>
      </c>
      <c r="F43" s="15" t="str">
        <f aca="false">_xlfn.xlookup(E43,Clients!B:B,Clients!D:D,FALSE())</f>
        <v>F</v>
      </c>
      <c r="G43" s="42" t="s">
        <v>605</v>
      </c>
      <c r="H43" s="15" t="s">
        <v>593</v>
      </c>
      <c r="I43" s="61" t="str">
        <f aca="false">VLOOKUP(Table3[[#This Row],[Spec no]],Table2[#All],2,FALSE())</f>
        <v>B25-3</v>
      </c>
      <c r="J43" s="61" t="str">
        <f aca="false">VLOOKUP(Table3[[#This Row],[Spec no]],Table2[#All],10,FALSE())</f>
        <v>White BOPP - Acrylic Adhesive</v>
      </c>
      <c r="K43" s="61" t="str">
        <f aca="false">VLOOKUP(Table3[[#This Row],[Spec no]],Table2[#All],5,FALSE())</f>
        <v>Self Adhesive Film</v>
      </c>
      <c r="L43" s="43" t="s">
        <v>623</v>
      </c>
      <c r="M43" s="43" t="s">
        <v>604</v>
      </c>
      <c r="N43" s="43" t="n">
        <v>0.34</v>
      </c>
      <c r="O43" s="43" t="s">
        <v>554</v>
      </c>
      <c r="P43" s="72" t="n">
        <v>15</v>
      </c>
      <c r="Q43" s="73" t="n">
        <v>4100</v>
      </c>
      <c r="R43" s="83" t="n">
        <f aca="false">P43*12*Q43/1000</f>
        <v>738</v>
      </c>
      <c r="S43" s="60" t="str">
        <f aca="false">_xlfn.xlookup(E43,Clients!B:B,Clients!D:D,FALSE())</f>
        <v>F</v>
      </c>
      <c r="T43" s="84" t="n">
        <f aca="false">IF(O43="msi",P43*12*Q43/1000*N43,IF(O43="sqm",P43/1000*Q43,N43))</f>
        <v>250.92</v>
      </c>
      <c r="U43" s="60" t="s">
        <v>551</v>
      </c>
      <c r="V43" s="61" t="str">
        <f aca="false">_xlfn.xlookup(E43,Clients!B:B,Clients!X:X,FALSE())</f>
        <v>USD</v>
      </c>
      <c r="X43" s="85" t="n">
        <f aca="false">IF(V43=Z43,N43,N43*W43)</f>
        <v>0.34</v>
      </c>
      <c r="Y43" s="61" t="str">
        <f aca="false">O43</f>
        <v>msi</v>
      </c>
      <c r="Z43" s="61" t="str">
        <f aca="false">_xlfn.xlookup(E43,Clients!B:B,Clients!Y:Y,FALSE())</f>
        <v>USD</v>
      </c>
      <c r="AA43" s="61" t="str">
        <f aca="false">_xlfn.xlookup(B43,Spec!A:A,Spec!K:K,FALSE())</f>
        <v>Canada</v>
      </c>
      <c r="AB43" s="61" t="str">
        <f aca="false">_xlfn.xlookup(B43,Spec!A:A,Spec!L:L,FALSE())</f>
        <v>3919.90</v>
      </c>
    </row>
    <row r="44" customFormat="false" ht="16.4" hidden="false" customHeight="false" outlineLevel="0" collapsed="false">
      <c r="A44" s="1" t="n">
        <v>40063</v>
      </c>
      <c r="B44" s="1" t="n">
        <v>20017</v>
      </c>
      <c r="C44" s="61" t="str">
        <f aca="false">VLOOKUP(Table3[[#This Row],[Spec no]],Table2[#All],3,FALSE())</f>
        <v>Jinda</v>
      </c>
      <c r="D44" s="69" t="str">
        <f aca="false">_xlfn.xlookup(B44,Table2[Spec no],Table2[Supplier Spec],FALSE())</f>
        <v>0488056</v>
      </c>
      <c r="E44" s="15" t="s">
        <v>141</v>
      </c>
      <c r="F44" s="15" t="str">
        <f aca="false">_xlfn.xlookup(E44,Clients!B:B,Clients!D:D,FALSE())</f>
        <v>F</v>
      </c>
      <c r="G44" s="42"/>
      <c r="H44" s="15" t="s">
        <v>593</v>
      </c>
      <c r="I44" s="61" t="str">
        <f aca="false">VLOOKUP(Table3[[#This Row],[Spec no]],Table2[#All],2,FALSE())</f>
        <v>B25-3</v>
      </c>
      <c r="J44" s="61" t="str">
        <f aca="false">VLOOKUP(Table3[[#This Row],[Spec no]],Table2[#All],10,FALSE())</f>
        <v>White BOPP - Acrylic Adhesive</v>
      </c>
      <c r="K44" s="61" t="str">
        <f aca="false">VLOOKUP(Table3[[#This Row],[Spec no]],Table2[#All],5,FALSE())</f>
        <v>Self Adhesive Film</v>
      </c>
      <c r="L44" s="43" t="s">
        <v>624</v>
      </c>
      <c r="N44" s="43" t="n">
        <v>0</v>
      </c>
      <c r="O44" s="43" t="s">
        <v>554</v>
      </c>
      <c r="P44" s="72" t="n">
        <v>10</v>
      </c>
      <c r="Q44" s="73" t="n">
        <v>2500</v>
      </c>
      <c r="R44" s="83" t="n">
        <f aca="false">P44*12*Q44/1000</f>
        <v>300</v>
      </c>
      <c r="S44" s="61" t="str">
        <f aca="false">_xlfn.xlookup(E44,Clients!B:B,Clients!D:D,FALSE())</f>
        <v>F</v>
      </c>
      <c r="T44" s="84" t="n">
        <f aca="false">IF(O44="msi",P44*12*Q44/1000*N44,IF(O44="sqm",P44/1000*Q44,N44))</f>
        <v>0</v>
      </c>
      <c r="U44" s="60" t="s">
        <v>551</v>
      </c>
      <c r="V44" s="61" t="str">
        <f aca="false">_xlfn.xlookup(E44,Clients!B:B,Clients!X:X,FALSE())</f>
        <v>CAD</v>
      </c>
      <c r="W44" s="1" t="n">
        <v>1</v>
      </c>
      <c r="X44" s="85" t="n">
        <f aca="false">IF(V44=Z44,N44,N44*W44)</f>
        <v>0</v>
      </c>
      <c r="Y44" s="61" t="str">
        <f aca="false">O44</f>
        <v>msi</v>
      </c>
      <c r="Z44" s="61" t="str">
        <f aca="false">_xlfn.xlookup(E44,Clients!B:B,Clients!Y:Y,FALSE())</f>
        <v>CAD</v>
      </c>
      <c r="AA44" s="61" t="str">
        <f aca="false">_xlfn.xlookup(B44,Spec!A:A,Spec!K:K,FALSE())</f>
        <v>Canada</v>
      </c>
      <c r="AB44" s="61" t="str">
        <f aca="false">_xlfn.xlookup(B44,Spec!A:A,Spec!L:L,FALSE())</f>
        <v>3919.90</v>
      </c>
    </row>
    <row r="45" customFormat="false" ht="16.4" hidden="false" customHeight="false" outlineLevel="0" collapsed="false">
      <c r="A45" s="1" t="n">
        <v>40064</v>
      </c>
      <c r="B45" s="1" t="n">
        <v>20017</v>
      </c>
      <c r="C45" s="61" t="str">
        <f aca="false">VLOOKUP(Table3[[#This Row],[Spec no]],Table2[#All],3,FALSE())</f>
        <v>Jinda</v>
      </c>
      <c r="D45" s="69" t="str">
        <f aca="false">_xlfn.xlookup(B45,Table2[Spec no],Table2[Supplier Spec],FALSE())</f>
        <v>0488056</v>
      </c>
      <c r="E45" s="15" t="s">
        <v>141</v>
      </c>
      <c r="F45" s="15" t="str">
        <f aca="false">_xlfn.xlookup(E45,Clients!B:B,Clients!D:D,FALSE())</f>
        <v>F</v>
      </c>
      <c r="G45" s="42"/>
      <c r="H45" s="15" t="s">
        <v>593</v>
      </c>
      <c r="I45" s="61" t="str">
        <f aca="false">VLOOKUP(Table3[[#This Row],[Spec no]],Table2[#All],2,FALSE())</f>
        <v>B25-3</v>
      </c>
      <c r="J45" s="61" t="str">
        <f aca="false">VLOOKUP(Table3[[#This Row],[Spec no]],Table2[#All],10,FALSE())</f>
        <v>White BOPP - Acrylic Adhesive</v>
      </c>
      <c r="K45" s="61" t="str">
        <f aca="false">VLOOKUP(Table3[[#This Row],[Spec no]],Table2[#All],5,FALSE())</f>
        <v>Self Adhesive Film</v>
      </c>
      <c r="L45" s="43" t="s">
        <v>625</v>
      </c>
      <c r="N45" s="43" t="n">
        <v>0</v>
      </c>
      <c r="O45" s="43" t="s">
        <v>554</v>
      </c>
      <c r="P45" s="72" t="n">
        <v>13</v>
      </c>
      <c r="Q45" s="73" t="n">
        <v>2500</v>
      </c>
      <c r="R45" s="83" t="n">
        <f aca="false">P45*12*Q45/1000</f>
        <v>390</v>
      </c>
      <c r="S45" s="61" t="str">
        <f aca="false">_xlfn.xlookup(E45,Clients!B:B,Clients!D:D,FALSE())</f>
        <v>F</v>
      </c>
      <c r="T45" s="84" t="n">
        <f aca="false">IF(O45="msi",P45*12*Q45/1000*N45,IF(O45="sqm",P45/1000*Q45,N45))</f>
        <v>0</v>
      </c>
      <c r="U45" s="60" t="s">
        <v>551</v>
      </c>
      <c r="V45" s="61" t="str">
        <f aca="false">_xlfn.xlookup(E45,Clients!B:B,Clients!X:X,FALSE())</f>
        <v>CAD</v>
      </c>
      <c r="W45" s="1" t="n">
        <v>1</v>
      </c>
      <c r="X45" s="85" t="n">
        <f aca="false">IF(V45=Z45,N45,N45*W45)</f>
        <v>0</v>
      </c>
      <c r="Y45" s="61" t="str">
        <f aca="false">O45</f>
        <v>msi</v>
      </c>
      <c r="Z45" s="61" t="str">
        <f aca="false">_xlfn.xlookup(E45,Clients!B:B,Clients!Y:Y,FALSE())</f>
        <v>CAD</v>
      </c>
      <c r="AA45" s="61" t="str">
        <f aca="false">_xlfn.xlookup(B45,Spec!A:A,Spec!K:K,FALSE())</f>
        <v>Canada</v>
      </c>
      <c r="AB45" s="61" t="str">
        <f aca="false">_xlfn.xlookup(B45,Spec!A:A,Spec!L:L,FALSE())</f>
        <v>3919.90</v>
      </c>
    </row>
    <row r="46" customFormat="false" ht="16.4" hidden="false" customHeight="false" outlineLevel="0" collapsed="false">
      <c r="A46" s="1" t="n">
        <v>40065</v>
      </c>
      <c r="B46" s="1" t="n">
        <v>20011</v>
      </c>
      <c r="C46" s="61" t="str">
        <f aca="false">VLOOKUP(Table3[[#This Row],[Spec no]],Table2[#All],3,FALSE())</f>
        <v>AKO</v>
      </c>
      <c r="D46" s="69" t="str">
        <f aca="false">_xlfn.xlookup(B46,Table2[Spec no],Table2[Supplier Spec],FALSE())</f>
        <v>AP1019</v>
      </c>
      <c r="E46" s="15" t="s">
        <v>141</v>
      </c>
      <c r="F46" s="15" t="str">
        <f aca="false">_xlfn.xlookup(E46,Clients!B:B,Clients!D:D,FALSE())</f>
        <v>F</v>
      </c>
      <c r="G46" s="42"/>
      <c r="H46" s="15" t="s">
        <v>602</v>
      </c>
      <c r="I46" s="61" t="str">
        <f aca="false">VLOOKUP(Table3[[#This Row],[Spec no]],Table2[#All],2,FALSE())</f>
        <v>S21-1</v>
      </c>
      <c r="J46" s="61" t="str">
        <f aca="false">VLOOKUP(Table3[[#This Row],[Spec no]],Table2[#All],10,FALSE())</f>
        <v>SG - Hotmelt Adhesive</v>
      </c>
      <c r="K46" s="61" t="str">
        <f aca="false">VLOOKUP(Table3[[#This Row],[Spec no]],Table2[#All],5,FALSE())</f>
        <v>Self Adhesive Paper</v>
      </c>
      <c r="L46" s="43" t="s">
        <v>626</v>
      </c>
      <c r="N46" s="43" t="n">
        <v>0</v>
      </c>
      <c r="O46" s="43" t="s">
        <v>554</v>
      </c>
      <c r="P46" s="72" t="n">
        <v>10</v>
      </c>
      <c r="Q46" s="73" t="n">
        <v>2500</v>
      </c>
      <c r="R46" s="83" t="n">
        <f aca="false">P46*12*Q46/1000</f>
        <v>300</v>
      </c>
      <c r="S46" s="61" t="str">
        <f aca="false">_xlfn.xlookup(E46,Clients!B:B,Clients!D:D,FALSE())</f>
        <v>F</v>
      </c>
      <c r="T46" s="84" t="n">
        <f aca="false">IF(O46="msi",P46*12*Q46/1000*N46,IF(O46="sqm",P46/1000*Q46,N46))</f>
        <v>0</v>
      </c>
      <c r="U46" s="60" t="s">
        <v>551</v>
      </c>
      <c r="V46" s="61" t="str">
        <f aca="false">_xlfn.xlookup(E46,Clients!B:B,Clients!X:X,FALSE())</f>
        <v>CAD</v>
      </c>
      <c r="W46" s="1" t="n">
        <v>1</v>
      </c>
      <c r="X46" s="85" t="n">
        <f aca="false">IF(V46=Z46,N46,N46*W46)</f>
        <v>0</v>
      </c>
      <c r="Y46" s="61" t="str">
        <f aca="false">O46</f>
        <v>msi</v>
      </c>
      <c r="Z46" s="61" t="str">
        <f aca="false">_xlfn.xlookup(E46,Clients!B:B,Clients!Y:Y,FALSE())</f>
        <v>CAD</v>
      </c>
      <c r="AA46" s="61" t="str">
        <f aca="false">_xlfn.xlookup(B46,Spec!A:A,Spec!K:K,FALSE())</f>
        <v>Canada</v>
      </c>
      <c r="AB46" s="61" t="n">
        <f aca="false">_xlfn.xlookup(B46,Spec!A:A,Spec!L:L,FALSE())</f>
        <v>4811.41</v>
      </c>
    </row>
    <row r="47" customFormat="false" ht="16.4" hidden="false" customHeight="false" outlineLevel="0" collapsed="false">
      <c r="A47" s="1" t="n">
        <v>40066</v>
      </c>
      <c r="B47" s="1" t="n">
        <v>20011</v>
      </c>
      <c r="C47" s="61" t="str">
        <f aca="false">VLOOKUP(Table3[[#This Row],[Spec no]],Table2[#All],3,FALSE())</f>
        <v>AKO</v>
      </c>
      <c r="D47" s="69" t="str">
        <f aca="false">_xlfn.xlookup(B47,Table2[Spec no],Table2[Supplier Spec],FALSE())</f>
        <v>AP1019</v>
      </c>
      <c r="E47" s="15" t="s">
        <v>141</v>
      </c>
      <c r="F47" s="15" t="str">
        <f aca="false">_xlfn.xlookup(E47,Clients!B:B,Clients!D:D,FALSE())</f>
        <v>F</v>
      </c>
      <c r="G47" s="42"/>
      <c r="H47" s="15" t="s">
        <v>602</v>
      </c>
      <c r="I47" s="61" t="str">
        <f aca="false">VLOOKUP(Table3[[#This Row],[Spec no]],Table2[#All],2,FALSE())</f>
        <v>S21-1</v>
      </c>
      <c r="J47" s="61" t="str">
        <f aca="false">VLOOKUP(Table3[[#This Row],[Spec no]],Table2[#All],10,FALSE())</f>
        <v>SG - Hotmelt Adhesive</v>
      </c>
      <c r="K47" s="61" t="str">
        <f aca="false">VLOOKUP(Table3[[#This Row],[Spec no]],Table2[#All],5,FALSE())</f>
        <v>Self Adhesive Paper</v>
      </c>
      <c r="L47" s="43" t="s">
        <v>627</v>
      </c>
      <c r="N47" s="43" t="n">
        <v>0</v>
      </c>
      <c r="O47" s="43" t="s">
        <v>554</v>
      </c>
      <c r="P47" s="72" t="n">
        <v>13</v>
      </c>
      <c r="Q47" s="73" t="n">
        <v>2500</v>
      </c>
      <c r="R47" s="83" t="n">
        <f aca="false">P47*12*Q47/1000</f>
        <v>390</v>
      </c>
      <c r="S47" s="61" t="str">
        <f aca="false">_xlfn.xlookup(E47,Clients!B:B,Clients!D:D,FALSE())</f>
        <v>F</v>
      </c>
      <c r="T47" s="84" t="n">
        <f aca="false">IF(O47="msi",P47*12*Q47/1000*N47,IF(O47="sqm",P47/1000*Q47,N47))</f>
        <v>0</v>
      </c>
      <c r="U47" s="60" t="s">
        <v>551</v>
      </c>
      <c r="V47" s="61" t="str">
        <f aca="false">_xlfn.xlookup(E47,Clients!B:B,Clients!X:X,FALSE())</f>
        <v>CAD</v>
      </c>
      <c r="W47" s="1" t="n">
        <v>1</v>
      </c>
      <c r="X47" s="85" t="n">
        <f aca="false">IF(V47=Z47,N47,N47*W47)</f>
        <v>0</v>
      </c>
      <c r="Y47" s="61" t="str">
        <f aca="false">O47</f>
        <v>msi</v>
      </c>
      <c r="Z47" s="61" t="str">
        <f aca="false">_xlfn.xlookup(E47,Clients!B:B,Clients!Y:Y,FALSE())</f>
        <v>CAD</v>
      </c>
      <c r="AA47" s="61" t="str">
        <f aca="false">_xlfn.xlookup(B47,Spec!A:A,Spec!K:K,FALSE())</f>
        <v>Canada</v>
      </c>
      <c r="AB47" s="61" t="n">
        <f aca="false">_xlfn.xlookup(B47,Spec!A:A,Spec!L:L,FALSE())</f>
        <v>4811.41</v>
      </c>
    </row>
    <row r="48" customFormat="false" ht="14.25" hidden="false" customHeight="false" outlineLevel="0" collapsed="false">
      <c r="A48" s="1" t="n">
        <v>40067</v>
      </c>
      <c r="B48" s="1" t="n">
        <v>20015</v>
      </c>
      <c r="C48" s="61" t="str">
        <f aca="false">_xlfn.xlookup(B48,Spec!A:A,Spec!C:C)</f>
        <v>Jinda</v>
      </c>
      <c r="D48" s="69" t="str">
        <f aca="false">_xlfn.xlookup(B48,Spec!A:A,Spec!D:D)</f>
        <v>0402105</v>
      </c>
      <c r="E48" s="15" t="s">
        <v>124</v>
      </c>
      <c r="F48" s="15" t="str">
        <f aca="false">_xlfn.xlookup(E48,Clients!B:B,Clients!D:D,FALSE())</f>
        <v>F</v>
      </c>
      <c r="G48" s="42" t="n">
        <v>2213</v>
      </c>
      <c r="H48" s="15" t="s">
        <v>586</v>
      </c>
      <c r="I48" s="61" t="str">
        <f aca="false">_xlfn.xlookup(B48,Spec!A:A,Spec!B:B)</f>
        <v>S15-3</v>
      </c>
      <c r="J48" s="61" t="str">
        <f aca="false">_xlfn.xlookup(B48,Spec!A:A,Spec!J:J)</f>
        <v>SG - Acrylic Adhesive</v>
      </c>
      <c r="K48" s="61" t="str">
        <f aca="false">_xlfn.xlookup(B48,Spec!A:A,Spec!E:E)</f>
        <v>Self Adhesive Paper</v>
      </c>
      <c r="L48" s="43" t="s">
        <v>628</v>
      </c>
      <c r="N48" s="43" t="n">
        <v>0.28</v>
      </c>
      <c r="O48" s="72" t="s">
        <v>554</v>
      </c>
      <c r="P48" s="72" t="n">
        <v>12</v>
      </c>
      <c r="Q48" s="73" t="n">
        <v>5000</v>
      </c>
      <c r="R48" s="83" t="n">
        <f aca="false">P48*12*Q48/1000</f>
        <v>720</v>
      </c>
      <c r="S48" s="61" t="str">
        <f aca="false">_xlfn.xlookup(E48,Clients!B:B,Clients!D:D,FALSE())</f>
        <v>F</v>
      </c>
      <c r="T48" s="84" t="n">
        <f aca="false">IF(O48="msi",P48*12*Q48/1000*N48,IF(O48="sqm",P48/1000*Q48,N48))</f>
        <v>201.6</v>
      </c>
      <c r="U48" s="61" t="s">
        <v>551</v>
      </c>
      <c r="V48" s="61" t="str">
        <f aca="false">_xlfn.xlookup(E48,Clients!B:B,Clients!X:X,FALSE())</f>
        <v>USD</v>
      </c>
      <c r="X48" s="85" t="n">
        <f aca="false">IF(V48=Z48,N48,N48*W48)</f>
        <v>0.28</v>
      </c>
      <c r="Y48" s="61" t="str">
        <f aca="false">O48</f>
        <v>msi</v>
      </c>
      <c r="Z48" s="61" t="str">
        <f aca="false">_xlfn.xlookup(E48,Clients!B:B,Clients!Y:Y,FALSE())</f>
        <v>USD</v>
      </c>
      <c r="AA48" s="61" t="str">
        <f aca="false">_xlfn.xlookup(B48,Spec!A:A,Spec!K:K,FALSE())</f>
        <v>Canada</v>
      </c>
      <c r="AB48" s="61" t="n">
        <f aca="false">_xlfn.xlookup(B48,Spec!A:A,Spec!L:L,FALSE())</f>
        <v>4811.41</v>
      </c>
    </row>
    <row r="49" customFormat="false" ht="14.25" hidden="false" customHeight="false" outlineLevel="0" collapsed="false">
      <c r="A49" s="1" t="n">
        <v>40068</v>
      </c>
      <c r="B49" s="1" t="n">
        <v>20012</v>
      </c>
      <c r="C49" s="61" t="str">
        <f aca="false">_xlfn.xlookup(B49,Spec!A:A,Spec!C:C)</f>
        <v>AKO</v>
      </c>
      <c r="D49" s="69" t="str">
        <f aca="false">_xlfn.xlookup(B49,Spec!A:A,Spec!D:D)</f>
        <v>AR316 (AH2002)</v>
      </c>
      <c r="E49" s="15" t="s">
        <v>151</v>
      </c>
      <c r="F49" s="15" t="str">
        <f aca="false">_xlfn.xlookup(E49,Clients!B:B,Clients!D:D,FALSE())</f>
        <v>F</v>
      </c>
      <c r="G49" s="42" t="s">
        <v>629</v>
      </c>
      <c r="H49" s="15" t="s">
        <v>589</v>
      </c>
      <c r="I49" s="61" t="str">
        <f aca="false">_xlfn.xlookup(B49,Spec!A:A,Spec!B:B)</f>
        <v>D21-1</v>
      </c>
      <c r="J49" s="61" t="str">
        <f aca="false">_xlfn.xlookup(B49,Spec!A:A,Spec!J:J)</f>
        <v>TC DT - Hotmelt Adhesive</v>
      </c>
      <c r="K49" s="61" t="str">
        <f aca="false">_xlfn.xlookup(B49,Spec!A:A,Spec!E:E)</f>
        <v>Self Adhesive Paper</v>
      </c>
      <c r="L49" s="61" t="str">
        <f aca="false">IF(F49="F","Larg: "&amp;P49&amp;"po   Long: "&amp;Q49&amp;"pi","W: "&amp;P49&amp;"in   L: "&amp;Q49&amp;"ft")</f>
        <v>Larg: 13po   Long: 4330pi</v>
      </c>
      <c r="N49" s="43"/>
      <c r="O49" s="72" t="s">
        <v>554</v>
      </c>
      <c r="P49" s="72" t="n">
        <v>13</v>
      </c>
      <c r="Q49" s="73" t="n">
        <v>4330</v>
      </c>
      <c r="R49" s="83" t="n">
        <f aca="false">P49*12*Q49/1000</f>
        <v>675.48</v>
      </c>
      <c r="S49" s="61" t="str">
        <f aca="false">_xlfn.xlookup(E49,Clients!B:B,Clients!D:D,FALSE())</f>
        <v>F</v>
      </c>
      <c r="T49" s="84"/>
      <c r="U49" s="61" t="s">
        <v>551</v>
      </c>
      <c r="V49" s="61" t="str">
        <f aca="false">_xlfn.xlookup(E49,Clients!B:B,Clients!X:X,FALSE())</f>
        <v>CAD</v>
      </c>
      <c r="X49" s="85" t="n">
        <f aca="false">IF(V49=Z49,N49,N49*W49)</f>
        <v>0</v>
      </c>
      <c r="Y49" s="61" t="str">
        <f aca="false">O49</f>
        <v>msi</v>
      </c>
      <c r="Z49" s="61" t="str">
        <f aca="false">_xlfn.xlookup(E49,Clients!B:B,Clients!Y:Y,FALSE())</f>
        <v>CAD</v>
      </c>
      <c r="AA49" s="61" t="str">
        <f aca="false">_xlfn.xlookup(B49,Spec!A:A,Spec!K:K,FALSE())</f>
        <v>Canada</v>
      </c>
      <c r="AB49" s="61" t="n">
        <f aca="false">_xlfn.xlookup(B49,Spec!A:A,Spec!L:L,FALSE())</f>
        <v>4811.41</v>
      </c>
    </row>
    <row r="50" customFormat="false" ht="14.25" hidden="false" customHeight="false" outlineLevel="0" collapsed="false">
      <c r="A50" s="1" t="n">
        <v>40069</v>
      </c>
      <c r="B50" s="1" t="n">
        <v>20011</v>
      </c>
      <c r="C50" s="61" t="str">
        <f aca="false">_xlfn.xlookup(B50,Spec!A:A,Spec!C:C)</f>
        <v>AKO</v>
      </c>
      <c r="D50" s="69" t="str">
        <f aca="false">_xlfn.xlookup(B50,Spec!A:A,Spec!D:D)</f>
        <v>AP1019</v>
      </c>
      <c r="E50" s="15" t="s">
        <v>124</v>
      </c>
      <c r="F50" s="15" t="str">
        <f aca="false">_xlfn.xlookup(E50,Clients!B:B,Clients!D:D,FALSE())</f>
        <v>F</v>
      </c>
      <c r="G50" s="42" t="n">
        <v>2212</v>
      </c>
      <c r="H50" s="15" t="s">
        <v>602</v>
      </c>
      <c r="I50" s="61" t="str">
        <f aca="false">_xlfn.xlookup(B50,Spec!A:A,Spec!B:B)</f>
        <v>S21-1</v>
      </c>
      <c r="J50" s="61" t="str">
        <f aca="false">_xlfn.xlookup(B50,Spec!A:A,Spec!J:J)</f>
        <v>SG - Hotmelt Adhesive</v>
      </c>
      <c r="K50" s="61" t="str">
        <f aca="false">_xlfn.xlookup(B50,Spec!A:A,Spec!E:E)</f>
        <v>Self Adhesive Paper</v>
      </c>
      <c r="L50" s="43" t="s">
        <v>630</v>
      </c>
      <c r="N50" s="43" t="n">
        <v>0.27</v>
      </c>
      <c r="O50" s="72" t="s">
        <v>554</v>
      </c>
      <c r="P50" s="72" t="n">
        <v>10.375</v>
      </c>
      <c r="Q50" s="73" t="n">
        <v>5000</v>
      </c>
      <c r="R50" s="83" t="n">
        <f aca="false">P50*12*Q50/1000</f>
        <v>622.5</v>
      </c>
      <c r="S50" s="61" t="str">
        <f aca="false">_xlfn.xlookup(E50,Clients!B:B,Clients!D:D,FALSE())</f>
        <v>F</v>
      </c>
      <c r="T50" s="84" t="n">
        <f aca="false">IF(O50="msi",P50*12*Q50/1000*N50,IF(O50="sqm",P50/1000*Q50,N50))</f>
        <v>168.075</v>
      </c>
      <c r="U50" s="61" t="s">
        <v>551</v>
      </c>
      <c r="V50" s="61" t="str">
        <f aca="false">_xlfn.xlookup(E50,Clients!B:B,Clients!X:X,FALSE())</f>
        <v>USD</v>
      </c>
      <c r="X50" s="85" t="n">
        <f aca="false">IF(V50=Z50,N50,N50*W50)</f>
        <v>0.27</v>
      </c>
      <c r="Y50" s="61" t="str">
        <f aca="false">O50</f>
        <v>msi</v>
      </c>
      <c r="Z50" s="61" t="str">
        <f aca="false">_xlfn.xlookup(E50,Clients!B:B,Clients!Y:Y,FALSE())</f>
        <v>USD</v>
      </c>
      <c r="AA50" s="61" t="str">
        <f aca="false">_xlfn.xlookup(B50,Spec!A:A,Spec!K:K,FALSE())</f>
        <v>Canada</v>
      </c>
      <c r="AB50" s="61" t="n">
        <f aca="false">_xlfn.xlookup(B50,Spec!A:A,Spec!L:L,FALSE())</f>
        <v>4811.41</v>
      </c>
    </row>
    <row r="51" customFormat="false" ht="14.25" hidden="false" customHeight="false" outlineLevel="0" collapsed="false">
      <c r="A51" s="1" t="n">
        <v>40070</v>
      </c>
      <c r="B51" s="1" t="n">
        <v>20011</v>
      </c>
      <c r="C51" s="61" t="str">
        <f aca="false">_xlfn.xlookup(B51,Spec!A:A,Spec!C:C)</f>
        <v>AKO</v>
      </c>
      <c r="D51" s="69" t="str">
        <f aca="false">_xlfn.xlookup(B51,Spec!A:A,Spec!D:D)</f>
        <v>AP1019</v>
      </c>
      <c r="E51" s="15" t="s">
        <v>124</v>
      </c>
      <c r="F51" s="15" t="str">
        <f aca="false">_xlfn.xlookup(E51,Clients!B:B,Clients!D:D,FALSE())</f>
        <v>F</v>
      </c>
      <c r="G51" s="42" t="n">
        <v>2212</v>
      </c>
      <c r="H51" s="15" t="s">
        <v>602</v>
      </c>
      <c r="I51" s="61" t="str">
        <f aca="false">_xlfn.xlookup(B51,Spec!A:A,Spec!B:B)</f>
        <v>S21-1</v>
      </c>
      <c r="J51" s="61" t="str">
        <f aca="false">_xlfn.xlookup(B51,Spec!A:A,Spec!J:J)</f>
        <v>SG - Hotmelt Adhesive</v>
      </c>
      <c r="K51" s="61" t="str">
        <f aca="false">_xlfn.xlookup(B51,Spec!A:A,Spec!E:E)</f>
        <v>Self Adhesive Paper</v>
      </c>
      <c r="L51" s="43" t="s">
        <v>631</v>
      </c>
      <c r="N51" s="43" t="n">
        <v>0.27</v>
      </c>
      <c r="O51" s="72" t="s">
        <v>554</v>
      </c>
      <c r="P51" s="72" t="n">
        <v>8.125</v>
      </c>
      <c r="Q51" s="73" t="n">
        <v>5000</v>
      </c>
      <c r="R51" s="83" t="n">
        <f aca="false">P51*12*Q51/1000</f>
        <v>487.5</v>
      </c>
      <c r="S51" s="61" t="str">
        <f aca="false">_xlfn.xlookup(E51,Clients!B:B,Clients!D:D,FALSE())</f>
        <v>F</v>
      </c>
      <c r="T51" s="84" t="n">
        <f aca="false">IF(O51="msi",P51*12*Q51/1000*N51,IF(O51="sqm",P51/1000*Q51,N51))</f>
        <v>131.625</v>
      </c>
      <c r="U51" s="61" t="s">
        <v>551</v>
      </c>
      <c r="V51" s="61" t="str">
        <f aca="false">_xlfn.xlookup(E51,Clients!B:B,Clients!X:X,FALSE())</f>
        <v>USD</v>
      </c>
      <c r="X51" s="85" t="n">
        <f aca="false">IF(V51=Z51,N51,N51*W51)</f>
        <v>0.27</v>
      </c>
      <c r="Y51" s="61" t="str">
        <f aca="false">O51</f>
        <v>msi</v>
      </c>
      <c r="Z51" s="61" t="str">
        <f aca="false">_xlfn.xlookup(E51,Clients!B:B,Clients!Y:Y,FALSE())</f>
        <v>USD</v>
      </c>
      <c r="AA51" s="61" t="str">
        <f aca="false">_xlfn.xlookup(B51,Spec!A:A,Spec!K:K,FALSE())</f>
        <v>Canada</v>
      </c>
      <c r="AB51" s="61" t="n">
        <f aca="false">_xlfn.xlookup(B51,Spec!A:A,Spec!L:L,FALSE())</f>
        <v>4811.41</v>
      </c>
    </row>
    <row r="52" customFormat="false" ht="14.25" hidden="false" customHeight="false" outlineLevel="0" collapsed="false">
      <c r="A52" s="1" t="n">
        <v>40071</v>
      </c>
      <c r="B52" s="1" t="n">
        <v>20012</v>
      </c>
      <c r="C52" s="61" t="str">
        <f aca="false">_xlfn.xlookup(B52,Spec!A:A,Spec!C:C)</f>
        <v>AKO</v>
      </c>
      <c r="D52" s="69" t="str">
        <f aca="false">_xlfn.xlookup(B52,Spec!A:A,Spec!D:D)</f>
        <v>AR316 (AH2002)</v>
      </c>
      <c r="E52" s="15" t="s">
        <v>134</v>
      </c>
      <c r="F52" s="15" t="str">
        <f aca="false">_xlfn.xlookup(E52,Clients!B:B,Clients!D:D,FALSE())</f>
        <v>F</v>
      </c>
      <c r="G52" s="42" t="s">
        <v>629</v>
      </c>
      <c r="H52" s="15" t="s">
        <v>589</v>
      </c>
      <c r="I52" s="61" t="str">
        <f aca="false">_xlfn.xlookup(B52,Spec!A:A,Spec!B:B)</f>
        <v>D21-1</v>
      </c>
      <c r="J52" s="61" t="str">
        <f aca="false">_xlfn.xlookup(B52,Spec!A:A,Spec!J:J)</f>
        <v>TC DT - Hotmelt Adhesive</v>
      </c>
      <c r="K52" s="61" t="str">
        <f aca="false">_xlfn.xlookup(B52,Spec!A:A,Spec!E:E)</f>
        <v>Self Adhesive Paper</v>
      </c>
      <c r="L52" s="43" t="s">
        <v>632</v>
      </c>
      <c r="N52" s="43"/>
      <c r="O52" s="43" t="s">
        <v>554</v>
      </c>
      <c r="P52" s="72" t="n">
        <v>8.6</v>
      </c>
      <c r="Q52" s="73" t="n">
        <v>4315</v>
      </c>
      <c r="R52" s="83" t="n">
        <f aca="false">P52*12*Q52/1000</f>
        <v>445.308</v>
      </c>
      <c r="S52" s="61" t="str">
        <f aca="false">_xlfn.xlookup(E52,Clients!B:B,Clients!D:D,FALSE())</f>
        <v>F</v>
      </c>
      <c r="T52" s="84" t="n">
        <f aca="false">IF(O52="msi",P52*12*Q52/1000*N52,IF(O52="sqm",P52/1000*Q52,N52))</f>
        <v>0</v>
      </c>
      <c r="U52" s="61" t="s">
        <v>551</v>
      </c>
      <c r="V52" s="61" t="str">
        <f aca="false">_xlfn.xlookup(E52,Clients!B:B,Clients!X:X,FALSE())</f>
        <v>CAD</v>
      </c>
      <c r="X52" s="85" t="n">
        <f aca="false">IF(V52=Z52,N52,N52*W52)</f>
        <v>0</v>
      </c>
      <c r="Y52" s="61" t="str">
        <f aca="false">O52</f>
        <v>msi</v>
      </c>
      <c r="Z52" s="61" t="str">
        <f aca="false">_xlfn.xlookup(E52,Clients!B:B,Clients!Y:Y,FALSE())</f>
        <v>CAD</v>
      </c>
      <c r="AA52" s="61" t="str">
        <f aca="false">_xlfn.xlookup(B52,Spec!A:A,Spec!K:K,FALSE())</f>
        <v>Canada</v>
      </c>
      <c r="AB52" s="61" t="n">
        <f aca="false">_xlfn.xlookup(B52,Spec!A:A,Spec!L:L,FALSE())</f>
        <v>4811.41</v>
      </c>
    </row>
    <row r="53" customFormat="false" ht="14.25" hidden="false" customHeight="false" outlineLevel="0" collapsed="false">
      <c r="A53" s="1" t="n">
        <v>40072</v>
      </c>
      <c r="B53" s="1" t="n">
        <v>20017</v>
      </c>
      <c r="C53" s="61" t="str">
        <f aca="false">_xlfn.xlookup(B53,Spec!A:A,Spec!C:C)</f>
        <v>Jinda</v>
      </c>
      <c r="D53" s="69" t="str">
        <f aca="false">_xlfn.xlookup(B53,Spec!A:A,Spec!D:D)</f>
        <v>0488056</v>
      </c>
      <c r="E53" s="15" t="s">
        <v>118</v>
      </c>
      <c r="F53" s="15" t="str">
        <f aca="false">_xlfn.xlookup(E53,Clients!B:B,Clients!D:D,FALSE())</f>
        <v>F</v>
      </c>
      <c r="G53" s="42" t="s">
        <v>629</v>
      </c>
      <c r="H53" s="15" t="s">
        <v>593</v>
      </c>
      <c r="I53" s="61" t="str">
        <f aca="false">_xlfn.xlookup(B53,Spec!A:A,Spec!B:B)</f>
        <v>B25-3</v>
      </c>
      <c r="J53" s="61" t="str">
        <f aca="false">_xlfn.xlookup(B53,Spec!A:A,Spec!J:J)</f>
        <v>White BOPP - Acrylic Adhesive</v>
      </c>
      <c r="K53" s="61" t="str">
        <f aca="false">_xlfn.xlookup(B53,Spec!A:A,Spec!E:E)</f>
        <v>Self Adhesive Film</v>
      </c>
      <c r="L53" s="43" t="s">
        <v>633</v>
      </c>
      <c r="N53" s="43" t="n">
        <v>0</v>
      </c>
      <c r="O53" s="43" t="s">
        <v>554</v>
      </c>
      <c r="P53" s="72" t="n">
        <v>10</v>
      </c>
      <c r="Q53" s="73" t="n">
        <v>5000</v>
      </c>
      <c r="R53" s="83" t="n">
        <f aca="false">P53*12*Q53/1000</f>
        <v>600</v>
      </c>
      <c r="S53" s="61" t="str">
        <f aca="false">_xlfn.xlookup(E53,Clients!B:B,Clients!D:D,FALSE())</f>
        <v>F</v>
      </c>
      <c r="T53" s="84" t="n">
        <f aca="false">IF(O53="msi",P53*12*Q53/1000*N53,IF(O53="sqm",P53/1000*Q53,N53))</f>
        <v>0</v>
      </c>
      <c r="U53" s="61" t="s">
        <v>551</v>
      </c>
      <c r="V53" s="61" t="str">
        <f aca="false">_xlfn.xlookup(E53,Clients!B:B,Clients!X:X,FALSE())</f>
        <v>CAD</v>
      </c>
      <c r="X53" s="85" t="n">
        <f aca="false">IF(V53=Z53,N53,N53*W53)</f>
        <v>0</v>
      </c>
      <c r="Y53" s="61" t="str">
        <f aca="false">O53</f>
        <v>msi</v>
      </c>
      <c r="Z53" s="61" t="str">
        <f aca="false">_xlfn.xlookup(E53,Clients!B:B,Clients!Y:Y,FALSE())</f>
        <v>CAD</v>
      </c>
      <c r="AA53" s="61" t="str">
        <f aca="false">_xlfn.xlookup(B53,Spec!A:A,Spec!K:K,FALSE())</f>
        <v>Canada</v>
      </c>
      <c r="AB53" s="61" t="str">
        <f aca="false">_xlfn.xlookup(B53,Spec!A:A,Spec!L:L,FALSE())</f>
        <v>3919.90</v>
      </c>
    </row>
    <row r="54" customFormat="false" ht="14.25" hidden="false" customHeight="false" outlineLevel="0" collapsed="false">
      <c r="A54" s="1" t="n">
        <v>40073</v>
      </c>
      <c r="B54" s="1" t="n">
        <v>20017</v>
      </c>
      <c r="C54" s="61" t="str">
        <f aca="false">_xlfn.xlookup(B54,Spec!A:A,Spec!C:C)</f>
        <v>Jinda</v>
      </c>
      <c r="D54" s="69" t="str">
        <f aca="false">_xlfn.xlookup(B54,Spec!A:A,Spec!D:D)</f>
        <v>0488056</v>
      </c>
      <c r="E54" s="15" t="s">
        <v>134</v>
      </c>
      <c r="F54" s="15" t="str">
        <f aca="false">_xlfn.xlookup(E54,Clients!B:B,Clients!D:D,FALSE())</f>
        <v>F</v>
      </c>
      <c r="G54" s="42" t="s">
        <v>629</v>
      </c>
      <c r="H54" s="15" t="s">
        <v>593</v>
      </c>
      <c r="I54" s="61" t="str">
        <f aca="false">_xlfn.xlookup(B54,Spec!A:A,Spec!B:B)</f>
        <v>B25-3</v>
      </c>
      <c r="J54" s="61" t="str">
        <f aca="false">_xlfn.xlookup(B54,Spec!A:A,Spec!J:J)</f>
        <v>White BOPP - Acrylic Adhesive</v>
      </c>
      <c r="K54" s="61" t="str">
        <f aca="false">_xlfn.xlookup(B54,Spec!A:A,Spec!E:E)</f>
        <v>Self Adhesive Film</v>
      </c>
      <c r="L54" s="43" t="s">
        <v>634</v>
      </c>
      <c r="N54" s="43" t="n">
        <v>0</v>
      </c>
      <c r="O54" s="43" t="s">
        <v>554</v>
      </c>
      <c r="P54" s="72" t="n">
        <v>4.75</v>
      </c>
      <c r="Q54" s="73" t="n">
        <v>5000</v>
      </c>
      <c r="R54" s="83" t="n">
        <f aca="false">P54*12*Q54/1000</f>
        <v>285</v>
      </c>
      <c r="S54" s="61" t="str">
        <f aca="false">_xlfn.xlookup(E54,Clients!B:B,Clients!D:D,FALSE())</f>
        <v>F</v>
      </c>
      <c r="T54" s="84" t="n">
        <f aca="false">IF(O54="msi",P54*12*Q54/1000*N54,IF(O54="sqm",P54/1000*Q54,N54))</f>
        <v>0</v>
      </c>
      <c r="U54" s="61" t="s">
        <v>551</v>
      </c>
      <c r="V54" s="61" t="str">
        <f aca="false">_xlfn.xlookup(E54,Clients!B:B,Clients!X:X,FALSE())</f>
        <v>CAD</v>
      </c>
      <c r="X54" s="85" t="n">
        <f aca="false">IF(V54=Z54,N54,N54*W54)</f>
        <v>0</v>
      </c>
      <c r="Y54" s="61" t="str">
        <f aca="false">O54</f>
        <v>msi</v>
      </c>
      <c r="Z54" s="61" t="str">
        <f aca="false">_xlfn.xlookup(E54,Clients!B:B,Clients!Y:Y,FALSE())</f>
        <v>CAD</v>
      </c>
      <c r="AA54" s="61" t="str">
        <f aca="false">_xlfn.xlookup(B54,Spec!A:A,Spec!K:K,FALSE())</f>
        <v>Canada</v>
      </c>
      <c r="AB54" s="61" t="str">
        <f aca="false">_xlfn.xlookup(B54,Spec!A:A,Spec!L:L,FALSE())</f>
        <v>3919.90</v>
      </c>
    </row>
    <row r="55" customFormat="false" ht="14.25" hidden="false" customHeight="false" outlineLevel="0" collapsed="false">
      <c r="A55" s="1" t="n">
        <v>40074</v>
      </c>
      <c r="B55" s="1" t="n">
        <v>20012</v>
      </c>
      <c r="C55" s="61" t="str">
        <f aca="false">_xlfn.xlookup(B55,Spec!A:A,Spec!C:C)</f>
        <v>AKO</v>
      </c>
      <c r="D55" s="69" t="str">
        <f aca="false">_xlfn.xlookup(B55,Spec!A:A,Spec!D:D)</f>
        <v>AR316 (AH2002)</v>
      </c>
      <c r="E55" s="15" t="s">
        <v>160</v>
      </c>
      <c r="F55" s="15" t="str">
        <f aca="false">_xlfn.xlookup(E55,Clients!B:B,Clients!D:D,FALSE())</f>
        <v>F</v>
      </c>
      <c r="G55" s="42" t="s">
        <v>629</v>
      </c>
      <c r="H55" s="15" t="s">
        <v>589</v>
      </c>
      <c r="I55" s="61" t="str">
        <f aca="false">_xlfn.xlookup(B55,Spec!A:A,Spec!B:B)</f>
        <v>D21-1</v>
      </c>
      <c r="J55" s="61" t="str">
        <f aca="false">_xlfn.xlookup(B55,Spec!A:A,Spec!J:J)</f>
        <v>TC DT - Hotmelt Adhesive</v>
      </c>
      <c r="K55" s="61" t="str">
        <f aca="false">_xlfn.xlookup(B55,Spec!A:A,Spec!E:E)</f>
        <v>Self Adhesive Paper</v>
      </c>
      <c r="L55" s="43" t="s">
        <v>635</v>
      </c>
      <c r="N55" s="43" t="n">
        <v>0</v>
      </c>
      <c r="O55" s="43" t="s">
        <v>554</v>
      </c>
      <c r="P55" s="72" t="n">
        <v>8.75</v>
      </c>
      <c r="Q55" s="73" t="n">
        <v>4300</v>
      </c>
      <c r="R55" s="83" t="n">
        <f aca="false">P55*12*Q55/1000</f>
        <v>451.5</v>
      </c>
      <c r="S55" s="61" t="str">
        <f aca="false">_xlfn.xlookup(E55,Clients!B:B,Clients!D:D,FALSE())</f>
        <v>F</v>
      </c>
      <c r="T55" s="84" t="n">
        <f aca="false">IF(O55="msi",P55*12*Q55/1000*N55,IF(O55="sqm",P55/1000*Q55,N55))</f>
        <v>0</v>
      </c>
      <c r="U55" s="61" t="s">
        <v>551</v>
      </c>
      <c r="V55" s="61" t="str">
        <f aca="false">_xlfn.xlookup(E55,Clients!B:B,Clients!X:X,FALSE())</f>
        <v>CAD</v>
      </c>
      <c r="X55" s="85" t="n">
        <f aca="false">IF(V55=Z55,N55,N55*W55)</f>
        <v>0</v>
      </c>
      <c r="Y55" s="61" t="str">
        <f aca="false">O55</f>
        <v>msi</v>
      </c>
      <c r="Z55" s="61" t="str">
        <f aca="false">_xlfn.xlookup(E55,Clients!B:B,Clients!Y:Y,FALSE())</f>
        <v>CAD</v>
      </c>
      <c r="AA55" s="61" t="str">
        <f aca="false">_xlfn.xlookup(B55,Spec!A:A,Spec!K:K,FALSE())</f>
        <v>Canada</v>
      </c>
      <c r="AB55" s="61" t="n">
        <f aca="false">_xlfn.xlookup(B55,Spec!A:A,Spec!L:L,FALSE())</f>
        <v>4811.41</v>
      </c>
    </row>
    <row r="56" customFormat="false" ht="16.4" hidden="false" customHeight="false" outlineLevel="0" collapsed="false">
      <c r="A56" s="1" t="n">
        <v>40075</v>
      </c>
      <c r="B56" s="1" t="n">
        <v>20015</v>
      </c>
      <c r="C56" s="61" t="str">
        <f aca="false">_xlfn.xlookup(B56,Spec!A:A,Spec!C:C)</f>
        <v>Jinda</v>
      </c>
      <c r="D56" s="69" t="str">
        <f aca="false">_xlfn.xlookup(B56,Spec!A:A,Spec!D:D)</f>
        <v>0402105</v>
      </c>
      <c r="E56" s="15" t="s">
        <v>141</v>
      </c>
      <c r="F56" s="15" t="str">
        <f aca="false">_xlfn.xlookup(E56,Clients!B:B,Clients!D:D,FALSE())</f>
        <v>F</v>
      </c>
      <c r="G56" s="42" t="s">
        <v>629</v>
      </c>
      <c r="H56" s="15" t="s">
        <v>586</v>
      </c>
      <c r="I56" s="61" t="str">
        <f aca="false">_xlfn.xlookup(B56,Spec!A:A,Spec!B:B)</f>
        <v>S15-3</v>
      </c>
      <c r="J56" s="61" t="str">
        <f aca="false">_xlfn.xlookup(B56,Spec!A:A,Spec!J:J)</f>
        <v>SG - Acrylic Adhesive</v>
      </c>
      <c r="K56" s="61" t="str">
        <f aca="false">_xlfn.xlookup(B56,Spec!A:A,Spec!E:E)</f>
        <v>Self Adhesive Paper</v>
      </c>
      <c r="L56" s="43" t="s">
        <v>636</v>
      </c>
      <c r="N56" s="43" t="n">
        <v>0</v>
      </c>
      <c r="O56" s="43" t="s">
        <v>554</v>
      </c>
      <c r="P56" s="72" t="n">
        <v>10</v>
      </c>
      <c r="Q56" s="73" t="n">
        <v>3700</v>
      </c>
      <c r="R56" s="83" t="n">
        <f aca="false">P56*12*Q56/1000</f>
        <v>444</v>
      </c>
      <c r="S56" s="61" t="str">
        <f aca="false">_xlfn.xlookup(E56,Clients!B:B,Clients!D:D,FALSE())</f>
        <v>F</v>
      </c>
      <c r="T56" s="84" t="n">
        <f aca="false">IF(O56="msi",P56*12*Q56/1000*N56,IF(O56="sqm",P56/1000*Q56,N56))</f>
        <v>0</v>
      </c>
      <c r="U56" s="61" t="s">
        <v>551</v>
      </c>
      <c r="V56" s="61" t="str">
        <f aca="false">_xlfn.xlookup(E56,Clients!B:B,Clients!X:X,FALSE())</f>
        <v>CAD</v>
      </c>
      <c r="W56" s="1" t="n">
        <v>1</v>
      </c>
      <c r="X56" s="85" t="n">
        <f aca="false">IF(V56=Z56,N56,N56*W56)</f>
        <v>0</v>
      </c>
      <c r="Y56" s="61" t="str">
        <f aca="false">O56</f>
        <v>msi</v>
      </c>
      <c r="Z56" s="61" t="str">
        <f aca="false">_xlfn.xlookup(E56,Clients!B:B,Clients!Y:Y,FALSE())</f>
        <v>CAD</v>
      </c>
      <c r="AA56" s="61" t="str">
        <f aca="false">_xlfn.xlookup(B56,Spec!A:A,Spec!K:K,FALSE())</f>
        <v>Canada</v>
      </c>
      <c r="AB56" s="61" t="n">
        <f aca="false">_xlfn.xlookup(B56,Spec!A:A,Spec!L:L,FALSE())</f>
        <v>4811.41</v>
      </c>
    </row>
    <row r="57" customFormat="false" ht="16.4" hidden="false" customHeight="false" outlineLevel="0" collapsed="false">
      <c r="A57" s="1" t="n">
        <v>40076</v>
      </c>
      <c r="B57" s="1" t="n">
        <v>20015</v>
      </c>
      <c r="C57" s="61" t="str">
        <f aca="false">_xlfn.xlookup(B57,Spec!A:A,Spec!C:C)</f>
        <v>Jinda</v>
      </c>
      <c r="D57" s="69" t="str">
        <f aca="false">_xlfn.xlookup(B57,Spec!A:A,Spec!D:D)</f>
        <v>0402105</v>
      </c>
      <c r="E57" s="15" t="s">
        <v>141</v>
      </c>
      <c r="F57" s="15" t="str">
        <f aca="false">_xlfn.xlookup(E57,Clients!B:B,Clients!D:D,FALSE())</f>
        <v>F</v>
      </c>
      <c r="G57" s="42" t="s">
        <v>629</v>
      </c>
      <c r="H57" s="15" t="s">
        <v>586</v>
      </c>
      <c r="I57" s="61" t="str">
        <f aca="false">_xlfn.xlookup(B57,Spec!A:A,Spec!B:B)</f>
        <v>S15-3</v>
      </c>
      <c r="J57" s="61" t="str">
        <f aca="false">_xlfn.xlookup(B57,Spec!A:A,Spec!J:J)</f>
        <v>SG - Acrylic Adhesive</v>
      </c>
      <c r="K57" s="61" t="str">
        <f aca="false">_xlfn.xlookup(B57,Spec!A:A,Spec!E:E)</f>
        <v>Self Adhesive Paper</v>
      </c>
      <c r="L57" s="43" t="s">
        <v>637</v>
      </c>
      <c r="N57" s="43" t="n">
        <v>0</v>
      </c>
      <c r="O57" s="43" t="s">
        <v>554</v>
      </c>
      <c r="P57" s="72" t="n">
        <v>13</v>
      </c>
      <c r="Q57" s="73" t="n">
        <v>3700</v>
      </c>
      <c r="R57" s="83" t="n">
        <f aca="false">P57*12*Q57/1000</f>
        <v>577.2</v>
      </c>
      <c r="S57" s="61" t="str">
        <f aca="false">_xlfn.xlookup(E57,Clients!B:B,Clients!D:D,FALSE())</f>
        <v>F</v>
      </c>
      <c r="T57" s="84" t="n">
        <f aca="false">IF(O57="msi",P57*12*Q57/1000*N57,IF(O57="sqm",P57/1000*Q57,N57))</f>
        <v>0</v>
      </c>
      <c r="U57" s="61" t="s">
        <v>551</v>
      </c>
      <c r="V57" s="61" t="str">
        <f aca="false">_xlfn.xlookup(E57,Clients!B:B,Clients!X:X,FALSE())</f>
        <v>CAD</v>
      </c>
      <c r="W57" s="1" t="n">
        <v>1</v>
      </c>
      <c r="X57" s="85" t="n">
        <f aca="false">IF(V57=Z57,N57,N57*W57)</f>
        <v>0</v>
      </c>
      <c r="Y57" s="61" t="str">
        <f aca="false">O57</f>
        <v>msi</v>
      </c>
      <c r="Z57" s="61" t="str">
        <f aca="false">_xlfn.xlookup(E57,Clients!B:B,Clients!Y:Y,FALSE())</f>
        <v>CAD</v>
      </c>
      <c r="AA57" s="61" t="str">
        <f aca="false">_xlfn.xlookup(B57,Spec!A:A,Spec!K:K,FALSE())</f>
        <v>Canada</v>
      </c>
      <c r="AB57" s="61" t="n">
        <f aca="false">_xlfn.xlookup(B57,Spec!A:A,Spec!L:L,FALSE())</f>
        <v>4811.41</v>
      </c>
    </row>
    <row r="58" customFormat="false" ht="14.25" hidden="false" customHeight="false" outlineLevel="0" collapsed="false">
      <c r="A58" s="1" t="n">
        <v>40077</v>
      </c>
      <c r="B58" s="1" t="n">
        <v>20015</v>
      </c>
      <c r="C58" s="61" t="str">
        <f aca="false">_xlfn.xlookup(B58,Spec!A:A,Spec!C:C)</f>
        <v>Jinda</v>
      </c>
      <c r="D58" s="69" t="str">
        <f aca="false">_xlfn.xlookup(B58,Spec!A:A,Spec!D:D)</f>
        <v>0402105</v>
      </c>
      <c r="E58" s="15" t="s">
        <v>178</v>
      </c>
      <c r="F58" s="15" t="str">
        <f aca="false">_xlfn.xlookup(E58,Clients!B:B,Clients!D:D,FALSE())</f>
        <v>A</v>
      </c>
      <c r="G58" s="42" t="s">
        <v>629</v>
      </c>
      <c r="H58" s="15" t="s">
        <v>586</v>
      </c>
      <c r="I58" s="61" t="str">
        <f aca="false">_xlfn.xlookup(B58,Spec!A:A,Spec!B:B)</f>
        <v>S15-3</v>
      </c>
      <c r="J58" s="61" t="str">
        <f aca="false">_xlfn.xlookup(B58,Spec!A:A,Spec!J:J)</f>
        <v>SG - Acrylic Adhesive</v>
      </c>
      <c r="K58" s="61" t="str">
        <f aca="false">_xlfn.xlookup(B58,Spec!A:A,Spec!E:E)</f>
        <v>Self Adhesive Paper</v>
      </c>
      <c r="L58" s="43" t="s">
        <v>638</v>
      </c>
      <c r="N58" s="43"/>
      <c r="O58" s="43" t="s">
        <v>554</v>
      </c>
      <c r="P58" s="72" t="n">
        <v>10.75</v>
      </c>
      <c r="Q58" s="73" t="n">
        <v>5000</v>
      </c>
      <c r="R58" s="83" t="n">
        <f aca="false">P58*12*Q58/1000</f>
        <v>645</v>
      </c>
      <c r="S58" s="61" t="str">
        <f aca="false">_xlfn.xlookup(E58,Clients!B:B,Clients!D:D,FALSE())</f>
        <v>A</v>
      </c>
      <c r="T58" s="84" t="n">
        <f aca="false">IF(O58="msi",P58*12*Q58/1000*N58,IF(O58="sqm",P58/1000*Q58,N58))</f>
        <v>0</v>
      </c>
      <c r="U58" s="61" t="s">
        <v>551</v>
      </c>
      <c r="V58" s="61" t="str">
        <f aca="false">_xlfn.xlookup(E58,Clients!B:B,Clients!X:X,FALSE())</f>
        <v>CAD</v>
      </c>
      <c r="X58" s="85" t="n">
        <f aca="false">IF(V58=Z58,N58,N58*W58)</f>
        <v>0</v>
      </c>
      <c r="Y58" s="61" t="str">
        <f aca="false">O58</f>
        <v>msi</v>
      </c>
      <c r="Z58" s="61" t="str">
        <f aca="false">_xlfn.xlookup(E58,Clients!B:B,Clients!Y:Y,FALSE())</f>
        <v>CAD</v>
      </c>
      <c r="AA58" s="61" t="str">
        <f aca="false">_xlfn.xlookup(B58,Spec!A:A,Spec!K:K,FALSE())</f>
        <v>Canada</v>
      </c>
      <c r="AB58" s="61" t="n">
        <f aca="false">_xlfn.xlookup(B58,Spec!A:A,Spec!L:L,FALSE())</f>
        <v>4811.41</v>
      </c>
    </row>
    <row r="59" customFormat="false" ht="14.25" hidden="false" customHeight="false" outlineLevel="0" collapsed="false">
      <c r="A59" s="1" t="n">
        <v>40078</v>
      </c>
      <c r="B59" s="1" t="n">
        <v>20017</v>
      </c>
      <c r="C59" s="61" t="str">
        <f aca="false">_xlfn.xlookup(B59,Spec!A:A,Spec!C:C)</f>
        <v>Jinda</v>
      </c>
      <c r="D59" s="69" t="str">
        <f aca="false">_xlfn.xlookup(B59,Spec!A:A,Spec!D:D)</f>
        <v>0488056</v>
      </c>
      <c r="E59" s="15" t="s">
        <v>178</v>
      </c>
      <c r="F59" s="15" t="str">
        <f aca="false">_xlfn.xlookup(E59,Clients!B:B,Clients!D:D,FALSE())</f>
        <v>A</v>
      </c>
      <c r="G59" s="42" t="s">
        <v>629</v>
      </c>
      <c r="H59" s="15" t="s">
        <v>593</v>
      </c>
      <c r="I59" s="61" t="str">
        <f aca="false">_xlfn.xlookup(B59,Spec!A:A,Spec!B:B)</f>
        <v>B25-3</v>
      </c>
      <c r="J59" s="61" t="str">
        <f aca="false">_xlfn.xlookup(B59,Spec!A:A,Spec!J:J)</f>
        <v>White BOPP - Acrylic Adhesive</v>
      </c>
      <c r="K59" s="61" t="str">
        <f aca="false">_xlfn.xlookup(B59,Spec!A:A,Spec!E:E)</f>
        <v>Self Adhesive Film</v>
      </c>
      <c r="L59" s="43" t="s">
        <v>639</v>
      </c>
      <c r="N59" s="43"/>
      <c r="O59" s="43" t="s">
        <v>554</v>
      </c>
      <c r="P59" s="72" t="n">
        <v>9</v>
      </c>
      <c r="Q59" s="73" t="n">
        <v>5000</v>
      </c>
      <c r="R59" s="83" t="n">
        <f aca="false">P59*12*Q59/1000</f>
        <v>540</v>
      </c>
      <c r="S59" s="61" t="str">
        <f aca="false">_xlfn.xlookup(E59,Clients!B:B,Clients!D:D,FALSE())</f>
        <v>A</v>
      </c>
      <c r="T59" s="84" t="n">
        <f aca="false">IF(O59="msi",P59*12*Q59/1000*N59,IF(O59="sqm",P59/1000*Q59,N59))</f>
        <v>0</v>
      </c>
      <c r="U59" s="61" t="s">
        <v>551</v>
      </c>
      <c r="V59" s="61" t="str">
        <f aca="false">_xlfn.xlookup(E59,Clients!B:B,Clients!X:X,FALSE())</f>
        <v>CAD</v>
      </c>
      <c r="X59" s="85" t="n">
        <f aca="false">IF(V59=Z59,N59,N59*W59)</f>
        <v>0</v>
      </c>
      <c r="Y59" s="61" t="str">
        <f aca="false">O59</f>
        <v>msi</v>
      </c>
      <c r="Z59" s="61" t="str">
        <f aca="false">_xlfn.xlookup(E59,Clients!B:B,Clients!Y:Y,FALSE())</f>
        <v>CAD</v>
      </c>
      <c r="AA59" s="61" t="str">
        <f aca="false">_xlfn.xlookup(B59,Spec!A:A,Spec!K:K,FALSE())</f>
        <v>Canada</v>
      </c>
      <c r="AB59" s="61" t="str">
        <f aca="false">_xlfn.xlookup(B59,Spec!A:A,Spec!L:L,FALSE())</f>
        <v>3919.90</v>
      </c>
    </row>
    <row r="60" customFormat="false" ht="14.25" hidden="false" customHeight="false" outlineLevel="0" collapsed="false">
      <c r="A60" s="1" t="n">
        <v>40079</v>
      </c>
      <c r="C60" s="61" t="n">
        <f aca="false">_xlfn.xlookup(B60,Spec!A:A,Spec!C:C)</f>
        <v>0</v>
      </c>
      <c r="D60" s="69" t="n">
        <f aca="false">_xlfn.xlookup(B60,Spec!A:A,Spec!D:D)</f>
        <v>0</v>
      </c>
      <c r="E60" s="15" t="s">
        <v>31</v>
      </c>
      <c r="F60" s="15" t="str">
        <f aca="false">_xlfn.xlookup(E60,Clients!B:B,Clients!D:D,FALSE())</f>
        <v>A</v>
      </c>
      <c r="H60" s="15" t="s">
        <v>640</v>
      </c>
      <c r="I60" s="61" t="s">
        <v>640</v>
      </c>
      <c r="J60" s="61" t="s">
        <v>641</v>
      </c>
      <c r="K60" s="61" t="s">
        <v>642</v>
      </c>
      <c r="L60" s="43" t="s">
        <v>643</v>
      </c>
      <c r="N60" s="43" t="n">
        <v>30</v>
      </c>
      <c r="O60" s="43" t="s">
        <v>583</v>
      </c>
      <c r="P60" s="72"/>
      <c r="Q60" s="73"/>
      <c r="R60" s="83" t="n">
        <f aca="false">P60*12*Q60/1000</f>
        <v>0</v>
      </c>
      <c r="S60" s="61" t="str">
        <f aca="false">_xlfn.xlookup(E60,Clients!B:B,Clients!D:D,FALSE())</f>
        <v>A</v>
      </c>
      <c r="T60" s="84" t="n">
        <f aca="false">IF(O60="msi",P60*12*Q60/1000*N60,IF(O60="sqm",P60/1000*Q60,N60))</f>
        <v>30</v>
      </c>
      <c r="U60" s="61" t="s">
        <v>583</v>
      </c>
      <c r="V60" s="61" t="str">
        <f aca="false">_xlfn.xlookup(E60,Clients!B:B,Clients!X:X,FALSE())</f>
        <v>USD</v>
      </c>
      <c r="X60" s="85" t="n">
        <f aca="false">IF(V60=Z60,N60,N60*W60)</f>
        <v>30</v>
      </c>
      <c r="Y60" s="61" t="str">
        <f aca="false">O60</f>
        <v>ea.</v>
      </c>
      <c r="Z60" s="61" t="str">
        <f aca="false">_xlfn.xlookup(E60,Clients!B:B,Clients!Y:Y,FALSE())</f>
        <v>USD</v>
      </c>
      <c r="AA60" s="61" t="s">
        <v>38</v>
      </c>
      <c r="AB60" s="61" t="n">
        <v>8443.91</v>
      </c>
    </row>
    <row r="61" customFormat="false" ht="16.4" hidden="false" customHeight="false" outlineLevel="0" collapsed="false">
      <c r="A61" s="1" t="n">
        <v>40080</v>
      </c>
      <c r="B61" s="1" t="n">
        <v>20017</v>
      </c>
      <c r="C61" s="61" t="str">
        <f aca="false">_xlfn.xlookup(B61,Spec!A:A,Spec!C:C)</f>
        <v>Jinda</v>
      </c>
      <c r="D61" s="69" t="str">
        <f aca="false">_xlfn.xlookup(B61,Spec!A:A,Spec!D:D)</f>
        <v>0488056</v>
      </c>
      <c r="E61" s="15" t="s">
        <v>134</v>
      </c>
      <c r="F61" s="15" t="str">
        <f aca="false">_xlfn.xlookup(E61,Clients!B:B,Clients!D:D,FALSE())</f>
        <v>F</v>
      </c>
      <c r="H61" s="15" t="s">
        <v>593</v>
      </c>
      <c r="I61" s="61" t="str">
        <f aca="false">_xlfn.xlookup(B61,Spec!A:A,Spec!B:B)</f>
        <v>B25-3</v>
      </c>
      <c r="J61" s="61" t="str">
        <f aca="false">_xlfn.xlookup(B61,Spec!A:A,Spec!J:J)</f>
        <v>White BOPP - Acrylic Adhesive</v>
      </c>
      <c r="K61" s="61" t="str">
        <f aca="false">_xlfn.xlookup(B61,Spec!A:A,Spec!E:E)</f>
        <v>Self Adhesive Film</v>
      </c>
      <c r="L61" s="43" t="s">
        <v>644</v>
      </c>
      <c r="N61" s="43" t="n">
        <v>0.452</v>
      </c>
      <c r="O61" s="43" t="s">
        <v>554</v>
      </c>
      <c r="P61" s="72" t="n">
        <v>4.61538</v>
      </c>
      <c r="Q61" s="73" t="n">
        <v>10000</v>
      </c>
      <c r="R61" s="83" t="n">
        <f aca="false">P61*12*Q61/1000</f>
        <v>553.8456</v>
      </c>
      <c r="S61" s="61" t="str">
        <f aca="false">_xlfn.xlookup(E61,Clients!B:B,Clients!D:D,FALSE())</f>
        <v>F</v>
      </c>
      <c r="T61" s="84" t="n">
        <f aca="false">IF(O61="msi",P61*12*Q61/1000*N61,IF(O61="sqm",P61/1000*Q61,N61))</f>
        <v>250.3382112</v>
      </c>
      <c r="U61" s="61" t="s">
        <v>551</v>
      </c>
      <c r="V61" s="61" t="str">
        <f aca="false">_xlfn.xlookup(E61,Clients!B:B,Clients!X:X,FALSE())</f>
        <v>CAD</v>
      </c>
      <c r="W61" s="1" t="n">
        <v>1</v>
      </c>
      <c r="X61" s="85" t="n">
        <f aca="false">IF(V61=Z61,N61,N61*W61)</f>
        <v>0.452</v>
      </c>
      <c r="Y61" s="61" t="str">
        <f aca="false">O61</f>
        <v>msi</v>
      </c>
      <c r="Z61" s="61" t="str">
        <f aca="false">_xlfn.xlookup(E61,Clients!B:B,Clients!Y:Y,FALSE())</f>
        <v>CAD</v>
      </c>
      <c r="AA61" s="61" t="str">
        <f aca="false">_xlfn.xlookup(B61,Spec!A:A,Spec!K:K,FALSE())</f>
        <v>Canada</v>
      </c>
      <c r="AB61" s="61" t="str">
        <f aca="false">_xlfn.xlookup(B61,Spec!A:A,Spec!L:L,FALSE())</f>
        <v>3919.90</v>
      </c>
    </row>
    <row r="62" customFormat="false" ht="14.25" hidden="false" customHeight="false" outlineLevel="0" collapsed="false">
      <c r="A62" s="1" t="n">
        <v>40081</v>
      </c>
      <c r="B62" s="1" t="n">
        <v>20011</v>
      </c>
      <c r="C62" s="61" t="str">
        <f aca="false">_xlfn.xlookup(B62,Spec!A:A,Spec!C:C)</f>
        <v>AKO</v>
      </c>
      <c r="D62" s="69" t="str">
        <f aca="false">_xlfn.xlookup(B62,Spec!A:A,Spec!D:D)</f>
        <v>AP1019</v>
      </c>
      <c r="E62" s="15" t="s">
        <v>124</v>
      </c>
      <c r="F62" s="15" t="str">
        <f aca="false">_xlfn.xlookup(E62,Clients!B:B,Clients!D:D,FALSE())</f>
        <v>F</v>
      </c>
      <c r="G62" s="42" t="n">
        <v>2212</v>
      </c>
      <c r="H62" s="15" t="s">
        <v>602</v>
      </c>
      <c r="I62" s="61" t="str">
        <f aca="false">_xlfn.xlookup(B62,Spec!A:A,Spec!B:B)</f>
        <v>S21-1</v>
      </c>
      <c r="J62" s="61" t="str">
        <f aca="false">_xlfn.xlookup(B62,Spec!A:A,Spec!J:J)</f>
        <v>SG - Hotmelt Adhesive</v>
      </c>
      <c r="K62" s="61" t="str">
        <f aca="false">_xlfn.xlookup(B62,Spec!A:A,Spec!E:E)</f>
        <v>Self Adhesive Paper</v>
      </c>
      <c r="L62" s="61" t="str">
        <f aca="false">IF(F62="F","Larg: "&amp;P62&amp;"po   Long: "&amp;Q62&amp;"pi","W: "&amp;P62&amp;"in   L: "&amp;Q62&amp;"ft")</f>
        <v>Larg: 10po   Long: 5000pi</v>
      </c>
      <c r="N62" s="43" t="n">
        <v>0.27</v>
      </c>
      <c r="O62" s="43" t="s">
        <v>554</v>
      </c>
      <c r="P62" s="72" t="n">
        <v>10</v>
      </c>
      <c r="Q62" s="73" t="n">
        <v>5000</v>
      </c>
      <c r="R62" s="83" t="n">
        <f aca="false">P62*12*Q62/1000</f>
        <v>600</v>
      </c>
      <c r="S62" s="61" t="str">
        <f aca="false">_xlfn.xlookup(E62,Clients!B:B,Clients!D:D,FALSE())</f>
        <v>F</v>
      </c>
      <c r="T62" s="84" t="n">
        <f aca="false">IF(O62="msi",P62*12*Q62/1000*N62,IF(O62="sqm",P62/1000*Q62,N62))</f>
        <v>162</v>
      </c>
      <c r="U62" s="61" t="s">
        <v>551</v>
      </c>
      <c r="V62" s="61" t="str">
        <f aca="false">_xlfn.xlookup(E62,Clients!B:B,Clients!X:X,FALSE())</f>
        <v>USD</v>
      </c>
      <c r="X62" s="85" t="n">
        <f aca="false">IF(V62=Z62,N62,N62*W62)</f>
        <v>0.27</v>
      </c>
      <c r="Y62" s="61" t="str">
        <f aca="false">O62</f>
        <v>msi</v>
      </c>
      <c r="Z62" s="61" t="str">
        <f aca="false">_xlfn.xlookup(E62,Clients!B:B,Clients!Y:Y,FALSE())</f>
        <v>USD</v>
      </c>
      <c r="AA62" s="61" t="str">
        <f aca="false">_xlfn.xlookup(B62,Spec!A:A,Spec!K:K,FALSE())</f>
        <v>Canada</v>
      </c>
      <c r="AB62" s="61" t="n">
        <f aca="false">_xlfn.xlookup(B62,Spec!A:A,Spec!L:L,FALSE())</f>
        <v>4811.41</v>
      </c>
    </row>
    <row r="63" customFormat="false" ht="14.25" hidden="false" customHeight="false" outlineLevel="0" collapsed="false">
      <c r="A63" s="1" t="n">
        <v>40082</v>
      </c>
      <c r="B63" s="1" t="n">
        <v>20011</v>
      </c>
      <c r="C63" s="61" t="str">
        <f aca="false">_xlfn.xlookup(B63,Spec!A:A,Spec!C:C)</f>
        <v>AKO</v>
      </c>
      <c r="D63" s="69" t="str">
        <f aca="false">_xlfn.xlookup(B63,Spec!A:A,Spec!D:D)</f>
        <v>AP1019</v>
      </c>
      <c r="E63" s="15" t="s">
        <v>124</v>
      </c>
      <c r="F63" s="15" t="str">
        <f aca="false">_xlfn.xlookup(E63,Clients!B:B,Clients!D:D,FALSE())</f>
        <v>F</v>
      </c>
      <c r="G63" s="42" t="n">
        <v>2212</v>
      </c>
      <c r="H63" s="15" t="s">
        <v>602</v>
      </c>
      <c r="I63" s="61" t="str">
        <f aca="false">_xlfn.xlookup(B63,Spec!A:A,Spec!B:B)</f>
        <v>S21-1</v>
      </c>
      <c r="J63" s="61" t="str">
        <f aca="false">_xlfn.xlookup(B63,Spec!A:A,Spec!J:J)</f>
        <v>SG - Hotmelt Adhesive</v>
      </c>
      <c r="K63" s="61" t="str">
        <f aca="false">_xlfn.xlookup(B63,Spec!A:A,Spec!E:E)</f>
        <v>Self Adhesive Paper</v>
      </c>
      <c r="L63" s="43" t="s">
        <v>609</v>
      </c>
      <c r="N63" s="43" t="n">
        <v>0.27</v>
      </c>
      <c r="O63" s="43" t="s">
        <v>554</v>
      </c>
      <c r="P63" s="72" t="n">
        <v>13</v>
      </c>
      <c r="Q63" s="73" t="n">
        <v>5000</v>
      </c>
      <c r="R63" s="83" t="n">
        <f aca="false">P63*12*Q63/1000</f>
        <v>780</v>
      </c>
      <c r="S63" s="61" t="str">
        <f aca="false">_xlfn.xlookup(E63,Clients!B:B,Clients!D:D,FALSE())</f>
        <v>F</v>
      </c>
      <c r="T63" s="84" t="n">
        <f aca="false">IF(O63="msi",P63*12*Q63/1000*N63,IF(O63="sqm",P63/1000*Q63,N63))</f>
        <v>210.6</v>
      </c>
      <c r="U63" s="61" t="s">
        <v>551</v>
      </c>
      <c r="V63" s="61" t="str">
        <f aca="false">_xlfn.xlookup(E63,Clients!B:B,Clients!X:X,FALSE())</f>
        <v>USD</v>
      </c>
      <c r="X63" s="85" t="n">
        <f aca="false">IF(V63=Z63,N63,N63*W63)</f>
        <v>0.27</v>
      </c>
      <c r="Y63" s="61" t="str">
        <f aca="false">O63</f>
        <v>msi</v>
      </c>
      <c r="Z63" s="61" t="str">
        <f aca="false">_xlfn.xlookup(E63,Clients!B:B,Clients!Y:Y,FALSE())</f>
        <v>USD</v>
      </c>
      <c r="AA63" s="61" t="str">
        <f aca="false">_xlfn.xlookup(B63,Spec!A:A,Spec!K:K,FALSE())</f>
        <v>Canada</v>
      </c>
      <c r="AB63" s="61" t="n">
        <f aca="false">_xlfn.xlookup(B63,Spec!A:A,Spec!L:L,FALSE())</f>
        <v>4811.41</v>
      </c>
    </row>
    <row r="64" customFormat="false" ht="14.25" hidden="false" customHeight="false" outlineLevel="0" collapsed="false">
      <c r="A64" s="1" t="n">
        <v>40083</v>
      </c>
      <c r="B64" s="1" t="n">
        <v>20011</v>
      </c>
      <c r="C64" s="61" t="str">
        <f aca="false">_xlfn.xlookup(B64,Spec!A:A,Spec!C:C)</f>
        <v>AKO</v>
      </c>
      <c r="D64" s="69" t="str">
        <f aca="false">_xlfn.xlookup(B64,Spec!A:A,Spec!D:D)</f>
        <v>AP1019</v>
      </c>
      <c r="E64" s="15" t="s">
        <v>124</v>
      </c>
      <c r="F64" s="15" t="str">
        <f aca="false">_xlfn.xlookup(E64,Clients!B:B,Clients!D:D,FALSE())</f>
        <v>F</v>
      </c>
      <c r="G64" s="42" t="n">
        <v>2212</v>
      </c>
      <c r="H64" s="15" t="s">
        <v>602</v>
      </c>
      <c r="I64" s="61" t="str">
        <f aca="false">_xlfn.xlookup(B64,Spec!A:A,Spec!B:B)</f>
        <v>S21-1</v>
      </c>
      <c r="J64" s="61" t="str">
        <f aca="false">_xlfn.xlookup(B64,Spec!A:A,Spec!J:J)</f>
        <v>SG - Hotmelt Adhesive</v>
      </c>
      <c r="K64" s="61" t="str">
        <f aca="false">_xlfn.xlookup(B64,Spec!A:A,Spec!E:E)</f>
        <v>Self Adhesive Paper</v>
      </c>
      <c r="L64" s="43" t="s">
        <v>645</v>
      </c>
      <c r="N64" s="43" t="n">
        <v>0.27</v>
      </c>
      <c r="O64" s="43" t="s">
        <v>554</v>
      </c>
      <c r="P64" s="72" t="n">
        <v>10.5</v>
      </c>
      <c r="Q64" s="73" t="n">
        <v>5000</v>
      </c>
      <c r="R64" s="83" t="n">
        <f aca="false">P64*12*Q64/1000</f>
        <v>630</v>
      </c>
      <c r="S64" s="61" t="str">
        <f aca="false">_xlfn.xlookup(E64,Clients!B:B,Clients!D:D,FALSE())</f>
        <v>F</v>
      </c>
      <c r="T64" s="84" t="n">
        <f aca="false">IF(O64="msi",P64*12*Q64/1000*N64,IF(O64="sqm",P64/1000*Q64,N64))</f>
        <v>170.1</v>
      </c>
      <c r="U64" s="61" t="s">
        <v>551</v>
      </c>
      <c r="V64" s="61" t="str">
        <f aca="false">_xlfn.xlookup(E64,Clients!B:B,Clients!X:X,FALSE())</f>
        <v>USD</v>
      </c>
      <c r="X64" s="85" t="n">
        <f aca="false">IF(V64=Z64,N64,N64*W64)</f>
        <v>0.27</v>
      </c>
      <c r="Y64" s="61" t="str">
        <f aca="false">O64</f>
        <v>msi</v>
      </c>
      <c r="Z64" s="61" t="str">
        <f aca="false">_xlfn.xlookup(E64,Clients!B:B,Clients!Y:Y,FALSE())</f>
        <v>USD</v>
      </c>
      <c r="AA64" s="61" t="str">
        <f aca="false">_xlfn.xlookup(B64,Spec!A:A,Spec!K:K,FALSE())</f>
        <v>Canada</v>
      </c>
      <c r="AB64" s="61" t="n">
        <f aca="false">_xlfn.xlookup(B64,Spec!A:A,Spec!L:L,FALSE())</f>
        <v>4811.41</v>
      </c>
    </row>
    <row r="65" customFormat="false" ht="14.25" hidden="false" customHeight="false" outlineLevel="0" collapsed="false">
      <c r="A65" s="1" t="n">
        <v>40084</v>
      </c>
      <c r="B65" s="1" t="n">
        <v>20017</v>
      </c>
      <c r="C65" s="61" t="str">
        <f aca="false">_xlfn.xlookup(B65,Spec!A:A,Spec!C:C)</f>
        <v>Jinda</v>
      </c>
      <c r="D65" s="69" t="str">
        <f aca="false">_xlfn.xlookup(B65,Spec!A:A,Spec!D:D)</f>
        <v>0488056</v>
      </c>
      <c r="E65" s="15" t="s">
        <v>124</v>
      </c>
      <c r="F65" s="15" t="str">
        <f aca="false">_xlfn.xlookup(E65,Clients!B:B,Clients!D:D,FALSE())</f>
        <v>F</v>
      </c>
      <c r="G65" s="42" t="n">
        <v>2084</v>
      </c>
      <c r="H65" s="15" t="s">
        <v>593</v>
      </c>
      <c r="I65" s="61" t="str">
        <f aca="false">_xlfn.xlookup(B65,Spec!A:A,Spec!B:B)</f>
        <v>B25-3</v>
      </c>
      <c r="J65" s="61" t="str">
        <f aca="false">_xlfn.xlookup(B65,Spec!A:A,Spec!J:J)</f>
        <v>White BOPP - Acrylic Adhesive</v>
      </c>
      <c r="K65" s="61" t="str">
        <f aca="false">_xlfn.xlookup(B65,Spec!A:A,Spec!E:E)</f>
        <v>Self Adhesive Film</v>
      </c>
      <c r="L65" s="43" t="s">
        <v>628</v>
      </c>
      <c r="N65" s="43" t="n">
        <v>0.33</v>
      </c>
      <c r="O65" s="43" t="s">
        <v>554</v>
      </c>
      <c r="P65" s="72" t="n">
        <v>12</v>
      </c>
      <c r="Q65" s="73" t="n">
        <v>5000</v>
      </c>
      <c r="R65" s="83" t="n">
        <f aca="false">P65*12*Q65/1000</f>
        <v>720</v>
      </c>
      <c r="S65" s="61" t="str">
        <f aca="false">_xlfn.xlookup(E65,Clients!B:B,Clients!D:D,FALSE())</f>
        <v>F</v>
      </c>
      <c r="T65" s="84" t="n">
        <f aca="false">IF(O65="msi",P65*12*Q65/1000*N65,IF(O65="sqm",P65/1000*Q65,N65))</f>
        <v>237.6</v>
      </c>
      <c r="U65" s="61" t="s">
        <v>551</v>
      </c>
      <c r="V65" s="61" t="str">
        <f aca="false">_xlfn.xlookup(E65,Clients!B:B,Clients!X:X,FALSE())</f>
        <v>USD</v>
      </c>
      <c r="X65" s="85" t="n">
        <f aca="false">IF(V65=Z65,N65,N65*W65)</f>
        <v>0.33</v>
      </c>
      <c r="Y65" s="61" t="str">
        <f aca="false">O65</f>
        <v>msi</v>
      </c>
      <c r="Z65" s="61" t="str">
        <f aca="false">_xlfn.xlookup(E65,Clients!B:B,Clients!Y:Y,FALSE())</f>
        <v>USD</v>
      </c>
      <c r="AA65" s="61" t="str">
        <f aca="false">_xlfn.xlookup(B65,Spec!A:A,Spec!K:K,FALSE())</f>
        <v>Canada</v>
      </c>
      <c r="AB65" s="61" t="str">
        <f aca="false">_xlfn.xlookup(B65,Spec!A:A,Spec!L:L,FALSE())</f>
        <v>3919.90</v>
      </c>
    </row>
    <row r="66" customFormat="false" ht="16.4" hidden="false" customHeight="false" outlineLevel="0" collapsed="false">
      <c r="A66" s="1" t="n">
        <v>40085</v>
      </c>
      <c r="B66" s="1" t="n">
        <v>20012</v>
      </c>
      <c r="C66" s="61" t="str">
        <f aca="false">_xlfn.xlookup(B66,Spec!A:A,Spec!C:C)</f>
        <v>AKO</v>
      </c>
      <c r="D66" s="69" t="str">
        <f aca="false">_xlfn.xlookup(B66,Spec!A:A,Spec!D:D)</f>
        <v>AR316 (AH2002)</v>
      </c>
      <c r="E66" s="15" t="s">
        <v>134</v>
      </c>
      <c r="F66" s="15" t="str">
        <f aca="false">_xlfn.xlookup(E66,Clients!B:B,Clients!D:D,FALSE())</f>
        <v>F</v>
      </c>
      <c r="G66" s="42"/>
      <c r="H66" s="15" t="s">
        <v>589</v>
      </c>
      <c r="I66" s="61" t="str">
        <f aca="false">_xlfn.xlookup(B66,Spec!A:A,Spec!B:B)</f>
        <v>D21-1</v>
      </c>
      <c r="J66" s="61" t="str">
        <f aca="false">_xlfn.xlookup(B66,Spec!A:A,Spec!J:J)</f>
        <v>TC DT - Hotmelt Adhesive</v>
      </c>
      <c r="K66" s="61" t="str">
        <f aca="false">_xlfn.xlookup(B66,Spec!A:A,Spec!E:E)</f>
        <v>Self Adhesive Paper</v>
      </c>
      <c r="L66" s="43" t="s">
        <v>646</v>
      </c>
      <c r="N66" s="43" t="n">
        <v>0.466</v>
      </c>
      <c r="O66" s="43" t="s">
        <v>554</v>
      </c>
      <c r="P66" s="72" t="n">
        <v>11.25</v>
      </c>
      <c r="Q66" s="73" t="n">
        <v>10000</v>
      </c>
      <c r="R66" s="83" t="n">
        <f aca="false">P66*12*Q66/1000</f>
        <v>1350</v>
      </c>
      <c r="S66" s="61" t="str">
        <f aca="false">_xlfn.xlookup(E66,Clients!B:B,Clients!D:D,FALSE())</f>
        <v>F</v>
      </c>
      <c r="T66" s="84" t="n">
        <f aca="false">IF(O66="msi",P66*12*Q66/1000*N66,IF(O66="sqm",P66/1000*Q66,N66))</f>
        <v>629.1</v>
      </c>
      <c r="U66" s="61" t="s">
        <v>551</v>
      </c>
      <c r="V66" s="61" t="str">
        <f aca="false">_xlfn.xlookup(E66,Clients!B:B,Clients!X:X,FALSE())</f>
        <v>CAD</v>
      </c>
      <c r="W66" s="1" t="n">
        <v>1</v>
      </c>
      <c r="X66" s="85" t="n">
        <f aca="false">IF(V66=Z66,N66,N66*W66)</f>
        <v>0.466</v>
      </c>
      <c r="Y66" s="61" t="str">
        <f aca="false">O66</f>
        <v>msi</v>
      </c>
      <c r="Z66" s="61" t="str">
        <f aca="false">_xlfn.xlookup(E66,Clients!B:B,Clients!Y:Y,FALSE())</f>
        <v>CAD</v>
      </c>
      <c r="AA66" s="61" t="str">
        <f aca="false">_xlfn.xlookup(B66,Spec!A:A,Spec!K:K,FALSE())</f>
        <v>Canada</v>
      </c>
      <c r="AB66" s="61" t="n">
        <f aca="false">_xlfn.xlookup(B66,Spec!A:A,Spec!L:L,FALSE())</f>
        <v>4811.41</v>
      </c>
    </row>
    <row r="67" customFormat="false" ht="16.4" hidden="false" customHeight="false" outlineLevel="0" collapsed="false">
      <c r="A67" s="1" t="n">
        <v>40086</v>
      </c>
      <c r="B67" s="1" t="n">
        <v>20011</v>
      </c>
      <c r="C67" s="61" t="str">
        <f aca="false">_xlfn.xlookup(B67,Spec!A:A,Spec!C:C)</f>
        <v>AKO</v>
      </c>
      <c r="D67" s="69" t="str">
        <f aca="false">_xlfn.xlookup(B67,Spec!A:A,Spec!D:D)</f>
        <v>AP1019</v>
      </c>
      <c r="E67" s="15" t="s">
        <v>189</v>
      </c>
      <c r="F67" s="15" t="str">
        <f aca="false">_xlfn.xlookup(E67,Clients!B:B,Clients!D:D,FALSE())</f>
        <v>F</v>
      </c>
      <c r="G67" s="42"/>
      <c r="H67" s="15" t="s">
        <v>602</v>
      </c>
      <c r="I67" s="61" t="str">
        <f aca="false">_xlfn.xlookup(B67,Spec!A:A,Spec!B:B)</f>
        <v>S21-1</v>
      </c>
      <c r="J67" s="61" t="str">
        <f aca="false">_xlfn.xlookup(B67,Spec!A:A,Spec!J:J)</f>
        <v>SG - Hotmelt Adhesive</v>
      </c>
      <c r="K67" s="61" t="str">
        <f aca="false">_xlfn.xlookup(B67,Spec!A:A,Spec!E:E)</f>
        <v>Self Adhesive Paper</v>
      </c>
      <c r="L67" s="43" t="s">
        <v>609</v>
      </c>
      <c r="N67" s="43" t="n">
        <v>0.322</v>
      </c>
      <c r="O67" s="43" t="s">
        <v>554</v>
      </c>
      <c r="P67" s="72" t="n">
        <v>13</v>
      </c>
      <c r="Q67" s="73" t="n">
        <v>5000</v>
      </c>
      <c r="R67" s="83" t="n">
        <f aca="false">P67*12*Q67/1000</f>
        <v>780</v>
      </c>
      <c r="S67" s="61" t="str">
        <f aca="false">_xlfn.xlookup(E67,Clients!B:B,Clients!D:D,FALSE())</f>
        <v>F</v>
      </c>
      <c r="T67" s="84" t="n">
        <f aca="false">IF(O67="msi",P67*12*Q67/1000*N67,IF(O67="sqm",P67/1000*Q67,N67))</f>
        <v>251.16</v>
      </c>
      <c r="U67" s="61" t="s">
        <v>551</v>
      </c>
      <c r="V67" s="61" t="str">
        <f aca="false">_xlfn.xlookup(E67,Clients!B:B,Clients!X:X,FALSE())</f>
        <v>CAD</v>
      </c>
      <c r="W67" s="1" t="n">
        <v>1</v>
      </c>
      <c r="X67" s="85" t="n">
        <f aca="false">IF(V67=Z67,N67,N67*W67)</f>
        <v>0.322</v>
      </c>
      <c r="Y67" s="61" t="str">
        <f aca="false">O67</f>
        <v>msi</v>
      </c>
      <c r="Z67" s="61" t="str">
        <f aca="false">_xlfn.xlookup(E67,Clients!B:B,Clients!Y:Y,FALSE())</f>
        <v>CAD</v>
      </c>
      <c r="AA67" s="61" t="str">
        <f aca="false">_xlfn.xlookup(B67,Spec!A:A,Spec!K:K,FALSE())</f>
        <v>Canada</v>
      </c>
      <c r="AB67" s="61" t="n">
        <f aca="false">_xlfn.xlookup(B67,Spec!A:A,Spec!L:L,FALSE())</f>
        <v>4811.41</v>
      </c>
    </row>
    <row r="68" customFormat="false" ht="16.4" hidden="false" customHeight="false" outlineLevel="0" collapsed="false">
      <c r="A68" s="1" t="n">
        <v>40087</v>
      </c>
      <c r="B68" s="1" t="n">
        <v>20017</v>
      </c>
      <c r="C68" s="61" t="str">
        <f aca="false">_xlfn.xlookup(B68,Spec!A:A,Spec!C:C)</f>
        <v>Jinda</v>
      </c>
      <c r="D68" s="69" t="str">
        <f aca="false">_xlfn.xlookup(B68,Spec!A:A,Spec!D:D)</f>
        <v>0488056</v>
      </c>
      <c r="E68" s="15" t="s">
        <v>189</v>
      </c>
      <c r="F68" s="15" t="str">
        <f aca="false">_xlfn.xlookup(E68,Clients!B:B,Clients!D:D,FALSE())</f>
        <v>F</v>
      </c>
      <c r="G68" s="42"/>
      <c r="H68" s="15" t="s">
        <v>593</v>
      </c>
      <c r="I68" s="61" t="str">
        <f aca="false">_xlfn.xlookup(B68,Spec!A:A,Spec!B:B)</f>
        <v>B25-3</v>
      </c>
      <c r="J68" s="61" t="str">
        <f aca="false">_xlfn.xlookup(B68,Spec!A:A,Spec!J:J)</f>
        <v>White BOPP - Acrylic Adhesive</v>
      </c>
      <c r="K68" s="61" t="str">
        <f aca="false">_xlfn.xlookup(B68,Spec!A:A,Spec!E:E)</f>
        <v>Self Adhesive Film</v>
      </c>
      <c r="L68" s="43" t="s">
        <v>600</v>
      </c>
      <c r="N68" s="43"/>
      <c r="O68" s="43" t="s">
        <v>554</v>
      </c>
      <c r="P68" s="72" t="n">
        <v>13</v>
      </c>
      <c r="Q68" s="73" t="n">
        <v>5000</v>
      </c>
      <c r="R68" s="83" t="n">
        <f aca="false">P68*12*Q68/1000</f>
        <v>780</v>
      </c>
      <c r="S68" s="61" t="str">
        <f aca="false">_xlfn.xlookup(E68,Clients!B:B,Clients!D:D,FALSE())</f>
        <v>F</v>
      </c>
      <c r="T68" s="84" t="n">
        <f aca="false">IF(O68="msi",P68*12*Q68/1000*N68,IF(O68="sqm",P68/1000*Q68,N68))</f>
        <v>0</v>
      </c>
      <c r="U68" s="61" t="s">
        <v>551</v>
      </c>
      <c r="V68" s="61" t="str">
        <f aca="false">_xlfn.xlookup(E68,Clients!B:B,Clients!X:X,FALSE())</f>
        <v>CAD</v>
      </c>
      <c r="W68" s="1" t="n">
        <v>1</v>
      </c>
      <c r="X68" s="85" t="n">
        <f aca="false">IF(V68=Z68,N68,N68*W68)</f>
        <v>0</v>
      </c>
      <c r="Y68" s="61" t="str">
        <f aca="false">O68</f>
        <v>msi</v>
      </c>
      <c r="Z68" s="61" t="str">
        <f aca="false">_xlfn.xlookup(E68,Clients!B:B,Clients!Y:Y,FALSE())</f>
        <v>CAD</v>
      </c>
      <c r="AA68" s="61" t="str">
        <f aca="false">_xlfn.xlookup(B68,Spec!A:A,Spec!K:K,FALSE())</f>
        <v>Canada</v>
      </c>
      <c r="AB68" s="61" t="str">
        <f aca="false">_xlfn.xlookup(B68,Spec!A:A,Spec!L:L,FALSE())</f>
        <v>3919.90</v>
      </c>
    </row>
    <row r="69" customFormat="false" ht="14.25" hidden="false" customHeight="false" outlineLevel="0" collapsed="false">
      <c r="A69" s="1" t="n">
        <v>40088</v>
      </c>
      <c r="B69" s="1" t="n">
        <v>20011</v>
      </c>
      <c r="C69" s="61" t="str">
        <f aca="false">_xlfn.xlookup(B69,Spec!A:A,Spec!C:C)</f>
        <v>AKO</v>
      </c>
      <c r="D69" s="69" t="str">
        <f aca="false">_xlfn.xlookup(B69,Spec!A:A,Spec!D:D)</f>
        <v>AP1019</v>
      </c>
      <c r="E69" s="15" t="s">
        <v>124</v>
      </c>
      <c r="F69" s="15" t="str">
        <f aca="false">_xlfn.xlookup(E69,Clients!B:B,Clients!D:D,FALSE())</f>
        <v>F</v>
      </c>
      <c r="G69" s="42" t="n">
        <v>2212</v>
      </c>
      <c r="H69" s="15" t="s">
        <v>602</v>
      </c>
      <c r="I69" s="61" t="str">
        <f aca="false">_xlfn.xlookup(B69,Spec!A:A,Spec!B:B)</f>
        <v>S21-1</v>
      </c>
      <c r="J69" s="61" t="str">
        <f aca="false">_xlfn.xlookup(B69,Spec!A:A,Spec!J:J)</f>
        <v>SG - Hotmelt Adhesive</v>
      </c>
      <c r="K69" s="61" t="str">
        <f aca="false">_xlfn.xlookup(B69,Spec!A:A,Spec!E:E)</f>
        <v>Self Adhesive Paper</v>
      </c>
      <c r="L69" s="43" t="s">
        <v>647</v>
      </c>
      <c r="N69" s="43" t="n">
        <v>0.27</v>
      </c>
      <c r="O69" s="43" t="s">
        <v>554</v>
      </c>
      <c r="P69" s="72" t="n">
        <v>20</v>
      </c>
      <c r="Q69" s="73" t="n">
        <v>5000</v>
      </c>
      <c r="R69" s="83" t="n">
        <f aca="false">P69*12*Q69/1000</f>
        <v>1200</v>
      </c>
      <c r="S69" s="61" t="str">
        <f aca="false">_xlfn.xlookup(E69,Clients!B:B,Clients!D:D,FALSE())</f>
        <v>F</v>
      </c>
      <c r="T69" s="84" t="n">
        <f aca="false">IF(O69="msi",P69*12*Q69/1000*N69,IF(O69="sqm",P69/1000*Q69,N69))</f>
        <v>324</v>
      </c>
      <c r="U69" s="61" t="s">
        <v>551</v>
      </c>
      <c r="V69" s="61" t="str">
        <f aca="false">_xlfn.xlookup(E69,Clients!B:B,Clients!X:X,FALSE())</f>
        <v>USD</v>
      </c>
      <c r="X69" s="85" t="n">
        <f aca="false">IF(V69=Z69,N69,N69*W69)</f>
        <v>0.27</v>
      </c>
      <c r="Y69" s="61" t="str">
        <f aca="false">O69</f>
        <v>msi</v>
      </c>
      <c r="Z69" s="61" t="str">
        <f aca="false">_xlfn.xlookup(E69,Clients!B:B,Clients!Y:Y,FALSE())</f>
        <v>USD</v>
      </c>
      <c r="AA69" s="61" t="str">
        <f aca="false">_xlfn.xlookup(B69,Spec!A:A,Spec!K:K,FALSE())</f>
        <v>Canada</v>
      </c>
      <c r="AB69" s="61" t="n">
        <f aca="false">_xlfn.xlookup(B69,Spec!A:A,Spec!L:L,FALSE())</f>
        <v>4811.41</v>
      </c>
    </row>
    <row r="70" customFormat="false" ht="14.25" hidden="false" customHeight="false" outlineLevel="0" collapsed="false">
      <c r="A70" s="1" t="n">
        <v>40089</v>
      </c>
      <c r="B70" s="1" t="n">
        <v>20017</v>
      </c>
      <c r="C70" s="61" t="str">
        <f aca="false">_xlfn.xlookup(B70,Spec!A:A,Spec!C:C)</f>
        <v>Jinda</v>
      </c>
      <c r="D70" s="69" t="str">
        <f aca="false">_xlfn.xlookup(B70,Spec!A:A,Spec!D:D)</f>
        <v>0488056</v>
      </c>
      <c r="E70" s="15" t="s">
        <v>110</v>
      </c>
      <c r="F70" s="15" t="str">
        <f aca="false">_xlfn.xlookup(E70,Clients!B:B,Clients!D:D,FALSE())</f>
        <v>F</v>
      </c>
      <c r="G70" s="42" t="s">
        <v>605</v>
      </c>
      <c r="H70" s="15" t="s">
        <v>593</v>
      </c>
      <c r="I70" s="61" t="str">
        <f aca="false">_xlfn.xlookup(B70,Spec!A:A,Spec!B:B)</f>
        <v>B25-3</v>
      </c>
      <c r="J70" s="61" t="str">
        <f aca="false">_xlfn.xlookup(B70,Spec!A:A,Spec!J:J)</f>
        <v>White BOPP - Acrylic Adhesive</v>
      </c>
      <c r="K70" s="61" t="str">
        <f aca="false">_xlfn.xlookup(B70,Spec!A:A,Spec!E:E)</f>
        <v>Self Adhesive Film</v>
      </c>
      <c r="L70" s="43" t="s">
        <v>595</v>
      </c>
      <c r="N70" s="43" t="n">
        <v>0.34</v>
      </c>
      <c r="O70" s="43" t="s">
        <v>554</v>
      </c>
      <c r="P70" s="72" t="n">
        <v>15</v>
      </c>
      <c r="Q70" s="73" t="n">
        <v>5000</v>
      </c>
      <c r="R70" s="83" t="n">
        <f aca="false">P70*12*Q70/1000</f>
        <v>900</v>
      </c>
      <c r="S70" s="61" t="str">
        <f aca="false">_xlfn.xlookup(E70,Clients!B:B,Clients!D:D,FALSE())</f>
        <v>F</v>
      </c>
      <c r="T70" s="84" t="n">
        <f aca="false">IF(O70="msi",P70*12*Q70/1000*N70,IF(O70="sqm",P70/1000*Q70,N70))</f>
        <v>306</v>
      </c>
      <c r="U70" s="61" t="s">
        <v>551</v>
      </c>
      <c r="V70" s="61" t="str">
        <f aca="false">_xlfn.xlookup(E70,Clients!B:B,Clients!X:X,FALSE())</f>
        <v>USD</v>
      </c>
      <c r="X70" s="85" t="n">
        <f aca="false">IF(V70=Z70,N70,N70*W70)</f>
        <v>0.34</v>
      </c>
      <c r="Y70" s="61" t="str">
        <f aca="false">O70</f>
        <v>msi</v>
      </c>
      <c r="Z70" s="61" t="str">
        <f aca="false">_xlfn.xlookup(E70,Clients!B:B,Clients!Y:Y,FALSE())</f>
        <v>USD</v>
      </c>
      <c r="AA70" s="61" t="str">
        <f aca="false">_xlfn.xlookup(B70,Spec!A:A,Spec!K:K,FALSE())</f>
        <v>Canada</v>
      </c>
      <c r="AB70" s="61" t="str">
        <f aca="false">_xlfn.xlookup(B70,Spec!A:A,Spec!L:L,FALSE())</f>
        <v>3919.90</v>
      </c>
    </row>
    <row r="71" customFormat="false" ht="16.4" hidden="false" customHeight="false" outlineLevel="0" collapsed="false">
      <c r="A71" s="1" t="n">
        <v>40090</v>
      </c>
      <c r="B71" s="1" t="n">
        <v>20012</v>
      </c>
      <c r="C71" s="61" t="str">
        <f aca="false">_xlfn.xlookup(B71,Spec!A:A,Spec!C:C)</f>
        <v>AKO</v>
      </c>
      <c r="D71" s="69" t="str">
        <f aca="false">_xlfn.xlookup(B71,Spec!A:A,Spec!D:D)</f>
        <v>AR316 (AH2002)</v>
      </c>
      <c r="E71" s="15" t="s">
        <v>151</v>
      </c>
      <c r="F71" s="15" t="str">
        <f aca="false">_xlfn.xlookup(E71,Clients!B:B,Clients!D:D,FALSE())</f>
        <v>F</v>
      </c>
      <c r="G71" s="42" t="s">
        <v>648</v>
      </c>
      <c r="H71" s="15" t="s">
        <v>589</v>
      </c>
      <c r="I71" s="61" t="str">
        <f aca="false">_xlfn.xlookup(B71,Spec!A:A,Spec!B:B)</f>
        <v>D21-1</v>
      </c>
      <c r="J71" s="61" t="str">
        <f aca="false">_xlfn.xlookup(B71,Spec!A:A,Spec!J:J)</f>
        <v>TC DT - Hotmelt Adhesive</v>
      </c>
      <c r="K71" s="61" t="str">
        <f aca="false">_xlfn.xlookup(B71,Spec!A:A,Spec!E:E)</f>
        <v>Self Adhesive Paper</v>
      </c>
      <c r="L71" s="61" t="str">
        <f aca="false">IF(F71="F","Larg: "&amp;P71&amp;"po   Long: "&amp;Q71&amp;"pi","W: "&amp;P71&amp;"in   L: "&amp;Q71&amp;"ft")</f>
        <v>Larg: 17po   Long: 5000pi</v>
      </c>
      <c r="N71" s="43" t="n">
        <v>0.48</v>
      </c>
      <c r="O71" s="43" t="s">
        <v>554</v>
      </c>
      <c r="P71" s="72" t="n">
        <v>17</v>
      </c>
      <c r="Q71" s="73" t="n">
        <v>5000</v>
      </c>
      <c r="R71" s="83" t="n">
        <f aca="false">P71*12*Q71/1000</f>
        <v>1020</v>
      </c>
      <c r="S71" s="61" t="str">
        <f aca="false">_xlfn.xlookup(E71,Clients!B:B,Clients!D:D,FALSE())</f>
        <v>F</v>
      </c>
      <c r="T71" s="84" t="n">
        <f aca="false">IF(O71="msi",P71*12*Q71/1000*N71,IF(O71="sqm",P71/1000*Q71,N71))</f>
        <v>489.6</v>
      </c>
      <c r="U71" s="61" t="s">
        <v>551</v>
      </c>
      <c r="V71" s="61" t="str">
        <f aca="false">_xlfn.xlookup(E71,Clients!B:B,Clients!X:X,FALSE())</f>
        <v>CAD</v>
      </c>
      <c r="W71" s="1" t="n">
        <v>1</v>
      </c>
      <c r="X71" s="85" t="n">
        <f aca="false">IF(V71=Z71,N71,N71*W71)</f>
        <v>0.48</v>
      </c>
      <c r="Y71" s="61" t="str">
        <f aca="false">O71</f>
        <v>msi</v>
      </c>
      <c r="Z71" s="61" t="str">
        <f aca="false">_xlfn.xlookup(E71,Clients!B:B,Clients!Y:Y,FALSE())</f>
        <v>CAD</v>
      </c>
      <c r="AA71" s="61" t="str">
        <f aca="false">_xlfn.xlookup(B71,Spec!A:A,Spec!K:K,FALSE())</f>
        <v>Canada</v>
      </c>
      <c r="AB71" s="61" t="n">
        <f aca="false">_xlfn.xlookup(B71,Spec!A:A,Spec!L:L,FALSE())</f>
        <v>4811.41</v>
      </c>
    </row>
    <row r="72" customFormat="false" ht="16.4" hidden="false" customHeight="false" outlineLevel="0" collapsed="false">
      <c r="A72" s="1" t="n">
        <v>40091</v>
      </c>
      <c r="B72" s="1" t="n">
        <v>20012</v>
      </c>
      <c r="C72" s="61" t="str">
        <f aca="false">_xlfn.xlookup(B72,Spec!A:A,Spec!C:C)</f>
        <v>AKO</v>
      </c>
      <c r="D72" s="69" t="str">
        <f aca="false">_xlfn.xlookup(B72,Spec!A:A,Spec!D:D)</f>
        <v>AR316 (AH2002)</v>
      </c>
      <c r="E72" s="15" t="s">
        <v>151</v>
      </c>
      <c r="F72" s="15" t="str">
        <f aca="false">_xlfn.xlookup(E72,Clients!B:B,Clients!D:D,FALSE())</f>
        <v>F</v>
      </c>
      <c r="G72" s="42" t="s">
        <v>649</v>
      </c>
      <c r="H72" s="15" t="s">
        <v>589</v>
      </c>
      <c r="I72" s="61" t="str">
        <f aca="false">_xlfn.xlookup(B72,Spec!A:A,Spec!B:B)</f>
        <v>D21-1</v>
      </c>
      <c r="J72" s="61" t="str">
        <f aca="false">_xlfn.xlookup(B72,Spec!A:A,Spec!J:J)</f>
        <v>TC DT - Hotmelt Adhesive</v>
      </c>
      <c r="K72" s="61" t="str">
        <f aca="false">_xlfn.xlookup(B72,Spec!A:A,Spec!E:E)</f>
        <v>Self Adhesive Paper</v>
      </c>
      <c r="L72" s="61" t="str">
        <f aca="false">IF(F72="F","Larg: "&amp;P72&amp;"po   Long: "&amp;Q72&amp;"pi","W: "&amp;P72&amp;"in   L: "&amp;Q72&amp;"ft")</f>
        <v>Larg: 13po   Long: 5000pi</v>
      </c>
      <c r="N72" s="43" t="n">
        <v>0.48</v>
      </c>
      <c r="O72" s="43" t="s">
        <v>554</v>
      </c>
      <c r="P72" s="72" t="n">
        <v>13</v>
      </c>
      <c r="Q72" s="73" t="n">
        <v>5000</v>
      </c>
      <c r="R72" s="83" t="n">
        <f aca="false">P72*12*Q72/1000</f>
        <v>780</v>
      </c>
      <c r="S72" s="61" t="str">
        <f aca="false">_xlfn.xlookup(E72,Clients!B:B,Clients!D:D,FALSE())</f>
        <v>F</v>
      </c>
      <c r="T72" s="84" t="n">
        <f aca="false">IF(O72="msi",P72*12*Q72/1000*N72,IF(O72="sqm",P72/1000*Q72,N72))</f>
        <v>374.4</v>
      </c>
      <c r="U72" s="61" t="s">
        <v>551</v>
      </c>
      <c r="V72" s="61" t="str">
        <f aca="false">_xlfn.xlookup(E72,Clients!B:B,Clients!X:X,FALSE())</f>
        <v>CAD</v>
      </c>
      <c r="W72" s="1" t="n">
        <v>1</v>
      </c>
      <c r="X72" s="85" t="n">
        <f aca="false">IF(V72=Z72,N72,N72*W72)</f>
        <v>0.48</v>
      </c>
      <c r="Y72" s="61" t="str">
        <f aca="false">O72</f>
        <v>msi</v>
      </c>
      <c r="Z72" s="61" t="str">
        <f aca="false">_xlfn.xlookup(E72,Clients!B:B,Clients!Y:Y,FALSE())</f>
        <v>CAD</v>
      </c>
      <c r="AA72" s="61" t="str">
        <f aca="false">_xlfn.xlookup(B72,Spec!A:A,Spec!K:K,FALSE())</f>
        <v>Canada</v>
      </c>
      <c r="AB72" s="61" t="n">
        <f aca="false">_xlfn.xlookup(B72,Spec!A:A,Spec!L:L,FALSE())</f>
        <v>4811.41</v>
      </c>
    </row>
    <row r="73" customFormat="false" ht="16.4" hidden="false" customHeight="false" outlineLevel="0" collapsed="false">
      <c r="A73" s="1" t="n">
        <v>40092</v>
      </c>
      <c r="B73" s="1" t="n">
        <v>20012</v>
      </c>
      <c r="C73" s="61" t="str">
        <f aca="false">_xlfn.xlookup(B73,Spec!A:A,Spec!C:C)</f>
        <v>AKO</v>
      </c>
      <c r="D73" s="69" t="str">
        <f aca="false">_xlfn.xlookup(B73,Spec!A:A,Spec!D:D)</f>
        <v>AR316 (AH2002)</v>
      </c>
      <c r="E73" s="15" t="s">
        <v>151</v>
      </c>
      <c r="F73" s="15" t="str">
        <f aca="false">_xlfn.xlookup(E73,Clients!B:B,Clients!D:D,FALSE())</f>
        <v>F</v>
      </c>
      <c r="G73" s="42" t="s">
        <v>650</v>
      </c>
      <c r="H73" s="15" t="s">
        <v>589</v>
      </c>
      <c r="I73" s="61" t="str">
        <f aca="false">_xlfn.xlookup(B73,Spec!A:A,Spec!B:B)</f>
        <v>D21-1</v>
      </c>
      <c r="J73" s="61" t="str">
        <f aca="false">_xlfn.xlookup(B73,Spec!A:A,Spec!J:J)</f>
        <v>TC DT - Hotmelt Adhesive</v>
      </c>
      <c r="K73" s="61" t="str">
        <f aca="false">_xlfn.xlookup(B73,Spec!A:A,Spec!E:E)</f>
        <v>Self Adhesive Paper</v>
      </c>
      <c r="L73" s="61" t="str">
        <f aca="false">IF(F73="F","Larg: "&amp;P73&amp;"po   Long: "&amp;Q73&amp;"pi","W: "&amp;P73&amp;"in   L: "&amp;Q73&amp;"ft")</f>
        <v>Larg: 8po   Long: 5000pi</v>
      </c>
      <c r="N73" s="43" t="n">
        <v>0.48</v>
      </c>
      <c r="O73" s="43" t="s">
        <v>554</v>
      </c>
      <c r="P73" s="72" t="n">
        <v>8</v>
      </c>
      <c r="Q73" s="73" t="n">
        <v>5000</v>
      </c>
      <c r="R73" s="83" t="n">
        <f aca="false">P73*12*Q73/1000</f>
        <v>480</v>
      </c>
      <c r="S73" s="61" t="str">
        <f aca="false">_xlfn.xlookup(E73,Clients!B:B,Clients!D:D,FALSE())</f>
        <v>F</v>
      </c>
      <c r="T73" s="84" t="n">
        <f aca="false">IF(O73="msi",P73*12*Q73/1000*N73,IF(O73="sqm",P73/1000*Q73,N73))</f>
        <v>230.4</v>
      </c>
      <c r="U73" s="61" t="s">
        <v>551</v>
      </c>
      <c r="V73" s="61" t="str">
        <f aca="false">_xlfn.xlookup(E73,Clients!B:B,Clients!X:X,FALSE())</f>
        <v>CAD</v>
      </c>
      <c r="W73" s="1" t="n">
        <v>1</v>
      </c>
      <c r="X73" s="85" t="n">
        <f aca="false">IF(V73=Z73,N73,N73*W73)</f>
        <v>0.48</v>
      </c>
      <c r="Y73" s="61" t="str">
        <f aca="false">O73</f>
        <v>msi</v>
      </c>
      <c r="Z73" s="61" t="str">
        <f aca="false">_xlfn.xlookup(E73,Clients!B:B,Clients!Y:Y,FALSE())</f>
        <v>CAD</v>
      </c>
      <c r="AA73" s="61" t="str">
        <f aca="false">_xlfn.xlookup(B73,Spec!A:A,Spec!K:K,FALSE())</f>
        <v>Canada</v>
      </c>
      <c r="AB73" s="61" t="n">
        <f aca="false">_xlfn.xlookup(B73,Spec!A:A,Spec!L:L,FALSE())</f>
        <v>4811.41</v>
      </c>
    </row>
    <row r="74" customFormat="false" ht="16.4" hidden="false" customHeight="false" outlineLevel="0" collapsed="false">
      <c r="A74" s="1" t="n">
        <v>40093</v>
      </c>
      <c r="B74" s="1" t="n">
        <v>20012</v>
      </c>
      <c r="C74" s="61" t="str">
        <f aca="false">_xlfn.xlookup(B74,Spec!A:A,Spec!C:C)</f>
        <v>AKO</v>
      </c>
      <c r="D74" s="69" t="str">
        <f aca="false">_xlfn.xlookup(B74,Spec!A:A,Spec!D:D)</f>
        <v>AR316 (AH2002)</v>
      </c>
      <c r="E74" s="15" t="s">
        <v>199</v>
      </c>
      <c r="F74" s="15" t="str">
        <f aca="false">_xlfn.xlookup(E74,Clients!B:B,Clients!D:D,FALSE())</f>
        <v>F</v>
      </c>
      <c r="G74" s="42" t="s">
        <v>367</v>
      </c>
      <c r="H74" s="15" t="s">
        <v>589</v>
      </c>
      <c r="I74" s="61" t="str">
        <f aca="false">_xlfn.xlookup(B74,Spec!A:A,Spec!B:B)</f>
        <v>D21-1</v>
      </c>
      <c r="J74" s="61" t="str">
        <f aca="false">_xlfn.xlookup(B74,Spec!A:A,Spec!J:J)</f>
        <v>TC DT - Hotmelt Adhesive</v>
      </c>
      <c r="K74" s="61" t="str">
        <f aca="false">_xlfn.xlookup(B74,Spec!A:A,Spec!E:E)</f>
        <v>Self Adhesive Paper</v>
      </c>
      <c r="L74" s="43" t="s">
        <v>651</v>
      </c>
      <c r="N74" s="43" t="n">
        <v>0</v>
      </c>
      <c r="O74" s="43" t="s">
        <v>554</v>
      </c>
      <c r="P74" s="72" t="n">
        <v>16.4</v>
      </c>
      <c r="Q74" s="73" t="n">
        <v>10000</v>
      </c>
      <c r="R74" s="83" t="n">
        <f aca="false">P74*12*Q74/1000</f>
        <v>1968</v>
      </c>
      <c r="S74" s="61" t="str">
        <f aca="false">_xlfn.xlookup(E74,Clients!B:B,Clients!D:D,FALSE())</f>
        <v>F</v>
      </c>
      <c r="T74" s="84" t="n">
        <f aca="false">IF(O74="msi",P74*12*Q74/1000*N74,IF(O74="sqm",P74/1000*Q74,N74))</f>
        <v>0</v>
      </c>
      <c r="U74" s="61" t="s">
        <v>551</v>
      </c>
      <c r="V74" s="61" t="str">
        <f aca="false">_xlfn.xlookup(E74,Clients!B:B,Clients!X:X,FALSE())</f>
        <v>CAD</v>
      </c>
      <c r="W74" s="1" t="n">
        <v>1</v>
      </c>
      <c r="X74" s="85" t="n">
        <f aca="false">IF(V74=Z74,N74,N74*W74)</f>
        <v>0</v>
      </c>
      <c r="Y74" s="61" t="str">
        <f aca="false">O74</f>
        <v>msi</v>
      </c>
      <c r="Z74" s="61" t="str">
        <f aca="false">_xlfn.xlookup(E74,Clients!B:B,Clients!Y:Y,FALSE())</f>
        <v>CAD</v>
      </c>
      <c r="AA74" s="61" t="str">
        <f aca="false">_xlfn.xlookup(B74,Spec!A:A,Spec!K:K,FALSE())</f>
        <v>Canada</v>
      </c>
      <c r="AB74" s="61" t="n">
        <f aca="false">_xlfn.xlookup(B74,Spec!A:A,Spec!L:L,FALSE())</f>
        <v>4811.41</v>
      </c>
    </row>
    <row r="75" customFormat="false" ht="16.4" hidden="false" customHeight="false" outlineLevel="0" collapsed="false">
      <c r="A75" s="1" t="n">
        <v>40094</v>
      </c>
      <c r="B75" s="1" t="n">
        <v>20015</v>
      </c>
      <c r="C75" s="61" t="str">
        <f aca="false">_xlfn.xlookup(B75,Spec!A:A,Spec!C:C)</f>
        <v>Jinda</v>
      </c>
      <c r="D75" s="69" t="str">
        <f aca="false">_xlfn.xlookup(B75,Spec!A:A,Spec!D:D)</f>
        <v>0402105</v>
      </c>
      <c r="E75" s="15" t="s">
        <v>141</v>
      </c>
      <c r="F75" s="15" t="str">
        <f aca="false">_xlfn.xlookup(E75,Clients!B:B,Clients!D:D,FALSE())</f>
        <v>F</v>
      </c>
      <c r="G75" s="42"/>
      <c r="H75" s="15" t="s">
        <v>586</v>
      </c>
      <c r="I75" s="61" t="str">
        <f aca="false">_xlfn.xlookup(B75,Spec!A:A,Spec!B:B)</f>
        <v>S15-3</v>
      </c>
      <c r="J75" s="61" t="str">
        <f aca="false">_xlfn.xlookup(B75,Spec!A:A,Spec!J:J)</f>
        <v>SG - Acrylic Adhesive</v>
      </c>
      <c r="K75" s="61" t="str">
        <f aca="false">_xlfn.xlookup(B75,Spec!A:A,Spec!E:E)</f>
        <v>Self Adhesive Paper</v>
      </c>
      <c r="L75" s="43" t="s">
        <v>652</v>
      </c>
      <c r="N75" s="43" t="n">
        <v>0.343</v>
      </c>
      <c r="O75" s="43" t="s">
        <v>554</v>
      </c>
      <c r="P75" s="72" t="n">
        <v>13</v>
      </c>
      <c r="Q75" s="73" t="n">
        <v>5000</v>
      </c>
      <c r="R75" s="83" t="n">
        <f aca="false">P75*12*Q75/1000</f>
        <v>780</v>
      </c>
      <c r="S75" s="61" t="str">
        <f aca="false">_xlfn.xlookup(E75,Clients!B:B,Clients!D:D,FALSE())</f>
        <v>F</v>
      </c>
      <c r="T75" s="84" t="n">
        <f aca="false">IF(O75="msi",P75*12*Q75/1000*N75,IF(O75="sqm",P75/1000*Q75,N75))</f>
        <v>267.54</v>
      </c>
      <c r="U75" s="61" t="s">
        <v>551</v>
      </c>
      <c r="V75" s="61" t="str">
        <f aca="false">_xlfn.xlookup(E75,Clients!B:B,Clients!X:X,FALSE())</f>
        <v>CAD</v>
      </c>
      <c r="W75" s="1" t="n">
        <v>1</v>
      </c>
      <c r="X75" s="85" t="n">
        <f aca="false">IF(V75=Z75,N75,N75*W75)</f>
        <v>0.343</v>
      </c>
      <c r="Y75" s="61" t="str">
        <f aca="false">O75</f>
        <v>msi</v>
      </c>
      <c r="Z75" s="61" t="str">
        <f aca="false">_xlfn.xlookup(E75,Clients!B:B,Clients!Y:Y,FALSE())</f>
        <v>CAD</v>
      </c>
      <c r="AA75" s="61" t="str">
        <f aca="false">_xlfn.xlookup(B75,Spec!A:A,Spec!K:K,FALSE())</f>
        <v>Canada</v>
      </c>
      <c r="AB75" s="61" t="n">
        <f aca="false">_xlfn.xlookup(B75,Spec!A:A,Spec!L:L,FALSE())</f>
        <v>4811.41</v>
      </c>
    </row>
    <row r="76" customFormat="false" ht="16.4" hidden="false" customHeight="false" outlineLevel="0" collapsed="false">
      <c r="A76" s="1" t="n">
        <v>40095</v>
      </c>
      <c r="B76" s="1" t="n">
        <v>20015</v>
      </c>
      <c r="C76" s="61" t="str">
        <f aca="false">_xlfn.xlookup(B76,Spec!A:A,Spec!C:C)</f>
        <v>Jinda</v>
      </c>
      <c r="D76" s="69" t="str">
        <f aca="false">_xlfn.xlookup(B76,Spec!A:A,Spec!D:D)</f>
        <v>0402105</v>
      </c>
      <c r="E76" s="15" t="s">
        <v>141</v>
      </c>
      <c r="F76" s="15" t="str">
        <f aca="false">_xlfn.xlookup(E76,Clients!B:B,Clients!D:D,FALSE())</f>
        <v>F</v>
      </c>
      <c r="G76" s="42"/>
      <c r="H76" s="15" t="s">
        <v>586</v>
      </c>
      <c r="I76" s="61" t="str">
        <f aca="false">_xlfn.xlookup(B76,Spec!A:A,Spec!B:B)</f>
        <v>S15-3</v>
      </c>
      <c r="J76" s="61" t="str">
        <f aca="false">_xlfn.xlookup(B76,Spec!A:A,Spec!J:J)</f>
        <v>SG - Acrylic Adhesive</v>
      </c>
      <c r="K76" s="61" t="str">
        <f aca="false">_xlfn.xlookup(B76,Spec!A:A,Spec!E:E)</f>
        <v>Self Adhesive Paper</v>
      </c>
      <c r="L76" s="43" t="s">
        <v>653</v>
      </c>
      <c r="N76" s="43" t="n">
        <v>0.343</v>
      </c>
      <c r="O76" s="43" t="s">
        <v>554</v>
      </c>
      <c r="P76" s="72" t="n">
        <v>8</v>
      </c>
      <c r="Q76" s="73" t="n">
        <v>5000</v>
      </c>
      <c r="R76" s="83" t="n">
        <f aca="false">P76*12*Q76/1000</f>
        <v>480</v>
      </c>
      <c r="S76" s="61" t="str">
        <f aca="false">_xlfn.xlookup(E76,Clients!B:B,Clients!D:D,FALSE())</f>
        <v>F</v>
      </c>
      <c r="T76" s="84" t="n">
        <f aca="false">IF(O76="msi",P76*12*Q76/1000*N76,IF(O76="sqm",P76/1000*Q76,N76))</f>
        <v>164.64</v>
      </c>
      <c r="U76" s="61" t="s">
        <v>551</v>
      </c>
      <c r="V76" s="61" t="str">
        <f aca="false">_xlfn.xlookup(E76,Clients!B:B,Clients!X:X,FALSE())</f>
        <v>CAD</v>
      </c>
      <c r="W76" s="1" t="n">
        <v>1</v>
      </c>
      <c r="X76" s="85" t="n">
        <f aca="false">IF(V76=Z76,N76,N76*W76)</f>
        <v>0.343</v>
      </c>
      <c r="Y76" s="61" t="str">
        <f aca="false">O76</f>
        <v>msi</v>
      </c>
      <c r="Z76" s="61" t="str">
        <f aca="false">_xlfn.xlookup(E76,Clients!B:B,Clients!Y:Y,FALSE())</f>
        <v>CAD</v>
      </c>
      <c r="AA76" s="61" t="str">
        <f aca="false">_xlfn.xlookup(B76,Spec!A:A,Spec!K:K,FALSE())</f>
        <v>Canada</v>
      </c>
      <c r="AB76" s="61" t="n">
        <f aca="false">_xlfn.xlookup(B76,Spec!A:A,Spec!L:L,FALSE())</f>
        <v>4811.41</v>
      </c>
    </row>
    <row r="77" customFormat="false" ht="16.4" hidden="false" customHeight="false" outlineLevel="0" collapsed="false">
      <c r="A77" s="1" t="n">
        <v>40096</v>
      </c>
      <c r="B77" s="1" t="n">
        <v>20017</v>
      </c>
      <c r="C77" s="61" t="str">
        <f aca="false">_xlfn.xlookup(B77,Spec!A:A,Spec!C:C)</f>
        <v>Jinda</v>
      </c>
      <c r="D77" s="69" t="str">
        <f aca="false">_xlfn.xlookup(B77,Spec!A:A,Spec!D:D)</f>
        <v>0488056</v>
      </c>
      <c r="E77" s="15" t="s">
        <v>141</v>
      </c>
      <c r="F77" s="15" t="str">
        <f aca="false">_xlfn.xlookup(E77,Clients!B:B,Clients!D:D,FALSE())</f>
        <v>F</v>
      </c>
      <c r="G77" s="42"/>
      <c r="H77" s="15" t="s">
        <v>593</v>
      </c>
      <c r="I77" s="61" t="str">
        <f aca="false">_xlfn.xlookup(B77,Spec!A:A,Spec!B:B)</f>
        <v>B25-3</v>
      </c>
      <c r="J77" s="61" t="str">
        <f aca="false">_xlfn.xlookup(B77,Spec!A:A,Spec!J:J)</f>
        <v>White BOPP - Acrylic Adhesive</v>
      </c>
      <c r="K77" s="61" t="str">
        <f aca="false">_xlfn.xlookup(B77,Spec!A:A,Spec!E:E)</f>
        <v>Self Adhesive Film</v>
      </c>
      <c r="L77" s="43" t="s">
        <v>652</v>
      </c>
      <c r="N77" s="43" t="n">
        <v>0.452</v>
      </c>
      <c r="O77" s="43" t="s">
        <v>554</v>
      </c>
      <c r="P77" s="72" t="n">
        <v>13</v>
      </c>
      <c r="Q77" s="73" t="n">
        <v>5000</v>
      </c>
      <c r="R77" s="83" t="n">
        <f aca="false">P77*12*Q77/1000</f>
        <v>780</v>
      </c>
      <c r="S77" s="61" t="str">
        <f aca="false">_xlfn.xlookup(E77,Clients!B:B,Clients!D:D,FALSE())</f>
        <v>F</v>
      </c>
      <c r="T77" s="84" t="n">
        <f aca="false">IF(O77="msi",P77*12*Q77/1000*N77,IF(O77="sqm",P77/1000*Q77,N77))</f>
        <v>352.56</v>
      </c>
      <c r="U77" s="61" t="s">
        <v>551</v>
      </c>
      <c r="V77" s="61" t="str">
        <f aca="false">_xlfn.xlookup(E77,Clients!B:B,Clients!X:X,FALSE())</f>
        <v>CAD</v>
      </c>
      <c r="W77" s="1" t="n">
        <v>1</v>
      </c>
      <c r="X77" s="85" t="n">
        <f aca="false">IF(V77=Z77,N77,N77*W77)</f>
        <v>0.452</v>
      </c>
      <c r="Y77" s="61" t="str">
        <f aca="false">O77</f>
        <v>msi</v>
      </c>
      <c r="Z77" s="61" t="str">
        <f aca="false">_xlfn.xlookup(E77,Clients!B:B,Clients!Y:Y,FALSE())</f>
        <v>CAD</v>
      </c>
      <c r="AA77" s="61" t="str">
        <f aca="false">_xlfn.xlookup(B77,Spec!A:A,Spec!K:K,FALSE())</f>
        <v>Canada</v>
      </c>
      <c r="AB77" s="61" t="str">
        <f aca="false">_xlfn.xlookup(B77,Spec!A:A,Spec!L:L,FALSE())</f>
        <v>3919.90</v>
      </c>
    </row>
    <row r="78" customFormat="false" ht="16.4" hidden="false" customHeight="false" outlineLevel="0" collapsed="false">
      <c r="A78" s="1" t="n">
        <v>40097</v>
      </c>
      <c r="B78" s="1" t="n">
        <v>20017</v>
      </c>
      <c r="C78" s="61" t="str">
        <f aca="false">_xlfn.xlookup(B78,Spec!A:A,Spec!C:C)</f>
        <v>Jinda</v>
      </c>
      <c r="D78" s="69" t="str">
        <f aca="false">_xlfn.xlookup(B78,Spec!A:A,Spec!D:D)</f>
        <v>0488056</v>
      </c>
      <c r="E78" s="15" t="s">
        <v>141</v>
      </c>
      <c r="F78" s="15" t="str">
        <f aca="false">_xlfn.xlookup(E78,Clients!B:B,Clients!D:D,FALSE())</f>
        <v>F</v>
      </c>
      <c r="G78" s="42"/>
      <c r="H78" s="15" t="s">
        <v>593</v>
      </c>
      <c r="I78" s="61" t="str">
        <f aca="false">_xlfn.xlookup(B78,Spec!A:A,Spec!B:B)</f>
        <v>B25-3</v>
      </c>
      <c r="J78" s="61" t="str">
        <f aca="false">_xlfn.xlookup(B78,Spec!A:A,Spec!J:J)</f>
        <v>White BOPP - Acrylic Adhesive</v>
      </c>
      <c r="K78" s="61" t="str">
        <f aca="false">_xlfn.xlookup(B78,Spec!A:A,Spec!E:E)</f>
        <v>Self Adhesive Film</v>
      </c>
      <c r="L78" s="43" t="s">
        <v>653</v>
      </c>
      <c r="N78" s="43" t="n">
        <v>0.452</v>
      </c>
      <c r="O78" s="43" t="s">
        <v>554</v>
      </c>
      <c r="P78" s="72" t="n">
        <v>8</v>
      </c>
      <c r="Q78" s="73" t="n">
        <v>5000</v>
      </c>
      <c r="R78" s="83" t="n">
        <f aca="false">P78*12*Q78/1000</f>
        <v>480</v>
      </c>
      <c r="S78" s="61" t="str">
        <f aca="false">_xlfn.xlookup(E78,Clients!B:B,Clients!D:D,FALSE())</f>
        <v>F</v>
      </c>
      <c r="T78" s="84" t="n">
        <f aca="false">IF(O78="msi",P78*12*Q78/1000*N78,IF(O78="sqm",P78/1000*Q78,N78))</f>
        <v>216.96</v>
      </c>
      <c r="U78" s="61" t="s">
        <v>551</v>
      </c>
      <c r="V78" s="61" t="str">
        <f aca="false">_xlfn.xlookup(E78,Clients!B:B,Clients!X:X,FALSE())</f>
        <v>CAD</v>
      </c>
      <c r="W78" s="1" t="n">
        <v>1</v>
      </c>
      <c r="X78" s="85" t="n">
        <f aca="false">IF(V78=Z78,N78,N78*W78)</f>
        <v>0.452</v>
      </c>
      <c r="Y78" s="61" t="str">
        <f aca="false">O78</f>
        <v>msi</v>
      </c>
      <c r="Z78" s="61" t="str">
        <f aca="false">_xlfn.xlookup(E78,Clients!B:B,Clients!Y:Y,FALSE())</f>
        <v>CAD</v>
      </c>
      <c r="AA78" s="61" t="str">
        <f aca="false">_xlfn.xlookup(B78,Spec!A:A,Spec!K:K,FALSE())</f>
        <v>Canada</v>
      </c>
      <c r="AB78" s="61" t="str">
        <f aca="false">_xlfn.xlookup(B78,Spec!A:A,Spec!L:L,FALSE())</f>
        <v>3919.90</v>
      </c>
    </row>
    <row r="79" customFormat="false" ht="16.4" hidden="false" customHeight="false" outlineLevel="0" collapsed="false">
      <c r="A79" s="1" t="n">
        <v>40098</v>
      </c>
      <c r="B79" s="1" t="n">
        <v>20017</v>
      </c>
      <c r="C79" s="61" t="str">
        <f aca="false">_xlfn.xlookup(B79,Spec!A:A,Spec!C:C)</f>
        <v>Jinda</v>
      </c>
      <c r="D79" s="69" t="str">
        <f aca="false">_xlfn.xlookup(B79,Spec!A:A,Spec!D:D)</f>
        <v>0488056</v>
      </c>
      <c r="E79" s="15" t="s">
        <v>134</v>
      </c>
      <c r="F79" s="15" t="str">
        <f aca="false">_xlfn.xlookup(E79,Clients!B:B,Clients!D:D,FALSE())</f>
        <v>F</v>
      </c>
      <c r="G79" s="42"/>
      <c r="H79" s="15" t="s">
        <v>593</v>
      </c>
      <c r="I79" s="61" t="str">
        <f aca="false">_xlfn.xlookup(B79,Spec!A:A,Spec!B:B)</f>
        <v>B25-3</v>
      </c>
      <c r="J79" s="61" t="str">
        <f aca="false">_xlfn.xlookup(B79,Spec!A:A,Spec!J:J)</f>
        <v>White BOPP - Acrylic Adhesive</v>
      </c>
      <c r="K79" s="61" t="str">
        <f aca="false">_xlfn.xlookup(B79,Spec!A:A,Spec!E:E)</f>
        <v>Self Adhesive Film</v>
      </c>
      <c r="L79" s="43" t="s">
        <v>654</v>
      </c>
      <c r="N79" s="43" t="n">
        <v>0.452</v>
      </c>
      <c r="O79" s="43" t="s">
        <v>554</v>
      </c>
      <c r="P79" s="72" t="n">
        <v>8.57</v>
      </c>
      <c r="Q79" s="73" t="n">
        <v>10000</v>
      </c>
      <c r="R79" s="83" t="n">
        <f aca="false">P79*12*Q79/1000</f>
        <v>1028.4</v>
      </c>
      <c r="S79" s="88" t="str">
        <f aca="false">_xlfn.xlookup(E79,Clients!B:B,Clients!D:D,FALSE())</f>
        <v>F</v>
      </c>
      <c r="T79" s="84" t="n">
        <f aca="false">IF(O79="msi",P79*12*Q79/1000*N79,IF(O79="sqm",P79/1000*Q79,N79))</f>
        <v>464.8368</v>
      </c>
      <c r="U79" s="61" t="s">
        <v>551</v>
      </c>
      <c r="V79" s="61" t="str">
        <f aca="false">_xlfn.xlookup(E79,Clients!B:B,Clients!X:X,FALSE())</f>
        <v>CAD</v>
      </c>
      <c r="W79" s="1" t="n">
        <v>1</v>
      </c>
      <c r="X79" s="89" t="n">
        <f aca="false">IF(V79=Z79,N79,N79*W79)</f>
        <v>0.452</v>
      </c>
      <c r="Y79" s="61" t="str">
        <f aca="false">O79</f>
        <v>msi</v>
      </c>
      <c r="Z79" s="61" t="str">
        <f aca="false">_xlfn.xlookup(E79,Clients!B:B,Clients!Y:Y,FALSE())</f>
        <v>CAD</v>
      </c>
      <c r="AA79" s="61" t="str">
        <f aca="false">_xlfn.xlookup(B79,Spec!A:A,Spec!K:K,FALSE())</f>
        <v>Canada</v>
      </c>
      <c r="AB79" s="61" t="str">
        <f aca="false">_xlfn.xlookup(B79,Spec!A:A,Spec!L:L,FALSE())</f>
        <v>3919.90</v>
      </c>
    </row>
    <row r="80" customFormat="false" ht="16.4" hidden="false" customHeight="false" outlineLevel="0" collapsed="false">
      <c r="A80" s="1" t="n">
        <v>40099</v>
      </c>
      <c r="B80" s="1" t="n">
        <v>20017</v>
      </c>
      <c r="C80" s="61" t="str">
        <f aca="false">_xlfn.xlookup(B80,Spec!A:A,Spec!C:C)</f>
        <v>Jinda</v>
      </c>
      <c r="D80" s="69" t="str">
        <f aca="false">_xlfn.xlookup(B80,Spec!A:A,Spec!D:D)</f>
        <v>0488056</v>
      </c>
      <c r="E80" s="15" t="s">
        <v>134</v>
      </c>
      <c r="F80" s="15" t="str">
        <f aca="false">_xlfn.xlookup(E80,Clients!B:B,Clients!D:D,FALSE())</f>
        <v>F</v>
      </c>
      <c r="G80" s="42"/>
      <c r="H80" s="15" t="s">
        <v>593</v>
      </c>
      <c r="I80" s="61" t="str">
        <f aca="false">_xlfn.xlookup(B80,Spec!A:A,Spec!B:B)</f>
        <v>B25-3</v>
      </c>
      <c r="J80" s="61" t="str">
        <f aca="false">_xlfn.xlookup(B80,Spec!A:A,Spec!J:J)</f>
        <v>White BOPP - Acrylic Adhesive</v>
      </c>
      <c r="K80" s="61" t="str">
        <f aca="false">_xlfn.xlookup(B80,Spec!A:A,Spec!E:E)</f>
        <v>Self Adhesive Film</v>
      </c>
      <c r="L80" s="43" t="s">
        <v>655</v>
      </c>
      <c r="N80" s="43" t="n">
        <v>0.452</v>
      </c>
      <c r="O80" s="43" t="s">
        <v>554</v>
      </c>
      <c r="P80" s="72" t="n">
        <v>8.57</v>
      </c>
      <c r="Q80" s="73" t="n">
        <v>2500</v>
      </c>
      <c r="R80" s="83" t="n">
        <f aca="false">P80*12*Q80/1000</f>
        <v>257.1</v>
      </c>
      <c r="S80" s="88" t="str">
        <f aca="false">_xlfn.xlookup(E80,Clients!B:B,Clients!D:D,FALSE())</f>
        <v>F</v>
      </c>
      <c r="T80" s="84" t="n">
        <f aca="false">IF(O80="msi",P80*12*Q80/1000*N80,IF(O80="sqm",P80/1000*Q80,N80))</f>
        <v>116.2092</v>
      </c>
      <c r="U80" s="61" t="s">
        <v>551</v>
      </c>
      <c r="V80" s="61" t="str">
        <f aca="false">_xlfn.xlookup(E80,Clients!B:B,Clients!X:X,FALSE())</f>
        <v>CAD</v>
      </c>
      <c r="W80" s="1" t="n">
        <v>1</v>
      </c>
      <c r="X80" s="89" t="n">
        <f aca="false">IF(V80=Z80,N80,N80*W80)</f>
        <v>0.452</v>
      </c>
      <c r="Y80" s="61" t="str">
        <f aca="false">O80</f>
        <v>msi</v>
      </c>
      <c r="Z80" s="61" t="str">
        <f aca="false">_xlfn.xlookup(E80,Clients!B:B,Clients!Y:Y,FALSE())</f>
        <v>CAD</v>
      </c>
      <c r="AA80" s="61" t="str">
        <f aca="false">_xlfn.xlookup(B80,Spec!A:A,Spec!K:K,FALSE())</f>
        <v>Canada</v>
      </c>
      <c r="AB80" s="61" t="str">
        <f aca="false">_xlfn.xlookup(B80,Spec!A:A,Spec!L:L,FALSE())</f>
        <v>3919.90</v>
      </c>
    </row>
    <row r="81" customFormat="false" ht="16.4" hidden="false" customHeight="false" outlineLevel="0" collapsed="false">
      <c r="A81" s="1" t="n">
        <v>40100</v>
      </c>
      <c r="B81" s="1" t="n">
        <v>20012</v>
      </c>
      <c r="C81" s="61" t="str">
        <f aca="false">_xlfn.xlookup(B81,Spec!A:A,Spec!C:C)</f>
        <v>AKO</v>
      </c>
      <c r="D81" s="69" t="str">
        <f aca="false">_xlfn.xlookup(B81,Spec!A:A,Spec!D:D)</f>
        <v>AR316 (AH2002)</v>
      </c>
      <c r="E81" s="15" t="s">
        <v>134</v>
      </c>
      <c r="F81" s="15" t="str">
        <f aca="false">_xlfn.xlookup(E81,Clients!B:B,Clients!D:D,FALSE())</f>
        <v>F</v>
      </c>
      <c r="G81" s="42"/>
      <c r="H81" s="15" t="s">
        <v>589</v>
      </c>
      <c r="I81" s="61" t="str">
        <f aca="false">_xlfn.xlookup(B81,Spec!A:A,Spec!B:B)</f>
        <v>D21-1</v>
      </c>
      <c r="J81" s="61" t="str">
        <f aca="false">_xlfn.xlookup(B81,Spec!A:A,Spec!J:J)</f>
        <v>TC DT - Hotmelt Adhesive</v>
      </c>
      <c r="K81" s="61" t="str">
        <f aca="false">_xlfn.xlookup(B81,Spec!A:A,Spec!E:E)</f>
        <v>Self Adhesive Paper</v>
      </c>
      <c r="L81" s="43" t="s">
        <v>656</v>
      </c>
      <c r="N81" s="43" t="n">
        <v>0.466</v>
      </c>
      <c r="O81" s="43" t="s">
        <v>554</v>
      </c>
      <c r="P81" s="72" t="n">
        <v>8.57</v>
      </c>
      <c r="Q81" s="73" t="n">
        <v>10000</v>
      </c>
      <c r="R81" s="83" t="n">
        <f aca="false">P81*12*Q81/1000</f>
        <v>1028.4</v>
      </c>
      <c r="S81" s="88" t="str">
        <f aca="false">_xlfn.xlookup(E81,Clients!B:B,Clients!D:D,FALSE())</f>
        <v>F</v>
      </c>
      <c r="T81" s="84" t="n">
        <f aca="false">IF(O81="msi",P81*12*Q81/1000*N81,IF(O81="sqm",P81/1000*Q81,N81))</f>
        <v>479.2344</v>
      </c>
      <c r="U81" s="61" t="s">
        <v>551</v>
      </c>
      <c r="V81" s="61" t="str">
        <f aca="false">_xlfn.xlookup(E81,Clients!B:B,Clients!X:X,FALSE())</f>
        <v>CAD</v>
      </c>
      <c r="W81" s="1" t="n">
        <v>1</v>
      </c>
      <c r="X81" s="89" t="n">
        <f aca="false">IF(V81=Z81,N81,N81*W81)</f>
        <v>0.466</v>
      </c>
      <c r="Y81" s="61" t="str">
        <f aca="false">O81</f>
        <v>msi</v>
      </c>
      <c r="Z81" s="61" t="str">
        <f aca="false">_xlfn.xlookup(E81,Clients!B:B,Clients!Y:Y,FALSE())</f>
        <v>CAD</v>
      </c>
      <c r="AA81" s="61" t="str">
        <f aca="false">_xlfn.xlookup(B81,Spec!A:A,Spec!K:K,FALSE())</f>
        <v>Canada</v>
      </c>
      <c r="AB81" s="61" t="n">
        <f aca="false">_xlfn.xlookup(B81,Spec!A:A,Spec!L:L,FALSE())</f>
        <v>4811.41</v>
      </c>
    </row>
    <row r="82" customFormat="false" ht="16.4" hidden="false" customHeight="false" outlineLevel="0" collapsed="false">
      <c r="A82" s="1" t="n">
        <v>40101</v>
      </c>
      <c r="B82" s="1" t="n">
        <v>20017</v>
      </c>
      <c r="C82" s="61" t="str">
        <f aca="false">_xlfn.xlookup(B82,Spec!A:A,Spec!C:C)</f>
        <v>Jinda</v>
      </c>
      <c r="D82" s="69" t="str">
        <f aca="false">_xlfn.xlookup(B82,Spec!A:A,Spec!D:D)</f>
        <v>0488056</v>
      </c>
      <c r="E82" s="11" t="s">
        <v>100</v>
      </c>
      <c r="F82" s="15" t="str">
        <f aca="false">_xlfn.xlookup(E82,Clients!B:B,Clients!D:D,FALSE())</f>
        <v>F</v>
      </c>
      <c r="G82" s="15" t="s">
        <v>592</v>
      </c>
      <c r="H82" s="15" t="s">
        <v>593</v>
      </c>
      <c r="I82" s="61" t="str">
        <f aca="false">_xlfn.xlookup(B82,Spec!A:A,Spec!B:B)</f>
        <v>B25-3</v>
      </c>
      <c r="J82" s="61" t="str">
        <f aca="false">_xlfn.xlookup(B82,Spec!A:A,Spec!J:J)</f>
        <v>White BOPP - Acrylic Adhesive</v>
      </c>
      <c r="K82" s="61" t="str">
        <f aca="false">_xlfn.xlookup(B82,Spec!A:A,Spec!E:E)</f>
        <v>Self Adhesive Film</v>
      </c>
      <c r="L82" s="43" t="s">
        <v>657</v>
      </c>
      <c r="N82" s="43" t="n">
        <v>0.532</v>
      </c>
      <c r="O82" s="43" t="s">
        <v>554</v>
      </c>
      <c r="P82" s="72" t="n">
        <v>8.6</v>
      </c>
      <c r="Q82" s="73" t="n">
        <v>7000</v>
      </c>
      <c r="R82" s="83" t="n">
        <f aca="false">P82*12*Q82/1000</f>
        <v>722.4</v>
      </c>
      <c r="S82" s="88" t="str">
        <f aca="false">_xlfn.xlookup(E82,Clients!B:B,Clients!D:D,FALSE())</f>
        <v>F</v>
      </c>
      <c r="T82" s="84" t="n">
        <f aca="false">IF(O82="msi",P82*12*Q82/1000*N82,IF(O82="sqm",P82/1000*Q82,N82))</f>
        <v>384.3168</v>
      </c>
      <c r="U82" s="61" t="s">
        <v>551</v>
      </c>
      <c r="V82" s="61" t="str">
        <f aca="false">_xlfn.xlookup(E82,Clients!B:B,Clients!X:X,FALSE())</f>
        <v>CAD</v>
      </c>
      <c r="W82" s="1" t="n">
        <v>1</v>
      </c>
      <c r="X82" s="89" t="n">
        <f aca="false">IF(V82=Z82,N82,N82*W82)</f>
        <v>0.532</v>
      </c>
      <c r="Y82" s="61" t="str">
        <f aca="false">O82</f>
        <v>msi</v>
      </c>
      <c r="Z82" s="61" t="str">
        <f aca="false">_xlfn.xlookup(E82,Clients!B:B,Clients!Y:Y,FALSE())</f>
        <v>CAD</v>
      </c>
      <c r="AA82" s="61" t="str">
        <f aca="false">_xlfn.xlookup(B82,Spec!A:A,Spec!K:K,FALSE())</f>
        <v>Canada</v>
      </c>
      <c r="AB82" s="61" t="str">
        <f aca="false">_xlfn.xlookup(B82,Spec!A:A,Spec!L:L,FALSE())</f>
        <v>3919.90</v>
      </c>
    </row>
    <row r="83" customFormat="false" ht="16.4" hidden="false" customHeight="false" outlineLevel="0" collapsed="false">
      <c r="A83" s="1" t="n">
        <v>40102</v>
      </c>
      <c r="B83" s="1" t="n">
        <v>20017</v>
      </c>
      <c r="C83" s="61" t="str">
        <f aca="false">_xlfn.xlookup(B83,Spec!A:A,Spec!C:C)</f>
        <v>Jinda</v>
      </c>
      <c r="D83" s="69" t="str">
        <f aca="false">_xlfn.xlookup(B83,Spec!A:A,Spec!D:D)</f>
        <v>0488056</v>
      </c>
      <c r="E83" s="11" t="s">
        <v>100</v>
      </c>
      <c r="F83" s="15" t="str">
        <f aca="false">_xlfn.xlookup(E83,Clients!B:B,Clients!D:D,FALSE())</f>
        <v>F</v>
      </c>
      <c r="G83" s="15" t="s">
        <v>592</v>
      </c>
      <c r="H83" s="15" t="s">
        <v>593</v>
      </c>
      <c r="I83" s="61" t="str">
        <f aca="false">_xlfn.xlookup(B83,Spec!A:A,Spec!B:B)</f>
        <v>B25-3</v>
      </c>
      <c r="J83" s="61" t="str">
        <f aca="false">_xlfn.xlookup(B83,Spec!A:A,Spec!J:J)</f>
        <v>White BOPP - Acrylic Adhesive</v>
      </c>
      <c r="K83" s="61" t="str">
        <f aca="false">_xlfn.xlookup(B83,Spec!A:A,Spec!E:E)</f>
        <v>Self Adhesive Film</v>
      </c>
      <c r="L83" s="43" t="s">
        <v>658</v>
      </c>
      <c r="N83" s="43" t="n">
        <v>0.532</v>
      </c>
      <c r="O83" s="43" t="s">
        <v>554</v>
      </c>
      <c r="P83" s="72" t="n">
        <v>9.5</v>
      </c>
      <c r="Q83" s="73" t="n">
        <v>4850</v>
      </c>
      <c r="R83" s="83" t="n">
        <f aca="false">P83*12*Q83/1000</f>
        <v>552.9</v>
      </c>
      <c r="S83" s="88" t="str">
        <f aca="false">_xlfn.xlookup(E83,Clients!B:B,Clients!D:D,FALSE())</f>
        <v>F</v>
      </c>
      <c r="T83" s="84" t="n">
        <f aca="false">IF(O83="msi",P83*12*Q83/1000*N83,IF(O83="sqm",P83/1000*Q83,N83))</f>
        <v>294.1428</v>
      </c>
      <c r="U83" s="61" t="s">
        <v>551</v>
      </c>
      <c r="V83" s="61" t="str">
        <f aca="false">_xlfn.xlookup(E83,Clients!B:B,Clients!X:X,FALSE())</f>
        <v>CAD</v>
      </c>
      <c r="W83" s="1" t="n">
        <v>1</v>
      </c>
      <c r="X83" s="89" t="n">
        <f aca="false">IF(V83=Z83,N83,N83*W83)</f>
        <v>0.532</v>
      </c>
      <c r="Y83" s="61" t="str">
        <f aca="false">O83</f>
        <v>msi</v>
      </c>
      <c r="Z83" s="61" t="str">
        <f aca="false">_xlfn.xlookup(E83,Clients!B:B,Clients!Y:Y,FALSE())</f>
        <v>CAD</v>
      </c>
      <c r="AA83" s="61" t="str">
        <f aca="false">_xlfn.xlookup(B83,Spec!A:A,Spec!K:K,FALSE())</f>
        <v>Canada</v>
      </c>
      <c r="AB83" s="61" t="str">
        <f aca="false">_xlfn.xlookup(B83,Spec!A:A,Spec!L:L,FALSE())</f>
        <v>3919.90</v>
      </c>
    </row>
    <row r="84" customFormat="false" ht="14.25" hidden="false" customHeight="false" outlineLevel="0" collapsed="false">
      <c r="A84" s="1" t="n">
        <v>40103</v>
      </c>
      <c r="B84" s="1" t="n">
        <v>20018</v>
      </c>
      <c r="C84" s="61" t="str">
        <f aca="false">_xlfn.xlookup(B84,Spec!A:A,Spec!C:C)</f>
        <v>AKO</v>
      </c>
      <c r="D84" s="69" t="str">
        <f aca="false">_xlfn.xlookup(B84,Spec!A:A,Spec!D:D)</f>
        <v>AH3010</v>
      </c>
      <c r="E84" s="11" t="s">
        <v>31</v>
      </c>
      <c r="F84" s="15" t="str">
        <f aca="false">_xlfn.xlookup(E84,Clients!B:B,Clients!D:D,FALSE())</f>
        <v>A</v>
      </c>
      <c r="G84" s="42" t="s">
        <v>573</v>
      </c>
      <c r="H84" s="15" t="s">
        <v>574</v>
      </c>
      <c r="I84" s="61" t="s">
        <v>371</v>
      </c>
      <c r="J84" s="61" t="str">
        <f aca="false">_xlfn.xlookup(B84,Spec!A:A,Spec!J:J)</f>
        <v>TC DT - Acrylic Adhesive</v>
      </c>
      <c r="K84" s="61" t="str">
        <f aca="false">_xlfn.xlookup(B84,Spec!A:A,Spec!E:E)</f>
        <v>Self Adhesive Paper</v>
      </c>
      <c r="L84" s="43" t="s">
        <v>553</v>
      </c>
      <c r="N84" s="43" t="n">
        <v>0.31</v>
      </c>
      <c r="O84" s="43" t="s">
        <v>554</v>
      </c>
      <c r="P84" s="72" t="n">
        <v>10</v>
      </c>
      <c r="Q84" s="73" t="n">
        <v>5000</v>
      </c>
      <c r="R84" s="83" t="n">
        <f aca="false">P84*12*Q84/1000</f>
        <v>600</v>
      </c>
      <c r="S84" s="88" t="str">
        <f aca="false">_xlfn.xlookup(E84,Clients!B:B,Clients!D:D,FALSE())</f>
        <v>A</v>
      </c>
      <c r="T84" s="84" t="n">
        <f aca="false">IF(O84="msi",P84*12*Q84/1000*N84,IF(O84="sqm",P84/1000*Q84,N84))</f>
        <v>186</v>
      </c>
      <c r="U84" s="60" t="s">
        <v>524</v>
      </c>
      <c r="V84" s="61" t="str">
        <f aca="false">_xlfn.xlookup(E84,Clients!B:B,Clients!X:X,FALSE())</f>
        <v>USD</v>
      </c>
      <c r="X84" s="89" t="n">
        <f aca="false">IF(V84=Z84,N84,N84*W84)</f>
        <v>0.31</v>
      </c>
      <c r="Y84" s="61" t="str">
        <f aca="false">O84</f>
        <v>msi</v>
      </c>
      <c r="Z84" s="61" t="str">
        <f aca="false">_xlfn.xlookup(E84,Clients!B:B,Clients!Y:Y,FALSE())</f>
        <v>USD</v>
      </c>
      <c r="AA84" s="61" t="str">
        <f aca="false">_xlfn.xlookup(B84,Spec!A:A,Spec!K:K,FALSE())</f>
        <v>Canada</v>
      </c>
      <c r="AB84" s="61" t="n">
        <f aca="false">_xlfn.xlookup(B84,Spec!A:A,Spec!L:L,FALSE())</f>
        <v>4811.41</v>
      </c>
    </row>
    <row r="85" customFormat="false" ht="14.25" hidden="false" customHeight="false" outlineLevel="0" collapsed="false">
      <c r="A85" s="1" t="n">
        <v>40104</v>
      </c>
      <c r="B85" s="1" t="n">
        <v>20012</v>
      </c>
      <c r="C85" s="61" t="str">
        <f aca="false">_xlfn.xlookup(B85,Spec!A:A,Spec!C:C)</f>
        <v>AKO</v>
      </c>
      <c r="D85" s="69" t="str">
        <f aca="false">_xlfn.xlookup(B85,Spec!A:A,Spec!D:D)</f>
        <v>AR316 (AH2002)</v>
      </c>
      <c r="E85" s="15" t="s">
        <v>212</v>
      </c>
      <c r="F85" s="15" t="str">
        <f aca="false">_xlfn.xlookup(E85,Clients!B:B,Clients!D:D,FALSE())</f>
        <v>F</v>
      </c>
      <c r="G85" s="42"/>
      <c r="H85" s="15" t="s">
        <v>589</v>
      </c>
      <c r="I85" s="61" t="str">
        <f aca="false">_xlfn.xlookup(B85,Spec!A:A,Spec!B:B)</f>
        <v>D21-1</v>
      </c>
      <c r="J85" s="61" t="str">
        <f aca="false">_xlfn.xlookup(B85,Spec!A:A,Spec!J:J)</f>
        <v>TC DT - Hotmelt Adhesive</v>
      </c>
      <c r="K85" s="61" t="str">
        <f aca="false">_xlfn.xlookup(B85,Spec!A:A,Spec!E:E)</f>
        <v>Self Adhesive Paper</v>
      </c>
      <c r="L85" s="43" t="s">
        <v>659</v>
      </c>
      <c r="N85" s="43" t="n">
        <v>0</v>
      </c>
      <c r="O85" s="43" t="s">
        <v>554</v>
      </c>
      <c r="P85" s="72" t="n">
        <v>7.625</v>
      </c>
      <c r="Q85" s="73" t="n">
        <v>4300</v>
      </c>
      <c r="R85" s="83" t="n">
        <f aca="false">P85*12*Q85/1000</f>
        <v>393.45</v>
      </c>
      <c r="S85" s="88" t="str">
        <f aca="false">_xlfn.xlookup(E85,Clients!B:B,Clients!D:D,FALSE())</f>
        <v>F</v>
      </c>
      <c r="T85" s="84" t="n">
        <f aca="false">IF(O85="msi",P85*12*Q85/1000*N85,IF(O85="sqm",P85/1000*Q85,N85))</f>
        <v>0</v>
      </c>
      <c r="U85" s="61" t="s">
        <v>551</v>
      </c>
      <c r="V85" s="61" t="str">
        <f aca="false">_xlfn.xlookup(E85,Clients!B:B,Clients!X:X,FALSE())</f>
        <v>CAD</v>
      </c>
      <c r="X85" s="89" t="n">
        <f aca="false">IF(V85=Z85,N85,N85*W85)</f>
        <v>0</v>
      </c>
      <c r="Y85" s="61" t="str">
        <f aca="false">O85</f>
        <v>msi</v>
      </c>
      <c r="Z85" s="61" t="s">
        <v>65</v>
      </c>
      <c r="AA85" s="61" t="str">
        <f aca="false">_xlfn.xlookup(B85,Spec!A:A,Spec!K:K,FALSE())</f>
        <v>Canada</v>
      </c>
      <c r="AB85" s="61" t="n">
        <f aca="false">_xlfn.xlookup(B85,Spec!A:A,Spec!L:L,FALSE())</f>
        <v>4811.41</v>
      </c>
    </row>
    <row r="86" customFormat="false" ht="14.25" hidden="false" customHeight="false" outlineLevel="0" collapsed="false">
      <c r="A86" s="1" t="n">
        <v>40105</v>
      </c>
      <c r="B86" s="1" t="n">
        <v>20003</v>
      </c>
      <c r="C86" s="61" t="str">
        <f aca="false">_xlfn.xlookup(B86,Spec!A:A,Spec!C:C)</f>
        <v>AKO</v>
      </c>
      <c r="D86" s="69" t="str">
        <f aca="false">_xlfn.xlookup(B86,Spec!A:A,Spec!D:D)</f>
        <v>AT1003</v>
      </c>
      <c r="E86" s="15" t="s">
        <v>134</v>
      </c>
      <c r="F86" s="15" t="str">
        <f aca="false">_xlfn.xlookup(E86,Clients!B:B,Clients!D:D,FALSE())</f>
        <v>F</v>
      </c>
      <c r="G86" s="42"/>
      <c r="H86" s="15" t="s">
        <v>660</v>
      </c>
      <c r="I86" s="61" t="str">
        <f aca="false">_xlfn.xlookup(B86,Spec!A:A,Spec!B:B)</f>
        <v>T11-1</v>
      </c>
      <c r="J86" s="61" t="str">
        <f aca="false">_xlfn.xlookup(B86,Spec!A:A,Spec!J:J)</f>
        <v>TT - HM Adhesive</v>
      </c>
      <c r="K86" s="61" t="str">
        <f aca="false">_xlfn.xlookup(B86,Spec!A:A,Spec!E:E)</f>
        <v>Self Adhesive Paper</v>
      </c>
      <c r="L86" s="43" t="s">
        <v>661</v>
      </c>
      <c r="N86" s="43" t="n">
        <v>0</v>
      </c>
      <c r="O86" s="43" t="s">
        <v>554</v>
      </c>
      <c r="P86" s="72" t="n">
        <v>12.875</v>
      </c>
      <c r="Q86" s="73" t="n">
        <v>2400</v>
      </c>
      <c r="R86" s="83" t="n">
        <f aca="false">P86*12*Q86/1000</f>
        <v>370.8</v>
      </c>
      <c r="S86" s="88" t="str">
        <f aca="false">_xlfn.xlookup(E86,Clients!B:B,Clients!D:D,FALSE())</f>
        <v>F</v>
      </c>
      <c r="T86" s="84" t="n">
        <f aca="false">IF(O86="msi",P86*12*Q86/1000*N86,IF(O86="sqm",P86/1000*Q86,N86))</f>
        <v>0</v>
      </c>
      <c r="U86" s="61" t="s">
        <v>551</v>
      </c>
      <c r="V86" s="61" t="str">
        <f aca="false">_xlfn.xlookup(E86,Clients!B:B,Clients!X:X,FALSE())</f>
        <v>CAD</v>
      </c>
      <c r="X86" s="89" t="n">
        <f aca="false">IF(V86=Z86,N86,N86*W86)</f>
        <v>0</v>
      </c>
      <c r="Y86" s="61" t="str">
        <f aca="false">O86</f>
        <v>msi</v>
      </c>
      <c r="Z86" s="61" t="str">
        <f aca="false">_xlfn.xlookup(E86,Clients!B:B,Clients!Y:Y,FALSE())</f>
        <v>CAD</v>
      </c>
      <c r="AA86" s="61" t="str">
        <f aca="false">_xlfn.xlookup(B86,Spec!A:A,Spec!K:K,FALSE())</f>
        <v>Canada</v>
      </c>
      <c r="AB86" s="61" t="n">
        <f aca="false">_xlfn.xlookup(B86,Spec!A:A,Spec!L:L,FALSE())</f>
        <v>4811.41</v>
      </c>
    </row>
    <row r="87" customFormat="false" ht="14.25" hidden="false" customHeight="false" outlineLevel="0" collapsed="false">
      <c r="A87" s="1" t="n">
        <v>40106</v>
      </c>
      <c r="B87" s="1" t="n">
        <v>20022</v>
      </c>
      <c r="C87" s="61" t="str">
        <f aca="false">_xlfn.xlookup(B87,Spec!A:A,Spec!C:C)</f>
        <v>AKO</v>
      </c>
      <c r="D87" s="69" t="str">
        <f aca="false">_xlfn.xlookup(B87,Spec!A:A,Spec!D:D)</f>
        <v>AP1015</v>
      </c>
      <c r="E87" s="15" t="s">
        <v>218</v>
      </c>
      <c r="F87" s="15" t="str">
        <f aca="false">_xlfn.xlookup(E87,Clients!B:B,Clients!D:D,FALSE())</f>
        <v>F</v>
      </c>
      <c r="G87" s="42"/>
      <c r="H87" s="15" t="s">
        <v>662</v>
      </c>
      <c r="I87" s="61" t="str">
        <f aca="false">_xlfn.xlookup(B87,Spec!A:A,Spec!B:B)</f>
        <v>S31-1</v>
      </c>
      <c r="J87" s="61" t="str">
        <f aca="false">_xlfn.xlookup(B87,Spec!A:A,Spec!J:J)</f>
        <v>SG - HM Adhesive - PET liner</v>
      </c>
      <c r="K87" s="61" t="str">
        <f aca="false">_xlfn.xlookup(B87,Spec!A:A,Spec!E:E)</f>
        <v>Self Adhesive Paper</v>
      </c>
      <c r="L87" s="43" t="s">
        <v>663</v>
      </c>
      <c r="N87" s="43"/>
      <c r="O87" s="43" t="s">
        <v>554</v>
      </c>
      <c r="P87" s="72" t="n">
        <v>12</v>
      </c>
      <c r="Q87" s="73" t="n">
        <v>2000</v>
      </c>
      <c r="R87" s="83" t="n">
        <f aca="false">P87*12*Q87/1000</f>
        <v>288</v>
      </c>
      <c r="S87" s="88" t="str">
        <f aca="false">_xlfn.xlookup(E87,Clients!B:B,Clients!D:D,FALSE())</f>
        <v>F</v>
      </c>
      <c r="T87" s="84" t="n">
        <f aca="false">IF(O87="msi",P87*12*Q87/1000*N87,IF(O87="sqm",P87/1000*Q87,N87))</f>
        <v>0</v>
      </c>
      <c r="U87" s="61" t="s">
        <v>551</v>
      </c>
      <c r="V87" s="61" t="str">
        <f aca="false">_xlfn.xlookup(E87,Clients!B:B,Clients!X:X,FALSE())</f>
        <v>CAD</v>
      </c>
      <c r="X87" s="89" t="n">
        <f aca="false">IF(V87=Z87,N87,N87*W87)</f>
        <v>0</v>
      </c>
      <c r="Y87" s="61" t="str">
        <f aca="false">O87</f>
        <v>msi</v>
      </c>
      <c r="Z87" s="61" t="s">
        <v>65</v>
      </c>
      <c r="AA87" s="61" t="str">
        <f aca="false">_xlfn.xlookup(B87,Spec!A:A,Spec!K:K,FALSE())</f>
        <v>Canada</v>
      </c>
      <c r="AB87" s="61" t="n">
        <f aca="false">_xlfn.xlookup(B87,Spec!A:A,Spec!L:L,FALSE())</f>
        <v>4811.41</v>
      </c>
    </row>
    <row r="88" customFormat="false" ht="14.25" hidden="false" customHeight="false" outlineLevel="0" collapsed="false">
      <c r="A88" s="1" t="n">
        <v>40107</v>
      </c>
      <c r="B88" s="1" t="n">
        <v>20011</v>
      </c>
      <c r="C88" s="61" t="str">
        <f aca="false">_xlfn.xlookup(B88,Spec!A:A,Spec!C:C)</f>
        <v>AKO</v>
      </c>
      <c r="D88" s="69" t="str">
        <f aca="false">_xlfn.xlookup(B88,Spec!A:A,Spec!D:D)</f>
        <v>AP1019</v>
      </c>
      <c r="E88" s="15" t="s">
        <v>212</v>
      </c>
      <c r="F88" s="15" t="str">
        <f aca="false">_xlfn.xlookup(E88,Clients!B:B,Clients!D:D,FALSE())</f>
        <v>F</v>
      </c>
      <c r="G88" s="42"/>
      <c r="H88" s="15" t="s">
        <v>602</v>
      </c>
      <c r="I88" s="61" t="str">
        <f aca="false">_xlfn.xlookup(B88,Spec!A:A,Spec!B:B)</f>
        <v>S21-1</v>
      </c>
      <c r="J88" s="61" t="str">
        <f aca="false">_xlfn.xlookup(B88,Spec!A:A,Spec!J:J)</f>
        <v>SG - Hotmelt Adhesive</v>
      </c>
      <c r="K88" s="61" t="str">
        <f aca="false">_xlfn.xlookup(B88,Spec!A:A,Spec!E:E)</f>
        <v>Self Adhesive Paper</v>
      </c>
      <c r="L88" s="43" t="s">
        <v>664</v>
      </c>
      <c r="N88" s="43" t="n">
        <v>0</v>
      </c>
      <c r="O88" s="43" t="s">
        <v>554</v>
      </c>
      <c r="P88" s="72" t="n">
        <v>6.75</v>
      </c>
      <c r="Q88" s="73" t="n">
        <v>2400</v>
      </c>
      <c r="R88" s="83" t="n">
        <f aca="false">P88*12*Q88/1000</f>
        <v>194.4</v>
      </c>
      <c r="S88" s="88" t="str">
        <f aca="false">_xlfn.xlookup(E88,Clients!B:B,Clients!D:D,FALSE())</f>
        <v>F</v>
      </c>
      <c r="T88" s="84" t="n">
        <f aca="false">IF(O88="msi",P88*12*Q88/1000*N88,IF(O88="sqm",P88/1000*Q88,N88))</f>
        <v>0</v>
      </c>
      <c r="U88" s="61" t="s">
        <v>551</v>
      </c>
      <c r="V88" s="61" t="str">
        <f aca="false">_xlfn.xlookup(E88,Clients!B:B,Clients!X:X,FALSE())</f>
        <v>CAD</v>
      </c>
      <c r="X88" s="89" t="n">
        <f aca="false">IF(V88=Z88,N88,N88*W88)</f>
        <v>0</v>
      </c>
      <c r="Y88" s="61" t="str">
        <f aca="false">O88</f>
        <v>msi</v>
      </c>
      <c r="Z88" s="61" t="s">
        <v>65</v>
      </c>
      <c r="AA88" s="61" t="str">
        <f aca="false">_xlfn.xlookup(B88,Spec!A:A,Spec!K:K,FALSE())</f>
        <v>Canada</v>
      </c>
      <c r="AB88" s="61" t="n">
        <f aca="false">_xlfn.xlookup(B88,Spec!A:A,Spec!L:L,FALSE())</f>
        <v>4811.41</v>
      </c>
    </row>
    <row r="89" customFormat="false" ht="14.25" hidden="false" customHeight="false" outlineLevel="0" collapsed="false">
      <c r="A89" s="1" t="n">
        <v>40108</v>
      </c>
      <c r="B89" s="1" t="n">
        <v>20015</v>
      </c>
      <c r="C89" s="61" t="str">
        <f aca="false">_xlfn.xlookup(B89,Spec!A:A,Spec!C:C)</f>
        <v>Jinda</v>
      </c>
      <c r="D89" s="69" t="str">
        <f aca="false">_xlfn.xlookup(B89,Spec!A:A,Spec!D:D)</f>
        <v>0402105</v>
      </c>
      <c r="E89" s="15" t="s">
        <v>212</v>
      </c>
      <c r="F89" s="15" t="str">
        <f aca="false">_xlfn.xlookup(E89,Clients!B:B,Clients!D:D,FALSE())</f>
        <v>F</v>
      </c>
      <c r="G89" s="42"/>
      <c r="H89" s="15" t="s">
        <v>586</v>
      </c>
      <c r="I89" s="61" t="str">
        <f aca="false">_xlfn.xlookup(B89,Spec!A:A,Spec!B:B)</f>
        <v>S15-3</v>
      </c>
      <c r="J89" s="61" t="str">
        <f aca="false">_xlfn.xlookup(B89,Spec!A:A,Spec!J:J)</f>
        <v>SG - Acrylic Adhesive</v>
      </c>
      <c r="K89" s="61" t="str">
        <f aca="false">_xlfn.xlookup(B89,Spec!A:A,Spec!E:E)</f>
        <v>Self Adhesive Paper</v>
      </c>
      <c r="L89" s="43" t="s">
        <v>664</v>
      </c>
      <c r="N89" s="43" t="n">
        <v>0</v>
      </c>
      <c r="O89" s="43" t="s">
        <v>554</v>
      </c>
      <c r="P89" s="72" t="n">
        <v>6.75</v>
      </c>
      <c r="Q89" s="73" t="n">
        <v>2400</v>
      </c>
      <c r="R89" s="83" t="n">
        <f aca="false">P89*12*Q89/1000</f>
        <v>194.4</v>
      </c>
      <c r="S89" s="88" t="str">
        <f aca="false">_xlfn.xlookup(E89,Clients!B:B,Clients!D:D,FALSE())</f>
        <v>F</v>
      </c>
      <c r="T89" s="84" t="n">
        <f aca="false">IF(O89="msi",P89*12*Q89/1000*N89,IF(O89="sqm",P89/1000*Q89,N89))</f>
        <v>0</v>
      </c>
      <c r="U89" s="61" t="s">
        <v>551</v>
      </c>
      <c r="V89" s="61" t="str">
        <f aca="false">_xlfn.xlookup(E89,Clients!B:B,Clients!X:X,FALSE())</f>
        <v>CAD</v>
      </c>
      <c r="X89" s="89" t="n">
        <f aca="false">IF(V89=Z89,N89,N89*W89)</f>
        <v>0</v>
      </c>
      <c r="Y89" s="61" t="str">
        <f aca="false">O89</f>
        <v>msi</v>
      </c>
      <c r="Z89" s="61" t="s">
        <v>65</v>
      </c>
      <c r="AA89" s="61" t="str">
        <f aca="false">_xlfn.xlookup(B89,Spec!A:A,Spec!K:K,FALSE())</f>
        <v>Canada</v>
      </c>
      <c r="AB89" s="61" t="n">
        <f aca="false">_xlfn.xlookup(B89,Spec!A:A,Spec!L:L,FALSE())</f>
        <v>4811.41</v>
      </c>
    </row>
    <row r="90" customFormat="false" ht="14.25" hidden="false" customHeight="false" outlineLevel="0" collapsed="false">
      <c r="A90" s="1" t="n">
        <v>40109</v>
      </c>
      <c r="B90" s="1" t="n">
        <v>20016</v>
      </c>
      <c r="C90" s="61" t="str">
        <f aca="false">_xlfn.xlookup(B90,Spec!A:A,Spec!C:C)</f>
        <v>Jinda</v>
      </c>
      <c r="D90" s="69" t="str">
        <f aca="false">_xlfn.xlookup(B90,Spec!A:A,Spec!D:D)</f>
        <v>0488032</v>
      </c>
      <c r="E90" s="15" t="s">
        <v>212</v>
      </c>
      <c r="F90" s="15" t="str">
        <f aca="false">_xlfn.xlookup(E90,Clients!B:B,Clients!D:D,FALSE())</f>
        <v>F</v>
      </c>
      <c r="G90" s="42"/>
      <c r="H90" s="15" t="s">
        <v>608</v>
      </c>
      <c r="I90" s="61" t="str">
        <f aca="false">_xlfn.xlookup(B90,Spec!A:A,Spec!B:B)</f>
        <v>B15-3</v>
      </c>
      <c r="J90" s="61" t="str">
        <f aca="false">_xlfn.xlookup(B90,Spec!A:A,Spec!J:J)</f>
        <v>Clear BOPP - Acrylic Adhesive</v>
      </c>
      <c r="K90" s="61" t="str">
        <f aca="false">_xlfn.xlookup(B90,Spec!A:A,Spec!E:E)</f>
        <v>Self Adhesive Film</v>
      </c>
      <c r="L90" s="43" t="s">
        <v>665</v>
      </c>
      <c r="N90" s="43" t="n">
        <v>0</v>
      </c>
      <c r="O90" s="43" t="s">
        <v>554</v>
      </c>
      <c r="P90" s="72" t="n">
        <v>9.75</v>
      </c>
      <c r="Q90" s="73" t="n">
        <v>2400</v>
      </c>
      <c r="R90" s="83" t="n">
        <f aca="false">P90*12*Q90/1000</f>
        <v>280.8</v>
      </c>
      <c r="S90" s="88" t="str">
        <f aca="false">_xlfn.xlookup(E90,Clients!B:B,Clients!D:D,FALSE())</f>
        <v>F</v>
      </c>
      <c r="T90" s="84" t="n">
        <f aca="false">IF(O90="msi",P90*12*Q90/1000*N90,IF(O90="sqm",P90/1000*Q90,N90))</f>
        <v>0</v>
      </c>
      <c r="U90" s="61" t="s">
        <v>551</v>
      </c>
      <c r="V90" s="61" t="str">
        <f aca="false">_xlfn.xlookup(E90,Clients!B:B,Clients!X:X,FALSE())</f>
        <v>CAD</v>
      </c>
      <c r="X90" s="89" t="n">
        <f aca="false">IF(V90=Z90,N90,N90*W90)</f>
        <v>0</v>
      </c>
      <c r="Y90" s="61" t="str">
        <f aca="false">O90</f>
        <v>msi</v>
      </c>
      <c r="Z90" s="61" t="s">
        <v>65</v>
      </c>
      <c r="AA90" s="61" t="str">
        <f aca="false">_xlfn.xlookup(B90,Spec!A:A,Spec!K:K,FALSE())</f>
        <v>Canada</v>
      </c>
      <c r="AB90" s="61" t="str">
        <f aca="false">_xlfn.xlookup(B90,Spec!A:A,Spec!L:L,FALSE())</f>
        <v>3919.90</v>
      </c>
    </row>
    <row r="91" customFormat="false" ht="14.25" hidden="false" customHeight="false" outlineLevel="0" collapsed="false">
      <c r="A91" s="1" t="n">
        <v>40110</v>
      </c>
      <c r="B91" s="1" t="n">
        <v>20017</v>
      </c>
      <c r="C91" s="61" t="str">
        <f aca="false">_xlfn.xlookup(B91,Spec!A:A,Spec!C:C)</f>
        <v>Jinda</v>
      </c>
      <c r="D91" s="69" t="str">
        <f aca="false">_xlfn.xlookup(B91,Spec!A:A,Spec!D:D)</f>
        <v>0488056</v>
      </c>
      <c r="E91" s="15" t="s">
        <v>212</v>
      </c>
      <c r="F91" s="15" t="str">
        <f aca="false">_xlfn.xlookup(E91,Clients!B:B,Clients!D:D,FALSE())</f>
        <v>F</v>
      </c>
      <c r="G91" s="42"/>
      <c r="H91" s="15" t="s">
        <v>593</v>
      </c>
      <c r="I91" s="61" t="str">
        <f aca="false">_xlfn.xlookup(B91,Spec!A:A,Spec!B:B)</f>
        <v>B25-3</v>
      </c>
      <c r="J91" s="61" t="str">
        <f aca="false">_xlfn.xlookup(B91,Spec!A:A,Spec!J:J)</f>
        <v>White BOPP - Acrylic Adhesive</v>
      </c>
      <c r="K91" s="61" t="str">
        <f aca="false">_xlfn.xlookup(B91,Spec!A:A,Spec!E:E)</f>
        <v>Self Adhesive Film</v>
      </c>
      <c r="L91" s="43" t="s">
        <v>666</v>
      </c>
      <c r="N91" s="43" t="n">
        <v>0</v>
      </c>
      <c r="O91" s="43" t="s">
        <v>554</v>
      </c>
      <c r="P91" s="72" t="n">
        <v>8.675</v>
      </c>
      <c r="Q91" s="73" t="n">
        <v>2400</v>
      </c>
      <c r="R91" s="83" t="n">
        <f aca="false">P91*12*Q91/1000</f>
        <v>249.84</v>
      </c>
      <c r="S91" s="88" t="str">
        <f aca="false">_xlfn.xlookup(E91,Clients!B:B,Clients!D:D,FALSE())</f>
        <v>F</v>
      </c>
      <c r="T91" s="84" t="n">
        <f aca="false">IF(O91="msi",P91*12*Q91/1000*N91,IF(O91="sqm",P91/1000*Q91,N91))</f>
        <v>0</v>
      </c>
      <c r="U91" s="61" t="s">
        <v>551</v>
      </c>
      <c r="V91" s="61" t="str">
        <f aca="false">_xlfn.xlookup(E91,Clients!B:B,Clients!X:X,FALSE())</f>
        <v>CAD</v>
      </c>
      <c r="X91" s="89" t="n">
        <f aca="false">IF(V91=Z91,N91,N91*W91)</f>
        <v>0</v>
      </c>
      <c r="Y91" s="61" t="str">
        <f aca="false">O91</f>
        <v>msi</v>
      </c>
      <c r="Z91" s="61" t="s">
        <v>65</v>
      </c>
      <c r="AA91" s="61" t="str">
        <f aca="false">_xlfn.xlookup(B91,Spec!A:A,Spec!K:K,FALSE())</f>
        <v>Canada</v>
      </c>
      <c r="AB91" s="61" t="str">
        <f aca="false">_xlfn.xlookup(B91,Spec!A:A,Spec!L:L,FALSE())</f>
        <v>3919.90</v>
      </c>
    </row>
    <row r="92" customFormat="false" ht="14.25" hidden="false" customHeight="false" outlineLevel="0" collapsed="false">
      <c r="A92" s="1" t="n">
        <v>40111</v>
      </c>
      <c r="B92" s="1" t="n">
        <v>20003</v>
      </c>
      <c r="C92" s="61" t="str">
        <f aca="false">_xlfn.xlookup(B92,Spec!A:A,Spec!C:C)</f>
        <v>AKO</v>
      </c>
      <c r="D92" s="69" t="str">
        <f aca="false">_xlfn.xlookup(B92,Spec!A:A,Spec!D:D)</f>
        <v>AT1003</v>
      </c>
      <c r="E92" s="15" t="s">
        <v>151</v>
      </c>
      <c r="F92" s="15" t="str">
        <f aca="false">_xlfn.xlookup(E92,Clients!B:B,Clients!D:D,FALSE())</f>
        <v>F</v>
      </c>
      <c r="G92" s="42"/>
      <c r="H92" s="15" t="s">
        <v>660</v>
      </c>
      <c r="I92" s="61" t="str">
        <f aca="false">_xlfn.xlookup(B92,Spec!A:A,Spec!B:B)</f>
        <v>T11-1</v>
      </c>
      <c r="J92" s="61" t="str">
        <f aca="false">_xlfn.xlookup(B92,Spec!A:A,Spec!J:J)</f>
        <v>TT - HM Adhesive</v>
      </c>
      <c r="K92" s="61" t="str">
        <f aca="false">_xlfn.xlookup(B92,Spec!A:A,Spec!E:E)</f>
        <v>Self Adhesive Paper</v>
      </c>
      <c r="L92" s="61" t="str">
        <f aca="false">IF(F92="F","Larg: "&amp;P92&amp;"po   Long: "&amp;Q92&amp;"pi","W: "&amp;P92&amp;"in   L: "&amp;Q92&amp;"ft")</f>
        <v>Larg: 13po   Long: 2400pi</v>
      </c>
      <c r="N92" s="43" t="n">
        <v>0</v>
      </c>
      <c r="O92" s="43" t="s">
        <v>554</v>
      </c>
      <c r="P92" s="72" t="n">
        <v>13</v>
      </c>
      <c r="Q92" s="73" t="n">
        <v>2400</v>
      </c>
      <c r="R92" s="83" t="n">
        <f aca="false">P92*12*Q92/1000</f>
        <v>374.4</v>
      </c>
      <c r="S92" s="88" t="str">
        <f aca="false">_xlfn.xlookup(E92,Clients!B:B,Clients!D:D,FALSE())</f>
        <v>F</v>
      </c>
      <c r="T92" s="84" t="n">
        <f aca="false">IF(O92="msi",P92*12*Q92/1000*N92,IF(O92="sqm",P92/1000*Q92,N92))</f>
        <v>0</v>
      </c>
      <c r="U92" s="61" t="s">
        <v>551</v>
      </c>
      <c r="V92" s="61" t="str">
        <f aca="false">_xlfn.xlookup(E92,Clients!B:B,Clients!X:X,FALSE())</f>
        <v>CAD</v>
      </c>
      <c r="X92" s="89" t="n">
        <f aca="false">IF(V92=Z92,N92,N92*W92)</f>
        <v>0</v>
      </c>
      <c r="Y92" s="61" t="str">
        <f aca="false">O92</f>
        <v>msi</v>
      </c>
      <c r="Z92" s="61" t="str">
        <f aca="false">_xlfn.xlookup(E92,Clients!B:B,Clients!Y:Y,FALSE())</f>
        <v>CAD</v>
      </c>
      <c r="AA92" s="61" t="str">
        <f aca="false">_xlfn.xlookup(B92,Spec!A:A,Spec!K:K,FALSE())</f>
        <v>Canada</v>
      </c>
      <c r="AB92" s="61" t="n">
        <f aca="false">_xlfn.xlookup(B92,Spec!A:A,Spec!L:L,FALSE())</f>
        <v>4811.41</v>
      </c>
    </row>
    <row r="93" customFormat="false" ht="14.25" hidden="false" customHeight="false" outlineLevel="0" collapsed="false">
      <c r="A93" s="1" t="n">
        <v>40112</v>
      </c>
      <c r="B93" s="1" t="n">
        <v>20003</v>
      </c>
      <c r="C93" s="61" t="str">
        <f aca="false">_xlfn.xlookup(B93,Spec!A:A,Spec!C:C)</f>
        <v>AKO</v>
      </c>
      <c r="D93" s="69" t="str">
        <f aca="false">_xlfn.xlookup(B93,Spec!A:A,Spec!D:D)</f>
        <v>AT1003</v>
      </c>
      <c r="E93" s="15" t="s">
        <v>160</v>
      </c>
      <c r="F93" s="15" t="str">
        <f aca="false">_xlfn.xlookup(E93,Clients!B:B,Clients!D:D,FALSE())</f>
        <v>F</v>
      </c>
      <c r="G93" s="42"/>
      <c r="H93" s="15" t="s">
        <v>660</v>
      </c>
      <c r="I93" s="61" t="str">
        <f aca="false">_xlfn.xlookup(B93,Spec!A:A,Spec!B:B)</f>
        <v>T11-1</v>
      </c>
      <c r="J93" s="61" t="str">
        <f aca="false">_xlfn.xlookup(B93,Spec!A:A,Spec!J:J)</f>
        <v>TT - HM Adhesive</v>
      </c>
      <c r="K93" s="61" t="str">
        <f aca="false">_xlfn.xlookup(B93,Spec!A:A,Spec!E:E)</f>
        <v>Self Adhesive Paper</v>
      </c>
      <c r="L93" s="43" t="s">
        <v>667</v>
      </c>
      <c r="N93" s="43" t="n">
        <v>0</v>
      </c>
      <c r="O93" s="43" t="s">
        <v>554</v>
      </c>
      <c r="P93" s="72" t="n">
        <v>8.75</v>
      </c>
      <c r="Q93" s="73" t="n">
        <v>2400</v>
      </c>
      <c r="R93" s="83" t="n">
        <f aca="false">P93*12*Q93/1000</f>
        <v>252</v>
      </c>
      <c r="S93" s="88" t="str">
        <f aca="false">_xlfn.xlookup(E93,Clients!B:B,Clients!D:D,FALSE())</f>
        <v>F</v>
      </c>
      <c r="T93" s="84" t="n">
        <f aca="false">IF(O93="msi",P93*12*Q93/1000*N93,IF(O93="sqm",P93/1000*Q93,N93))</f>
        <v>0</v>
      </c>
      <c r="U93" s="61" t="s">
        <v>551</v>
      </c>
      <c r="V93" s="61" t="str">
        <f aca="false">_xlfn.xlookup(E93,Clients!B:B,Clients!X:X,FALSE())</f>
        <v>CAD</v>
      </c>
      <c r="X93" s="89" t="n">
        <f aca="false">IF(V93=Z93,N93,N93*W93)</f>
        <v>0</v>
      </c>
      <c r="Y93" s="61" t="str">
        <f aca="false">O93</f>
        <v>msi</v>
      </c>
      <c r="Z93" s="61" t="s">
        <v>65</v>
      </c>
      <c r="AA93" s="61" t="str">
        <f aca="false">_xlfn.xlookup(B93,Spec!A:A,Spec!K:K,FALSE())</f>
        <v>Canada</v>
      </c>
      <c r="AB93" s="61" t="n">
        <f aca="false">_xlfn.xlookup(B93,Spec!A:A,Spec!L:L,FALSE())</f>
        <v>4811.41</v>
      </c>
    </row>
    <row r="94" customFormat="false" ht="14.25" hidden="false" customHeight="false" outlineLevel="0" collapsed="false">
      <c r="A94" s="1" t="n">
        <v>40113</v>
      </c>
      <c r="B94" s="1" t="n">
        <v>20003</v>
      </c>
      <c r="C94" s="61" t="str">
        <f aca="false">_xlfn.xlookup(B94,Spec!A:A,Spec!C:C)</f>
        <v>AKO</v>
      </c>
      <c r="D94" s="69" t="str">
        <f aca="false">_xlfn.xlookup(B94,Spec!A:A,Spec!D:D)</f>
        <v>AT1003</v>
      </c>
      <c r="E94" s="15" t="s">
        <v>241</v>
      </c>
      <c r="F94" s="15" t="str">
        <f aca="false">_xlfn.xlookup(E94,Clients!B:B,Clients!D:D,FALSE())</f>
        <v>F</v>
      </c>
      <c r="G94" s="42"/>
      <c r="H94" s="15" t="s">
        <v>660</v>
      </c>
      <c r="I94" s="61" t="str">
        <f aca="false">_xlfn.xlookup(B94,Spec!A:A,Spec!B:B)</f>
        <v>T11-1</v>
      </c>
      <c r="J94" s="61" t="str">
        <f aca="false">_xlfn.xlookup(B94,Spec!A:A,Spec!J:J)</f>
        <v>TT - HM Adhesive</v>
      </c>
      <c r="K94" s="61" t="str">
        <f aca="false">_xlfn.xlookup(B94,Spec!A:A,Spec!E:E)</f>
        <v>Self Adhesive Paper</v>
      </c>
      <c r="L94" s="43" t="s">
        <v>668</v>
      </c>
      <c r="N94" s="43" t="n">
        <v>0</v>
      </c>
      <c r="O94" s="43" t="s">
        <v>554</v>
      </c>
      <c r="P94" s="72" t="n">
        <v>10</v>
      </c>
      <c r="Q94" s="73" t="n">
        <v>2400</v>
      </c>
      <c r="R94" s="83" t="n">
        <f aca="false">P94*12*Q94/1000</f>
        <v>288</v>
      </c>
      <c r="S94" s="88" t="str">
        <f aca="false">_xlfn.xlookup(E94,Clients!B:B,Clients!D:D,FALSE())</f>
        <v>F</v>
      </c>
      <c r="T94" s="84" t="n">
        <f aca="false">IF(O94="msi",P94*12*Q94/1000*N94,IF(O94="sqm",P94/1000*Q94,N94))</f>
        <v>0</v>
      </c>
      <c r="U94" s="61" t="s">
        <v>551</v>
      </c>
      <c r="V94" s="61" t="str">
        <f aca="false">_xlfn.xlookup(E94,Clients!B:B,Clients!X:X,FALSE())</f>
        <v>CAD</v>
      </c>
      <c r="X94" s="89" t="n">
        <f aca="false">IF(V94=Z94,N94,N94*W94)</f>
        <v>0</v>
      </c>
      <c r="Y94" s="61" t="str">
        <f aca="false">O94</f>
        <v>msi</v>
      </c>
      <c r="Z94" s="61" t="s">
        <v>65</v>
      </c>
      <c r="AA94" s="61" t="str">
        <f aca="false">_xlfn.xlookup(B94,Spec!A:A,Spec!K:K,FALSE())</f>
        <v>Canada</v>
      </c>
      <c r="AB94" s="61" t="n">
        <f aca="false">_xlfn.xlookup(B94,Spec!A:A,Spec!L:L,FALSE())</f>
        <v>4811.41</v>
      </c>
    </row>
    <row r="95" customFormat="false" ht="14.25" hidden="false" customHeight="false" outlineLevel="0" collapsed="false">
      <c r="A95" s="1" t="n">
        <v>40114</v>
      </c>
      <c r="B95" s="1" t="n">
        <v>20013</v>
      </c>
      <c r="C95" s="61" t="str">
        <f aca="false">_xlfn.xlookup(B95,Spec!A:A,Spec!C:C)</f>
        <v>AKO</v>
      </c>
      <c r="D95" s="69" t="str">
        <f aca="false">_xlfn.xlookup(B95,Spec!A:A,Spec!D:D)</f>
        <v>Hansol TC CL74</v>
      </c>
      <c r="E95" s="15" t="s">
        <v>241</v>
      </c>
      <c r="F95" s="15" t="str">
        <f aca="false">_xlfn.xlookup(E95,Clients!B:B,Clients!D:D,FALSE())</f>
        <v>F</v>
      </c>
      <c r="G95" s="42"/>
      <c r="H95" s="15" t="s">
        <v>669</v>
      </c>
      <c r="I95" s="61" t="str">
        <f aca="false">_xlfn.xlookup(B95,Spec!A:A,Spec!B:B)</f>
        <v>D11-1</v>
      </c>
      <c r="J95" s="61" t="str">
        <f aca="false">_xlfn.xlookup(B95,Spec!A:A,Spec!J:J)</f>
        <v>TC DT - Hotmelt Adhesive</v>
      </c>
      <c r="K95" s="61" t="str">
        <f aca="false">_xlfn.xlookup(B95,Spec!A:A,Spec!E:E)</f>
        <v>Self Adhesive Paper</v>
      </c>
      <c r="L95" s="43" t="s">
        <v>670</v>
      </c>
      <c r="N95" s="43" t="n">
        <v>0</v>
      </c>
      <c r="O95" s="43" t="s">
        <v>554</v>
      </c>
      <c r="P95" s="72" t="n">
        <v>9.4</v>
      </c>
      <c r="Q95" s="73" t="n">
        <v>2400</v>
      </c>
      <c r="R95" s="83" t="n">
        <f aca="false">P95*12*Q95/1000</f>
        <v>270.72</v>
      </c>
      <c r="S95" s="88" t="str">
        <f aca="false">_xlfn.xlookup(E95,Clients!B:B,Clients!D:D,FALSE())</f>
        <v>F</v>
      </c>
      <c r="T95" s="84" t="n">
        <f aca="false">IF(O95="msi",P95*12*Q95/1000*N95,IF(O95="sqm",P95/1000*Q95,N95))</f>
        <v>0</v>
      </c>
      <c r="U95" s="61" t="s">
        <v>551</v>
      </c>
      <c r="V95" s="61" t="str">
        <f aca="false">_xlfn.xlookup(E95,Clients!B:B,Clients!X:X,FALSE())</f>
        <v>CAD</v>
      </c>
      <c r="X95" s="89" t="n">
        <f aca="false">IF(V95=Z95,N95,N95*W95)</f>
        <v>0</v>
      </c>
      <c r="Y95" s="61" t="str">
        <f aca="false">O95</f>
        <v>msi</v>
      </c>
      <c r="Z95" s="61" t="s">
        <v>65</v>
      </c>
      <c r="AA95" s="61" t="str">
        <f aca="false">_xlfn.xlookup(B95,Spec!A:A,Spec!K:K,FALSE())</f>
        <v>Canada</v>
      </c>
      <c r="AB95" s="61" t="n">
        <f aca="false">_xlfn.xlookup(B95,Spec!A:A,Spec!L:L,FALSE())</f>
        <v>4811.41</v>
      </c>
    </row>
    <row r="96" customFormat="false" ht="14.25" hidden="false" customHeight="false" outlineLevel="0" collapsed="false">
      <c r="A96" s="1" t="n">
        <v>40115</v>
      </c>
      <c r="B96" s="1" t="n">
        <v>20011</v>
      </c>
      <c r="C96" s="61" t="str">
        <f aca="false">_xlfn.xlookup(B96,Spec!A:A,Spec!C:C)</f>
        <v>AKO</v>
      </c>
      <c r="D96" s="69" t="str">
        <f aca="false">_xlfn.xlookup(B96,Spec!A:A,Spec!D:D)</f>
        <v>AP1019</v>
      </c>
      <c r="E96" s="15" t="s">
        <v>241</v>
      </c>
      <c r="F96" s="15" t="str">
        <f aca="false">_xlfn.xlookup(E96,Clients!B:B,Clients!D:D,FALSE())</f>
        <v>F</v>
      </c>
      <c r="G96" s="42"/>
      <c r="H96" s="15" t="s">
        <v>602</v>
      </c>
      <c r="I96" s="61" t="str">
        <f aca="false">_xlfn.xlookup(B96,Spec!A:A,Spec!B:B)</f>
        <v>S21-1</v>
      </c>
      <c r="J96" s="61" t="str">
        <f aca="false">_xlfn.xlookup(B96,Spec!A:A,Spec!J:J)</f>
        <v>SG - Hotmelt Adhesive</v>
      </c>
      <c r="K96" s="61" t="str">
        <f aca="false">_xlfn.xlookup(B96,Spec!A:A,Spec!E:E)</f>
        <v>Self Adhesive Paper</v>
      </c>
      <c r="L96" s="43" t="s">
        <v>668</v>
      </c>
      <c r="N96" s="43" t="n">
        <v>0</v>
      </c>
      <c r="O96" s="43" t="s">
        <v>554</v>
      </c>
      <c r="P96" s="72" t="n">
        <v>10</v>
      </c>
      <c r="Q96" s="73" t="n">
        <v>2400</v>
      </c>
      <c r="R96" s="83" t="n">
        <f aca="false">P96*12*Q96/1000</f>
        <v>288</v>
      </c>
      <c r="S96" s="88" t="str">
        <f aca="false">_xlfn.xlookup(E96,Clients!B:B,Clients!D:D,FALSE())</f>
        <v>F</v>
      </c>
      <c r="T96" s="84" t="n">
        <f aca="false">IF(O96="msi",P96*12*Q96/1000*N96,IF(O96="sqm",P96/1000*Q96,N96))</f>
        <v>0</v>
      </c>
      <c r="U96" s="61" t="s">
        <v>551</v>
      </c>
      <c r="V96" s="61" t="str">
        <f aca="false">_xlfn.xlookup(E96,Clients!B:B,Clients!X:X,FALSE())</f>
        <v>CAD</v>
      </c>
      <c r="X96" s="89" t="n">
        <f aca="false">IF(V96=Z96,N96,N96*W96)</f>
        <v>0</v>
      </c>
      <c r="Y96" s="61" t="str">
        <f aca="false">O96</f>
        <v>msi</v>
      </c>
      <c r="Z96" s="61" t="s">
        <v>65</v>
      </c>
      <c r="AA96" s="61" t="str">
        <f aca="false">_xlfn.xlookup(B96,Spec!A:A,Spec!K:K,FALSE())</f>
        <v>Canada</v>
      </c>
      <c r="AB96" s="61" t="n">
        <f aca="false">_xlfn.xlookup(B96,Spec!A:A,Spec!L:L,FALSE())</f>
        <v>4811.41</v>
      </c>
    </row>
    <row r="97" customFormat="false" ht="14.25" hidden="false" customHeight="false" outlineLevel="0" collapsed="false">
      <c r="A97" s="1" t="n">
        <v>40116</v>
      </c>
      <c r="B97" s="1" t="n">
        <v>20022</v>
      </c>
      <c r="C97" s="61" t="str">
        <f aca="false">_xlfn.xlookup(B97,Spec!A:A,Spec!C:C)</f>
        <v>AKO</v>
      </c>
      <c r="D97" s="69" t="str">
        <f aca="false">_xlfn.xlookup(B97,Spec!A:A,Spec!D:D)</f>
        <v>AP1015</v>
      </c>
      <c r="E97" s="15" t="s">
        <v>241</v>
      </c>
      <c r="F97" s="15" t="str">
        <f aca="false">_xlfn.xlookup(E97,Clients!B:B,Clients!D:D,FALSE())</f>
        <v>F</v>
      </c>
      <c r="G97" s="42"/>
      <c r="H97" s="15" t="s">
        <v>662</v>
      </c>
      <c r="I97" s="61" t="str">
        <f aca="false">_xlfn.xlookup(B97,Spec!A:A,Spec!B:B)</f>
        <v>S31-1</v>
      </c>
      <c r="J97" s="61" t="str">
        <f aca="false">_xlfn.xlookup(B97,Spec!A:A,Spec!J:J)</f>
        <v>SG - HM Adhesive - PET liner</v>
      </c>
      <c r="K97" s="61" t="str">
        <f aca="false">_xlfn.xlookup(B97,Spec!A:A,Spec!E:E)</f>
        <v>Self Adhesive Paper</v>
      </c>
      <c r="L97" s="43" t="s">
        <v>668</v>
      </c>
      <c r="N97" s="43" t="n">
        <v>0</v>
      </c>
      <c r="O97" s="43" t="s">
        <v>554</v>
      </c>
      <c r="P97" s="72" t="n">
        <v>10</v>
      </c>
      <c r="Q97" s="73" t="n">
        <v>2400</v>
      </c>
      <c r="R97" s="83" t="n">
        <f aca="false">P97*12*Q97/1000</f>
        <v>288</v>
      </c>
      <c r="S97" s="88" t="str">
        <f aca="false">_xlfn.xlookup(E97,Clients!B:B,Clients!D:D,FALSE())</f>
        <v>F</v>
      </c>
      <c r="T97" s="84" t="n">
        <f aca="false">IF(O97="msi",P97*12*Q97/1000*N97,IF(O97="sqm",P97/1000*Q97,N97))</f>
        <v>0</v>
      </c>
      <c r="U97" s="61" t="s">
        <v>551</v>
      </c>
      <c r="V97" s="61" t="str">
        <f aca="false">_xlfn.xlookup(E97,Clients!B:B,Clients!X:X,FALSE())</f>
        <v>CAD</v>
      </c>
      <c r="X97" s="89" t="n">
        <f aca="false">IF(V97=Z97,N97,N97*W97)</f>
        <v>0</v>
      </c>
      <c r="Y97" s="61" t="str">
        <f aca="false">O97</f>
        <v>msi</v>
      </c>
      <c r="Z97" s="61" t="s">
        <v>65</v>
      </c>
      <c r="AA97" s="61" t="str">
        <f aca="false">_xlfn.xlookup(B97,Spec!A:A,Spec!K:K,FALSE())</f>
        <v>Canada</v>
      </c>
      <c r="AB97" s="61" t="n">
        <f aca="false">_xlfn.xlookup(B97,Spec!A:A,Spec!L:L,FALSE())</f>
        <v>4811.41</v>
      </c>
    </row>
    <row r="98" customFormat="false" ht="14.25" hidden="false" customHeight="false" outlineLevel="0" collapsed="false">
      <c r="A98" s="1" t="n">
        <v>40117</v>
      </c>
      <c r="B98" s="1" t="n">
        <v>20015</v>
      </c>
      <c r="C98" s="61" t="str">
        <f aca="false">_xlfn.xlookup(B98,Spec!A:A,Spec!C:C)</f>
        <v>Jinda</v>
      </c>
      <c r="D98" s="69" t="str">
        <f aca="false">_xlfn.xlookup(B98,Spec!A:A,Spec!D:D)</f>
        <v>0402105</v>
      </c>
      <c r="E98" s="15" t="s">
        <v>124</v>
      </c>
      <c r="F98" s="15" t="str">
        <f aca="false">_xlfn.xlookup(E98,Clients!B:B,Clients!D:D,FALSE())</f>
        <v>F</v>
      </c>
      <c r="G98" s="42" t="n">
        <v>2213</v>
      </c>
      <c r="H98" s="15" t="s">
        <v>586</v>
      </c>
      <c r="I98" s="61" t="str">
        <f aca="false">_xlfn.xlookup(B98,Spec!A:A,Spec!B:B)</f>
        <v>S15-3</v>
      </c>
      <c r="J98" s="61" t="str">
        <f aca="false">_xlfn.xlookup(B98,Spec!A:A,Spec!J:J)</f>
        <v>SG - Acrylic Adhesive</v>
      </c>
      <c r="K98" s="61" t="str">
        <f aca="false">_xlfn.xlookup(B98,Spec!A:A,Spec!E:E)</f>
        <v>Self Adhesive Paper</v>
      </c>
      <c r="L98" s="61" t="str">
        <f aca="false">IF(F98="F","Larg: "&amp;P98&amp;"po   Long: "&amp;Q98&amp;"pi","W: "&amp;P98&amp;"in   L: "&amp;Q98&amp;"ft")</f>
        <v>Larg: 10po   Long: 5000pi</v>
      </c>
      <c r="N98" s="43" t="n">
        <v>0.28</v>
      </c>
      <c r="O98" s="43" t="s">
        <v>554</v>
      </c>
      <c r="P98" s="72" t="n">
        <v>10</v>
      </c>
      <c r="Q98" s="73" t="n">
        <v>5000</v>
      </c>
      <c r="R98" s="83" t="n">
        <f aca="false">P98*12*Q98/1000</f>
        <v>600</v>
      </c>
      <c r="S98" s="88" t="str">
        <f aca="false">_xlfn.xlookup(E98,Clients!B:B,Clients!D:D,FALSE())</f>
        <v>F</v>
      </c>
      <c r="T98" s="84" t="n">
        <f aca="false">IF(O98="msi",P98*12*Q98/1000*N98,IF(O98="sqm",P98/1000*Q98,N98))</f>
        <v>168</v>
      </c>
      <c r="U98" s="61" t="s">
        <v>551</v>
      </c>
      <c r="V98" s="61" t="str">
        <f aca="false">_xlfn.xlookup(E98,Clients!B:B,Clients!X:X,FALSE())</f>
        <v>USD</v>
      </c>
      <c r="X98" s="89" t="n">
        <f aca="false">IF(V98=Z98,N98,N98*W98)</f>
        <v>0.28</v>
      </c>
      <c r="Y98" s="61" t="str">
        <f aca="false">O98</f>
        <v>msi</v>
      </c>
      <c r="Z98" s="61" t="str">
        <f aca="false">_xlfn.xlookup(E98,Clients!B:B,Clients!Y:Y,FALSE())</f>
        <v>USD</v>
      </c>
      <c r="AA98" s="61" t="str">
        <f aca="false">_xlfn.xlookup(B98,Spec!A:A,Spec!K:K,FALSE())</f>
        <v>Canada</v>
      </c>
      <c r="AB98" s="61" t="n">
        <f aca="false">_xlfn.xlookup(B98,Spec!A:A,Spec!L:L,FALSE())</f>
        <v>4811.41</v>
      </c>
    </row>
    <row r="99" customFormat="false" ht="14.25" hidden="false" customHeight="false" outlineLevel="0" collapsed="false">
      <c r="A99" s="1" t="n">
        <v>40118</v>
      </c>
      <c r="B99" s="1" t="n">
        <v>20015</v>
      </c>
      <c r="C99" s="61" t="str">
        <f aca="false">_xlfn.xlookup(B99,Spec!A:A,Spec!C:C)</f>
        <v>Jinda</v>
      </c>
      <c r="D99" s="69" t="str">
        <f aca="false">_xlfn.xlookup(B99,Spec!A:A,Spec!D:D)</f>
        <v>0402105</v>
      </c>
      <c r="E99" s="15" t="s">
        <v>124</v>
      </c>
      <c r="F99" s="15" t="str">
        <f aca="false">_xlfn.xlookup(E99,Clients!B:B,Clients!D:D,FALSE())</f>
        <v>F</v>
      </c>
      <c r="G99" s="42" t="n">
        <v>2213</v>
      </c>
      <c r="H99" s="15" t="s">
        <v>586</v>
      </c>
      <c r="I99" s="61" t="str">
        <f aca="false">_xlfn.xlookup(B99,Spec!A:A,Spec!B:B)</f>
        <v>S15-3</v>
      </c>
      <c r="J99" s="61" t="str">
        <f aca="false">_xlfn.xlookup(B99,Spec!A:A,Spec!J:J)</f>
        <v>SG - Acrylic Adhesive</v>
      </c>
      <c r="K99" s="61" t="str">
        <f aca="false">_xlfn.xlookup(B99,Spec!A:A,Spec!E:E)</f>
        <v>Self Adhesive Paper</v>
      </c>
      <c r="L99" s="61" t="str">
        <f aca="false">IF(F99="F","Larg: "&amp;P99&amp;"po   Long: "&amp;Q99&amp;"pi","W: "&amp;P99&amp;"in   L: "&amp;Q99&amp;"ft")</f>
        <v>Larg: 6po   Long: 5000pi</v>
      </c>
      <c r="N99" s="43" t="n">
        <v>0.28</v>
      </c>
      <c r="O99" s="43" t="s">
        <v>554</v>
      </c>
      <c r="P99" s="72" t="n">
        <v>6</v>
      </c>
      <c r="Q99" s="73" t="n">
        <v>5000</v>
      </c>
      <c r="R99" s="83" t="n">
        <f aca="false">P99*12*Q99/1000</f>
        <v>360</v>
      </c>
      <c r="S99" s="88" t="str">
        <f aca="false">_xlfn.xlookup(E99,Clients!B:B,Clients!D:D,FALSE())</f>
        <v>F</v>
      </c>
      <c r="T99" s="84" t="n">
        <f aca="false">IF(O99="msi",P99*12*Q99/1000*N99,IF(O99="sqm",P99/1000*Q99,N99))</f>
        <v>100.8</v>
      </c>
      <c r="U99" s="61" t="str">
        <f aca="false">IF(F99="F","roul.","roll")</f>
        <v>roul.</v>
      </c>
      <c r="V99" s="61" t="str">
        <f aca="false">_xlfn.xlookup(E99,Clients!B:B,Clients!X:X,FALSE())</f>
        <v>USD</v>
      </c>
      <c r="X99" s="89" t="n">
        <f aca="false">IF(V99=Z99,N99,N99*W99)</f>
        <v>0.28</v>
      </c>
      <c r="Y99" s="61" t="str">
        <f aca="false">O99</f>
        <v>msi</v>
      </c>
      <c r="Z99" s="61" t="str">
        <f aca="false">_xlfn.xlookup(E99,Clients!B:B,Clients!Y:Y,FALSE())</f>
        <v>USD</v>
      </c>
      <c r="AA99" s="61" t="str">
        <f aca="false">_xlfn.xlookup(B99,Spec!A:A,Spec!K:K,FALSE())</f>
        <v>Canada</v>
      </c>
      <c r="AB99" s="61" t="n">
        <f aca="false">_xlfn.xlookup(B99,Spec!A:A,Spec!L:L,FALSE())</f>
        <v>4811.41</v>
      </c>
    </row>
    <row r="100" customFormat="false" ht="14.25" hidden="false" customHeight="false" outlineLevel="0" collapsed="false">
      <c r="A100" s="1" t="n">
        <v>40119</v>
      </c>
      <c r="B100" s="1" t="n">
        <v>20017</v>
      </c>
      <c r="C100" s="61" t="str">
        <f aca="false">_xlfn.xlookup(B100,Spec!A:A,Spec!C:C)</f>
        <v>Jinda</v>
      </c>
      <c r="D100" s="69" t="str">
        <f aca="false">_xlfn.xlookup(B100,Spec!A:A,Spec!D:D)</f>
        <v>0488056</v>
      </c>
      <c r="E100" s="15" t="s">
        <v>124</v>
      </c>
      <c r="F100" s="15" t="str">
        <f aca="false">_xlfn.xlookup(E100,Clients!B:B,Clients!D:D,FALSE())</f>
        <v>F</v>
      </c>
      <c r="G100" s="42" t="n">
        <v>2084</v>
      </c>
      <c r="H100" s="15" t="s">
        <v>593</v>
      </c>
      <c r="I100" s="61" t="str">
        <f aca="false">_xlfn.xlookup(B100,Spec!A:A,Spec!B:B)</f>
        <v>B25-3</v>
      </c>
      <c r="J100" s="61" t="str">
        <f aca="false">_xlfn.xlookup(B100,Spec!A:A,Spec!J:J)</f>
        <v>White BOPP - Acrylic Adhesive</v>
      </c>
      <c r="K100" s="61" t="str">
        <f aca="false">_xlfn.xlookup(B100,Spec!A:A,Spec!E:E)</f>
        <v>Self Adhesive Film</v>
      </c>
      <c r="L100" s="61" t="str">
        <f aca="false">IF(F100="F","Larg: "&amp;P100&amp;"po   Long: "&amp;Q100&amp;"pi","W: "&amp;P100&amp;"in   L: "&amp;Q100&amp;"ft")</f>
        <v>Larg: 60po   Long: 5000pi</v>
      </c>
      <c r="N100" s="43" t="n">
        <v>0.33</v>
      </c>
      <c r="O100" s="43" t="s">
        <v>554</v>
      </c>
      <c r="P100" s="72" t="n">
        <v>60</v>
      </c>
      <c r="Q100" s="73" t="n">
        <v>5000</v>
      </c>
      <c r="R100" s="83" t="n">
        <f aca="false">P100*12*Q100/1000</f>
        <v>3600</v>
      </c>
      <c r="S100" s="88" t="str">
        <f aca="false">_xlfn.xlookup(E100,Clients!B:B,Clients!D:D,FALSE())</f>
        <v>F</v>
      </c>
      <c r="T100" s="84" t="n">
        <f aca="false">IF(O100="msi",P100*12*Q100/1000*N100,IF(O100="sqm",P100/1000*Q100,N100))</f>
        <v>1188</v>
      </c>
      <c r="U100" s="61" t="str">
        <f aca="false">IF(F100="F","roul.","roll")</f>
        <v>roul.</v>
      </c>
      <c r="V100" s="61" t="str">
        <f aca="false">_xlfn.xlookup(E100,Clients!B:B,Clients!X:X,FALSE())</f>
        <v>USD</v>
      </c>
      <c r="X100" s="89" t="n">
        <f aca="false">IF(V100=Z100,N100,N100*W100)</f>
        <v>0.33</v>
      </c>
      <c r="Y100" s="61" t="str">
        <f aca="false">O100</f>
        <v>msi</v>
      </c>
      <c r="Z100" s="61" t="str">
        <f aca="false">_xlfn.xlookup(E100,Clients!B:B,Clients!Y:Y,FALSE())</f>
        <v>USD</v>
      </c>
      <c r="AA100" s="61" t="str">
        <f aca="false">_xlfn.xlookup(B100,Spec!A:A,Spec!K:K,FALSE())</f>
        <v>Canada</v>
      </c>
      <c r="AB100" s="61" t="str">
        <f aca="false">_xlfn.xlookup(B100,Spec!A:A,Spec!L:L,FALSE())</f>
        <v>3919.90</v>
      </c>
    </row>
    <row r="101" customFormat="false" ht="14.25" hidden="false" customHeight="false" outlineLevel="0" collapsed="false">
      <c r="A101" s="1" t="n">
        <v>40120</v>
      </c>
      <c r="B101" s="1" t="n">
        <v>20012</v>
      </c>
      <c r="C101" s="61" t="str">
        <f aca="false">_xlfn.xlookup(B101,Spec!A:A,Spec!C:C)</f>
        <v>AKO</v>
      </c>
      <c r="D101" s="69" t="str">
        <f aca="false">_xlfn.xlookup(B101,Spec!A:A,Spec!D:D)</f>
        <v>AR316 (AH2002)</v>
      </c>
      <c r="E101" s="15" t="s">
        <v>100</v>
      </c>
      <c r="F101" s="15" t="str">
        <f aca="false">_xlfn.xlookup(E101,Clients!B:B,Clients!D:D,FALSE())</f>
        <v>F</v>
      </c>
      <c r="G101" s="42" t="s">
        <v>588</v>
      </c>
      <c r="H101" s="15" t="s">
        <v>589</v>
      </c>
      <c r="I101" s="61" t="str">
        <f aca="false">_xlfn.xlookup(B101,Spec!A:A,Spec!B:B)</f>
        <v>D21-1</v>
      </c>
      <c r="J101" s="61" t="str">
        <f aca="false">_xlfn.xlookup(B101,Spec!A:A,Spec!J:J)</f>
        <v>TC DT - Hotmelt Adhesive</v>
      </c>
      <c r="K101" s="61" t="str">
        <f aca="false">_xlfn.xlookup(B101,Spec!A:A,Spec!E:E)</f>
        <v>Self Adhesive Paper</v>
      </c>
      <c r="L101" s="61" t="str">
        <f aca="false">IF(F101="F","Larg: "&amp;P101&amp;"po   Long: "&amp;Q101&amp;"pi","W: "&amp;P101&amp;"in   L: "&amp;Q101&amp;"ft")</f>
        <v>Larg: 8.75po   Long: 5000pi</v>
      </c>
      <c r="N101" s="43" t="n">
        <v>0.385</v>
      </c>
      <c r="O101" s="43" t="s">
        <v>554</v>
      </c>
      <c r="P101" s="72" t="n">
        <v>8.75</v>
      </c>
      <c r="Q101" s="73" t="n">
        <v>5000</v>
      </c>
      <c r="R101" s="83" t="n">
        <f aca="false">P101*12*Q101/1000</f>
        <v>525</v>
      </c>
      <c r="S101" s="88" t="str">
        <f aca="false">_xlfn.xlookup(E101,Clients!B:B,Clients!D:D,FALSE())</f>
        <v>F</v>
      </c>
      <c r="T101" s="84" t="n">
        <f aca="false">IF(O101="msi",P101*12*Q101/1000*N101,IF(O101="sqm",P101/1000*Q101,N101))</f>
        <v>202.125</v>
      </c>
      <c r="U101" s="61" t="str">
        <f aca="false">IF(F101="F","roul.","roll")</f>
        <v>roul.</v>
      </c>
      <c r="V101" s="61" t="str">
        <f aca="false">_xlfn.xlookup(E101,Clients!B:B,Clients!X:X,FALSE())</f>
        <v>CAD</v>
      </c>
      <c r="X101" s="89" t="n">
        <f aca="false">IF(V101=Z101,N101,N101*W101)</f>
        <v>0.385</v>
      </c>
      <c r="Y101" s="61" t="str">
        <f aca="false">O101</f>
        <v>msi</v>
      </c>
      <c r="Z101" s="61" t="str">
        <f aca="false">_xlfn.xlookup(E101,Clients!B:B,Clients!Y:Y,FALSE())</f>
        <v>CAD</v>
      </c>
      <c r="AA101" s="61" t="str">
        <f aca="false">_xlfn.xlookup(B101,Spec!A:A,Spec!K:K,FALSE())</f>
        <v>Canada</v>
      </c>
      <c r="AB101" s="61" t="n">
        <f aca="false">_xlfn.xlookup(B101,Spec!A:A,Spec!L:L,FALSE())</f>
        <v>4811.41</v>
      </c>
    </row>
    <row r="102" customFormat="false" ht="14.25" hidden="false" customHeight="false" outlineLevel="0" collapsed="false">
      <c r="A102" s="1" t="n">
        <v>40121</v>
      </c>
      <c r="B102" s="1" t="n">
        <v>20016</v>
      </c>
      <c r="C102" s="61" t="str">
        <f aca="false">_xlfn.xlookup(B102,Spec!A:A,Spec!C:C)</f>
        <v>Jinda</v>
      </c>
      <c r="D102" s="69" t="str">
        <f aca="false">_xlfn.xlookup(B102,Spec!A:A,Spec!D:D)</f>
        <v>0488032</v>
      </c>
      <c r="E102" s="15" t="s">
        <v>100</v>
      </c>
      <c r="F102" s="15" t="str">
        <f aca="false">_xlfn.xlookup(E102,Clients!B:B,Clients!D:D,FALSE())</f>
        <v>F</v>
      </c>
      <c r="G102" s="42"/>
      <c r="H102" s="15" t="s">
        <v>608</v>
      </c>
      <c r="I102" s="61" t="str">
        <f aca="false">_xlfn.xlookup(B102,Spec!A:A,Spec!B:B)</f>
        <v>B15-3</v>
      </c>
      <c r="J102" s="61" t="str">
        <f aca="false">_xlfn.xlookup(B102,Spec!A:A,Spec!J:J)</f>
        <v>Clear BOPP - Acrylic Adhesive</v>
      </c>
      <c r="K102" s="61" t="str">
        <f aca="false">_xlfn.xlookup(B102,Spec!A:A,Spec!E:E)</f>
        <v>Self Adhesive Film</v>
      </c>
      <c r="L102" s="61" t="str">
        <f aca="false">IF(F102="F","Larg: "&amp;P102&amp;"po   Long: "&amp;Q102&amp;"pi","W: "&amp;P102&amp;"in   L: "&amp;Q102&amp;"ft")</f>
        <v>Larg: 8.75po   Long: 5000pi</v>
      </c>
      <c r="N102" s="43" t="n">
        <v>0.466</v>
      </c>
      <c r="O102" s="43" t="s">
        <v>554</v>
      </c>
      <c r="P102" s="72" t="n">
        <v>8.75</v>
      </c>
      <c r="Q102" s="73" t="n">
        <v>5000</v>
      </c>
      <c r="R102" s="83" t="n">
        <f aca="false">P102*12*Q102/1000</f>
        <v>525</v>
      </c>
      <c r="S102" s="88" t="str">
        <f aca="false">_xlfn.xlookup(E102,Clients!B:B,Clients!D:D,FALSE())</f>
        <v>F</v>
      </c>
      <c r="T102" s="84" t="n">
        <f aca="false">IF(O102="msi",P102*12*Q102/1000*N102,IF(O102="sqm",P102/1000*Q102,N102))</f>
        <v>244.65</v>
      </c>
      <c r="U102" s="61" t="str">
        <f aca="false">IF(F102="F","roul.","roll")</f>
        <v>roul.</v>
      </c>
      <c r="V102" s="61" t="str">
        <f aca="false">_xlfn.xlookup(E102,Clients!B:B,Clients!X:X,FALSE())</f>
        <v>CAD</v>
      </c>
      <c r="X102" s="89" t="n">
        <f aca="false">IF(V102=Z102,N102,N102*W102)</f>
        <v>0.466</v>
      </c>
      <c r="Y102" s="61" t="str">
        <f aca="false">O102</f>
        <v>msi</v>
      </c>
      <c r="Z102" s="61" t="str">
        <f aca="false">_xlfn.xlookup(E102,Clients!B:B,Clients!Y:Y,FALSE())</f>
        <v>CAD</v>
      </c>
      <c r="AA102" s="61" t="str">
        <f aca="false">_xlfn.xlookup(B102,Spec!A:A,Spec!K:K,FALSE())</f>
        <v>Canada</v>
      </c>
      <c r="AB102" s="61" t="str">
        <f aca="false">_xlfn.xlookup(B102,Spec!A:A,Spec!L:L,FALSE())</f>
        <v>3919.90</v>
      </c>
    </row>
    <row r="103" customFormat="false" ht="14.25" hidden="false" customHeight="false" outlineLevel="0" collapsed="false">
      <c r="A103" s="1" t="n">
        <v>40122</v>
      </c>
      <c r="B103" s="1" t="n">
        <v>20016</v>
      </c>
      <c r="C103" s="61" t="str">
        <f aca="false">_xlfn.xlookup(B103,Spec!A:A,Spec!C:C)</f>
        <v>Jinda</v>
      </c>
      <c r="D103" s="69" t="str">
        <f aca="false">_xlfn.xlookup(B103,Spec!A:A,Spec!D:D)</f>
        <v>0488032</v>
      </c>
      <c r="E103" s="15" t="s">
        <v>100</v>
      </c>
      <c r="F103" s="15" t="str">
        <f aca="false">_xlfn.xlookup(E103,Clients!B:B,Clients!D:D,FALSE())</f>
        <v>F</v>
      </c>
      <c r="G103" s="42"/>
      <c r="H103" s="15" t="s">
        <v>608</v>
      </c>
      <c r="I103" s="61" t="str">
        <f aca="false">_xlfn.xlookup(B103,Spec!A:A,Spec!B:B)</f>
        <v>B15-3</v>
      </c>
      <c r="J103" s="61" t="str">
        <f aca="false">_xlfn.xlookup(B103,Spec!A:A,Spec!J:J)</f>
        <v>Clear BOPP - Acrylic Adhesive</v>
      </c>
      <c r="K103" s="61" t="str">
        <f aca="false">_xlfn.xlookup(B103,Spec!A:A,Spec!E:E)</f>
        <v>Self Adhesive Film</v>
      </c>
      <c r="L103" s="61" t="str">
        <f aca="false">IF(F103="F","Larg: "&amp;P103&amp;"po   Long: "&amp;Q103&amp;"pi","W: "&amp;P103&amp;"in   L: "&amp;Q103&amp;"ft")</f>
        <v>Larg: 8.75po   Long: 2300pi</v>
      </c>
      <c r="N103" s="43" t="n">
        <v>0.466</v>
      </c>
      <c r="O103" s="43" t="s">
        <v>554</v>
      </c>
      <c r="P103" s="72" t="n">
        <v>8.75</v>
      </c>
      <c r="Q103" s="73" t="n">
        <v>2300</v>
      </c>
      <c r="R103" s="83" t="n">
        <f aca="false">P103*12*Q103/1000</f>
        <v>241.5</v>
      </c>
      <c r="S103" s="88" t="str">
        <f aca="false">_xlfn.xlookup(E103,Clients!B:B,Clients!D:D,FALSE())</f>
        <v>F</v>
      </c>
      <c r="T103" s="84" t="n">
        <f aca="false">IF(O103="msi",P103*12*Q103/1000*N103,IF(O103="sqm",P103/1000*Q103,N103))</f>
        <v>112.539</v>
      </c>
      <c r="U103" s="61" t="str">
        <f aca="false">IF(F103="F","roul.","roll")</f>
        <v>roul.</v>
      </c>
      <c r="V103" s="61" t="str">
        <f aca="false">_xlfn.xlookup(E103,Clients!B:B,Clients!X:X,FALSE())</f>
        <v>CAD</v>
      </c>
      <c r="X103" s="89" t="n">
        <f aca="false">IF(V103=Z103,N103,N103*W103)</f>
        <v>0.466</v>
      </c>
      <c r="Y103" s="61" t="str">
        <f aca="false">O103</f>
        <v>msi</v>
      </c>
      <c r="Z103" s="61" t="str">
        <f aca="false">_xlfn.xlookup(E103,Clients!B:B,Clients!Y:Y,FALSE())</f>
        <v>CAD</v>
      </c>
      <c r="AA103" s="61" t="str">
        <f aca="false">_xlfn.xlookup(B103,Spec!A:A,Spec!K:K,FALSE())</f>
        <v>Canada</v>
      </c>
      <c r="AB103" s="61" t="str">
        <f aca="false">_xlfn.xlookup(B103,Spec!A:A,Spec!L:L,FALSE())</f>
        <v>3919.90</v>
      </c>
    </row>
    <row r="104" customFormat="false" ht="14.25" hidden="false" customHeight="false" outlineLevel="0" collapsed="false">
      <c r="A104" s="1" t="n">
        <v>40123</v>
      </c>
      <c r="B104" s="1" t="n">
        <v>20016</v>
      </c>
      <c r="C104" s="61" t="str">
        <f aca="false">_xlfn.xlookup(B104,Spec!A:A,Spec!C:C)</f>
        <v>Jinda</v>
      </c>
      <c r="D104" s="69" t="str">
        <f aca="false">_xlfn.xlookup(B104,Spec!A:A,Spec!D:D)</f>
        <v>0488032</v>
      </c>
      <c r="E104" s="15" t="s">
        <v>100</v>
      </c>
      <c r="F104" s="15" t="str">
        <f aca="false">_xlfn.xlookup(E104,Clients!B:B,Clients!D:D,FALSE())</f>
        <v>F</v>
      </c>
      <c r="G104" s="42"/>
      <c r="H104" s="15" t="s">
        <v>608</v>
      </c>
      <c r="I104" s="61" t="str">
        <f aca="false">_xlfn.xlookup(B104,Spec!A:A,Spec!B:B)</f>
        <v>B15-3</v>
      </c>
      <c r="J104" s="61" t="str">
        <f aca="false">_xlfn.xlookup(B104,Spec!A:A,Spec!J:J)</f>
        <v>Clear BOPP - Acrylic Adhesive</v>
      </c>
      <c r="K104" s="61" t="str">
        <f aca="false">_xlfn.xlookup(B104,Spec!A:A,Spec!E:E)</f>
        <v>Self Adhesive Film</v>
      </c>
      <c r="L104" s="61" t="str">
        <f aca="false">IF(F104="F","Larg: "&amp;P104&amp;"po   Long: "&amp;Q104&amp;"pi","W: "&amp;P104&amp;"in   L: "&amp;Q104&amp;"ft")</f>
        <v>Larg: 7.5po   Long: 5000pi</v>
      </c>
      <c r="N104" s="43" t="n">
        <v>0.466</v>
      </c>
      <c r="O104" s="43" t="s">
        <v>554</v>
      </c>
      <c r="P104" s="72" t="n">
        <v>7.5</v>
      </c>
      <c r="Q104" s="73" t="n">
        <v>5000</v>
      </c>
      <c r="R104" s="83" t="n">
        <f aca="false">P104*12*Q104/1000</f>
        <v>450</v>
      </c>
      <c r="S104" s="88" t="str">
        <f aca="false">_xlfn.xlookup(E104,Clients!B:B,Clients!D:D,FALSE())</f>
        <v>F</v>
      </c>
      <c r="T104" s="84" t="n">
        <f aca="false">IF(O104="msi",P104*12*Q104/1000*N104,IF(O104="sqm",P104/1000*Q104,N104))</f>
        <v>209.7</v>
      </c>
      <c r="U104" s="61" t="str">
        <f aca="false">IF(F104="F","roul.","roll")</f>
        <v>roul.</v>
      </c>
      <c r="V104" s="61" t="str">
        <f aca="false">_xlfn.xlookup(E104,Clients!B:B,Clients!X:X,FALSE())</f>
        <v>CAD</v>
      </c>
      <c r="X104" s="89" t="n">
        <f aca="false">IF(V104=Z104,N104,N104*W104)</f>
        <v>0.466</v>
      </c>
      <c r="Y104" s="61" t="str">
        <f aca="false">O104</f>
        <v>msi</v>
      </c>
      <c r="Z104" s="61" t="str">
        <f aca="false">_xlfn.xlookup(E104,Clients!B:B,Clients!Y:Y,FALSE())</f>
        <v>CAD</v>
      </c>
      <c r="AA104" s="61" t="str">
        <f aca="false">_xlfn.xlookup(B104,Spec!A:A,Spec!K:K,FALSE())</f>
        <v>Canada</v>
      </c>
      <c r="AB104" s="61" t="str">
        <f aca="false">_xlfn.xlookup(B104,Spec!A:A,Spec!L:L,FALSE())</f>
        <v>3919.90</v>
      </c>
    </row>
    <row r="105" customFormat="false" ht="14.25" hidden="false" customHeight="false" outlineLevel="0" collapsed="false">
      <c r="A105" s="1" t="n">
        <v>40124</v>
      </c>
      <c r="B105" s="1" t="n">
        <v>20016</v>
      </c>
      <c r="C105" s="61" t="str">
        <f aca="false">_xlfn.xlookup(B105,Spec!A:A,Spec!C:C)</f>
        <v>Jinda</v>
      </c>
      <c r="D105" s="69" t="str">
        <f aca="false">_xlfn.xlookup(B105,Spec!A:A,Spec!D:D)</f>
        <v>0488032</v>
      </c>
      <c r="E105" s="15" t="s">
        <v>100</v>
      </c>
      <c r="F105" s="15" t="str">
        <f aca="false">_xlfn.xlookup(E105,Clients!B:B,Clients!D:D,FALSE())</f>
        <v>F</v>
      </c>
      <c r="G105" s="42"/>
      <c r="H105" s="15" t="s">
        <v>608</v>
      </c>
      <c r="I105" s="61" t="str">
        <f aca="false">_xlfn.xlookup(B105,Spec!A:A,Spec!B:B)</f>
        <v>B15-3</v>
      </c>
      <c r="J105" s="61" t="str">
        <f aca="false">_xlfn.xlookup(B105,Spec!A:A,Spec!J:J)</f>
        <v>Clear BOPP - Acrylic Adhesive</v>
      </c>
      <c r="K105" s="61" t="str">
        <f aca="false">_xlfn.xlookup(B105,Spec!A:A,Spec!E:E)</f>
        <v>Self Adhesive Film</v>
      </c>
      <c r="L105" s="61" t="str">
        <f aca="false">IF(F105="F","Larg: "&amp;P105&amp;"po   Long: "&amp;Q105&amp;"pi","W: "&amp;P105&amp;"in   L: "&amp;Q105&amp;"ft")</f>
        <v>Larg: 6.75po   Long: 2300pi</v>
      </c>
      <c r="N105" s="43" t="n">
        <v>0.466</v>
      </c>
      <c r="O105" s="43" t="s">
        <v>554</v>
      </c>
      <c r="P105" s="72" t="n">
        <v>6.75</v>
      </c>
      <c r="Q105" s="73" t="n">
        <v>2300</v>
      </c>
      <c r="R105" s="83" t="n">
        <f aca="false">P105*12*Q105/1000</f>
        <v>186.3</v>
      </c>
      <c r="S105" s="88" t="str">
        <f aca="false">_xlfn.xlookup(E105,Clients!B:B,Clients!D:D,FALSE())</f>
        <v>F</v>
      </c>
      <c r="T105" s="84" t="n">
        <f aca="false">IF(O105="msi",P105*12*Q105/1000*N105,IF(O105="sqm",P105/1000*Q105,N105))</f>
        <v>86.8158</v>
      </c>
      <c r="U105" s="61" t="str">
        <f aca="false">IF(F105="F","roul.","roll")</f>
        <v>roul.</v>
      </c>
      <c r="V105" s="61" t="str">
        <f aca="false">_xlfn.xlookup(E105,Clients!B:B,Clients!X:X,FALSE())</f>
        <v>CAD</v>
      </c>
      <c r="X105" s="89" t="n">
        <f aca="false">IF(V105=Z105,N105,N105*W105)</f>
        <v>0.466</v>
      </c>
      <c r="Y105" s="61" t="str">
        <f aca="false">O105</f>
        <v>msi</v>
      </c>
      <c r="Z105" s="61" t="str">
        <f aca="false">_xlfn.xlookup(E105,Clients!B:B,Clients!Y:Y,FALSE())</f>
        <v>CAD</v>
      </c>
      <c r="AA105" s="61" t="str">
        <f aca="false">_xlfn.xlookup(B105,Spec!A:A,Spec!K:K,FALSE())</f>
        <v>Canada</v>
      </c>
      <c r="AB105" s="61" t="str">
        <f aca="false">_xlfn.xlookup(B105,Spec!A:A,Spec!L:L,FALSE())</f>
        <v>3919.90</v>
      </c>
    </row>
    <row r="106" customFormat="false" ht="14.25" hidden="false" customHeight="false" outlineLevel="0" collapsed="false">
      <c r="A106" s="1" t="n">
        <v>40125</v>
      </c>
      <c r="B106" s="1" t="n">
        <v>20015</v>
      </c>
      <c r="C106" s="61" t="str">
        <f aca="false">_xlfn.xlookup(B106,Spec!A:A,Spec!C:C)</f>
        <v>Jinda</v>
      </c>
      <c r="D106" s="69" t="str">
        <f aca="false">_xlfn.xlookup(B106,Spec!A:A,Spec!D:D)</f>
        <v>0402105</v>
      </c>
      <c r="E106" s="15" t="s">
        <v>124</v>
      </c>
      <c r="F106" s="15" t="str">
        <f aca="false">_xlfn.xlookup(E106,Clients!B:B,Clients!D:D,FALSE())</f>
        <v>F</v>
      </c>
      <c r="G106" s="42" t="n">
        <v>2213</v>
      </c>
      <c r="H106" s="15" t="s">
        <v>586</v>
      </c>
      <c r="I106" s="61" t="str">
        <f aca="false">_xlfn.xlookup(B106,Spec!A:A,Spec!B:B)</f>
        <v>S15-3</v>
      </c>
      <c r="J106" s="61" t="str">
        <f aca="false">_xlfn.xlookup(B106,Spec!A:A,Spec!J:J)</f>
        <v>SG - Acrylic Adhesive</v>
      </c>
      <c r="K106" s="61" t="str">
        <f aca="false">_xlfn.xlookup(B106,Spec!A:A,Spec!E:E)</f>
        <v>Self Adhesive Paper</v>
      </c>
      <c r="L106" s="61" t="str">
        <f aca="false">IF(F106="F","Larg: "&amp;P106&amp;"po   Long: "&amp;Q106&amp;"pi","W: "&amp;P106&amp;"in   L: "&amp;Q106&amp;"ft")</f>
        <v>Larg: 20po   Long: 5000pi</v>
      </c>
      <c r="N106" s="43" t="n">
        <v>0.28</v>
      </c>
      <c r="O106" s="43" t="s">
        <v>554</v>
      </c>
      <c r="P106" s="72" t="n">
        <v>20</v>
      </c>
      <c r="Q106" s="73" t="n">
        <v>5000</v>
      </c>
      <c r="R106" s="83" t="n">
        <f aca="false">P106*12*Q106/1000</f>
        <v>1200</v>
      </c>
      <c r="S106" s="88" t="str">
        <f aca="false">_xlfn.xlookup(E106,Clients!B:B,Clients!D:D,FALSE())</f>
        <v>F</v>
      </c>
      <c r="T106" s="84" t="n">
        <f aca="false">IF(O106="msi",P106*12*Q106/1000*N106,IF(O106="sqm",P106/1000*Q106,N106))</f>
        <v>336</v>
      </c>
      <c r="U106" s="61" t="str">
        <f aca="false">IF(F106="F","roul.","roll")</f>
        <v>roul.</v>
      </c>
      <c r="V106" s="61" t="str">
        <f aca="false">_xlfn.xlookup(E106,Clients!B:B,Clients!X:X,FALSE())</f>
        <v>USD</v>
      </c>
      <c r="X106" s="89" t="n">
        <f aca="false">IF(V106=Z106,N106,N106*W106)</f>
        <v>0.28</v>
      </c>
      <c r="Y106" s="61" t="str">
        <f aca="false">O106</f>
        <v>msi</v>
      </c>
      <c r="Z106" s="61" t="str">
        <f aca="false">_xlfn.xlookup(E106,Clients!B:B,Clients!Y:Y,FALSE())</f>
        <v>USD</v>
      </c>
      <c r="AA106" s="61" t="str">
        <f aca="false">_xlfn.xlookup(B106,Spec!A:A,Spec!K:K,FALSE())</f>
        <v>Canada</v>
      </c>
      <c r="AB106" s="61" t="n">
        <f aca="false">_xlfn.xlookup(B106,Spec!A:A,Spec!L:L,FALSE())</f>
        <v>4811.41</v>
      </c>
    </row>
    <row r="107" customFormat="false" ht="14.25" hidden="false" customHeight="false" outlineLevel="0" collapsed="false">
      <c r="A107" s="1" t="n">
        <v>40126</v>
      </c>
      <c r="B107" s="1" t="n">
        <v>20015</v>
      </c>
      <c r="C107" s="61" t="str">
        <f aca="false">_xlfn.xlookup(B107,Spec!A:A,Spec!C:C)</f>
        <v>Jinda</v>
      </c>
      <c r="D107" s="69" t="str">
        <f aca="false">_xlfn.xlookup(B107,Spec!A:A,Spec!D:D)</f>
        <v>0402105</v>
      </c>
      <c r="E107" s="15" t="s">
        <v>178</v>
      </c>
      <c r="F107" s="15" t="str">
        <f aca="false">_xlfn.xlookup(E107,Clients!B:B,Clients!D:D,FALSE())</f>
        <v>A</v>
      </c>
      <c r="G107" s="42"/>
      <c r="H107" s="15" t="s">
        <v>586</v>
      </c>
      <c r="I107" s="61" t="str">
        <f aca="false">_xlfn.xlookup(B107,Spec!A:A,Spec!B:B)</f>
        <v>S15-3</v>
      </c>
      <c r="J107" s="61" t="str">
        <f aca="false">_xlfn.xlookup(B107,Spec!A:A,Spec!J:J)</f>
        <v>SG - Acrylic Adhesive</v>
      </c>
      <c r="K107" s="61" t="str">
        <f aca="false">_xlfn.xlookup(B107,Spec!A:A,Spec!E:E)</f>
        <v>Self Adhesive Paper</v>
      </c>
      <c r="L107" s="61" t="str">
        <f aca="false">IF(F107="F","Larg: "&amp;P107&amp;"po   Long: "&amp;Q107&amp;"pi","W: "&amp;P107&amp;"in   L: "&amp;Q107&amp;"ft")</f>
        <v>W: 12in   L: 10000ft</v>
      </c>
      <c r="N107" s="90" t="n">
        <v>0.347</v>
      </c>
      <c r="O107" s="43" t="s">
        <v>554</v>
      </c>
      <c r="P107" s="72" t="n">
        <v>12</v>
      </c>
      <c r="Q107" s="73" t="n">
        <v>10000</v>
      </c>
      <c r="R107" s="83" t="n">
        <f aca="false">P107*12*Q107/1000</f>
        <v>1440</v>
      </c>
      <c r="S107" s="88" t="str">
        <f aca="false">_xlfn.xlookup(E107,Clients!B:B,Clients!D:D,FALSE())</f>
        <v>A</v>
      </c>
      <c r="T107" s="84" t="n">
        <f aca="false">IF(O107="msi",P107*12*Q107/1000*N107,IF(O107="sqm",P107/1000*Q107,N107))</f>
        <v>499.68</v>
      </c>
      <c r="U107" s="61" t="str">
        <f aca="false">IF(F107="F","roul.","roll")</f>
        <v>roll</v>
      </c>
      <c r="V107" s="61" t="str">
        <f aca="false">_xlfn.xlookup(E107,Clients!B:B,Clients!X:X,FALSE())</f>
        <v>CAD</v>
      </c>
      <c r="X107" s="89" t="n">
        <f aca="false">IF(V107=Z107,N107,N107*W107)</f>
        <v>0.347</v>
      </c>
      <c r="Y107" s="61" t="str">
        <f aca="false">O107</f>
        <v>msi</v>
      </c>
      <c r="Z107" s="61" t="str">
        <f aca="false">_xlfn.xlookup(E107,Clients!B:B,Clients!Y:Y,FALSE())</f>
        <v>CAD</v>
      </c>
      <c r="AA107" s="61" t="str">
        <f aca="false">_xlfn.xlookup(B107,Spec!A:A,Spec!K:K,FALSE())</f>
        <v>Canada</v>
      </c>
      <c r="AB107" s="61" t="n">
        <f aca="false">_xlfn.xlookup(B107,Spec!A:A,Spec!L:L,FALSE())</f>
        <v>4811.41</v>
      </c>
    </row>
    <row r="108" customFormat="false" ht="14.25" hidden="false" customHeight="false" outlineLevel="0" collapsed="false">
      <c r="A108" s="1" t="n">
        <v>40127</v>
      </c>
      <c r="B108" s="1" t="n">
        <v>20011</v>
      </c>
      <c r="C108" s="61" t="str">
        <f aca="false">_xlfn.xlookup(B108,Spec!A:A,Spec!C:C)</f>
        <v>AKO</v>
      </c>
      <c r="D108" s="69" t="str">
        <f aca="false">_xlfn.xlookup(B108,Spec!A:A,Spec!D:D)</f>
        <v>AP1019</v>
      </c>
      <c r="E108" s="15" t="s">
        <v>124</v>
      </c>
      <c r="F108" s="15" t="str">
        <f aca="false">_xlfn.xlookup(E108,Clients!B:B,Clients!D:D,FALSE())</f>
        <v>F</v>
      </c>
      <c r="G108" s="42" t="n">
        <v>2212</v>
      </c>
      <c r="H108" s="15" t="s">
        <v>602</v>
      </c>
      <c r="I108" s="61" t="str">
        <f aca="false">_xlfn.xlookup(B108,Spec!A:A,Spec!B:B)</f>
        <v>S21-1</v>
      </c>
      <c r="J108" s="61" t="str">
        <f aca="false">_xlfn.xlookup(B108,Spec!A:A,Spec!J:J)</f>
        <v>SG - Hotmelt Adhesive</v>
      </c>
      <c r="K108" s="61" t="str">
        <f aca="false">_xlfn.xlookup(B108,Spec!A:A,Spec!E:E)</f>
        <v>Self Adhesive Paper</v>
      </c>
      <c r="L108" s="61" t="str">
        <f aca="false">IF(F108="F","Larg: "&amp;P108&amp;"po   Long: "&amp;Q108&amp;"pi","W: "&amp;P108&amp;"in   L: "&amp;Q108&amp;"ft")</f>
        <v>Larg: 6po   Long: 5000pi</v>
      </c>
      <c r="N108" s="43" t="n">
        <v>0.27</v>
      </c>
      <c r="O108" s="43" t="s">
        <v>554</v>
      </c>
      <c r="P108" s="72" t="n">
        <v>6</v>
      </c>
      <c r="Q108" s="73" t="n">
        <v>5000</v>
      </c>
      <c r="R108" s="83" t="n">
        <f aca="false">P108*12*Q108/1000</f>
        <v>360</v>
      </c>
      <c r="S108" s="88" t="str">
        <f aca="false">_xlfn.xlookup(E108,Clients!B:B,Clients!D:D,FALSE())</f>
        <v>F</v>
      </c>
      <c r="T108" s="84" t="n">
        <f aca="false">IF(O108="msi",P108*12*Q108/1000*N108,IF(O108="sqm",P108/1000*Q108,N108))</f>
        <v>97.2</v>
      </c>
      <c r="U108" s="61" t="str">
        <f aca="false">IF(F108="F","roul.","roll")</f>
        <v>roul.</v>
      </c>
      <c r="V108" s="61" t="str">
        <f aca="false">_xlfn.xlookup(E108,Clients!B:B,Clients!X:X,FALSE())</f>
        <v>USD</v>
      </c>
      <c r="X108" s="89" t="n">
        <f aca="false">IF(V108=Z108,N108,N108*W108)</f>
        <v>0.27</v>
      </c>
      <c r="Y108" s="61" t="str">
        <f aca="false">O108</f>
        <v>msi</v>
      </c>
      <c r="Z108" s="61" t="str">
        <f aca="false">_xlfn.xlookup(E108,Clients!B:B,Clients!Y:Y,FALSE())</f>
        <v>USD</v>
      </c>
      <c r="AA108" s="61" t="str">
        <f aca="false">_xlfn.xlookup(B108,Spec!A:A,Spec!K:K,FALSE())</f>
        <v>Canada</v>
      </c>
      <c r="AB108" s="61" t="n">
        <f aca="false">_xlfn.xlookup(B108,Spec!A:A,Spec!L:L,FALSE())</f>
        <v>4811.41</v>
      </c>
    </row>
    <row r="109" customFormat="false" ht="14.25" hidden="false" customHeight="false" outlineLevel="0" collapsed="false">
      <c r="A109" s="1" t="n">
        <v>40128</v>
      </c>
      <c r="B109" s="1" t="n">
        <v>20011</v>
      </c>
      <c r="C109" s="61" t="str">
        <f aca="false">_xlfn.xlookup(B109,Spec!A:A,Spec!C:C)</f>
        <v>AKO</v>
      </c>
      <c r="D109" s="69" t="str">
        <f aca="false">_xlfn.xlookup(B109,Spec!A:A,Spec!D:D)</f>
        <v>AP1019</v>
      </c>
      <c r="E109" s="15" t="s">
        <v>51</v>
      </c>
      <c r="F109" s="15" t="str">
        <f aca="false">_xlfn.xlookup(E109,Clients!B:B,Clients!D:D,FALSE())</f>
        <v>F</v>
      </c>
      <c r="G109" s="42"/>
      <c r="H109" s="15" t="s">
        <v>602</v>
      </c>
      <c r="I109" s="61" t="str">
        <f aca="false">_xlfn.xlookup(B109,Spec!A:A,Spec!B:B)</f>
        <v>S21-1</v>
      </c>
      <c r="J109" s="61" t="str">
        <f aca="false">_xlfn.xlookup(B109,Spec!A:A,Spec!J:J)</f>
        <v>SG - Hotmelt Adhesive</v>
      </c>
      <c r="K109" s="61" t="str">
        <f aca="false">_xlfn.xlookup(B109,Spec!A:A,Spec!E:E)</f>
        <v>Self Adhesive Paper</v>
      </c>
      <c r="L109" s="61" t="str">
        <f aca="false">IF(F109="F","Larg: "&amp;P109&amp;"po   Long: "&amp;Q109&amp;"pi","W: "&amp;P109&amp;"in   L: "&amp;Q109&amp;"ft")</f>
        <v>Larg: 13po   Long: 2500pi</v>
      </c>
      <c r="N109" s="43" t="n">
        <v>0</v>
      </c>
      <c r="O109" s="43" t="s">
        <v>554</v>
      </c>
      <c r="P109" s="72" t="n">
        <v>13</v>
      </c>
      <c r="Q109" s="73" t="n">
        <v>2500</v>
      </c>
      <c r="R109" s="83" t="n">
        <f aca="false">P109*12*Q109/1000</f>
        <v>390</v>
      </c>
      <c r="S109" s="88" t="str">
        <f aca="false">_xlfn.xlookup(E109,Clients!B:B,Clients!D:D,FALSE())</f>
        <v>F</v>
      </c>
      <c r="T109" s="84" t="n">
        <f aca="false">IF(O109="msi",P109*12*Q109/1000*N109,IF(O109="sqm",P109/1000*Q109,N109))</f>
        <v>0</v>
      </c>
      <c r="U109" s="61" t="str">
        <f aca="false">IF(F109="F","roul.","roll")</f>
        <v>roul.</v>
      </c>
      <c r="V109" s="61" t="str">
        <f aca="false">_xlfn.xlookup(E109,Clients!B:B,Clients!X:X,FALSE())</f>
        <v>CAD</v>
      </c>
      <c r="X109" s="89" t="n">
        <f aca="false">IF(V109=Z109,N109,N109*W109)</f>
        <v>0</v>
      </c>
      <c r="Y109" s="61" t="str">
        <f aca="false">O109</f>
        <v>msi</v>
      </c>
      <c r="Z109" s="61" t="str">
        <f aca="false">_xlfn.xlookup(E109,Clients!B:B,Clients!Y:Y,FALSE())</f>
        <v>CAD</v>
      </c>
      <c r="AA109" s="61" t="str">
        <f aca="false">_xlfn.xlookup(B109,Spec!A:A,Spec!K:K,FALSE())</f>
        <v>Canada</v>
      </c>
      <c r="AB109" s="61" t="n">
        <f aca="false">_xlfn.xlookup(B109,Spec!A:A,Spec!L:L,FALSE())</f>
        <v>4811.41</v>
      </c>
    </row>
    <row r="110" customFormat="false" ht="14.25" hidden="false" customHeight="false" outlineLevel="0" collapsed="false">
      <c r="A110" s="1" t="n">
        <v>40129</v>
      </c>
      <c r="B110" s="1" t="n">
        <v>20015</v>
      </c>
      <c r="C110" s="61" t="str">
        <f aca="false">_xlfn.xlookup(B110,Spec!A:A,Spec!C:C)</f>
        <v>Jinda</v>
      </c>
      <c r="D110" s="69" t="str">
        <f aca="false">_xlfn.xlookup(B110,Spec!A:A,Spec!D:D)</f>
        <v>0402105</v>
      </c>
      <c r="E110" s="15" t="s">
        <v>51</v>
      </c>
      <c r="F110" s="15" t="str">
        <f aca="false">_xlfn.xlookup(E110,Clients!B:B,Clients!D:D,FALSE())</f>
        <v>F</v>
      </c>
      <c r="G110" s="42"/>
      <c r="H110" s="15" t="s">
        <v>586</v>
      </c>
      <c r="I110" s="61" t="str">
        <f aca="false">_xlfn.xlookup(B110,Spec!A:A,Spec!B:B)</f>
        <v>S15-3</v>
      </c>
      <c r="J110" s="61" t="str">
        <f aca="false">_xlfn.xlookup(B110,Spec!A:A,Spec!J:J)</f>
        <v>SG - Acrylic Adhesive</v>
      </c>
      <c r="K110" s="61" t="str">
        <f aca="false">_xlfn.xlookup(B110,Spec!A:A,Spec!E:E)</f>
        <v>Self Adhesive Paper</v>
      </c>
      <c r="L110" s="61" t="str">
        <f aca="false">IF(F110="F","Larg: "&amp;P110&amp;"po   Long: "&amp;Q110&amp;"pi","W: "&amp;P110&amp;"in   L: "&amp;Q110&amp;"ft")</f>
        <v>Larg: 13po   Long: 2500pi</v>
      </c>
      <c r="N110" s="43" t="n">
        <v>0</v>
      </c>
      <c r="O110" s="43" t="s">
        <v>554</v>
      </c>
      <c r="P110" s="72" t="n">
        <v>13</v>
      </c>
      <c r="Q110" s="73" t="n">
        <v>2500</v>
      </c>
      <c r="R110" s="83" t="n">
        <f aca="false">P110*12*Q110/1000</f>
        <v>390</v>
      </c>
      <c r="S110" s="88" t="str">
        <f aca="false">_xlfn.xlookup(E110,Clients!B:B,Clients!D:D,FALSE())</f>
        <v>F</v>
      </c>
      <c r="T110" s="84" t="n">
        <f aca="false">IF(O110="msi",P110*12*Q110/1000*N110,IF(O110="sqm",P110/1000*Q110,N110))</f>
        <v>0</v>
      </c>
      <c r="U110" s="61" t="str">
        <f aca="false">IF(F110="F","roul.","roll")</f>
        <v>roul.</v>
      </c>
      <c r="V110" s="61" t="str">
        <f aca="false">_xlfn.xlookup(E110,Clients!B:B,Clients!X:X,FALSE())</f>
        <v>CAD</v>
      </c>
      <c r="X110" s="89" t="n">
        <f aca="false">IF(V110=Z110,N110,N110*W110)</f>
        <v>0</v>
      </c>
      <c r="Y110" s="61" t="str">
        <f aca="false">O110</f>
        <v>msi</v>
      </c>
      <c r="Z110" s="61" t="str">
        <f aca="false">_xlfn.xlookup(E110,Clients!B:B,Clients!Y:Y,FALSE())</f>
        <v>CAD</v>
      </c>
      <c r="AA110" s="61" t="str">
        <f aca="false">_xlfn.xlookup(B110,Spec!A:A,Spec!K:K,FALSE())</f>
        <v>Canada</v>
      </c>
      <c r="AB110" s="61" t="n">
        <f aca="false">_xlfn.xlookup(B110,Spec!A:A,Spec!L:L,FALSE())</f>
        <v>4811.41</v>
      </c>
    </row>
    <row r="111" customFormat="false" ht="14.25" hidden="false" customHeight="false" outlineLevel="0" collapsed="false">
      <c r="A111" s="1" t="n">
        <v>40130</v>
      </c>
      <c r="B111" s="1" t="n">
        <v>20016</v>
      </c>
      <c r="C111" s="61" t="str">
        <f aca="false">_xlfn.xlookup(B111,Spec!A:A,Spec!C:C)</f>
        <v>Jinda</v>
      </c>
      <c r="D111" s="69" t="str">
        <f aca="false">_xlfn.xlookup(B111,Spec!A:A,Spec!D:D)</f>
        <v>0488032</v>
      </c>
      <c r="E111" s="15" t="s">
        <v>51</v>
      </c>
      <c r="F111" s="15" t="str">
        <f aca="false">_xlfn.xlookup(E111,Clients!B:B,Clients!D:D,FALSE())</f>
        <v>F</v>
      </c>
      <c r="G111" s="42"/>
      <c r="H111" s="15" t="s">
        <v>608</v>
      </c>
      <c r="I111" s="61" t="str">
        <f aca="false">_xlfn.xlookup(B111,Spec!A:A,Spec!B:B)</f>
        <v>B15-3</v>
      </c>
      <c r="J111" s="61" t="str">
        <f aca="false">_xlfn.xlookup(B111,Spec!A:A,Spec!J:J)</f>
        <v>Clear BOPP - Acrylic Adhesive</v>
      </c>
      <c r="K111" s="61" t="str">
        <f aca="false">_xlfn.xlookup(B111,Spec!A:A,Spec!E:E)</f>
        <v>Self Adhesive Film</v>
      </c>
      <c r="L111" s="61" t="str">
        <f aca="false">IF(F111="F","Larg: "&amp;P111&amp;"po   Long: "&amp;Q111&amp;"pi","W: "&amp;P111&amp;"in   L: "&amp;Q111&amp;"ft")</f>
        <v>Larg: 13po   Long: 2500pi</v>
      </c>
      <c r="N111" s="43" t="n">
        <v>0</v>
      </c>
      <c r="O111" s="43" t="s">
        <v>554</v>
      </c>
      <c r="P111" s="72" t="n">
        <v>13</v>
      </c>
      <c r="Q111" s="73" t="n">
        <v>2500</v>
      </c>
      <c r="R111" s="83" t="n">
        <f aca="false">P111*12*Q111/1000</f>
        <v>390</v>
      </c>
      <c r="S111" s="88" t="str">
        <f aca="false">_xlfn.xlookup(E111,Clients!B:B,Clients!D:D,FALSE())</f>
        <v>F</v>
      </c>
      <c r="T111" s="84" t="n">
        <f aca="false">IF(O111="msi",P111*12*Q111/1000*N111,IF(O111="sqm",P111/1000*Q111,N111))</f>
        <v>0</v>
      </c>
      <c r="U111" s="61" t="str">
        <f aca="false">IF(F111="F","roul.","roll")</f>
        <v>roul.</v>
      </c>
      <c r="V111" s="61" t="str">
        <f aca="false">_xlfn.xlookup(E111,Clients!B:B,Clients!X:X,FALSE())</f>
        <v>CAD</v>
      </c>
      <c r="X111" s="89" t="n">
        <f aca="false">IF(V111=Z111,N111,N111*W111)</f>
        <v>0</v>
      </c>
      <c r="Y111" s="61" t="str">
        <f aca="false">O111</f>
        <v>msi</v>
      </c>
      <c r="Z111" s="61" t="str">
        <f aca="false">_xlfn.xlookup(E111,Clients!B:B,Clients!Y:Y,FALSE())</f>
        <v>CAD</v>
      </c>
      <c r="AA111" s="61" t="str">
        <f aca="false">_xlfn.xlookup(B111,Spec!A:A,Spec!K:K,FALSE())</f>
        <v>Canada</v>
      </c>
      <c r="AB111" s="61" t="str">
        <f aca="false">_xlfn.xlookup(B111,Spec!A:A,Spec!L:L,FALSE())</f>
        <v>3919.90</v>
      </c>
    </row>
    <row r="112" customFormat="false" ht="14.25" hidden="false" customHeight="false" outlineLevel="0" collapsed="false">
      <c r="A112" s="1" t="n">
        <v>40131</v>
      </c>
      <c r="B112" s="1" t="n">
        <v>20017</v>
      </c>
      <c r="C112" s="61" t="str">
        <f aca="false">_xlfn.xlookup(B112,Spec!A:A,Spec!C:C)</f>
        <v>Jinda</v>
      </c>
      <c r="D112" s="69" t="str">
        <f aca="false">_xlfn.xlookup(B112,Spec!A:A,Spec!D:D)</f>
        <v>0488056</v>
      </c>
      <c r="E112" s="15" t="s">
        <v>51</v>
      </c>
      <c r="F112" s="15" t="str">
        <f aca="false">_xlfn.xlookup(E112,Clients!B:B,Clients!D:D,FALSE())</f>
        <v>F</v>
      </c>
      <c r="G112" s="42"/>
      <c r="H112" s="15" t="s">
        <v>593</v>
      </c>
      <c r="I112" s="61" t="str">
        <f aca="false">_xlfn.xlookup(B112,Spec!A:A,Spec!B:B)</f>
        <v>B25-3</v>
      </c>
      <c r="J112" s="61" t="str">
        <f aca="false">_xlfn.xlookup(B112,Spec!A:A,Spec!J:J)</f>
        <v>White BOPP - Acrylic Adhesive</v>
      </c>
      <c r="K112" s="61" t="str">
        <f aca="false">_xlfn.xlookup(B112,Spec!A:A,Spec!E:E)</f>
        <v>Self Adhesive Film</v>
      </c>
      <c r="L112" s="61" t="str">
        <f aca="false">IF(F112="F","Larg: "&amp;P112&amp;"po   Long: "&amp;Q112&amp;"pi","W: "&amp;P112&amp;"in   L: "&amp;Q112&amp;"ft")</f>
        <v>Larg: 13po   Long: 2500pi</v>
      </c>
      <c r="N112" s="43" t="n">
        <v>0</v>
      </c>
      <c r="O112" s="43" t="s">
        <v>554</v>
      </c>
      <c r="P112" s="72" t="n">
        <v>13</v>
      </c>
      <c r="Q112" s="73" t="n">
        <v>2500</v>
      </c>
      <c r="R112" s="83" t="n">
        <f aca="false">P112*12*Q112/1000</f>
        <v>390</v>
      </c>
      <c r="S112" s="88" t="str">
        <f aca="false">_xlfn.xlookup(E112,Clients!B:B,Clients!D:D,FALSE())</f>
        <v>F</v>
      </c>
      <c r="T112" s="84" t="n">
        <f aca="false">IF(O112="msi",P112*12*Q112/1000*N112,IF(O112="sqm",P112/1000*Q112,N112))</f>
        <v>0</v>
      </c>
      <c r="U112" s="61" t="str">
        <f aca="false">IF(F112="F","roul.","roll")</f>
        <v>roul.</v>
      </c>
      <c r="V112" s="61" t="str">
        <f aca="false">_xlfn.xlookup(E112,Clients!B:B,Clients!X:X,FALSE())</f>
        <v>CAD</v>
      </c>
      <c r="X112" s="89" t="n">
        <f aca="false">IF(V112=Z112,N112,N112*W112)</f>
        <v>0</v>
      </c>
      <c r="Y112" s="61" t="str">
        <f aca="false">O112</f>
        <v>msi</v>
      </c>
      <c r="Z112" s="61" t="str">
        <f aca="false">_xlfn.xlookup(E112,Clients!B:B,Clients!Y:Y,FALSE())</f>
        <v>CAD</v>
      </c>
      <c r="AA112" s="61" t="str">
        <f aca="false">_xlfn.xlookup(B112,Spec!A:A,Spec!K:K,FALSE())</f>
        <v>Canada</v>
      </c>
      <c r="AB112" s="61" t="str">
        <f aca="false">_xlfn.xlookup(B112,Spec!A:A,Spec!L:L,FALSE())</f>
        <v>3919.90</v>
      </c>
    </row>
    <row r="113" customFormat="false" ht="14.25" hidden="false" customHeight="false" outlineLevel="0" collapsed="false">
      <c r="A113" s="1" t="n">
        <v>40132</v>
      </c>
      <c r="B113" s="1" t="n">
        <v>20003</v>
      </c>
      <c r="C113" s="61" t="str">
        <f aca="false">_xlfn.xlookup(B113,Spec!A:A,Spec!C:C)</f>
        <v>AKO</v>
      </c>
      <c r="D113" s="69" t="str">
        <f aca="false">_xlfn.xlookup(B113,Spec!A:A,Spec!D:D)</f>
        <v>AT1003</v>
      </c>
      <c r="E113" s="15" t="s">
        <v>243</v>
      </c>
      <c r="F113" s="15" t="str">
        <f aca="false">_xlfn.xlookup(E113,Clients!B:B,Clients!D:D,FALSE())</f>
        <v>A</v>
      </c>
      <c r="G113" s="42"/>
      <c r="H113" s="15" t="s">
        <v>660</v>
      </c>
      <c r="I113" s="61" t="str">
        <f aca="false">_xlfn.xlookup(B113,Spec!A:A,Spec!B:B)</f>
        <v>T11-1</v>
      </c>
      <c r="J113" s="61" t="str">
        <f aca="false">_xlfn.xlookup(B113,Spec!A:A,Spec!J:J)</f>
        <v>TT - HM Adhesive</v>
      </c>
      <c r="K113" s="61" t="str">
        <f aca="false">_xlfn.xlookup(B113,Spec!A:A,Spec!E:E)</f>
        <v>Self Adhesive Paper</v>
      </c>
      <c r="L113" s="61" t="str">
        <f aca="false">IF(F113="F","Larg: "&amp;P113&amp;"po   Long: "&amp;Q113&amp;"pi","W: "&amp;P113&amp;"in   L: "&amp;Q113&amp;"ft")</f>
        <v>W: 13in   L: 5000ft</v>
      </c>
      <c r="N113" s="43" t="n">
        <v>0.025</v>
      </c>
      <c r="O113" s="43" t="s">
        <v>554</v>
      </c>
      <c r="P113" s="72" t="n">
        <v>13</v>
      </c>
      <c r="Q113" s="73" t="n">
        <v>5000</v>
      </c>
      <c r="R113" s="83" t="n">
        <f aca="false">P113*12*Q113/1000</f>
        <v>780</v>
      </c>
      <c r="S113" s="88" t="str">
        <f aca="false">_xlfn.xlookup(E113,Clients!B:B,Clients!D:D,FALSE())</f>
        <v>A</v>
      </c>
      <c r="T113" s="84" t="n">
        <f aca="false">IF(O113="msi",P113*12*Q113/1000*N113,IF(O113="sqm",P113/1000*Q113,N113))</f>
        <v>19.5</v>
      </c>
      <c r="U113" s="61" t="str">
        <f aca="false">IF(F113="F","roul.","roll")</f>
        <v>roll</v>
      </c>
      <c r="V113" s="61" t="str">
        <f aca="false">_xlfn.xlookup(E113,Clients!B:B,Clients!X:X,FALSE())</f>
        <v>USD</v>
      </c>
      <c r="X113" s="89" t="n">
        <f aca="false">IF(V113=Z113,N113,N113*W113)</f>
        <v>0.025</v>
      </c>
      <c r="Y113" s="61" t="str">
        <f aca="false">O113</f>
        <v>msi</v>
      </c>
      <c r="Z113" s="61" t="str">
        <f aca="false">_xlfn.xlookup(E113,Clients!B:B,Clients!Y:Y,FALSE())</f>
        <v>USD</v>
      </c>
      <c r="AA113" s="61" t="str">
        <f aca="false">_xlfn.xlookup(B113,Spec!A:A,Spec!K:K,FALSE())</f>
        <v>Canada</v>
      </c>
      <c r="AB113" s="61" t="n">
        <f aca="false">_xlfn.xlookup(B113,Spec!A:A,Spec!L:L,FALSE())</f>
        <v>4811.41</v>
      </c>
    </row>
    <row r="114" customFormat="false" ht="14.25" hidden="false" customHeight="false" outlineLevel="0" collapsed="false">
      <c r="A114" s="1" t="n">
        <v>40133</v>
      </c>
      <c r="B114" s="1" t="n">
        <v>20003</v>
      </c>
      <c r="C114" s="61" t="str">
        <f aca="false">_xlfn.xlookup(B114,Spec!A:A,Spec!C:C)</f>
        <v>AKO</v>
      </c>
      <c r="D114" s="69" t="str">
        <f aca="false">_xlfn.xlookup(B114,Spec!A:A,Spec!D:D)</f>
        <v>AT1003</v>
      </c>
      <c r="E114" s="15" t="s">
        <v>243</v>
      </c>
      <c r="F114" s="15" t="str">
        <f aca="false">_xlfn.xlookup(E114,Clients!B:B,Clients!D:D,FALSE())</f>
        <v>A</v>
      </c>
      <c r="G114" s="42"/>
      <c r="H114" s="15" t="s">
        <v>660</v>
      </c>
      <c r="I114" s="61" t="str">
        <f aca="false">_xlfn.xlookup(B114,Spec!A:A,Spec!B:B)</f>
        <v>T11-1</v>
      </c>
      <c r="J114" s="61" t="str">
        <f aca="false">_xlfn.xlookup(B114,Spec!A:A,Spec!J:J)</f>
        <v>TT - HM Adhesive</v>
      </c>
      <c r="K114" s="61" t="str">
        <f aca="false">_xlfn.xlookup(B114,Spec!A:A,Spec!E:E)</f>
        <v>Self Adhesive Paper</v>
      </c>
      <c r="L114" s="61" t="str">
        <f aca="false">IF(F114="F","Larg: "&amp;P114&amp;"po   Long: "&amp;Q114&amp;"pi","W: "&amp;P114&amp;"in   L: "&amp;Q114&amp;"ft")</f>
        <v>W: 17.5in   L: 5000ft</v>
      </c>
      <c r="N114" s="43" t="n">
        <v>0.025</v>
      </c>
      <c r="O114" s="43" t="s">
        <v>554</v>
      </c>
      <c r="P114" s="72" t="n">
        <v>17.5</v>
      </c>
      <c r="Q114" s="73" t="n">
        <v>5000</v>
      </c>
      <c r="R114" s="83" t="n">
        <f aca="false">P114*12*Q114/1000</f>
        <v>1050</v>
      </c>
      <c r="S114" s="88" t="str">
        <f aca="false">_xlfn.xlookup(E114,Clients!B:B,Clients!D:D,FALSE())</f>
        <v>A</v>
      </c>
      <c r="T114" s="84" t="n">
        <f aca="false">IF(O114="msi",P114*12*Q114/1000*N114,IF(O114="sqm",P114/1000*Q114,N114))</f>
        <v>26.25</v>
      </c>
      <c r="U114" s="61" t="str">
        <f aca="false">IF(F114="F","roul.","roll")</f>
        <v>roll</v>
      </c>
      <c r="V114" s="61" t="str">
        <f aca="false">_xlfn.xlookup(E114,Clients!B:B,Clients!X:X,FALSE())</f>
        <v>USD</v>
      </c>
      <c r="X114" s="89" t="n">
        <f aca="false">IF(V114=Z114,N114,N114*W114)</f>
        <v>0.025</v>
      </c>
      <c r="Y114" s="61" t="str">
        <f aca="false">O114</f>
        <v>msi</v>
      </c>
      <c r="Z114" s="61" t="str">
        <f aca="false">_xlfn.xlookup(E114,Clients!B:B,Clients!Y:Y,FALSE())</f>
        <v>USD</v>
      </c>
      <c r="AA114" s="61" t="str">
        <f aca="false">_xlfn.xlookup(B114,Spec!A:A,Spec!K:K,FALSE())</f>
        <v>Canada</v>
      </c>
      <c r="AB114" s="61" t="n">
        <f aca="false">_xlfn.xlookup(B114,Spec!A:A,Spec!L:L,FALSE())</f>
        <v>4811.41</v>
      </c>
    </row>
    <row r="115" customFormat="false" ht="14.25" hidden="false" customHeight="false" outlineLevel="0" collapsed="false">
      <c r="A115" s="1" t="n">
        <v>40134</v>
      </c>
      <c r="B115" s="1" t="n">
        <v>20013</v>
      </c>
      <c r="C115" s="61" t="str">
        <f aca="false">_xlfn.xlookup(B115,Spec!A:A,Spec!C:C)</f>
        <v>AKO</v>
      </c>
      <c r="D115" s="69" t="str">
        <f aca="false">_xlfn.xlookup(B115,Spec!A:A,Spec!D:D)</f>
        <v>Hansol TC CL74</v>
      </c>
      <c r="E115" s="15" t="s">
        <v>243</v>
      </c>
      <c r="F115" s="15" t="str">
        <f aca="false">_xlfn.xlookup(E115,Clients!B:B,Clients!D:D,FALSE())</f>
        <v>A</v>
      </c>
      <c r="G115" s="42"/>
      <c r="H115" s="15" t="s">
        <v>669</v>
      </c>
      <c r="I115" s="61" t="str">
        <f aca="false">_xlfn.xlookup(B115,Spec!A:A,Spec!B:B)</f>
        <v>D11-1</v>
      </c>
      <c r="J115" s="61" t="str">
        <f aca="false">_xlfn.xlookup(B115,Spec!A:A,Spec!J:J)</f>
        <v>TC DT - Hotmelt Adhesive</v>
      </c>
      <c r="K115" s="61" t="str">
        <f aca="false">_xlfn.xlookup(B115,Spec!A:A,Spec!E:E)</f>
        <v>Self Adhesive Paper</v>
      </c>
      <c r="L115" s="61" t="str">
        <f aca="false">IF(F115="F","Larg: "&amp;P115&amp;"po   Long: "&amp;Q115&amp;"pi","W: "&amp;P115&amp;"in   L: "&amp;Q115&amp;"ft")</f>
        <v>W: 13in   L: 5000ft</v>
      </c>
      <c r="N115" s="43" t="n">
        <v>0.025</v>
      </c>
      <c r="O115" s="43" t="s">
        <v>554</v>
      </c>
      <c r="P115" s="72" t="n">
        <v>13</v>
      </c>
      <c r="Q115" s="73" t="n">
        <v>5000</v>
      </c>
      <c r="R115" s="83" t="n">
        <f aca="false">P115*12*Q115/1000</f>
        <v>780</v>
      </c>
      <c r="S115" s="88" t="str">
        <f aca="false">_xlfn.xlookup(E115,Clients!B:B,Clients!D:D,FALSE())</f>
        <v>A</v>
      </c>
      <c r="T115" s="84" t="n">
        <f aca="false">IF(O115="msi",P115*12*Q115/1000*N115,IF(O115="sqm",P115/1000*Q115,N115))</f>
        <v>19.5</v>
      </c>
      <c r="U115" s="61" t="str">
        <f aca="false">IF(F115="F","roul.","roll")</f>
        <v>roll</v>
      </c>
      <c r="V115" s="61" t="str">
        <f aca="false">_xlfn.xlookup(E115,Clients!B:B,Clients!X:X,FALSE())</f>
        <v>USD</v>
      </c>
      <c r="X115" s="89" t="n">
        <f aca="false">IF(V115=Z115,N115,N115*W115)</f>
        <v>0.025</v>
      </c>
      <c r="Y115" s="61" t="str">
        <f aca="false">O115</f>
        <v>msi</v>
      </c>
      <c r="Z115" s="61" t="str">
        <f aca="false">_xlfn.xlookup(E115,Clients!B:B,Clients!Y:Y,FALSE())</f>
        <v>USD</v>
      </c>
      <c r="AA115" s="61" t="str">
        <f aca="false">_xlfn.xlookup(B115,Spec!A:A,Spec!K:K,FALSE())</f>
        <v>Canada</v>
      </c>
      <c r="AB115" s="61" t="n">
        <f aca="false">_xlfn.xlookup(B115,Spec!A:A,Spec!L:L,FALSE())</f>
        <v>4811.41</v>
      </c>
    </row>
    <row r="116" customFormat="false" ht="14.25" hidden="false" customHeight="false" outlineLevel="0" collapsed="false">
      <c r="A116" s="1" t="n">
        <v>40135</v>
      </c>
      <c r="B116" s="1" t="n">
        <v>20013</v>
      </c>
      <c r="C116" s="61" t="str">
        <f aca="false">_xlfn.xlookup(B116,Spec!A:A,Spec!C:C)</f>
        <v>AKO</v>
      </c>
      <c r="D116" s="69" t="str">
        <f aca="false">_xlfn.xlookup(B116,Spec!A:A,Spec!D:D)</f>
        <v>Hansol TC CL74</v>
      </c>
      <c r="E116" s="15" t="s">
        <v>243</v>
      </c>
      <c r="F116" s="15" t="str">
        <f aca="false">_xlfn.xlookup(E116,Clients!B:B,Clients!D:D,FALSE())</f>
        <v>A</v>
      </c>
      <c r="G116" s="42"/>
      <c r="H116" s="15" t="s">
        <v>669</v>
      </c>
      <c r="I116" s="61" t="str">
        <f aca="false">_xlfn.xlookup(B116,Spec!A:A,Spec!B:B)</f>
        <v>D11-1</v>
      </c>
      <c r="J116" s="61" t="str">
        <f aca="false">_xlfn.xlookup(B116,Spec!A:A,Spec!J:J)</f>
        <v>TC DT - Hotmelt Adhesive</v>
      </c>
      <c r="K116" s="61" t="str">
        <f aca="false">_xlfn.xlookup(B116,Spec!A:A,Spec!E:E)</f>
        <v>Self Adhesive Paper</v>
      </c>
      <c r="L116" s="61" t="str">
        <f aca="false">IF(F116="F","Larg: "&amp;P116&amp;"po   Long: "&amp;Q116&amp;"pi","W: "&amp;P116&amp;"in   L: "&amp;Q116&amp;"ft")</f>
        <v>W: 21in   L: 5000ft</v>
      </c>
      <c r="N116" s="43" t="n">
        <v>0.025</v>
      </c>
      <c r="O116" s="43" t="s">
        <v>554</v>
      </c>
      <c r="P116" s="72" t="n">
        <v>21</v>
      </c>
      <c r="Q116" s="73" t="n">
        <v>5000</v>
      </c>
      <c r="R116" s="83" t="n">
        <f aca="false">P116*12*Q116/1000</f>
        <v>1260</v>
      </c>
      <c r="S116" s="88" t="str">
        <f aca="false">_xlfn.xlookup(E116,Clients!B:B,Clients!D:D,FALSE())</f>
        <v>A</v>
      </c>
      <c r="T116" s="84" t="n">
        <f aca="false">IF(O116="msi",P116*12*Q116/1000*N116,IF(O116="sqm",P116/1000*Q116,N116))</f>
        <v>31.5</v>
      </c>
      <c r="U116" s="61" t="str">
        <f aca="false">IF(F116="F","roul.","roll")</f>
        <v>roll</v>
      </c>
      <c r="V116" s="61" t="str">
        <f aca="false">_xlfn.xlookup(E116,Clients!B:B,Clients!X:X,FALSE())</f>
        <v>USD</v>
      </c>
      <c r="X116" s="89" t="n">
        <f aca="false">IF(V116=Z116,N116,N116*W116)</f>
        <v>0.025</v>
      </c>
      <c r="Y116" s="61" t="str">
        <f aca="false">O116</f>
        <v>msi</v>
      </c>
      <c r="Z116" s="61" t="str">
        <f aca="false">_xlfn.xlookup(E116,Clients!B:B,Clients!Y:Y,FALSE())</f>
        <v>USD</v>
      </c>
      <c r="AA116" s="61" t="str">
        <f aca="false">_xlfn.xlookup(B116,Spec!A:A,Spec!K:K,FALSE())</f>
        <v>Canada</v>
      </c>
      <c r="AB116" s="61" t="n">
        <f aca="false">_xlfn.xlookup(B116,Spec!A:A,Spec!L:L,FALSE())</f>
        <v>4811.41</v>
      </c>
    </row>
    <row r="117" customFormat="false" ht="14.25" hidden="false" customHeight="false" outlineLevel="0" collapsed="false">
      <c r="A117" s="1" t="n">
        <v>40136</v>
      </c>
      <c r="B117" s="1" t="n">
        <v>20035</v>
      </c>
      <c r="C117" s="61" t="str">
        <f aca="false">_xlfn.xlookup(B117,Spec!A:A,Spec!C:C)</f>
        <v>Etsuhiro</v>
      </c>
      <c r="D117" s="69" t="str">
        <f aca="false">_xlfn.xlookup(B117,Spec!A:A,Spec!D:D)</f>
        <v>ED3049</v>
      </c>
      <c r="E117" s="15" t="s">
        <v>134</v>
      </c>
      <c r="F117" s="15" t="str">
        <f aca="false">_xlfn.xlookup(E117,Clients!B:B,Clients!D:D,FALSE())</f>
        <v>F</v>
      </c>
      <c r="G117" s="42"/>
      <c r="H117" s="15" t="s">
        <v>671</v>
      </c>
      <c r="I117" s="61" t="str">
        <f aca="false">_xlfn.xlookup(B117,Spec!A:A,Spec!B:B)</f>
        <v>D1001</v>
      </c>
      <c r="J117" s="61" t="str">
        <f aca="false">_xlfn.xlookup(B117,Spec!A:A,Spec!J:J)</f>
        <v>1000 /roll ; 4 roll / box</v>
      </c>
      <c r="K117" s="61" t="str">
        <f aca="false">_xlfn.xlookup(B117,Spec!A:A,Spec!E:E)</f>
        <v>Self adhesive</v>
      </c>
      <c r="L117" s="61" t="s">
        <v>672</v>
      </c>
      <c r="N117" s="43" t="n">
        <v>12.33</v>
      </c>
      <c r="O117" s="43" t="s">
        <v>551</v>
      </c>
      <c r="P117" s="72" t="n">
        <v>4</v>
      </c>
      <c r="Q117" s="73" t="n">
        <v>6</v>
      </c>
      <c r="R117" s="83" t="n">
        <f aca="false">P117*12*Q117/1000</f>
        <v>0.288</v>
      </c>
      <c r="S117" s="88" t="str">
        <f aca="false">_xlfn.xlookup(E117,Clients!B:B,Clients!D:D,FALSE())</f>
        <v>F</v>
      </c>
      <c r="T117" s="84"/>
      <c r="U117" s="61"/>
      <c r="V117" s="61" t="str">
        <f aca="false">_xlfn.xlookup(E117,Clients!B:B,Clients!X:X,FALSE())</f>
        <v>CAD</v>
      </c>
      <c r="X117" s="89" t="n">
        <f aca="false">IF(V117=Z117,N117,N117*W117)</f>
        <v>12.33</v>
      </c>
      <c r="Y117" s="61" t="str">
        <f aca="false">O117</f>
        <v>roul.</v>
      </c>
      <c r="Z117" s="61" t="str">
        <f aca="false">_xlfn.xlookup(E117,Clients!B:B,Clients!Y:Y,FALSE())</f>
        <v>CAD</v>
      </c>
      <c r="AA117" s="61" t="n">
        <f aca="false">_xlfn.xlookup(B117,Spec!A:A,Spec!K:K,FALSE())</f>
        <v>0</v>
      </c>
      <c r="AB117" s="61" t="n">
        <f aca="false">_xlfn.xlookup(B117,Spec!A:A,Spec!L:L,FALSE())</f>
        <v>0</v>
      </c>
    </row>
    <row r="118" customFormat="false" ht="14.25" hidden="false" customHeight="false" outlineLevel="0" collapsed="false">
      <c r="A118" s="1" t="n">
        <v>40137</v>
      </c>
      <c r="B118" s="1" t="n">
        <v>20003</v>
      </c>
      <c r="C118" s="61" t="str">
        <f aca="false">_xlfn.xlookup(B118,Spec!A:A,Spec!C:C)</f>
        <v>AKO</v>
      </c>
      <c r="D118" s="69" t="str">
        <f aca="false">_xlfn.xlookup(B118,Spec!A:A,Spec!D:D)</f>
        <v>AT1003</v>
      </c>
      <c r="E118" s="15" t="s">
        <v>134</v>
      </c>
      <c r="F118" s="15" t="str">
        <f aca="false">_xlfn.xlookup(E118,Clients!B:B,Clients!D:D,FALSE())</f>
        <v>F</v>
      </c>
      <c r="G118" s="42"/>
      <c r="H118" s="15" t="s">
        <v>660</v>
      </c>
      <c r="I118" s="61" t="str">
        <f aca="false">_xlfn.xlookup(B118,Spec!A:A,Spec!B:B)</f>
        <v>T11-1</v>
      </c>
      <c r="J118" s="61" t="str">
        <f aca="false">_xlfn.xlookup(B118,Spec!A:A,Spec!J:J)</f>
        <v>TT - HM Adhesive</v>
      </c>
      <c r="K118" s="61" t="str">
        <f aca="false">_xlfn.xlookup(B118,Spec!A:A,Spec!E:E)</f>
        <v>Self Adhesive Paper</v>
      </c>
      <c r="L118" s="61" t="str">
        <f aca="false">IF(F118="F","Larg: "&amp;P118&amp;"po   Long: "&amp;Q118&amp;"pi","W: "&amp;P118&amp;"in   L: "&amp;Q118&amp;"ft")</f>
        <v>Larg: 12.875po   Long: 10000pi</v>
      </c>
      <c r="N118" s="43" t="n">
        <v>0.438</v>
      </c>
      <c r="O118" s="43" t="s">
        <v>554</v>
      </c>
      <c r="P118" s="72" t="n">
        <v>12.875</v>
      </c>
      <c r="Q118" s="73" t="n">
        <v>10000</v>
      </c>
      <c r="R118" s="83" t="n">
        <f aca="false">P118*12*Q118/1000</f>
        <v>1545</v>
      </c>
      <c r="S118" s="88" t="str">
        <f aca="false">_xlfn.xlookup(E118,Clients!B:B,Clients!D:D,FALSE())</f>
        <v>F</v>
      </c>
      <c r="T118" s="84" t="n">
        <f aca="false">IF(O118="msi",P118*12*Q118/1000*N118,IF(O118="sqm",P118/1000*Q118,N118))</f>
        <v>676.71</v>
      </c>
      <c r="U118" s="61" t="str">
        <f aca="false">IF(F118="F","roul.","roll")</f>
        <v>roul.</v>
      </c>
      <c r="V118" s="61" t="str">
        <f aca="false">_xlfn.xlookup(E118,Clients!B:B,Clients!X:X,FALSE())</f>
        <v>CAD</v>
      </c>
      <c r="X118" s="89" t="n">
        <f aca="false">IF(V118=Z118,N118,N118*W118)</f>
        <v>0.438</v>
      </c>
      <c r="Y118" s="61" t="str">
        <f aca="false">O118</f>
        <v>msi</v>
      </c>
      <c r="Z118" s="61" t="str">
        <f aca="false">_xlfn.xlookup(E118,Clients!B:B,Clients!Y:Y,FALSE())</f>
        <v>CAD</v>
      </c>
      <c r="AA118" s="61" t="str">
        <f aca="false">_xlfn.xlookup(B118,Spec!A:A,Spec!K:K,FALSE())</f>
        <v>Canada</v>
      </c>
      <c r="AB118" s="61" t="n">
        <f aca="false">_xlfn.xlookup(B118,Spec!A:A,Spec!L:L,FALSE())</f>
        <v>4811.41</v>
      </c>
    </row>
    <row r="119" customFormat="false" ht="14.25" hidden="false" customHeight="false" outlineLevel="0" collapsed="false">
      <c r="A119" s="1" t="n">
        <v>40138</v>
      </c>
      <c r="B119" s="1" t="n">
        <v>20012</v>
      </c>
      <c r="C119" s="61" t="str">
        <f aca="false">_xlfn.xlookup(B119,Spec!A:A,Spec!C:C)</f>
        <v>AKO</v>
      </c>
      <c r="D119" s="69" t="str">
        <f aca="false">_xlfn.xlookup(B119,Spec!A:A,Spec!D:D)</f>
        <v>AR316 (AH2002)</v>
      </c>
      <c r="E119" s="15" t="s">
        <v>243</v>
      </c>
      <c r="F119" s="15" t="str">
        <f aca="false">_xlfn.xlookup(E119,Clients!B:B,Clients!D:D,FALSE())</f>
        <v>A</v>
      </c>
      <c r="G119" s="42"/>
      <c r="H119" s="15" t="s">
        <v>589</v>
      </c>
      <c r="I119" s="61" t="str">
        <f aca="false">_xlfn.xlookup(B119,Spec!A:A,Spec!B:B)</f>
        <v>D21-1</v>
      </c>
      <c r="J119" s="61" t="str">
        <f aca="false">_xlfn.xlookup(B119,Spec!A:A,Spec!J:J)</f>
        <v>TC DT - Hotmelt Adhesive</v>
      </c>
      <c r="K119" s="61" t="str">
        <f aca="false">_xlfn.xlookup(B119,Spec!A:A,Spec!E:E)</f>
        <v>Self Adhesive Paper</v>
      </c>
      <c r="L119" s="61" t="str">
        <f aca="false">IF(F119="F","Larg: "&amp;P119&amp;"po   Long: "&amp;Q119&amp;"pi","W: "&amp;P119&amp;"in   L: "&amp;Q119&amp;"ft")</f>
        <v>W: 13in   L: 5000ft</v>
      </c>
      <c r="N119" s="43" t="n">
        <v>0.025</v>
      </c>
      <c r="O119" s="43" t="s">
        <v>554</v>
      </c>
      <c r="P119" s="72" t="n">
        <v>13</v>
      </c>
      <c r="Q119" s="73" t="n">
        <v>5000</v>
      </c>
      <c r="R119" s="83" t="n">
        <f aca="false">P119*12*Q119/1000</f>
        <v>780</v>
      </c>
      <c r="S119" s="88" t="str">
        <f aca="false">_xlfn.xlookup(E119,Clients!B:B,Clients!D:D,FALSE())</f>
        <v>A</v>
      </c>
      <c r="T119" s="84" t="n">
        <f aca="false">IF(O119="msi",P119*12*Q119/1000*N119,IF(O119="sqm",P119/1000*Q119,N119))</f>
        <v>19.5</v>
      </c>
      <c r="U119" s="61" t="str">
        <f aca="false">IF(F119="F","roul.","roll")</f>
        <v>roll</v>
      </c>
      <c r="V119" s="61" t="str">
        <f aca="false">_xlfn.xlookup(E119,Clients!B:B,Clients!X:X,FALSE())</f>
        <v>USD</v>
      </c>
      <c r="X119" s="89" t="n">
        <f aca="false">IF(V119=Z119,N119,N119*W119)</f>
        <v>0.025</v>
      </c>
      <c r="Y119" s="61" t="str">
        <f aca="false">O119</f>
        <v>msi</v>
      </c>
      <c r="Z119" s="61" t="str">
        <f aca="false">_xlfn.xlookup(E119,Clients!B:B,Clients!Y:Y,FALSE())</f>
        <v>USD</v>
      </c>
      <c r="AA119" s="61" t="str">
        <f aca="false">_xlfn.xlookup(B119,Spec!A:A,Spec!K:K,FALSE())</f>
        <v>Canada</v>
      </c>
      <c r="AB119" s="61" t="n">
        <f aca="false">_xlfn.xlookup(B119,Spec!A:A,Spec!L:L,FALSE())</f>
        <v>4811.41</v>
      </c>
    </row>
    <row r="120" customFormat="false" ht="14.25" hidden="false" customHeight="false" outlineLevel="0" collapsed="false">
      <c r="A120" s="1" t="n">
        <v>40139</v>
      </c>
      <c r="B120" s="1" t="n">
        <v>20012</v>
      </c>
      <c r="C120" s="61" t="str">
        <f aca="false">_xlfn.xlookup(B120,Spec!A:A,Spec!C:C)</f>
        <v>AKO</v>
      </c>
      <c r="D120" s="69" t="str">
        <f aca="false">_xlfn.xlookup(B120,Spec!A:A,Spec!D:D)</f>
        <v>AR316 (AH2002)</v>
      </c>
      <c r="E120" s="15" t="s">
        <v>243</v>
      </c>
      <c r="F120" s="15" t="str">
        <f aca="false">_xlfn.xlookup(E120,Clients!B:B,Clients!D:D,FALSE())</f>
        <v>A</v>
      </c>
      <c r="G120" s="42"/>
      <c r="H120" s="15" t="s">
        <v>589</v>
      </c>
      <c r="I120" s="61" t="str">
        <f aca="false">_xlfn.xlookup(B120,Spec!A:A,Spec!B:B)</f>
        <v>D21-1</v>
      </c>
      <c r="J120" s="61" t="str">
        <f aca="false">_xlfn.xlookup(B120,Spec!A:A,Spec!J:J)</f>
        <v>TC DT - Hotmelt Adhesive</v>
      </c>
      <c r="K120" s="61" t="str">
        <f aca="false">_xlfn.xlookup(B120,Spec!A:A,Spec!E:E)</f>
        <v>Self Adhesive Paper</v>
      </c>
      <c r="L120" s="61" t="str">
        <f aca="false">IF(F120="F","Larg: "&amp;P120&amp;"po   Long: "&amp;Q120&amp;"pi","W: "&amp;P120&amp;"in   L: "&amp;Q120&amp;"ft")</f>
        <v>W: 17.5in   L: 5000ft</v>
      </c>
      <c r="N120" s="43" t="n">
        <v>0.025</v>
      </c>
      <c r="O120" s="43" t="s">
        <v>554</v>
      </c>
      <c r="P120" s="72" t="n">
        <v>17.5</v>
      </c>
      <c r="Q120" s="73" t="n">
        <v>5000</v>
      </c>
      <c r="R120" s="83" t="n">
        <f aca="false">P120*12*Q120/1000</f>
        <v>1050</v>
      </c>
      <c r="S120" s="88" t="str">
        <f aca="false">_xlfn.xlookup(E120,Clients!B:B,Clients!D:D,FALSE())</f>
        <v>A</v>
      </c>
      <c r="T120" s="84" t="n">
        <f aca="false">IF(O120="msi",P120*12*Q120/1000*N120,IF(O120="sqm",P120/1000*Q120,N120))</f>
        <v>26.25</v>
      </c>
      <c r="U120" s="61" t="str">
        <f aca="false">IF(F120="F","roul.","roll")</f>
        <v>roll</v>
      </c>
      <c r="V120" s="61" t="str">
        <f aca="false">_xlfn.xlookup(E120,Clients!B:B,Clients!X:X,FALSE())</f>
        <v>USD</v>
      </c>
      <c r="X120" s="89" t="n">
        <f aca="false">IF(V120=Z120,N120,N120*W120)</f>
        <v>0.025</v>
      </c>
      <c r="Y120" s="61" t="str">
        <f aca="false">O120</f>
        <v>msi</v>
      </c>
      <c r="Z120" s="61" t="str">
        <f aca="false">_xlfn.xlookup(E120,Clients!B:B,Clients!Y:Y,FALSE())</f>
        <v>USD</v>
      </c>
      <c r="AA120" s="61" t="str">
        <f aca="false">_xlfn.xlookup(B120,Spec!A:A,Spec!K:K,FALSE())</f>
        <v>Canada</v>
      </c>
      <c r="AB120" s="61" t="n">
        <f aca="false">_xlfn.xlookup(B120,Spec!A:A,Spec!L:L,FALSE())</f>
        <v>4811.41</v>
      </c>
    </row>
    <row r="121" customFormat="false" ht="14.25" hidden="false" customHeight="false" outlineLevel="0" collapsed="false">
      <c r="A121" s="1" t="n">
        <v>40140</v>
      </c>
      <c r="B121" s="1" t="n">
        <v>20011</v>
      </c>
      <c r="C121" s="61" t="str">
        <f aca="false">_xlfn.xlookup(B121,Spec!A:A,Spec!C:C)</f>
        <v>AKO</v>
      </c>
      <c r="D121" s="69" t="str">
        <f aca="false">_xlfn.xlookup(B121,Spec!A:A,Spec!D:D)</f>
        <v>AP1019</v>
      </c>
      <c r="E121" s="15" t="s">
        <v>243</v>
      </c>
      <c r="F121" s="15" t="str">
        <f aca="false">_xlfn.xlookup(E121,Clients!B:B,Clients!D:D,FALSE())</f>
        <v>A</v>
      </c>
      <c r="G121" s="42"/>
      <c r="H121" s="15" t="s">
        <v>602</v>
      </c>
      <c r="I121" s="61" t="str">
        <f aca="false">_xlfn.xlookup(B121,Spec!A:A,Spec!B:B)</f>
        <v>S21-1</v>
      </c>
      <c r="J121" s="61" t="str">
        <f aca="false">_xlfn.xlookup(B121,Spec!A:A,Spec!J:J)</f>
        <v>SG - Hotmelt Adhesive</v>
      </c>
      <c r="K121" s="61" t="str">
        <f aca="false">_xlfn.xlookup(B121,Spec!A:A,Spec!E:E)</f>
        <v>Self Adhesive Paper</v>
      </c>
      <c r="L121" s="61" t="str">
        <f aca="false">IF(F121="F","Larg: "&amp;P121&amp;"po   Long: "&amp;Q121&amp;"pi","W: "&amp;P121&amp;"in   L: "&amp;Q121&amp;"ft")</f>
        <v>W: 13in   L: 5000ft</v>
      </c>
      <c r="N121" s="43" t="n">
        <v>0.025</v>
      </c>
      <c r="O121" s="43" t="s">
        <v>554</v>
      </c>
      <c r="P121" s="72" t="n">
        <v>13</v>
      </c>
      <c r="Q121" s="73" t="n">
        <v>5000</v>
      </c>
      <c r="R121" s="83" t="n">
        <f aca="false">P121*12*Q121/1000</f>
        <v>780</v>
      </c>
      <c r="S121" s="88" t="str">
        <f aca="false">_xlfn.xlookup(E121,Clients!B:B,Clients!D:D,FALSE())</f>
        <v>A</v>
      </c>
      <c r="T121" s="84" t="n">
        <f aca="false">IF(O121="msi",P121*12*Q121/1000*N121,IF(O121="sqm",P121/1000*Q121,N121))</f>
        <v>19.5</v>
      </c>
      <c r="U121" s="61" t="str">
        <f aca="false">IF(F121="F","roul.","roll")</f>
        <v>roll</v>
      </c>
      <c r="V121" s="61" t="str">
        <f aca="false">_xlfn.xlookup(E121,Clients!B:B,Clients!X:X,FALSE())</f>
        <v>USD</v>
      </c>
      <c r="X121" s="89" t="n">
        <f aca="false">IF(V121=Z121,N121,N121*W121)</f>
        <v>0.025</v>
      </c>
      <c r="Y121" s="61" t="str">
        <f aca="false">O121</f>
        <v>msi</v>
      </c>
      <c r="Z121" s="61" t="str">
        <f aca="false">_xlfn.xlookup(E121,Clients!B:B,Clients!Y:Y,FALSE())</f>
        <v>USD</v>
      </c>
      <c r="AA121" s="61" t="str">
        <f aca="false">_xlfn.xlookup(B121,Spec!A:A,Spec!K:K,FALSE())</f>
        <v>Canada</v>
      </c>
      <c r="AB121" s="61" t="n">
        <f aca="false">_xlfn.xlookup(B121,Spec!A:A,Spec!L:L,FALSE())</f>
        <v>4811.41</v>
      </c>
    </row>
    <row r="122" customFormat="false" ht="14.25" hidden="false" customHeight="false" outlineLevel="0" collapsed="false">
      <c r="A122" s="1" t="n">
        <v>40141</v>
      </c>
      <c r="B122" s="1" t="n">
        <v>20012</v>
      </c>
      <c r="C122" s="61" t="str">
        <f aca="false">_xlfn.xlookup(B122,Spec!A:A,Spec!C:C)</f>
        <v>AKO</v>
      </c>
      <c r="D122" s="69" t="str">
        <f aca="false">_xlfn.xlookup(B122,Spec!A:A,Spec!D:D)</f>
        <v>AR316 (AH2002)</v>
      </c>
      <c r="E122" s="15" t="s">
        <v>250</v>
      </c>
      <c r="F122" s="15" t="str">
        <f aca="false">_xlfn.xlookup(E122,Clients!B:B,Clients!D:D,FALSE())</f>
        <v>F</v>
      </c>
      <c r="G122" s="42"/>
      <c r="H122" s="15" t="s">
        <v>589</v>
      </c>
      <c r="I122" s="61" t="str">
        <f aca="false">_xlfn.xlookup(B122,Spec!A:A,Spec!B:B)</f>
        <v>D21-1</v>
      </c>
      <c r="J122" s="61" t="str">
        <f aca="false">_xlfn.xlookup(B122,Spec!A:A,Spec!J:J)</f>
        <v>TC DT - Hotmelt Adhesive</v>
      </c>
      <c r="K122" s="61" t="str">
        <f aca="false">_xlfn.xlookup(B122,Spec!A:A,Spec!E:E)</f>
        <v>Self Adhesive Paper</v>
      </c>
      <c r="L122" s="61" t="str">
        <f aca="false">IF(F122="F","Larg: "&amp;P122&amp;"po   Long: "&amp;Q122&amp;"pi","W: "&amp;P122&amp;"in   L: "&amp;Q122&amp;"ft")</f>
        <v>Larg: 12.75po   Long: 2500pi</v>
      </c>
      <c r="N122" s="43"/>
      <c r="O122" s="43" t="s">
        <v>554</v>
      </c>
      <c r="P122" s="72" t="n">
        <v>12.75</v>
      </c>
      <c r="Q122" s="73" t="n">
        <v>2500</v>
      </c>
      <c r="R122" s="83" t="n">
        <f aca="false">P122*12*Q122/1000</f>
        <v>382.5</v>
      </c>
      <c r="S122" s="88" t="str">
        <f aca="false">_xlfn.xlookup(E122,Clients!B:B,Clients!D:D,FALSE())</f>
        <v>F</v>
      </c>
      <c r="T122" s="84" t="n">
        <f aca="false">IF(O122="msi",P122*12*Q122/1000*N122,IF(O122="sqm",P122/1000*Q122,N122))</f>
        <v>0</v>
      </c>
      <c r="U122" s="61" t="str">
        <f aca="false">IF(F122="F","roul.","roll")</f>
        <v>roul.</v>
      </c>
      <c r="V122" s="61" t="str">
        <f aca="false">_xlfn.xlookup(E122,Clients!B:B,Clients!X:X,FALSE())</f>
        <v>CAD</v>
      </c>
      <c r="X122" s="89" t="n">
        <f aca="false">IF(V122=Z122,N122,N122*W122)</f>
        <v>0</v>
      </c>
      <c r="Y122" s="61" t="str">
        <f aca="false">O122</f>
        <v>msi</v>
      </c>
      <c r="Z122" s="61" t="str">
        <f aca="false">_xlfn.xlookup(E122,Clients!B:B,Clients!Y:Y,FALSE())</f>
        <v>CAD</v>
      </c>
      <c r="AA122" s="61" t="str">
        <f aca="false">_xlfn.xlookup(B122,Spec!A:A,Spec!K:K,FALSE())</f>
        <v>Canada</v>
      </c>
      <c r="AB122" s="61" t="n">
        <f aca="false">_xlfn.xlookup(B122,Spec!A:A,Spec!L:L,FALSE())</f>
        <v>4811.41</v>
      </c>
    </row>
    <row r="123" customFormat="false" ht="14.25" hidden="false" customHeight="false" outlineLevel="0" collapsed="false">
      <c r="A123" s="1" t="n">
        <v>40142</v>
      </c>
      <c r="B123" s="1" t="n">
        <v>20003</v>
      </c>
      <c r="C123" s="61" t="str">
        <f aca="false">_xlfn.xlookup(B123,Spec!A:A,Spec!C:C)</f>
        <v>AKO</v>
      </c>
      <c r="D123" s="69" t="str">
        <f aca="false">_xlfn.xlookup(B123,Spec!A:A,Spec!D:D)</f>
        <v>AT1003</v>
      </c>
      <c r="E123" s="15" t="s">
        <v>250</v>
      </c>
      <c r="F123" s="15" t="str">
        <f aca="false">_xlfn.xlookup(E123,Clients!B:B,Clients!D:D,FALSE())</f>
        <v>F</v>
      </c>
      <c r="G123" s="42"/>
      <c r="H123" s="15" t="s">
        <v>660</v>
      </c>
      <c r="I123" s="61" t="str">
        <f aca="false">_xlfn.xlookup(B123,Spec!A:A,Spec!B:B)</f>
        <v>T11-1</v>
      </c>
      <c r="J123" s="61" t="str">
        <f aca="false">_xlfn.xlookup(B123,Spec!A:A,Spec!J:J)</f>
        <v>TT - HM Adhesive</v>
      </c>
      <c r="K123" s="61" t="str">
        <f aca="false">_xlfn.xlookup(B123,Spec!A:A,Spec!E:E)</f>
        <v>Self Adhesive Paper</v>
      </c>
      <c r="L123" s="61" t="str">
        <f aca="false">IF(F123="F","Larg: "&amp;P123&amp;"po   Long: "&amp;Q123&amp;"pi","W: "&amp;P123&amp;"in   L: "&amp;Q123&amp;"ft")</f>
        <v>Larg: 12.75po   Long: 2500pi</v>
      </c>
      <c r="N123" s="43"/>
      <c r="O123" s="43" t="s">
        <v>554</v>
      </c>
      <c r="P123" s="72" t="n">
        <v>12.75</v>
      </c>
      <c r="Q123" s="73" t="n">
        <v>2500</v>
      </c>
      <c r="R123" s="83" t="n">
        <f aca="false">P123*12*Q123/1000</f>
        <v>382.5</v>
      </c>
      <c r="S123" s="88" t="str">
        <f aca="false">_xlfn.xlookup(E123,Clients!B:B,Clients!D:D,FALSE())</f>
        <v>F</v>
      </c>
      <c r="T123" s="84" t="n">
        <f aca="false">IF(O123="msi",P123*12*Q123/1000*N123,IF(O123="sqm",P123/1000*Q123,N123))</f>
        <v>0</v>
      </c>
      <c r="U123" s="61" t="str">
        <f aca="false">IF(F123="F","roul.","roll")</f>
        <v>roul.</v>
      </c>
      <c r="V123" s="61" t="str">
        <f aca="false">_xlfn.xlookup(E123,Clients!B:B,Clients!X:X,FALSE())</f>
        <v>CAD</v>
      </c>
      <c r="X123" s="89" t="n">
        <f aca="false">IF(V123=Z123,N123,N123*W123)</f>
        <v>0</v>
      </c>
      <c r="Y123" s="61" t="str">
        <f aca="false">O123</f>
        <v>msi</v>
      </c>
      <c r="Z123" s="61" t="str">
        <f aca="false">_xlfn.xlookup(E123,Clients!B:B,Clients!Y:Y,FALSE())</f>
        <v>CAD</v>
      </c>
      <c r="AA123" s="61" t="str">
        <f aca="false">_xlfn.xlookup(B123,Spec!A:A,Spec!K:K,FALSE())</f>
        <v>Canada</v>
      </c>
      <c r="AB123" s="61" t="n">
        <f aca="false">_xlfn.xlookup(B123,Spec!A:A,Spec!L:L,FALSE())</f>
        <v>4811.41</v>
      </c>
    </row>
    <row r="124" customFormat="false" ht="14.25" hidden="false" customHeight="false" outlineLevel="0" collapsed="false">
      <c r="A124" s="1" t="n">
        <v>40143</v>
      </c>
      <c r="B124" s="1" t="n">
        <v>20003</v>
      </c>
      <c r="C124" s="61" t="str">
        <f aca="false">_xlfn.xlookup(B124,Spec!A:A,Spec!C:C)</f>
        <v>AKO</v>
      </c>
      <c r="D124" s="69" t="str">
        <f aca="false">_xlfn.xlookup(B124,Spec!A:A,Spec!D:D)</f>
        <v>AT1003</v>
      </c>
      <c r="E124" s="15" t="s">
        <v>212</v>
      </c>
      <c r="F124" s="15" t="str">
        <f aca="false">_xlfn.xlookup(E124,Clients!B:B,Clients!D:D,FALSE())</f>
        <v>F</v>
      </c>
      <c r="G124" s="42"/>
      <c r="H124" s="15" t="s">
        <v>660</v>
      </c>
      <c r="I124" s="61" t="str">
        <f aca="false">_xlfn.xlookup(B124,Spec!A:A,Spec!B:B)</f>
        <v>T11-1</v>
      </c>
      <c r="J124" s="61" t="str">
        <f aca="false">_xlfn.xlookup(B124,Spec!A:A,Spec!J:J)</f>
        <v>TT - HM Adhesive</v>
      </c>
      <c r="K124" s="61" t="str">
        <f aca="false">_xlfn.xlookup(B124,Spec!A:A,Spec!E:E)</f>
        <v>Self Adhesive Paper</v>
      </c>
      <c r="L124" s="61" t="str">
        <f aca="false">IF(F124="F","Larg: "&amp;P124&amp;"po   Long: "&amp;Q124&amp;"pi","W: "&amp;P124&amp;"in   L: "&amp;Q124&amp;"ft")</f>
        <v>Larg: 8.625po   Long: 2000pi</v>
      </c>
      <c r="N124" s="43"/>
      <c r="O124" s="43" t="s">
        <v>554</v>
      </c>
      <c r="P124" s="72" t="n">
        <v>8.625</v>
      </c>
      <c r="Q124" s="73" t="n">
        <v>2000</v>
      </c>
      <c r="R124" s="83" t="n">
        <f aca="false">P124*12*Q124/1000</f>
        <v>207</v>
      </c>
      <c r="S124" s="88" t="str">
        <f aca="false">_xlfn.xlookup(E124,Clients!B:B,Clients!D:D,FALSE())</f>
        <v>F</v>
      </c>
      <c r="T124" s="84" t="n">
        <f aca="false">IF(O124="msi",P124*12*Q124/1000*N124,IF(O124="sqm",P124/1000*Q124,N124))</f>
        <v>0</v>
      </c>
      <c r="U124" s="61" t="str">
        <f aca="false">IF(F124="F","roul.","roll")</f>
        <v>roul.</v>
      </c>
      <c r="V124" s="61" t="str">
        <f aca="false">_xlfn.xlookup(E124,Clients!B:B,Clients!X:X,FALSE())</f>
        <v>CAD</v>
      </c>
      <c r="X124" s="89" t="n">
        <f aca="false">IF(V124=Z124,N124,N124*W124)</f>
        <v>0</v>
      </c>
      <c r="Y124" s="61" t="str">
        <f aca="false">O124</f>
        <v>msi</v>
      </c>
      <c r="Z124" s="61" t="str">
        <f aca="false">_xlfn.xlookup(E124,Clients!B:B,Clients!Y:Y,FALSE())</f>
        <v>CAD</v>
      </c>
      <c r="AA124" s="61" t="str">
        <f aca="false">_xlfn.xlookup(B124,Spec!A:A,Spec!K:K,FALSE())</f>
        <v>Canada</v>
      </c>
      <c r="AB124" s="61" t="n">
        <f aca="false">_xlfn.xlookup(B124,Spec!A:A,Spec!L:L,FALSE())</f>
        <v>4811.41</v>
      </c>
    </row>
    <row r="125" customFormat="false" ht="14.25" hidden="false" customHeight="false" outlineLevel="0" collapsed="false">
      <c r="A125" s="1" t="n">
        <v>40144</v>
      </c>
      <c r="B125" s="1" t="n">
        <v>20013</v>
      </c>
      <c r="C125" s="61" t="str">
        <f aca="false">_xlfn.xlookup(B125,Spec!A:A,Spec!C:C)</f>
        <v>AKO</v>
      </c>
      <c r="D125" s="69" t="str">
        <f aca="false">_xlfn.xlookup(B125,Spec!A:A,Spec!D:D)</f>
        <v>Hansol TC CL74</v>
      </c>
      <c r="E125" s="15" t="s">
        <v>241</v>
      </c>
      <c r="F125" s="15" t="str">
        <f aca="false">_xlfn.xlookup(E125,Clients!B:B,Clients!D:D,FALSE())</f>
        <v>F</v>
      </c>
      <c r="G125" s="42"/>
      <c r="H125" s="15" t="s">
        <v>669</v>
      </c>
      <c r="I125" s="61" t="str">
        <f aca="false">_xlfn.xlookup(B125,Spec!A:A,Spec!B:B)</f>
        <v>D11-1</v>
      </c>
      <c r="J125" s="61" t="str">
        <f aca="false">_xlfn.xlookup(B125,Spec!A:A,Spec!J:J)</f>
        <v>TC DT - Hotmelt Adhesive</v>
      </c>
      <c r="K125" s="61" t="str">
        <f aca="false">_xlfn.xlookup(B125,Spec!A:A,Spec!E:E)</f>
        <v>Self Adhesive Paper</v>
      </c>
      <c r="L125" s="61" t="str">
        <f aca="false">IF(F125="F","Larg: "&amp;P125&amp;"po   Long: "&amp;Q125&amp;"pi","W: "&amp;P125&amp;"in   L: "&amp;Q125&amp;"ft")</f>
        <v>Larg: 9po   Long: 5000pi</v>
      </c>
      <c r="N125" s="43" t="n">
        <v>0.431</v>
      </c>
      <c r="O125" s="43" t="s">
        <v>554</v>
      </c>
      <c r="P125" s="72" t="n">
        <v>9</v>
      </c>
      <c r="Q125" s="73" t="n">
        <v>5000</v>
      </c>
      <c r="R125" s="83" t="n">
        <f aca="false">P125*12*Q125/1000</f>
        <v>540</v>
      </c>
      <c r="S125" s="88" t="str">
        <f aca="false">_xlfn.xlookup(E125,Clients!B:B,Clients!D:D,FALSE())</f>
        <v>F</v>
      </c>
      <c r="T125" s="84" t="n">
        <f aca="false">IF(O125="msi",P125*12*Q125/1000*N125,IF(O125="sqm",P125/1000*Q125,N125))</f>
        <v>232.74</v>
      </c>
      <c r="U125" s="61" t="str">
        <f aca="false">IF(F125="F","roul.","roll")</f>
        <v>roul.</v>
      </c>
      <c r="V125" s="61" t="str">
        <f aca="false">_xlfn.xlookup(E125,Clients!B:B,Clients!X:X,FALSE())</f>
        <v>CAD</v>
      </c>
      <c r="X125" s="89" t="n">
        <f aca="false">IF(V125=Z125,N125,N125*W125)</f>
        <v>0.431</v>
      </c>
      <c r="Y125" s="61" t="str">
        <f aca="false">O125</f>
        <v>msi</v>
      </c>
      <c r="Z125" s="61" t="str">
        <f aca="false">_xlfn.xlookup(E125,Clients!B:B,Clients!Y:Y,FALSE())</f>
        <v>CAD</v>
      </c>
      <c r="AA125" s="61" t="str">
        <f aca="false">_xlfn.xlookup(B125,Spec!A:A,Spec!K:K,FALSE())</f>
        <v>Canada</v>
      </c>
      <c r="AB125" s="61" t="n">
        <f aca="false">_xlfn.xlookup(B125,Spec!A:A,Spec!L:L,FALSE())</f>
        <v>4811.41</v>
      </c>
    </row>
    <row r="126" customFormat="false" ht="14.25" hidden="false" customHeight="false" outlineLevel="0" collapsed="false">
      <c r="A126" s="1" t="n">
        <v>40145</v>
      </c>
      <c r="B126" s="1" t="n">
        <v>20013</v>
      </c>
      <c r="C126" s="61" t="str">
        <f aca="false">_xlfn.xlookup(B126,Spec!A:A,Spec!C:C)</f>
        <v>AKO</v>
      </c>
      <c r="D126" s="69" t="str">
        <f aca="false">_xlfn.xlookup(B126,Spec!A:A,Spec!D:D)</f>
        <v>Hansol TC CL74</v>
      </c>
      <c r="E126" s="15" t="s">
        <v>241</v>
      </c>
      <c r="F126" s="15" t="str">
        <f aca="false">_xlfn.xlookup(E126,Clients!B:B,Clients!D:D,FALSE())</f>
        <v>F</v>
      </c>
      <c r="G126" s="42"/>
      <c r="H126" s="15" t="s">
        <v>669</v>
      </c>
      <c r="I126" s="61" t="str">
        <f aca="false">_xlfn.xlookup(B126,Spec!A:A,Spec!B:B)</f>
        <v>D11-1</v>
      </c>
      <c r="J126" s="61" t="str">
        <f aca="false">_xlfn.xlookup(B126,Spec!A:A,Spec!J:J)</f>
        <v>TC DT - Hotmelt Adhesive</v>
      </c>
      <c r="K126" s="61" t="str">
        <f aca="false">_xlfn.xlookup(B126,Spec!A:A,Spec!E:E)</f>
        <v>Self Adhesive Paper</v>
      </c>
      <c r="L126" s="61" t="str">
        <f aca="false">IF(F126="F","Larg: "&amp;P126&amp;"po   Long: "&amp;Q126&amp;"pi","W: "&amp;P126&amp;"in   L: "&amp;Q126&amp;"ft")</f>
        <v>Larg: 9.5po   Long: 5000pi</v>
      </c>
      <c r="N126" s="43" t="n">
        <v>0.431</v>
      </c>
      <c r="O126" s="43" t="s">
        <v>554</v>
      </c>
      <c r="P126" s="72" t="n">
        <v>9.5</v>
      </c>
      <c r="Q126" s="73" t="n">
        <v>5000</v>
      </c>
      <c r="R126" s="83" t="n">
        <f aca="false">P126*12*Q126/1000</f>
        <v>570</v>
      </c>
      <c r="S126" s="88" t="str">
        <f aca="false">_xlfn.xlookup(E126,Clients!B:B,Clients!D:D,FALSE())</f>
        <v>F</v>
      </c>
      <c r="T126" s="84" t="n">
        <f aca="false">IF(O126="msi",P126*12*Q126/1000*N126,IF(O126="sqm",P126/1000*Q126,N126))</f>
        <v>245.67</v>
      </c>
      <c r="U126" s="61" t="str">
        <f aca="false">IF(F126="F","roul.","roll")</f>
        <v>roul.</v>
      </c>
      <c r="V126" s="61" t="str">
        <f aca="false">_xlfn.xlookup(E126,Clients!B:B,Clients!X:X,FALSE())</f>
        <v>CAD</v>
      </c>
      <c r="X126" s="89" t="n">
        <f aca="false">IF(V126=Z126,N126,N126*W126)</f>
        <v>0.431</v>
      </c>
      <c r="Y126" s="61" t="str">
        <f aca="false">O126</f>
        <v>msi</v>
      </c>
      <c r="Z126" s="61" t="str">
        <f aca="false">_xlfn.xlookup(E126,Clients!B:B,Clients!Y:Y,FALSE())</f>
        <v>CAD</v>
      </c>
      <c r="AA126" s="61" t="str">
        <f aca="false">_xlfn.xlookup(B126,Spec!A:A,Spec!K:K,FALSE())</f>
        <v>Canada</v>
      </c>
      <c r="AB126" s="61" t="n">
        <f aca="false">_xlfn.xlookup(B126,Spec!A:A,Spec!L:L,FALSE())</f>
        <v>4811.41</v>
      </c>
    </row>
    <row r="127" customFormat="false" ht="14.25" hidden="false" customHeight="false" outlineLevel="0" collapsed="false">
      <c r="A127" s="1" t="n">
        <v>40146</v>
      </c>
      <c r="B127" s="1" t="n">
        <v>20013</v>
      </c>
      <c r="C127" s="61" t="str">
        <f aca="false">_xlfn.xlookup(B127,Spec!A:A,Spec!C:C)</f>
        <v>AKO</v>
      </c>
      <c r="D127" s="69" t="str">
        <f aca="false">_xlfn.xlookup(B127,Spec!A:A,Spec!D:D)</f>
        <v>Hansol TC CL74</v>
      </c>
      <c r="E127" s="15" t="s">
        <v>241</v>
      </c>
      <c r="F127" s="15" t="str">
        <f aca="false">_xlfn.xlookup(E127,Clients!B:B,Clients!D:D,FALSE())</f>
        <v>F</v>
      </c>
      <c r="G127" s="42"/>
      <c r="H127" s="15" t="s">
        <v>669</v>
      </c>
      <c r="I127" s="61" t="str">
        <f aca="false">_xlfn.xlookup(B127,Spec!A:A,Spec!B:B)</f>
        <v>D11-1</v>
      </c>
      <c r="J127" s="61" t="str">
        <f aca="false">_xlfn.xlookup(B127,Spec!A:A,Spec!J:J)</f>
        <v>TC DT - Hotmelt Adhesive</v>
      </c>
      <c r="K127" s="61" t="str">
        <f aca="false">_xlfn.xlookup(B127,Spec!A:A,Spec!E:E)</f>
        <v>Self Adhesive Paper</v>
      </c>
      <c r="L127" s="61" t="str">
        <f aca="false">IF(F127="F","Larg: "&amp;P127&amp;"po   Long: "&amp;Q127&amp;"pi","W: "&amp;P127&amp;"in   L: "&amp;Q127&amp;"ft")</f>
        <v>Larg: 4.5po   Long: 5000pi</v>
      </c>
      <c r="N127" s="43" t="n">
        <v>0.431</v>
      </c>
      <c r="O127" s="43" t="s">
        <v>554</v>
      </c>
      <c r="P127" s="72" t="n">
        <v>4.5</v>
      </c>
      <c r="Q127" s="73" t="n">
        <v>5000</v>
      </c>
      <c r="R127" s="83" t="n">
        <f aca="false">P127*12*Q127/1000</f>
        <v>270</v>
      </c>
      <c r="S127" s="88" t="str">
        <f aca="false">_xlfn.xlookup(E127,Clients!B:B,Clients!D:D,FALSE())</f>
        <v>F</v>
      </c>
      <c r="T127" s="84" t="n">
        <f aca="false">IF(O127="msi",P127*12*Q127/1000*N127,IF(O127="sqm",P127/1000*Q127,N127))</f>
        <v>116.37</v>
      </c>
      <c r="U127" s="61" t="str">
        <f aca="false">IF(F127="F","roul.","roll")</f>
        <v>roul.</v>
      </c>
      <c r="V127" s="61" t="str">
        <f aca="false">_xlfn.xlookup(E127,Clients!B:B,Clients!X:X,FALSE())</f>
        <v>CAD</v>
      </c>
      <c r="X127" s="89" t="n">
        <f aca="false">IF(V127=Z127,N127,N127*W127)</f>
        <v>0.431</v>
      </c>
      <c r="Y127" s="61" t="str">
        <f aca="false">O127</f>
        <v>msi</v>
      </c>
      <c r="Z127" s="61" t="str">
        <f aca="false">_xlfn.xlookup(E127,Clients!B:B,Clients!Y:Y,FALSE())</f>
        <v>CAD</v>
      </c>
      <c r="AA127" s="61" t="str">
        <f aca="false">_xlfn.xlookup(B127,Spec!A:A,Spec!K:K,FALSE())</f>
        <v>Canada</v>
      </c>
      <c r="AB127" s="61" t="n">
        <f aca="false">_xlfn.xlookup(B127,Spec!A:A,Spec!L:L,FALSE())</f>
        <v>4811.41</v>
      </c>
    </row>
    <row r="128" customFormat="false" ht="14.25" hidden="false" customHeight="false" outlineLevel="0" collapsed="false">
      <c r="A128" s="1" t="n">
        <v>40147</v>
      </c>
      <c r="B128" s="1" t="n">
        <v>20003</v>
      </c>
      <c r="C128" s="61" t="str">
        <f aca="false">_xlfn.xlookup(B128,Spec!A:A,Spec!C:C)</f>
        <v>AKO</v>
      </c>
      <c r="D128" s="69" t="str">
        <f aca="false">_xlfn.xlookup(B128,Spec!A:A,Spec!D:D)</f>
        <v>AT1003</v>
      </c>
      <c r="E128" s="15" t="s">
        <v>241</v>
      </c>
      <c r="F128" s="15" t="str">
        <f aca="false">_xlfn.xlookup(E128,Clients!B:B,Clients!D:D,FALSE())</f>
        <v>F</v>
      </c>
      <c r="G128" s="42"/>
      <c r="H128" s="15" t="s">
        <v>660</v>
      </c>
      <c r="I128" s="61" t="str">
        <f aca="false">_xlfn.xlookup(B128,Spec!A:A,Spec!B:B)</f>
        <v>T11-1</v>
      </c>
      <c r="J128" s="61" t="str">
        <f aca="false">_xlfn.xlookup(B128,Spec!A:A,Spec!J:J)</f>
        <v>TT - HM Adhesive</v>
      </c>
      <c r="K128" s="61" t="str">
        <f aca="false">_xlfn.xlookup(B128,Spec!A:A,Spec!E:E)</f>
        <v>Self Adhesive Paper</v>
      </c>
      <c r="L128" s="61" t="str">
        <f aca="false">IF(F128="F","Larg: "&amp;P128&amp;"po   Long: "&amp;Q128&amp;"pi","W: "&amp;P128&amp;"in   L: "&amp;Q128&amp;"ft")</f>
        <v>Larg: 6.5625po   Long: 10000pi</v>
      </c>
      <c r="N128" s="43" t="n">
        <v>0.37</v>
      </c>
      <c r="O128" s="43" t="s">
        <v>554</v>
      </c>
      <c r="P128" s="72" t="n">
        <v>6.5625</v>
      </c>
      <c r="Q128" s="73" t="n">
        <v>10000</v>
      </c>
      <c r="R128" s="83" t="n">
        <f aca="false">P128*12*Q128/1000</f>
        <v>787.5</v>
      </c>
      <c r="S128" s="88" t="str">
        <f aca="false">_xlfn.xlookup(E128,Clients!B:B,Clients!D:D,FALSE())</f>
        <v>F</v>
      </c>
      <c r="T128" s="84" t="n">
        <f aca="false">IF(O128="msi",P128*12*Q128/1000*N128,IF(O128="sqm",P128/1000*Q128,N128))</f>
        <v>291.375</v>
      </c>
      <c r="U128" s="61" t="str">
        <f aca="false">IF(F128="F","roul.","roll")</f>
        <v>roul.</v>
      </c>
      <c r="V128" s="61" t="str">
        <f aca="false">_xlfn.xlookup(E128,Clients!B:B,Clients!X:X,FALSE())</f>
        <v>CAD</v>
      </c>
      <c r="X128" s="89" t="n">
        <f aca="false">IF(V128=Z128,N128,N128*W128)</f>
        <v>0.37</v>
      </c>
      <c r="Y128" s="61" t="str">
        <f aca="false">O128</f>
        <v>msi</v>
      </c>
      <c r="Z128" s="61" t="str">
        <f aca="false">_xlfn.xlookup(E128,Clients!B:B,Clients!Y:Y,FALSE())</f>
        <v>CAD</v>
      </c>
      <c r="AA128" s="61" t="str">
        <f aca="false">_xlfn.xlookup(B128,Spec!A:A,Spec!K:K,FALSE())</f>
        <v>Canada</v>
      </c>
      <c r="AB128" s="61" t="n">
        <f aca="false">_xlfn.xlookup(B128,Spec!A:A,Spec!L:L,FALSE())</f>
        <v>4811.41</v>
      </c>
    </row>
    <row r="129" customFormat="false" ht="14.25" hidden="false" customHeight="false" outlineLevel="0" collapsed="false">
      <c r="A129" s="1" t="n">
        <v>40148</v>
      </c>
      <c r="B129" s="1" t="n">
        <v>20003</v>
      </c>
      <c r="C129" s="61" t="str">
        <f aca="false">_xlfn.xlookup(B129,Spec!A:A,Spec!C:C)</f>
        <v>AKO</v>
      </c>
      <c r="D129" s="69" t="str">
        <f aca="false">_xlfn.xlookup(B129,Spec!A:A,Spec!D:D)</f>
        <v>AT1003</v>
      </c>
      <c r="E129" s="15" t="s">
        <v>241</v>
      </c>
      <c r="F129" s="15" t="str">
        <f aca="false">_xlfn.xlookup(E129,Clients!B:B,Clients!D:D,FALSE())</f>
        <v>F</v>
      </c>
      <c r="G129" s="42"/>
      <c r="H129" s="15" t="s">
        <v>660</v>
      </c>
      <c r="I129" s="61" t="str">
        <f aca="false">_xlfn.xlookup(B129,Spec!A:A,Spec!B:B)</f>
        <v>T11-1</v>
      </c>
      <c r="J129" s="61" t="str">
        <f aca="false">_xlfn.xlookup(B129,Spec!A:A,Spec!J:J)</f>
        <v>TT - HM Adhesive</v>
      </c>
      <c r="K129" s="61" t="str">
        <f aca="false">_xlfn.xlookup(B129,Spec!A:A,Spec!E:E)</f>
        <v>Self Adhesive Paper</v>
      </c>
      <c r="L129" s="61" t="str">
        <f aca="false">IF(F129="F","Larg: "&amp;P129&amp;"po   Long: "&amp;Q129&amp;"pi","W: "&amp;P129&amp;"in   L: "&amp;Q129&amp;"ft")</f>
        <v>Larg: 9.0625po   Long: 10000pi</v>
      </c>
      <c r="N129" s="43" t="n">
        <v>0.37</v>
      </c>
      <c r="O129" s="43" t="s">
        <v>554</v>
      </c>
      <c r="P129" s="72" t="n">
        <v>9.0625</v>
      </c>
      <c r="Q129" s="73" t="n">
        <v>10000</v>
      </c>
      <c r="R129" s="83" t="n">
        <f aca="false">P129*12*Q129/1000</f>
        <v>1087.5</v>
      </c>
      <c r="S129" s="88" t="str">
        <f aca="false">_xlfn.xlookup(E129,Clients!B:B,Clients!D:D,FALSE())</f>
        <v>F</v>
      </c>
      <c r="T129" s="84" t="n">
        <f aca="false">IF(O129="msi",P129*12*Q129/1000*N129,IF(O129="sqm",P129/1000*Q129,N129))</f>
        <v>402.375</v>
      </c>
      <c r="U129" s="61" t="str">
        <f aca="false">IF(F129="F","roul.","roll")</f>
        <v>roul.</v>
      </c>
      <c r="V129" s="61" t="str">
        <f aca="false">_xlfn.xlookup(E129,Clients!B:B,Clients!X:X,FALSE())</f>
        <v>CAD</v>
      </c>
      <c r="X129" s="89" t="n">
        <f aca="false">IF(V129=Z129,N129,N129*W129)</f>
        <v>0.37</v>
      </c>
      <c r="Y129" s="61" t="str">
        <f aca="false">O129</f>
        <v>msi</v>
      </c>
      <c r="Z129" s="61" t="str">
        <f aca="false">_xlfn.xlookup(E129,Clients!B:B,Clients!Y:Y,FALSE())</f>
        <v>CAD</v>
      </c>
      <c r="AA129" s="61" t="str">
        <f aca="false">_xlfn.xlookup(B129,Spec!A:A,Spec!K:K,FALSE())</f>
        <v>Canada</v>
      </c>
      <c r="AB129" s="61" t="n">
        <f aca="false">_xlfn.xlookup(B129,Spec!A:A,Spec!L:L,FALSE())</f>
        <v>4811.41</v>
      </c>
    </row>
    <row r="130" customFormat="false" ht="14.25" hidden="false" customHeight="false" outlineLevel="0" collapsed="false">
      <c r="A130" s="1" t="n">
        <v>40149</v>
      </c>
      <c r="B130" s="1" t="n">
        <v>20013</v>
      </c>
      <c r="C130" s="61" t="str">
        <f aca="false">_xlfn.xlookup(B130,Spec!A:A,Spec!C:C)</f>
        <v>AKO</v>
      </c>
      <c r="D130" s="69" t="str">
        <f aca="false">_xlfn.xlookup(B130,Spec!A:A,Spec!D:D)</f>
        <v>Hansol TC CL74</v>
      </c>
      <c r="E130" s="15" t="s">
        <v>212</v>
      </c>
      <c r="F130" s="15" t="str">
        <f aca="false">_xlfn.xlookup(E130,Clients!B:B,Clients!D:D,FALSE())</f>
        <v>F</v>
      </c>
      <c r="G130" s="42"/>
      <c r="H130" s="15" t="s">
        <v>669</v>
      </c>
      <c r="I130" s="61" t="str">
        <f aca="false">_xlfn.xlookup(B130,Spec!A:A,Spec!B:B)</f>
        <v>D11-1</v>
      </c>
      <c r="J130" s="61" t="str">
        <f aca="false">_xlfn.xlookup(B130,Spec!A:A,Spec!J:J)</f>
        <v>TC DT - Hotmelt Adhesive</v>
      </c>
      <c r="K130" s="61" t="str">
        <f aca="false">_xlfn.xlookup(B130,Spec!A:A,Spec!E:E)</f>
        <v>Self Adhesive Paper</v>
      </c>
      <c r="L130" s="61" t="str">
        <f aca="false">IF(F130="F","Larg: "&amp;P130&amp;"po   Long: "&amp;Q130&amp;"pi","W: "&amp;P130&amp;"in   L: "&amp;Q130&amp;"ft")</f>
        <v>Larg: 9.4po   Long: 2000pi</v>
      </c>
      <c r="N130" s="43" t="n">
        <v>0</v>
      </c>
      <c r="O130" s="43" t="s">
        <v>554</v>
      </c>
      <c r="P130" s="72" t="n">
        <v>9.4</v>
      </c>
      <c r="Q130" s="73" t="n">
        <v>2000</v>
      </c>
      <c r="R130" s="83" t="n">
        <f aca="false">P130*12*Q130/1000</f>
        <v>225.6</v>
      </c>
      <c r="S130" s="88" t="str">
        <f aca="false">_xlfn.xlookup(E130,Clients!B:B,Clients!D:D,FALSE())</f>
        <v>F</v>
      </c>
      <c r="T130" s="84" t="n">
        <f aca="false">IF(O130="msi",P130*12*Q130/1000*N130,IF(O130="sqm",P130/1000*Q130,N130))</f>
        <v>0</v>
      </c>
      <c r="U130" s="61" t="str">
        <f aca="false">IF(F130="F","roul.","roll")</f>
        <v>roul.</v>
      </c>
      <c r="V130" s="61" t="str">
        <f aca="false">_xlfn.xlookup(E130,Clients!B:B,Clients!X:X,FALSE())</f>
        <v>CAD</v>
      </c>
      <c r="X130" s="89" t="n">
        <f aca="false">IF(V130=Z130,N130,N130*W130)</f>
        <v>0</v>
      </c>
      <c r="Y130" s="61" t="str">
        <f aca="false">O130</f>
        <v>msi</v>
      </c>
      <c r="Z130" s="61" t="str">
        <f aca="false">_xlfn.xlookup(E130,Clients!B:B,Clients!Y:Y,FALSE())</f>
        <v>CAD</v>
      </c>
      <c r="AA130" s="61" t="str">
        <f aca="false">_xlfn.xlookup(B130,Spec!A:A,Spec!K:K,FALSE())</f>
        <v>Canada</v>
      </c>
      <c r="AB130" s="61" t="n">
        <f aca="false">_xlfn.xlookup(B130,Spec!A:A,Spec!L:L,FALSE())</f>
        <v>4811.41</v>
      </c>
    </row>
    <row r="131" customFormat="false" ht="14.25" hidden="false" customHeight="false" outlineLevel="0" collapsed="false">
      <c r="A131" s="1" t="n">
        <v>40150</v>
      </c>
      <c r="B131" s="1" t="n">
        <v>20017</v>
      </c>
      <c r="C131" s="61" t="str">
        <f aca="false">_xlfn.xlookup(B131,Spec!A:A,Spec!C:C)</f>
        <v>Jinda</v>
      </c>
      <c r="D131" s="69" t="str">
        <f aca="false">_xlfn.xlookup(B131,Spec!A:A,Spec!D:D)</f>
        <v>0488056</v>
      </c>
      <c r="E131" s="15" t="s">
        <v>124</v>
      </c>
      <c r="F131" s="15" t="str">
        <f aca="false">_xlfn.xlookup(E131,Clients!B:B,Clients!D:D,FALSE())</f>
        <v>F</v>
      </c>
      <c r="G131" s="42" t="n">
        <v>2084</v>
      </c>
      <c r="H131" s="15" t="s">
        <v>593</v>
      </c>
      <c r="I131" s="61" t="str">
        <f aca="false">_xlfn.xlookup(B131,Spec!A:A,Spec!B:B)</f>
        <v>B25-3</v>
      </c>
      <c r="J131" s="61" t="str">
        <f aca="false">_xlfn.xlookup(B131,Spec!A:A,Spec!J:J)</f>
        <v>White BOPP - Acrylic Adhesive</v>
      </c>
      <c r="K131" s="61" t="str">
        <f aca="false">_xlfn.xlookup(B131,Spec!A:A,Spec!E:E)</f>
        <v>Self Adhesive Film</v>
      </c>
      <c r="L131" s="61" t="str">
        <f aca="false">IF(F131="F","Larg: "&amp;P131&amp;"po   Long: "&amp;Q131&amp;"pi","W: "&amp;P131&amp;"in   L: "&amp;Q131&amp;"ft")</f>
        <v>Larg: 10po   Long: 5000pi</v>
      </c>
      <c r="N131" s="43" t="n">
        <v>0.33</v>
      </c>
      <c r="O131" s="43" t="s">
        <v>554</v>
      </c>
      <c r="P131" s="72" t="n">
        <v>10</v>
      </c>
      <c r="Q131" s="73" t="n">
        <v>5000</v>
      </c>
      <c r="R131" s="83" t="n">
        <f aca="false">P131*12*Q131/1000</f>
        <v>600</v>
      </c>
      <c r="S131" s="88" t="str">
        <f aca="false">_xlfn.xlookup(E131,Clients!B:B,Clients!D:D,FALSE())</f>
        <v>F</v>
      </c>
      <c r="T131" s="84" t="n">
        <f aca="false">IF(O131="msi",P131*12*Q131/1000*N131,IF(O131="sqm",P131/1000*Q131,N131))</f>
        <v>198</v>
      </c>
      <c r="U131" s="61" t="str">
        <f aca="false">IF(F131="F","roul.","roll")</f>
        <v>roul.</v>
      </c>
      <c r="V131" s="61" t="str">
        <f aca="false">_xlfn.xlookup(E131,Clients!B:B,Clients!X:X,FALSE())</f>
        <v>USD</v>
      </c>
      <c r="X131" s="89" t="n">
        <f aca="false">IF(V131=Z131,N131,N131*W131)</f>
        <v>0.33</v>
      </c>
      <c r="Y131" s="61" t="str">
        <f aca="false">O131</f>
        <v>msi</v>
      </c>
      <c r="Z131" s="61" t="str">
        <f aca="false">_xlfn.xlookup(E131,Clients!B:B,Clients!Y:Y,FALSE())</f>
        <v>USD</v>
      </c>
      <c r="AA131" s="61" t="str">
        <f aca="false">_xlfn.xlookup(B131,Spec!A:A,Spec!K:K,FALSE())</f>
        <v>Canada</v>
      </c>
      <c r="AB131" s="61" t="str">
        <f aca="false">_xlfn.xlookup(B131,Spec!A:A,Spec!L:L,FALSE())</f>
        <v>3919.90</v>
      </c>
    </row>
    <row r="132" customFormat="false" ht="14.25" hidden="false" customHeight="false" outlineLevel="0" collapsed="false">
      <c r="A132" s="1" t="n">
        <v>40151</v>
      </c>
      <c r="B132" s="1" t="n">
        <v>20011</v>
      </c>
      <c r="C132" s="61" t="str">
        <f aca="false">_xlfn.xlookup(B132,Spec!A:A,Spec!C:C)</f>
        <v>AKO</v>
      </c>
      <c r="D132" s="69" t="str">
        <f aca="false">_xlfn.xlookup(B132,Spec!A:A,Spec!D:D)</f>
        <v>AP1019</v>
      </c>
      <c r="E132" s="15" t="s">
        <v>258</v>
      </c>
      <c r="F132" s="15" t="str">
        <f aca="false">_xlfn.xlookup(E132,Clients!B:B,Clients!D:D,FALSE())</f>
        <v>A</v>
      </c>
      <c r="G132" s="42"/>
      <c r="H132" s="15" t="s">
        <v>602</v>
      </c>
      <c r="I132" s="61" t="str">
        <f aca="false">_xlfn.xlookup(B132,Spec!A:A,Spec!B:B)</f>
        <v>S21-1</v>
      </c>
      <c r="J132" s="61" t="str">
        <f aca="false">_xlfn.xlookup(B132,Spec!A:A,Spec!J:J)</f>
        <v>SG - Hotmelt Adhesive</v>
      </c>
      <c r="K132" s="61" t="str">
        <f aca="false">_xlfn.xlookup(B132,Spec!A:A,Spec!E:E)</f>
        <v>Self Adhesive Paper</v>
      </c>
      <c r="L132" s="61" t="str">
        <f aca="false">IF(F132="F","Larg: "&amp;P132&amp;"po   Long: "&amp;Q132&amp;"pi","W: "&amp;P132&amp;"in   L: "&amp;Q132&amp;"ft")</f>
        <v>W: 13in   L: 2000ft</v>
      </c>
      <c r="N132" s="43" t="n">
        <v>0</v>
      </c>
      <c r="O132" s="43" t="s">
        <v>554</v>
      </c>
      <c r="P132" s="72" t="n">
        <v>13</v>
      </c>
      <c r="Q132" s="73" t="n">
        <v>2000</v>
      </c>
      <c r="R132" s="83" t="n">
        <f aca="false">P132*12*Q132/1000</f>
        <v>312</v>
      </c>
      <c r="S132" s="88" t="str">
        <f aca="false">_xlfn.xlookup(E132,Clients!B:B,Clients!D:D,FALSE())</f>
        <v>A</v>
      </c>
      <c r="T132" s="84" t="n">
        <f aca="false">IF(O132="msi",P132*12*Q132/1000*N132,IF(O132="sqm",P132/1000*Q132,N132))</f>
        <v>0</v>
      </c>
      <c r="U132" s="61" t="str">
        <f aca="false">IF(F132="F","roul.","roll")</f>
        <v>roll</v>
      </c>
      <c r="V132" s="61" t="str">
        <f aca="false">_xlfn.xlookup(E132,Clients!B:B,Clients!X:X,FALSE())</f>
        <v>CAD</v>
      </c>
      <c r="X132" s="89" t="n">
        <f aca="false">IF(V132=Z132,N132,N132*W132)</f>
        <v>0</v>
      </c>
      <c r="Y132" s="61" t="str">
        <f aca="false">O132</f>
        <v>msi</v>
      </c>
      <c r="Z132" s="61" t="str">
        <f aca="false">_xlfn.xlookup(E132,Clients!B:B,Clients!Y:Y,FALSE())</f>
        <v>CAD</v>
      </c>
      <c r="AA132" s="61" t="str">
        <f aca="false">_xlfn.xlookup(B132,Spec!A:A,Spec!K:K,FALSE())</f>
        <v>Canada</v>
      </c>
      <c r="AB132" s="61" t="n">
        <f aca="false">_xlfn.xlookup(B132,Spec!A:A,Spec!L:L,FALSE())</f>
        <v>4811.41</v>
      </c>
    </row>
    <row r="133" customFormat="false" ht="14.25" hidden="false" customHeight="false" outlineLevel="0" collapsed="false">
      <c r="A133" s="1" t="n">
        <v>40152</v>
      </c>
      <c r="B133" s="1" t="n">
        <v>20023</v>
      </c>
      <c r="C133" s="61" t="str">
        <f aca="false">_xlfn.xlookup(B133,Spec!A:A,Spec!C:C)</f>
        <v>Jinda</v>
      </c>
      <c r="D133" s="69" t="str">
        <f aca="false">_xlfn.xlookup(B133,Spec!A:A,Spec!D:D)</f>
        <v>0402115</v>
      </c>
      <c r="E133" s="15" t="s">
        <v>258</v>
      </c>
      <c r="F133" s="15" t="str">
        <f aca="false">_xlfn.xlookup(E133,Clients!B:B,Clients!D:D,FALSE())</f>
        <v>A</v>
      </c>
      <c r="G133" s="42"/>
      <c r="H133" s="15" t="s">
        <v>673</v>
      </c>
      <c r="I133" s="61" t="str">
        <f aca="false">_xlfn.xlookup(B133,Spec!A:A,Spec!B:B)</f>
        <v>S35-3</v>
      </c>
      <c r="J133" s="61" t="str">
        <f aca="false">_xlfn.xlookup(B133,Spec!A:A,Spec!J:J)</f>
        <v>SG - ACR Adh - PET liner</v>
      </c>
      <c r="K133" s="61" t="str">
        <f aca="false">_xlfn.xlookup(B133,Spec!A:A,Spec!E:E)</f>
        <v>Self Adhesive Paper</v>
      </c>
      <c r="L133" s="61" t="str">
        <f aca="false">IF(F133="F","Larg: "&amp;P133&amp;"po   Long: "&amp;Q133&amp;"pi","W: "&amp;P133&amp;"in   L: "&amp;Q133&amp;"ft")</f>
        <v>W: 13in   L: 2000ft</v>
      </c>
      <c r="N133" s="43" t="n">
        <v>0</v>
      </c>
      <c r="O133" s="43" t="s">
        <v>554</v>
      </c>
      <c r="P133" s="72" t="n">
        <v>13</v>
      </c>
      <c r="Q133" s="73" t="n">
        <v>2000</v>
      </c>
      <c r="R133" s="83" t="n">
        <f aca="false">P133*12*Q133/1000</f>
        <v>312</v>
      </c>
      <c r="S133" s="88" t="str">
        <f aca="false">_xlfn.xlookup(E133,Clients!B:B,Clients!D:D,FALSE())</f>
        <v>A</v>
      </c>
      <c r="T133" s="84" t="n">
        <f aca="false">IF(O133="msi",P133*12*Q133/1000*N133,IF(O133="sqm",P133/1000*Q133,N133))</f>
        <v>0</v>
      </c>
      <c r="U133" s="61" t="str">
        <f aca="false">IF(F133="F","roul.","roll")</f>
        <v>roll</v>
      </c>
      <c r="V133" s="61" t="str">
        <f aca="false">_xlfn.xlookup(E133,Clients!B:B,Clients!X:X,FALSE())</f>
        <v>CAD</v>
      </c>
      <c r="X133" s="89" t="n">
        <f aca="false">IF(V133=Z133,N133,N133*W133)</f>
        <v>0</v>
      </c>
      <c r="Y133" s="61" t="str">
        <f aca="false">O133</f>
        <v>msi</v>
      </c>
      <c r="Z133" s="61" t="str">
        <f aca="false">_xlfn.xlookup(E133,Clients!B:B,Clients!Y:Y,FALSE())</f>
        <v>CAD</v>
      </c>
      <c r="AA133" s="61" t="str">
        <f aca="false">_xlfn.xlookup(B133,Spec!A:A,Spec!K:K,FALSE())</f>
        <v>Canada</v>
      </c>
      <c r="AB133" s="61" t="str">
        <f aca="false">_xlfn.xlookup(B133,Spec!A:A,Spec!L:L,FALSE())</f>
        <v>4811.41</v>
      </c>
    </row>
    <row r="134" customFormat="false" ht="14.25" hidden="false" customHeight="false" outlineLevel="0" collapsed="false">
      <c r="A134" s="1" t="n">
        <v>40153</v>
      </c>
      <c r="B134" s="1" t="n">
        <v>20016</v>
      </c>
      <c r="C134" s="61" t="str">
        <f aca="false">_xlfn.xlookup(B134,Spec!A:A,Spec!C:C)</f>
        <v>Jinda</v>
      </c>
      <c r="D134" s="69" t="str">
        <f aca="false">_xlfn.xlookup(B134,Spec!A:A,Spec!D:D)</f>
        <v>0488032</v>
      </c>
      <c r="E134" s="15" t="s">
        <v>258</v>
      </c>
      <c r="F134" s="15" t="str">
        <f aca="false">_xlfn.xlookup(E134,Clients!B:B,Clients!D:D,FALSE())</f>
        <v>A</v>
      </c>
      <c r="G134" s="42"/>
      <c r="H134" s="15" t="s">
        <v>608</v>
      </c>
      <c r="I134" s="61" t="str">
        <f aca="false">_xlfn.xlookup(B134,Spec!A:A,Spec!B:B)</f>
        <v>B15-3</v>
      </c>
      <c r="J134" s="61" t="str">
        <f aca="false">_xlfn.xlookup(B134,Spec!A:A,Spec!J:J)</f>
        <v>Clear BOPP - Acrylic Adhesive</v>
      </c>
      <c r="K134" s="61" t="str">
        <f aca="false">_xlfn.xlookup(B134,Spec!A:A,Spec!E:E)</f>
        <v>Self Adhesive Film</v>
      </c>
      <c r="L134" s="61" t="str">
        <f aca="false">IF(F134="F","Larg: "&amp;P134&amp;"po   Long: "&amp;Q134&amp;"pi","W: "&amp;P134&amp;"in   L: "&amp;Q134&amp;"ft")</f>
        <v>W: 13in   L: 2000ft</v>
      </c>
      <c r="N134" s="43" t="n">
        <v>0</v>
      </c>
      <c r="O134" s="43" t="s">
        <v>554</v>
      </c>
      <c r="P134" s="72" t="n">
        <v>13</v>
      </c>
      <c r="Q134" s="73" t="n">
        <v>2000</v>
      </c>
      <c r="R134" s="83" t="n">
        <f aca="false">P134*12*Q134/1000</f>
        <v>312</v>
      </c>
      <c r="S134" s="88" t="str">
        <f aca="false">_xlfn.xlookup(E134,Clients!B:B,Clients!D:D,FALSE())</f>
        <v>A</v>
      </c>
      <c r="T134" s="84" t="n">
        <f aca="false">IF(O134="msi",P134*12*Q134/1000*N134,IF(O134="sqm",P134/1000*Q134,N134))</f>
        <v>0</v>
      </c>
      <c r="U134" s="61" t="str">
        <f aca="false">IF(F134="F","roul.","roll")</f>
        <v>roll</v>
      </c>
      <c r="V134" s="61" t="str">
        <f aca="false">_xlfn.xlookup(E134,Clients!B:B,Clients!X:X,FALSE())</f>
        <v>CAD</v>
      </c>
      <c r="X134" s="89" t="n">
        <f aca="false">IF(V134=Z134,N134,N134*W134)</f>
        <v>0</v>
      </c>
      <c r="Y134" s="61" t="str">
        <f aca="false">O134</f>
        <v>msi</v>
      </c>
      <c r="Z134" s="61" t="str">
        <f aca="false">_xlfn.xlookup(E134,Clients!B:B,Clients!Y:Y,FALSE())</f>
        <v>CAD</v>
      </c>
      <c r="AA134" s="61" t="str">
        <f aca="false">_xlfn.xlookup(B134,Spec!A:A,Spec!K:K,FALSE())</f>
        <v>Canada</v>
      </c>
      <c r="AB134" s="61" t="str">
        <f aca="false">_xlfn.xlookup(B134,Spec!A:A,Spec!L:L,FALSE())</f>
        <v>3919.90</v>
      </c>
    </row>
    <row r="135" customFormat="false" ht="14.25" hidden="false" customHeight="false" outlineLevel="0" collapsed="false">
      <c r="A135" s="1" t="n">
        <v>40154</v>
      </c>
      <c r="B135" s="1" t="n">
        <v>20017</v>
      </c>
      <c r="C135" s="61" t="str">
        <f aca="false">_xlfn.xlookup(B135,Spec!A:A,Spec!C:C)</f>
        <v>Jinda</v>
      </c>
      <c r="D135" s="69" t="str">
        <f aca="false">_xlfn.xlookup(B135,Spec!A:A,Spec!D:D)</f>
        <v>0488056</v>
      </c>
      <c r="E135" s="15" t="s">
        <v>258</v>
      </c>
      <c r="F135" s="15" t="str">
        <f aca="false">_xlfn.xlookup(E135,Clients!B:B,Clients!D:D,FALSE())</f>
        <v>A</v>
      </c>
      <c r="G135" s="42"/>
      <c r="H135" s="15" t="s">
        <v>593</v>
      </c>
      <c r="I135" s="61" t="str">
        <f aca="false">_xlfn.xlookup(B135,Spec!A:A,Spec!B:B)</f>
        <v>B25-3</v>
      </c>
      <c r="J135" s="61" t="str">
        <f aca="false">_xlfn.xlookup(B135,Spec!A:A,Spec!J:J)</f>
        <v>White BOPP - Acrylic Adhesive</v>
      </c>
      <c r="K135" s="61" t="str">
        <f aca="false">_xlfn.xlookup(B135,Spec!A:A,Spec!E:E)</f>
        <v>Self Adhesive Film</v>
      </c>
      <c r="L135" s="61" t="str">
        <f aca="false">IF(F135="F","Larg: "&amp;P135&amp;"po   Long: "&amp;Q135&amp;"pi","W: "&amp;P135&amp;"in   L: "&amp;Q135&amp;"ft")</f>
        <v>W: 13in   L: 2000ft</v>
      </c>
      <c r="N135" s="43" t="n">
        <v>0</v>
      </c>
      <c r="O135" s="43" t="s">
        <v>554</v>
      </c>
      <c r="P135" s="72" t="n">
        <v>13</v>
      </c>
      <c r="Q135" s="73" t="n">
        <v>2000</v>
      </c>
      <c r="R135" s="83" t="n">
        <f aca="false">P135*12*Q135/1000</f>
        <v>312</v>
      </c>
      <c r="S135" s="88" t="str">
        <f aca="false">_xlfn.xlookup(E135,Clients!B:B,Clients!D:D,FALSE())</f>
        <v>A</v>
      </c>
      <c r="T135" s="84" t="n">
        <f aca="false">IF(O135="msi",P135*12*Q135/1000*N135,IF(O135="sqm",P135/1000*Q135,N135))</f>
        <v>0</v>
      </c>
      <c r="U135" s="61" t="str">
        <f aca="false">IF(F135="F","roul.","roll")</f>
        <v>roll</v>
      </c>
      <c r="V135" s="61" t="str">
        <f aca="false">_xlfn.xlookup(E135,Clients!B:B,Clients!X:X,FALSE())</f>
        <v>CAD</v>
      </c>
      <c r="X135" s="89" t="n">
        <f aca="false">IF(V135=Z135,N135,N135*W135)</f>
        <v>0</v>
      </c>
      <c r="Y135" s="61" t="str">
        <f aca="false">O135</f>
        <v>msi</v>
      </c>
      <c r="Z135" s="61" t="str">
        <f aca="false">_xlfn.xlookup(E135,Clients!B:B,Clients!Y:Y,FALSE())</f>
        <v>CAD</v>
      </c>
      <c r="AA135" s="61" t="str">
        <f aca="false">_xlfn.xlookup(B135,Spec!A:A,Spec!K:K,FALSE())</f>
        <v>Canada</v>
      </c>
      <c r="AB135" s="61" t="str">
        <f aca="false">_xlfn.xlookup(B135,Spec!A:A,Spec!L:L,FALSE())</f>
        <v>3919.90</v>
      </c>
    </row>
    <row r="136" customFormat="false" ht="16.4" hidden="false" customHeight="false" outlineLevel="0" collapsed="false">
      <c r="A136" s="1" t="n">
        <v>40155</v>
      </c>
      <c r="B136" s="1" t="n">
        <v>20017</v>
      </c>
      <c r="C136" s="61" t="str">
        <f aca="false">_xlfn.xlookup(B136,Spec!A:A,Spec!C:C)</f>
        <v>Jinda</v>
      </c>
      <c r="D136" s="69" t="str">
        <f aca="false">_xlfn.xlookup(B136,Spec!A:A,Spec!D:D)</f>
        <v>0488056</v>
      </c>
      <c r="E136" s="15" t="s">
        <v>100</v>
      </c>
      <c r="F136" s="15" t="str">
        <f aca="false">_xlfn.xlookup(E136,Clients!B:B,Clients!D:D,FALSE())</f>
        <v>F</v>
      </c>
      <c r="G136" s="15" t="s">
        <v>592</v>
      </c>
      <c r="H136" s="15" t="s">
        <v>593</v>
      </c>
      <c r="I136" s="61" t="str">
        <f aca="false">_xlfn.xlookup(B136,Spec!A:A,Spec!B:B)</f>
        <v>B25-3</v>
      </c>
      <c r="J136" s="61" t="str">
        <f aca="false">_xlfn.xlookup(B136,Spec!A:A,Spec!J:J)</f>
        <v>White BOPP - Acrylic Adhesive</v>
      </c>
      <c r="K136" s="61" t="str">
        <f aca="false">_xlfn.xlookup(B136,Spec!A:A,Spec!E:E)</f>
        <v>Self Adhesive Film</v>
      </c>
      <c r="L136" s="61" t="str">
        <f aca="false">IF(F136="F","Larg: "&amp;P136&amp;"po   Long: "&amp;Q136&amp;"pi","W: "&amp;P136&amp;"in   L: "&amp;Q136&amp;"ft")</f>
        <v>Larg: 8.6po   Long: 5000pi</v>
      </c>
      <c r="N136" s="43" t="n">
        <v>0.466</v>
      </c>
      <c r="O136" s="43" t="s">
        <v>554</v>
      </c>
      <c r="P136" s="72" t="n">
        <v>8.6</v>
      </c>
      <c r="Q136" s="73" t="n">
        <v>5000</v>
      </c>
      <c r="R136" s="83" t="n">
        <f aca="false">P136*12*Q136/1000</f>
        <v>516</v>
      </c>
      <c r="S136" s="88" t="str">
        <f aca="false">_xlfn.xlookup(E136,Clients!B:B,Clients!D:D,FALSE())</f>
        <v>F</v>
      </c>
      <c r="T136" s="84" t="n">
        <f aca="false">IF(O136="msi",P136*12*Q136/1000*N136,IF(O136="sqm",P136/1000*Q136,N136))</f>
        <v>240.456</v>
      </c>
      <c r="U136" s="61" t="str">
        <f aca="false">IF(F136="F","roul.","roll")</f>
        <v>roul.</v>
      </c>
      <c r="V136" s="61" t="str">
        <f aca="false">_xlfn.xlookup(E136,Clients!B:B,Clients!X:X,FALSE())</f>
        <v>CAD</v>
      </c>
      <c r="W136" s="1" t="n">
        <v>1</v>
      </c>
      <c r="X136" s="89" t="n">
        <f aca="false">IF(V136=Z136,N136,N136*W136)</f>
        <v>0.466</v>
      </c>
      <c r="Y136" s="61" t="str">
        <f aca="false">O136</f>
        <v>msi</v>
      </c>
      <c r="Z136" s="61" t="str">
        <f aca="false">_xlfn.xlookup(E136,Clients!B:B,Clients!Y:Y,FALSE())</f>
        <v>CAD</v>
      </c>
      <c r="AA136" s="61" t="str">
        <f aca="false">_xlfn.xlookup(B136,Spec!A:A,Spec!K:K,FALSE())</f>
        <v>Canada</v>
      </c>
      <c r="AB136" s="61" t="str">
        <f aca="false">_xlfn.xlookup(B136,Spec!A:A,Spec!L:L,FALSE())</f>
        <v>3919.90</v>
      </c>
    </row>
    <row r="137" customFormat="false" ht="14.25" hidden="false" customHeight="false" outlineLevel="0" collapsed="false">
      <c r="A137" s="1" t="n">
        <v>40156</v>
      </c>
      <c r="B137" s="1" t="n">
        <v>20025</v>
      </c>
      <c r="C137" s="61" t="str">
        <f aca="false">_xlfn.xlookup(B137,Spec!A:A,Spec!C:C)</f>
        <v>Etsuhiro</v>
      </c>
      <c r="D137" s="69" t="str">
        <f aca="false">_xlfn.xlookup(B137,Spec!A:A,Spec!D:D)</f>
        <v>EL3059</v>
      </c>
      <c r="E137" s="15" t="s">
        <v>134</v>
      </c>
      <c r="F137" s="15" t="str">
        <f aca="false">_xlfn.xlookup(E137,Clients!B:B,Clients!D:D,FALSE())</f>
        <v>F</v>
      </c>
      <c r="G137" s="42"/>
      <c r="H137" s="15" t="s">
        <v>589</v>
      </c>
      <c r="I137" s="61" t="str">
        <f aca="false">_xlfn.xlookup(B137,Spec!A:A,Spec!B:B)</f>
        <v>D11-2</v>
      </c>
      <c r="J137" s="61" t="s">
        <v>370</v>
      </c>
      <c r="K137" s="61" t="s">
        <v>320</v>
      </c>
      <c r="L137" s="61" t="str">
        <f aca="false">IF(F137="F","Larg: "&amp;P137&amp;"po   Long: "&amp;Q137&amp;"pi","W: "&amp;P137&amp;"in   L: "&amp;Q137&amp;"ft")</f>
        <v>Larg: 8.6po   Long: 10000pi</v>
      </c>
      <c r="N137" s="43" t="n">
        <v>0.466</v>
      </c>
      <c r="O137" s="43" t="s">
        <v>554</v>
      </c>
      <c r="P137" s="72" t="n">
        <v>8.6</v>
      </c>
      <c r="Q137" s="73" t="n">
        <v>10000</v>
      </c>
      <c r="R137" s="83" t="n">
        <f aca="false">P137*12*Q137/1000</f>
        <v>1032</v>
      </c>
      <c r="S137" s="88" t="str">
        <f aca="false">_xlfn.xlookup(E137,Clients!B:B,Clients!D:D,FALSE())</f>
        <v>F</v>
      </c>
      <c r="T137" s="84" t="n">
        <f aca="false">IF(O137="msi",P137*12*Q137/1000*N137,IF(O137="sqm",P137/1000*Q137,N137))</f>
        <v>480.912</v>
      </c>
      <c r="U137" s="61" t="str">
        <f aca="false">IF(F137="F","roul.","roll")</f>
        <v>roul.</v>
      </c>
      <c r="V137" s="61" t="str">
        <f aca="false">_xlfn.xlookup(E137,Clients!B:B,Clients!X:X,FALSE())</f>
        <v>CAD</v>
      </c>
      <c r="X137" s="89" t="n">
        <f aca="false">IF(V137=Z137,N137,N137*W137)</f>
        <v>0.466</v>
      </c>
      <c r="Y137" s="61" t="str">
        <f aca="false">O137</f>
        <v>msi</v>
      </c>
      <c r="Z137" s="61" t="str">
        <f aca="false">_xlfn.xlookup(E137,Clients!B:B,Clients!Y:Y,FALSE())</f>
        <v>CAD</v>
      </c>
      <c r="AA137" s="61" t="str">
        <f aca="false">_xlfn.xlookup(B137,Spec!A:A,Spec!K:K,FALSE())</f>
        <v>Canada</v>
      </c>
      <c r="AB137" s="61" t="n">
        <f aca="false">_xlfn.xlookup(B137,Spec!A:A,Spec!L:L,FALSE())</f>
        <v>4811.41</v>
      </c>
    </row>
    <row r="138" customFormat="false" ht="14.25" hidden="false" customHeight="false" outlineLevel="0" collapsed="false">
      <c r="A138" s="1" t="n">
        <v>40157</v>
      </c>
      <c r="B138" s="1" t="n">
        <v>20025</v>
      </c>
      <c r="C138" s="61" t="str">
        <f aca="false">_xlfn.xlookup(B138,Spec!A:A,Spec!C:C)</f>
        <v>Etsuhiro</v>
      </c>
      <c r="D138" s="69" t="str">
        <f aca="false">_xlfn.xlookup(B138,Spec!A:A,Spec!D:D)</f>
        <v>EL3059</v>
      </c>
      <c r="E138" s="15" t="s">
        <v>134</v>
      </c>
      <c r="F138" s="15" t="str">
        <f aca="false">_xlfn.xlookup(E138,Clients!B:B,Clients!D:D,FALSE())</f>
        <v>F</v>
      </c>
      <c r="G138" s="42"/>
      <c r="H138" s="15" t="s">
        <v>589</v>
      </c>
      <c r="I138" s="61" t="str">
        <f aca="false">_xlfn.xlookup(B138,Spec!A:A,Spec!B:B)</f>
        <v>D11-2</v>
      </c>
      <c r="J138" s="61" t="s">
        <v>370</v>
      </c>
      <c r="K138" s="61" t="s">
        <v>320</v>
      </c>
      <c r="L138" s="61" t="str">
        <f aca="false">IF(F138="F","Larg: "&amp;P138&amp;"po   Long: "&amp;Q138&amp;"pi","W: "&amp;P138&amp;"in   L: "&amp;Q138&amp;"ft")</f>
        <v>Larg: 4.5po   Long: 5000pi</v>
      </c>
      <c r="N138" s="43" t="n">
        <v>0.466</v>
      </c>
      <c r="O138" s="43" t="s">
        <v>554</v>
      </c>
      <c r="P138" s="72" t="n">
        <v>4.5</v>
      </c>
      <c r="Q138" s="73" t="n">
        <v>5000</v>
      </c>
      <c r="R138" s="83" t="n">
        <f aca="false">P138*12*Q138/1000</f>
        <v>270</v>
      </c>
      <c r="S138" s="88" t="str">
        <f aca="false">_xlfn.xlookup(E138,Clients!B:B,Clients!D:D,FALSE())</f>
        <v>F</v>
      </c>
      <c r="T138" s="84" t="n">
        <f aca="false">IF(O138="msi",P138*12*Q138/1000*N138,IF(O138="sqm",P138/1000*Q138,N138))</f>
        <v>125.82</v>
      </c>
      <c r="U138" s="61" t="str">
        <f aca="false">IF(F138="F","roul.","roll")</f>
        <v>roul.</v>
      </c>
      <c r="V138" s="61" t="str">
        <f aca="false">_xlfn.xlookup(E138,Clients!B:B,Clients!X:X,FALSE())</f>
        <v>CAD</v>
      </c>
      <c r="X138" s="89" t="n">
        <f aca="false">IF(V138=Z138,N138,N138*W138)</f>
        <v>0.466</v>
      </c>
      <c r="Y138" s="61" t="str">
        <f aca="false">O138</f>
        <v>msi</v>
      </c>
      <c r="Z138" s="61" t="str">
        <f aca="false">_xlfn.xlookup(E138,Clients!B:B,Clients!Y:Y,FALSE())</f>
        <v>CAD</v>
      </c>
      <c r="AA138" s="61" t="str">
        <f aca="false">_xlfn.xlookup(B138,Spec!A:A,Spec!K:K,FALSE())</f>
        <v>Canada</v>
      </c>
      <c r="AB138" s="61" t="n">
        <f aca="false">_xlfn.xlookup(B138,Spec!A:A,Spec!L:L,FALSE())</f>
        <v>4811.41</v>
      </c>
    </row>
    <row r="139" customFormat="false" ht="14.25" hidden="false" customHeight="false" outlineLevel="0" collapsed="false">
      <c r="A139" s="1" t="n">
        <v>40158</v>
      </c>
      <c r="B139" s="1" t="n">
        <v>20025</v>
      </c>
      <c r="C139" s="61" t="str">
        <f aca="false">_xlfn.xlookup(B139,Spec!A:A,Spec!C:C)</f>
        <v>Etsuhiro</v>
      </c>
      <c r="D139" s="69" t="str">
        <f aca="false">_xlfn.xlookup(B139,Spec!A:A,Spec!D:D)</f>
        <v>EL3059</v>
      </c>
      <c r="E139" s="15" t="s">
        <v>134</v>
      </c>
      <c r="F139" s="15" t="str">
        <f aca="false">_xlfn.xlookup(E139,Clients!B:B,Clients!D:D,FALSE())</f>
        <v>F</v>
      </c>
      <c r="G139" s="42"/>
      <c r="H139" s="15" t="s">
        <v>589</v>
      </c>
      <c r="I139" s="61" t="str">
        <f aca="false">_xlfn.xlookup(B139,Spec!A:A,Spec!B:B)</f>
        <v>D11-2</v>
      </c>
      <c r="J139" s="61" t="s">
        <v>370</v>
      </c>
      <c r="K139" s="61" t="s">
        <v>320</v>
      </c>
      <c r="L139" s="61" t="str">
        <f aca="false">IF(F139="F","Larg: "&amp;P139&amp;"po   Long: "&amp;Q139&amp;"pi","W: "&amp;P139&amp;"in   L: "&amp;Q139&amp;"ft")</f>
        <v>Larg: 8.625po   Long: 5000pi</v>
      </c>
      <c r="N139" s="43" t="n">
        <v>0.466</v>
      </c>
      <c r="O139" s="43" t="s">
        <v>554</v>
      </c>
      <c r="P139" s="72" t="n">
        <v>8.625</v>
      </c>
      <c r="Q139" s="73" t="n">
        <v>5000</v>
      </c>
      <c r="R139" s="83" t="n">
        <f aca="false">P139*12*Q139/1000</f>
        <v>517.5</v>
      </c>
      <c r="S139" s="88" t="str">
        <f aca="false">_xlfn.xlookup(E139,Clients!B:B,Clients!D:D,FALSE())</f>
        <v>F</v>
      </c>
      <c r="T139" s="84" t="n">
        <f aca="false">IF(O139="msi",P139*12*Q139/1000*N139,IF(O139="sqm",P139/1000*Q139,N139))</f>
        <v>241.155</v>
      </c>
      <c r="U139" s="61" t="str">
        <f aca="false">IF(F139="F","roul.","roll")</f>
        <v>roul.</v>
      </c>
      <c r="V139" s="61" t="str">
        <f aca="false">_xlfn.xlookup(E139,Clients!B:B,Clients!X:X,FALSE())</f>
        <v>CAD</v>
      </c>
      <c r="X139" s="89" t="n">
        <f aca="false">IF(V139=Z139,N139,N139*W139)</f>
        <v>0.466</v>
      </c>
      <c r="Y139" s="61" t="str">
        <f aca="false">O139</f>
        <v>msi</v>
      </c>
      <c r="Z139" s="61" t="str">
        <f aca="false">_xlfn.xlookup(E139,Clients!B:B,Clients!Y:Y,FALSE())</f>
        <v>CAD</v>
      </c>
      <c r="AA139" s="61" t="str">
        <f aca="false">_xlfn.xlookup(B139,Spec!A:A,Spec!K:K,FALSE())</f>
        <v>Canada</v>
      </c>
      <c r="AB139" s="61" t="n">
        <f aca="false">_xlfn.xlookup(B139,Spec!A:A,Spec!L:L,FALSE())</f>
        <v>4811.41</v>
      </c>
    </row>
    <row r="140" customFormat="false" ht="14.25" hidden="false" customHeight="false" outlineLevel="0" collapsed="false">
      <c r="A140" s="1" t="n">
        <v>40159</v>
      </c>
      <c r="B140" s="1" t="n">
        <v>20025</v>
      </c>
      <c r="C140" s="61" t="str">
        <f aca="false">_xlfn.xlookup(B140,Spec!A:A,Spec!C:C)</f>
        <v>Etsuhiro</v>
      </c>
      <c r="D140" s="69" t="str">
        <f aca="false">_xlfn.xlookup(B140,Spec!A:A,Spec!D:D)</f>
        <v>EL3059</v>
      </c>
      <c r="E140" s="15" t="s">
        <v>134</v>
      </c>
      <c r="F140" s="15" t="str">
        <f aca="false">_xlfn.xlookup(E140,Clients!B:B,Clients!D:D,FALSE())</f>
        <v>F</v>
      </c>
      <c r="G140" s="42"/>
      <c r="H140" s="15" t="s">
        <v>589</v>
      </c>
      <c r="I140" s="61" t="str">
        <f aca="false">_xlfn.xlookup(B140,Spec!A:A,Spec!B:B)</f>
        <v>D11-2</v>
      </c>
      <c r="J140" s="61" t="s">
        <v>370</v>
      </c>
      <c r="K140" s="61" t="s">
        <v>320</v>
      </c>
      <c r="L140" s="61" t="str">
        <f aca="false">IF(F140="F","Larg: "&amp;P140&amp;"po   Long: "&amp;Q140&amp;"pi","W: "&amp;P140&amp;"in   L: "&amp;Q140&amp;"ft")</f>
        <v>Larg: 7.5po   Long: 5000pi</v>
      </c>
      <c r="N140" s="43" t="n">
        <v>0.466</v>
      </c>
      <c r="O140" s="43" t="s">
        <v>554</v>
      </c>
      <c r="P140" s="72" t="n">
        <v>7.5</v>
      </c>
      <c r="Q140" s="73" t="n">
        <v>5000</v>
      </c>
      <c r="R140" s="83" t="n">
        <f aca="false">P140*12*Q140/1000</f>
        <v>450</v>
      </c>
      <c r="S140" s="88" t="str">
        <f aca="false">_xlfn.xlookup(E140,Clients!B:B,Clients!D:D,FALSE())</f>
        <v>F</v>
      </c>
      <c r="T140" s="84" t="n">
        <f aca="false">IF(O140="msi",P140*12*Q140/1000*N140,IF(O140="sqm",P140/1000*Q140,N140))</f>
        <v>209.7</v>
      </c>
      <c r="U140" s="61" t="str">
        <f aca="false">IF(F140="F","roul.","roll")</f>
        <v>roul.</v>
      </c>
      <c r="V140" s="61" t="str">
        <f aca="false">_xlfn.xlookup(E140,Clients!B:B,Clients!X:X,FALSE())</f>
        <v>CAD</v>
      </c>
      <c r="X140" s="89" t="n">
        <f aca="false">IF(V140=Z140,N140,N140*W140)</f>
        <v>0.466</v>
      </c>
      <c r="Y140" s="61" t="str">
        <f aca="false">O140</f>
        <v>msi</v>
      </c>
      <c r="Z140" s="61" t="str">
        <f aca="false">_xlfn.xlookup(E140,Clients!B:B,Clients!Y:Y,FALSE())</f>
        <v>CAD</v>
      </c>
      <c r="AA140" s="61" t="str">
        <f aca="false">_xlfn.xlookup(B140,Spec!A:A,Spec!K:K,FALSE())</f>
        <v>Canada</v>
      </c>
      <c r="AB140" s="61" t="n">
        <f aca="false">_xlfn.xlookup(B140,Spec!A:A,Spec!L:L,FALSE())</f>
        <v>4811.41</v>
      </c>
    </row>
    <row r="141" customFormat="false" ht="14.25" hidden="false" customHeight="false" outlineLevel="0" collapsed="false">
      <c r="A141" s="1" t="n">
        <v>40160</v>
      </c>
      <c r="B141" s="1" t="n">
        <v>20025</v>
      </c>
      <c r="C141" s="61" t="str">
        <f aca="false">_xlfn.xlookup(B141,Spec!A:A,Spec!C:C)</f>
        <v>Etsuhiro</v>
      </c>
      <c r="D141" s="69" t="str">
        <f aca="false">_xlfn.xlookup(B141,Spec!A:A,Spec!D:D)</f>
        <v>EL3059</v>
      </c>
      <c r="E141" s="15" t="s">
        <v>269</v>
      </c>
      <c r="F141" s="15" t="str">
        <f aca="false">_xlfn.xlookup(E141,Clients!B:B,Clients!D:D,FALSE())</f>
        <v>F</v>
      </c>
      <c r="G141" s="42"/>
      <c r="H141" s="15" t="s">
        <v>669</v>
      </c>
      <c r="I141" s="61" t="str">
        <f aca="false">_xlfn.xlookup(B141,Spec!A:A,Spec!B:B)</f>
        <v>D11-2</v>
      </c>
      <c r="J141" s="61" t="s">
        <v>674</v>
      </c>
      <c r="K141" s="61" t="s">
        <v>550</v>
      </c>
      <c r="L141" s="61" t="str">
        <f aca="false">IF(F141="F","Larg: "&amp;P141&amp;"po   Long: "&amp;Q141&amp;"pi","W: "&amp;P141&amp;"in   L: "&amp;Q141&amp;"ft")</f>
        <v>Larg: 7.128po   Long: 2500pi</v>
      </c>
      <c r="N141" s="43"/>
      <c r="O141" s="43" t="s">
        <v>554</v>
      </c>
      <c r="P141" s="72" t="n">
        <v>7.128</v>
      </c>
      <c r="Q141" s="73" t="n">
        <v>2500</v>
      </c>
      <c r="R141" s="83" t="n">
        <f aca="false">P141*12*Q141/1000</f>
        <v>213.84</v>
      </c>
      <c r="S141" s="88" t="str">
        <f aca="false">_xlfn.xlookup(E141,Clients!B:B,Clients!D:D,FALSE())</f>
        <v>F</v>
      </c>
      <c r="T141" s="84" t="n">
        <f aca="false">IF(O141="msi",P141*12*Q141/1000*N141,IF(O141="sqm",P141/1000*Q141,N141))</f>
        <v>0</v>
      </c>
      <c r="U141" s="61" t="str">
        <f aca="false">IF(F141="F","roul.","roll")</f>
        <v>roul.</v>
      </c>
      <c r="V141" s="61" t="str">
        <f aca="false">_xlfn.xlookup(E141,Clients!B:B,Clients!X:X,FALSE())</f>
        <v>CAD</v>
      </c>
      <c r="X141" s="89" t="n">
        <f aca="false">IF(V141=Z141,N141,N141*W141)</f>
        <v>0</v>
      </c>
      <c r="Y141" s="61" t="str">
        <f aca="false">O141</f>
        <v>msi</v>
      </c>
      <c r="Z141" s="61" t="str">
        <f aca="false">_xlfn.xlookup(E141,Clients!B:B,Clients!Y:Y,FALSE())</f>
        <v>CAD</v>
      </c>
      <c r="AA141" s="61" t="str">
        <f aca="false">_xlfn.xlookup(B141,Spec!A:A,Spec!K:K,FALSE())</f>
        <v>Canada</v>
      </c>
      <c r="AB141" s="61" t="n">
        <f aca="false">_xlfn.xlookup(B141,Spec!A:A,Spec!L:L,FALSE())</f>
        <v>4811.41</v>
      </c>
    </row>
    <row r="142" customFormat="false" ht="14.25" hidden="false" customHeight="false" outlineLevel="0" collapsed="false">
      <c r="A142" s="1" t="n">
        <v>40161</v>
      </c>
      <c r="B142" s="1" t="n">
        <v>20025</v>
      </c>
      <c r="C142" s="61" t="str">
        <f aca="false">_xlfn.xlookup(B142,Spec!A:A,Spec!C:C)</f>
        <v>Etsuhiro</v>
      </c>
      <c r="D142" s="69" t="str">
        <f aca="false">_xlfn.xlookup(B142,Spec!A:A,Spec!D:D)</f>
        <v>EL3059</v>
      </c>
      <c r="E142" s="15" t="s">
        <v>134</v>
      </c>
      <c r="F142" s="15" t="str">
        <f aca="false">_xlfn.xlookup(E142,Clients!B:B,Clients!D:D,FALSE())</f>
        <v>F</v>
      </c>
      <c r="G142" s="42"/>
      <c r="H142" s="15" t="s">
        <v>671</v>
      </c>
      <c r="I142" s="61" t="str">
        <f aca="false">_xlfn.xlookup(B142,Spec!A:A,Spec!B:B)</f>
        <v>D11-2</v>
      </c>
      <c r="J142" s="61" t="s">
        <v>675</v>
      </c>
      <c r="K142" s="61" t="s">
        <v>676</v>
      </c>
      <c r="L142" s="61" t="s">
        <v>672</v>
      </c>
      <c r="N142" s="43" t="n">
        <v>12.33</v>
      </c>
      <c r="O142" s="43" t="s">
        <v>551</v>
      </c>
      <c r="P142" s="72" t="n">
        <v>4</v>
      </c>
      <c r="Q142" s="73" t="n">
        <v>6</v>
      </c>
      <c r="R142" s="83" t="n">
        <f aca="false">P142*12*Q142/1000</f>
        <v>0.288</v>
      </c>
      <c r="S142" s="88" t="str">
        <f aca="false">_xlfn.xlookup(E142,Clients!B:B,Clients!D:D,FALSE())</f>
        <v>F</v>
      </c>
      <c r="T142" s="84"/>
      <c r="U142" s="61"/>
      <c r="V142" s="61" t="str">
        <f aca="false">_xlfn.xlookup(E142,Clients!B:B,Clients!X:X,FALSE())</f>
        <v>CAD</v>
      </c>
      <c r="X142" s="89" t="n">
        <f aca="false">IF(V142=Z142,N142,N142*W142)</f>
        <v>12.33</v>
      </c>
      <c r="Y142" s="61" t="str">
        <f aca="false">O142</f>
        <v>roul.</v>
      </c>
      <c r="Z142" s="61" t="str">
        <f aca="false">_xlfn.xlookup(E142,Clients!B:B,Clients!Y:Y,FALSE())</f>
        <v>CAD</v>
      </c>
      <c r="AA142" s="61" t="str">
        <f aca="false">_xlfn.xlookup(B142,Spec!A:A,Spec!K:K,FALSE())</f>
        <v>Canada</v>
      </c>
      <c r="AB142" s="61" t="n">
        <f aca="false">_xlfn.xlookup(B142,Spec!A:A,Spec!L:L,FALSE())</f>
        <v>4811.41</v>
      </c>
    </row>
    <row r="143" customFormat="false" ht="14.25" hidden="false" customHeight="false" outlineLevel="0" collapsed="false">
      <c r="A143" s="1" t="n">
        <v>40162</v>
      </c>
      <c r="B143" s="1" t="n">
        <v>20026</v>
      </c>
      <c r="C143" s="61" t="str">
        <f aca="false">_xlfn.xlookup(B143,Spec!A:A,Spec!C:C)</f>
        <v>Kens</v>
      </c>
      <c r="D143" s="69" t="n">
        <f aca="false">_xlfn.xlookup(B143,Spec!A:A,Spec!D:D)</f>
        <v>0</v>
      </c>
      <c r="E143" s="15" t="s">
        <v>151</v>
      </c>
      <c r="F143" s="15" t="str">
        <f aca="false">_xlfn.xlookup(E143,Clients!B:B,Clients!D:D,FALSE())</f>
        <v>F</v>
      </c>
      <c r="G143" s="42"/>
      <c r="H143" s="15" t="s">
        <v>432</v>
      </c>
      <c r="I143" s="61" t="str">
        <f aca="false">_xlfn.xlookup(B143,Spec!A:A,Spec!B:B)</f>
        <v>F80</v>
      </c>
      <c r="J143" s="61"/>
      <c r="K143" s="61" t="str">
        <f aca="false">_xlfn.xlookup(B143,Spec!A:A,Spec!E:E)</f>
        <v>White PET C2S - 190µ - 7.5mils</v>
      </c>
      <c r="L143" s="61" t="str">
        <f aca="false">IF(F143="F","Larg: "&amp;P143&amp;"po   Long: "&amp;Q143&amp;"pi","W: "&amp;P143&amp;"in   L: "&amp;Q143&amp;"ft")</f>
        <v>Larg: 11po   Long: 5000pi</v>
      </c>
      <c r="N143" s="43" t="n">
        <v>2.2</v>
      </c>
      <c r="O143" s="43" t="s">
        <v>554</v>
      </c>
      <c r="P143" s="72" t="n">
        <v>11</v>
      </c>
      <c r="Q143" s="73" t="n">
        <v>5000</v>
      </c>
      <c r="R143" s="83" t="n">
        <f aca="false">P143*12*Q143/1000</f>
        <v>660</v>
      </c>
      <c r="S143" s="88" t="str">
        <f aca="false">_xlfn.xlookup(E143,Clients!B:B,Clients!D:D,FALSE())</f>
        <v>F</v>
      </c>
      <c r="T143" s="84" t="n">
        <f aca="false">IF(O143="msi",P143*12*Q143/1000*N143,IF(O143="sqm",P143/1000*Q143,N143))</f>
        <v>1452</v>
      </c>
      <c r="U143" s="61" t="str">
        <f aca="false">IF(F143="F","roul.","roll")</f>
        <v>roul.</v>
      </c>
      <c r="V143" s="61" t="str">
        <f aca="false">_xlfn.xlookup(E143,Clients!B:B,Clients!X:X,FALSE())</f>
        <v>CAD</v>
      </c>
      <c r="X143" s="89" t="n">
        <f aca="false">IF(V143=Z143,N143,N143*W143)</f>
        <v>2.2</v>
      </c>
      <c r="Y143" s="61" t="str">
        <f aca="false">O143</f>
        <v>msi</v>
      </c>
      <c r="Z143" s="61" t="str">
        <f aca="false">_xlfn.xlookup(E143,Clients!B:B,Clients!Y:Y,FALSE())</f>
        <v>CAD</v>
      </c>
      <c r="AA143" s="61" t="n">
        <f aca="false">_xlfn.xlookup(B143,Spec!A:A,Spec!K:K,FALSE())</f>
        <v>0</v>
      </c>
      <c r="AB143" s="61" t="n">
        <f aca="false">_xlfn.xlookup(B143,Spec!A:A,Spec!L:L,FALSE())</f>
        <v>3920.62</v>
      </c>
    </row>
    <row r="144" customFormat="false" ht="14.25" hidden="false" customHeight="false" outlineLevel="0" collapsed="false">
      <c r="A144" s="1" t="n">
        <v>40163</v>
      </c>
      <c r="B144" s="1" t="n">
        <v>20027</v>
      </c>
      <c r="C144" s="61" t="str">
        <f aca="false">_xlfn.xlookup(B144,Spec!A:A,Spec!C:C)</f>
        <v>Kens</v>
      </c>
      <c r="D144" s="69" t="n">
        <f aca="false">_xlfn.xlookup(B144,Spec!A:A,Spec!D:D)</f>
        <v>0</v>
      </c>
      <c r="E144" s="15" t="s">
        <v>151</v>
      </c>
      <c r="F144" s="15" t="str">
        <f aca="false">_xlfn.xlookup(E144,Clients!B:B,Clients!D:D,FALSE())</f>
        <v>F</v>
      </c>
      <c r="G144" s="42"/>
      <c r="H144" s="15" t="s">
        <v>436</v>
      </c>
      <c r="I144" s="61" t="str">
        <f aca="false">_xlfn.xlookup(B144,Spec!A:A,Spec!B:B)</f>
        <v>F81</v>
      </c>
      <c r="J144" s="61"/>
      <c r="K144" s="61" t="str">
        <f aca="false">_xlfn.xlookup(B144,Spec!A:A,Spec!E:E)</f>
        <v>White PET C2S - 140µ - 5.5mils</v>
      </c>
      <c r="L144" s="61" t="s">
        <v>438</v>
      </c>
      <c r="N144" s="43" t="n">
        <v>150</v>
      </c>
      <c r="O144" s="43" t="s">
        <v>677</v>
      </c>
      <c r="P144" s="72"/>
      <c r="Q144" s="73"/>
      <c r="R144" s="83" t="n">
        <f aca="false">P144*12*Q144/1000</f>
        <v>0</v>
      </c>
      <c r="S144" s="88" t="str">
        <f aca="false">_xlfn.xlookup(E144,Clients!B:B,Clients!D:D,FALSE())</f>
        <v>F</v>
      </c>
      <c r="T144" s="84"/>
      <c r="U144" s="61"/>
      <c r="V144" s="61" t="str">
        <f aca="false">_xlfn.xlookup(E144,Clients!B:B,Clients!X:X,FALSE())</f>
        <v>CAD</v>
      </c>
      <c r="X144" s="89" t="n">
        <f aca="false">IF(V144=Z144,N144,N144*W144)</f>
        <v>150</v>
      </c>
      <c r="Y144" s="61" t="str">
        <f aca="false">O144</f>
        <v>pqt</v>
      </c>
      <c r="Z144" s="61" t="str">
        <f aca="false">_xlfn.xlookup(E144,Clients!B:B,Clients!Y:Y,FALSE())</f>
        <v>CAD</v>
      </c>
      <c r="AA144" s="61" t="n">
        <f aca="false">_xlfn.xlookup(B144,Spec!A:A,Spec!K:K,FALSE())</f>
        <v>0</v>
      </c>
      <c r="AB144" s="61" t="n">
        <f aca="false">_xlfn.xlookup(B144,Spec!A:A,Spec!L:L,FALSE())</f>
        <v>3920.62</v>
      </c>
    </row>
    <row r="145" customFormat="false" ht="14.25" hidden="false" customHeight="false" outlineLevel="0" collapsed="false">
      <c r="A145" s="1" t="n">
        <v>40164</v>
      </c>
      <c r="B145" s="1" t="n">
        <v>20028</v>
      </c>
      <c r="C145" s="61" t="str">
        <f aca="false">_xlfn.xlookup(B145,Spec!A:A,Spec!C:C)</f>
        <v>Kens</v>
      </c>
      <c r="D145" s="69" t="n">
        <f aca="false">_xlfn.xlookup(B145,Spec!A:A,Spec!D:D)</f>
        <v>0</v>
      </c>
      <c r="E145" s="15" t="s">
        <v>151</v>
      </c>
      <c r="F145" s="15" t="str">
        <f aca="false">_xlfn.xlookup(E145,Clients!B:B,Clients!D:D,FALSE())</f>
        <v>F</v>
      </c>
      <c r="G145" s="42"/>
      <c r="H145" s="15" t="s">
        <v>439</v>
      </c>
      <c r="I145" s="61" t="str">
        <f aca="false">_xlfn.xlookup(B145,Spec!A:A,Spec!B:B)</f>
        <v>F82</v>
      </c>
      <c r="J145" s="61"/>
      <c r="K145" s="61" t="str">
        <f aca="false">_xlfn.xlookup(B145,Spec!A:A,Spec!E:E)</f>
        <v>White PET C2S - 110µ - 4.5mils</v>
      </c>
      <c r="L145" s="61" t="s">
        <v>438</v>
      </c>
      <c r="N145" s="43" t="n">
        <v>150</v>
      </c>
      <c r="O145" s="43" t="s">
        <v>677</v>
      </c>
      <c r="P145" s="72"/>
      <c r="Q145" s="73"/>
      <c r="R145" s="83" t="n">
        <f aca="false">P145*12*Q145/1000</f>
        <v>0</v>
      </c>
      <c r="S145" s="88" t="str">
        <f aca="false">_xlfn.xlookup(E145,Clients!B:B,Clients!D:D,FALSE())</f>
        <v>F</v>
      </c>
      <c r="T145" s="84"/>
      <c r="U145" s="61"/>
      <c r="V145" s="61" t="str">
        <f aca="false">_xlfn.xlookup(E145,Clients!B:B,Clients!X:X,FALSE())</f>
        <v>CAD</v>
      </c>
      <c r="X145" s="89" t="n">
        <f aca="false">IF(V145=Z145,N145,N145*W145)</f>
        <v>150</v>
      </c>
      <c r="Y145" s="61" t="str">
        <f aca="false">O145</f>
        <v>pqt</v>
      </c>
      <c r="Z145" s="61" t="str">
        <f aca="false">_xlfn.xlookup(E145,Clients!B:B,Clients!Y:Y,FALSE())</f>
        <v>CAD</v>
      </c>
      <c r="AA145" s="61" t="n">
        <f aca="false">_xlfn.xlookup(B145,Spec!A:A,Spec!K:K,FALSE())</f>
        <v>0</v>
      </c>
      <c r="AB145" s="61" t="n">
        <f aca="false">_xlfn.xlookup(B145,Spec!A:A,Spec!L:L,FALSE())</f>
        <v>3920.62</v>
      </c>
    </row>
    <row r="146" customFormat="false" ht="14.25" hidden="false" customHeight="false" outlineLevel="0" collapsed="false">
      <c r="A146" s="1" t="n">
        <v>40165</v>
      </c>
      <c r="B146" s="1" t="n">
        <v>20029</v>
      </c>
      <c r="C146" s="61" t="str">
        <f aca="false">_xlfn.xlookup(B146,Spec!A:A,Spec!C:C)</f>
        <v>Fujian Mingyou New Mat</v>
      </c>
      <c r="D146" s="69" t="str">
        <f aca="false">_xlfn.xlookup(B146,Spec!A:A,Spec!D:D)</f>
        <v>W728</v>
      </c>
      <c r="E146" s="15" t="s">
        <v>250</v>
      </c>
      <c r="F146" s="15" t="str">
        <f aca="false">_xlfn.xlookup(E146,Clients!B:B,Clients!D:D,FALSE())</f>
        <v>F</v>
      </c>
      <c r="G146" s="42"/>
      <c r="H146" s="15" t="s">
        <v>441</v>
      </c>
      <c r="I146" s="61" t="str">
        <f aca="false">_xlfn.xlookup(B146,Spec!A:A,Spec!B:B)</f>
        <v>Z110450-W28</v>
      </c>
      <c r="J146" s="61" t="str">
        <f aca="false">_xlfn.xlookup(B146,Spec!A:A,Spec!J:J)</f>
        <v>110mm x 450 m</v>
      </c>
      <c r="K146" s="61" t="s">
        <v>446</v>
      </c>
      <c r="L146" s="61" t="s">
        <v>678</v>
      </c>
      <c r="N146" s="43" t="n">
        <v>4.25</v>
      </c>
      <c r="O146" s="43" t="s">
        <v>551</v>
      </c>
      <c r="P146" s="72"/>
      <c r="Q146" s="73"/>
      <c r="R146" s="83" t="n">
        <f aca="false">P146*12*Q146/1000</f>
        <v>0</v>
      </c>
      <c r="S146" s="88" t="str">
        <f aca="false">_xlfn.xlookup(E146,Clients!B:B,Clients!D:D,FALSE())</f>
        <v>F</v>
      </c>
      <c r="T146" s="84"/>
      <c r="U146" s="61"/>
      <c r="V146" s="61" t="str">
        <f aca="false">_xlfn.xlookup(E146,Clients!B:B,Clients!X:X,FALSE())</f>
        <v>CAD</v>
      </c>
      <c r="X146" s="89" t="n">
        <f aca="false">IF(V146=Z146,N146,N146*W146)</f>
        <v>4.25</v>
      </c>
      <c r="Y146" s="61" t="str">
        <f aca="false">O146</f>
        <v>roul.</v>
      </c>
      <c r="Z146" s="61" t="str">
        <f aca="false">_xlfn.xlookup(E146,Clients!B:B,Clients!Y:Y,FALSE())</f>
        <v>CAD</v>
      </c>
      <c r="AA146" s="61" t="n">
        <f aca="false">_xlfn.xlookup(B146,Spec!A:A,Spec!K:K,FALSE())</f>
        <v>0</v>
      </c>
      <c r="AB146" s="61" t="n">
        <f aca="false">_xlfn.xlookup(B146,Spec!A:A,Spec!L:L,FALSE())</f>
        <v>0</v>
      </c>
    </row>
    <row r="147" customFormat="false" ht="14.25" hidden="false" customHeight="false" outlineLevel="0" collapsed="false">
      <c r="A147" s="1" t="n">
        <v>40166</v>
      </c>
      <c r="B147" s="1" t="n">
        <v>20025</v>
      </c>
      <c r="C147" s="61" t="str">
        <f aca="false">_xlfn.xlookup(B147,Spec!A:A,Spec!C:C)</f>
        <v>Etsuhiro</v>
      </c>
      <c r="D147" s="69" t="str">
        <f aca="false">_xlfn.xlookup(B147,Spec!A:A,Spec!D:D)</f>
        <v>EL3059</v>
      </c>
      <c r="E147" s="15" t="s">
        <v>199</v>
      </c>
      <c r="F147" s="15" t="str">
        <f aca="false">_xlfn.xlookup(E147,Clients!B:B,Clients!D:D,FALSE())</f>
        <v>F</v>
      </c>
      <c r="G147" s="42"/>
      <c r="H147" s="15" t="s">
        <v>669</v>
      </c>
      <c r="I147" s="61" t="str">
        <f aca="false">_xlfn.xlookup(B147,Spec!A:A,Spec!B:B)</f>
        <v>D11-2</v>
      </c>
      <c r="J147" s="61" t="str">
        <f aca="false">_xlfn.xlookup(B147,Spec!A:A,Spec!J:J)</f>
        <v>TC DT - Hotmelt Adhesive</v>
      </c>
      <c r="K147" s="61" t="str">
        <f aca="false">_xlfn.xlookup(B147,Spec!A:A,Spec!E:E)</f>
        <v>Self Adhesive Paper</v>
      </c>
      <c r="L147" s="61" t="str">
        <f aca="false">IF(F147="F","Larg: "&amp;P147&amp;"po   Long: "&amp;Q147&amp;"pi","W: "&amp;P147&amp;"in   L: "&amp;Q147&amp;"ft")</f>
        <v>Larg: 17.15po   Long: 10000pi</v>
      </c>
      <c r="N147" s="43"/>
      <c r="O147" s="43" t="s">
        <v>554</v>
      </c>
      <c r="P147" s="72" t="n">
        <v>17.15</v>
      </c>
      <c r="Q147" s="73" t="n">
        <v>10000</v>
      </c>
      <c r="R147" s="83" t="n">
        <f aca="false">P147*12*Q147/1000</f>
        <v>2058</v>
      </c>
      <c r="S147" s="88" t="str">
        <f aca="false">_xlfn.xlookup(E147,Clients!B:B,Clients!D:D,FALSE())</f>
        <v>F</v>
      </c>
      <c r="T147" s="84" t="n">
        <f aca="false">IF(O147="msi",P147*12*Q147/1000*N147,IF(O147="sqm",P147/1000*Q147,N147))</f>
        <v>0</v>
      </c>
      <c r="U147" s="61" t="str">
        <f aca="false">IF(F147="F","roul.","roll")</f>
        <v>roul.</v>
      </c>
      <c r="V147" s="61" t="str">
        <f aca="false">_xlfn.xlookup(E147,Clients!B:B,Clients!X:X,FALSE())</f>
        <v>CAD</v>
      </c>
      <c r="X147" s="89" t="n">
        <f aca="false">IF(V147=Z147,N147,N147*W147)</f>
        <v>0</v>
      </c>
      <c r="Y147" s="61" t="str">
        <f aca="false">O147</f>
        <v>msi</v>
      </c>
      <c r="Z147" s="61" t="str">
        <f aca="false">_xlfn.xlookup(E147,Clients!B:B,Clients!Y:Y,FALSE())</f>
        <v>CAD</v>
      </c>
      <c r="AA147" s="61" t="str">
        <f aca="false">_xlfn.xlookup(B147,Spec!A:A,Spec!K:K,FALSE())</f>
        <v>Canada</v>
      </c>
      <c r="AB147" s="61" t="n">
        <f aca="false">_xlfn.xlookup(B147,Spec!A:A,Spec!L:L,FALSE())</f>
        <v>4811.41</v>
      </c>
    </row>
    <row r="148" customFormat="false" ht="14.25" hidden="false" customHeight="false" outlineLevel="0" collapsed="false">
      <c r="A148" s="1" t="n">
        <v>40167</v>
      </c>
      <c r="B148" s="1" t="n">
        <v>20012</v>
      </c>
      <c r="C148" s="61" t="str">
        <f aca="false">_xlfn.xlookup(B148,Spec!A:A,Spec!C:C)</f>
        <v>AKO</v>
      </c>
      <c r="D148" s="69" t="str">
        <f aca="false">_xlfn.xlookup(B148,Spec!A:A,Spec!D:D)</f>
        <v>AR316 (AH2002)</v>
      </c>
      <c r="E148" s="15" t="s">
        <v>199</v>
      </c>
      <c r="F148" s="15" t="str">
        <f aca="false">_xlfn.xlookup(E148,Clients!B:B,Clients!D:D,FALSE())</f>
        <v>F</v>
      </c>
      <c r="G148" s="42"/>
      <c r="H148" s="15" t="s">
        <v>589</v>
      </c>
      <c r="I148" s="61" t="str">
        <f aca="false">_xlfn.xlookup(B148,Spec!A:A,Spec!B:B)</f>
        <v>D21-1</v>
      </c>
      <c r="J148" s="61" t="str">
        <f aca="false">_xlfn.xlookup(B148,Spec!A:A,Spec!J:J)</f>
        <v>TC DT - Hotmelt Adhesive</v>
      </c>
      <c r="K148" s="61" t="str">
        <f aca="false">_xlfn.xlookup(B148,Spec!A:A,Spec!E:E)</f>
        <v>Self Adhesive Paper</v>
      </c>
      <c r="L148" s="61" t="str">
        <f aca="false">IF(F148="F","Larg: "&amp;P148&amp;"po   Long: "&amp;Q148&amp;"pi","W: "&amp;P148&amp;"in   L: "&amp;Q148&amp;"ft")</f>
        <v>Larg: 17.15po   Long: 10000pi</v>
      </c>
      <c r="N148" s="43"/>
      <c r="O148" s="43" t="s">
        <v>554</v>
      </c>
      <c r="P148" s="72" t="n">
        <v>17.15</v>
      </c>
      <c r="Q148" s="73" t="n">
        <v>10000</v>
      </c>
      <c r="R148" s="83" t="n">
        <f aca="false">P148*12*Q148/1000</f>
        <v>2058</v>
      </c>
      <c r="S148" s="88" t="str">
        <f aca="false">_xlfn.xlookup(E148,Clients!B:B,Clients!D:D,FALSE())</f>
        <v>F</v>
      </c>
      <c r="T148" s="84" t="n">
        <f aca="false">IF(O148="msi",P148*12*Q148/1000*N148,IF(O148="sqm",P148/1000*Q148,N148))</f>
        <v>0</v>
      </c>
      <c r="U148" s="61" t="str">
        <f aca="false">IF(F148="F","roul.","roll")</f>
        <v>roul.</v>
      </c>
      <c r="V148" s="61" t="str">
        <f aca="false">_xlfn.xlookup(E148,Clients!B:B,Clients!X:X,FALSE())</f>
        <v>CAD</v>
      </c>
      <c r="X148" s="89" t="n">
        <f aca="false">IF(V148=Z148,N148,N148*W148)</f>
        <v>0</v>
      </c>
      <c r="Y148" s="61" t="str">
        <f aca="false">O148</f>
        <v>msi</v>
      </c>
      <c r="Z148" s="61" t="str">
        <f aca="false">_xlfn.xlookup(E148,Clients!B:B,Clients!Y:Y,FALSE())</f>
        <v>CAD</v>
      </c>
      <c r="AA148" s="61" t="str">
        <f aca="false">_xlfn.xlookup(B148,Spec!A:A,Spec!K:K,FALSE())</f>
        <v>Canada</v>
      </c>
      <c r="AB148" s="61" t="n">
        <f aca="false">_xlfn.xlookup(B148,Spec!A:A,Spec!L:L,FALSE())</f>
        <v>4811.41</v>
      </c>
    </row>
    <row r="149" customFormat="false" ht="14.25" hidden="false" customHeight="false" outlineLevel="0" collapsed="false">
      <c r="A149" s="1" t="n">
        <v>40168</v>
      </c>
      <c r="B149" s="1" t="n">
        <v>20013</v>
      </c>
      <c r="C149" s="61" t="str">
        <f aca="false">_xlfn.xlookup(B149,Spec!A:A,Spec!C:C)</f>
        <v>AKO</v>
      </c>
      <c r="D149" s="69" t="str">
        <f aca="false">_xlfn.xlookup(B149,Spec!A:A,Spec!D:D)</f>
        <v>Hansol TC CL74</v>
      </c>
      <c r="E149" s="15" t="s">
        <v>141</v>
      </c>
      <c r="F149" s="15" t="str">
        <f aca="false">_xlfn.xlookup(E149,Clients!B:B,Clients!D:D,FALSE())</f>
        <v>F</v>
      </c>
      <c r="G149" s="42"/>
      <c r="H149" s="15" t="s">
        <v>669</v>
      </c>
      <c r="I149" s="61" t="str">
        <f aca="false">_xlfn.xlookup(B149,Spec!A:A,Spec!B:B)</f>
        <v>D11-1</v>
      </c>
      <c r="J149" s="61" t="str">
        <f aca="false">_xlfn.xlookup(B149,Spec!A:A,Spec!J:J)</f>
        <v>TC DT - Hotmelt Adhesive</v>
      </c>
      <c r="K149" s="61" t="str">
        <f aca="false">_xlfn.xlookup(B149,Spec!A:A,Spec!E:E)</f>
        <v>Self Adhesive Paper</v>
      </c>
      <c r="L149" s="61" t="str">
        <f aca="false">IF(F149="F","Larg: "&amp;P149&amp;"po   Long: "&amp;Q149&amp;"pi","W: "&amp;P149&amp;"in   L: "&amp;Q149&amp;"ft")</f>
        <v>Larg: 9.875po   Long: 2500pi</v>
      </c>
      <c r="N149" s="43" t="n">
        <v>0</v>
      </c>
      <c r="O149" s="43" t="s">
        <v>554</v>
      </c>
      <c r="P149" s="72" t="n">
        <v>9.875</v>
      </c>
      <c r="Q149" s="73" t="n">
        <v>2500</v>
      </c>
      <c r="R149" s="83" t="n">
        <f aca="false">P149*12*Q149/1000</f>
        <v>296.25</v>
      </c>
      <c r="S149" s="88" t="str">
        <f aca="false">_xlfn.xlookup(E149,Clients!B:B,Clients!D:D,FALSE())</f>
        <v>F</v>
      </c>
      <c r="T149" s="84" t="n">
        <f aca="false">IF(O149="msi",P149*12*Q149/1000*N149,IF(O149="sqm",P149/1000*Q149,N149))</f>
        <v>0</v>
      </c>
      <c r="U149" s="61" t="str">
        <f aca="false">IF(F149="F","roul.","roll")</f>
        <v>roul.</v>
      </c>
      <c r="V149" s="61" t="str">
        <f aca="false">_xlfn.xlookup(E149,Clients!B:B,Clients!X:X,FALSE())</f>
        <v>CAD</v>
      </c>
      <c r="X149" s="89" t="n">
        <f aca="false">IF(V149=Z149,N149,N149*W149)</f>
        <v>0</v>
      </c>
      <c r="Y149" s="61" t="str">
        <f aca="false">O149</f>
        <v>msi</v>
      </c>
      <c r="Z149" s="61" t="str">
        <f aca="false">_xlfn.xlookup(E149,Clients!B:B,Clients!Y:Y,FALSE())</f>
        <v>CAD</v>
      </c>
      <c r="AA149" s="61" t="str">
        <f aca="false">_xlfn.xlookup(B149,Spec!A:A,Spec!K:K,FALSE())</f>
        <v>Canada</v>
      </c>
      <c r="AB149" s="61" t="n">
        <f aca="false">_xlfn.xlookup(B149,Spec!A:A,Spec!L:L,FALSE())</f>
        <v>4811.41</v>
      </c>
    </row>
    <row r="150" customFormat="false" ht="14.25" hidden="false" customHeight="false" outlineLevel="0" collapsed="false">
      <c r="A150" s="1" t="n">
        <v>40169</v>
      </c>
      <c r="B150" s="26" t="n">
        <v>20018</v>
      </c>
      <c r="C150" s="61" t="str">
        <f aca="false">_xlfn.xlookup(B150,Spec!A:A,Spec!C:C)</f>
        <v>AKO</v>
      </c>
      <c r="D150" s="69" t="str">
        <f aca="false">_xlfn.xlookup(B150,Spec!A:A,Spec!D:D)</f>
        <v>AH3010</v>
      </c>
      <c r="E150" s="15" t="s">
        <v>31</v>
      </c>
      <c r="F150" s="15" t="str">
        <f aca="false">_xlfn.xlookup(E150,Clients!B:B,Clients!D:D,FALSE())</f>
        <v>A</v>
      </c>
      <c r="G150" s="42" t="s">
        <v>679</v>
      </c>
      <c r="H150" s="15" t="s">
        <v>574</v>
      </c>
      <c r="I150" s="61" t="s">
        <v>371</v>
      </c>
      <c r="J150" s="61" t="str">
        <f aca="false">_xlfn.xlookup(B150,Spec!A:A,Spec!J:J)</f>
        <v>TC DT - Acrylic Adhesive</v>
      </c>
      <c r="K150" s="61" t="str">
        <f aca="false">_xlfn.xlookup(B150,Spec!A:A,Spec!E:E)</f>
        <v>Self Adhesive Paper</v>
      </c>
      <c r="L150" s="61" t="str">
        <f aca="false">IF(F150="F","Larg: "&amp;P150&amp;"po   Long: "&amp;Q150&amp;"pi","W: "&amp;P150&amp;"in   L: "&amp;Q150&amp;"ft")</f>
        <v>W: 6.875in   L: 5000ft</v>
      </c>
      <c r="N150" s="43" t="n">
        <v>0.31</v>
      </c>
      <c r="O150" s="43" t="s">
        <v>554</v>
      </c>
      <c r="P150" s="72" t="n">
        <v>6.875</v>
      </c>
      <c r="Q150" s="73" t="n">
        <v>5000</v>
      </c>
      <c r="R150" s="83" t="n">
        <f aca="false">P150*12*Q150/1000</f>
        <v>412.5</v>
      </c>
      <c r="S150" s="88" t="str">
        <f aca="false">_xlfn.xlookup(E150,Clients!B:B,Clients!D:D,FALSE())</f>
        <v>A</v>
      </c>
      <c r="T150" s="84" t="n">
        <f aca="false">IF(O150="msi",P150*12*Q150/1000*N150,IF(O150="sqm",P150/1000*Q150,N150))</f>
        <v>127.875</v>
      </c>
      <c r="U150" s="61" t="str">
        <f aca="false">IF(F150="F","roul.","roll")</f>
        <v>roll</v>
      </c>
      <c r="V150" s="61" t="str">
        <f aca="false">_xlfn.xlookup(E150,Clients!B:B,Clients!X:X,FALSE())</f>
        <v>USD</v>
      </c>
      <c r="X150" s="89" t="n">
        <f aca="false">IF(V150=Z150,N150,N150*W150)</f>
        <v>0.31</v>
      </c>
      <c r="Y150" s="61" t="str">
        <f aca="false">O150</f>
        <v>msi</v>
      </c>
      <c r="Z150" s="61" t="str">
        <f aca="false">_xlfn.xlookup(E150,Clients!B:B,Clients!Y:Y,FALSE())</f>
        <v>USD</v>
      </c>
      <c r="AA150" s="61" t="str">
        <f aca="false">_xlfn.xlookup(B150,Spec!A:A,Spec!K:K,FALSE())</f>
        <v>Canada</v>
      </c>
      <c r="AB150" s="61" t="n">
        <f aca="false">_xlfn.xlookup(B150,Spec!A:A,Spec!L:L,FALSE())</f>
        <v>4811.41</v>
      </c>
    </row>
    <row r="151" customFormat="false" ht="14.25" hidden="false" customHeight="false" outlineLevel="0" collapsed="false">
      <c r="A151" s="1" t="n">
        <v>40170</v>
      </c>
      <c r="B151" s="26" t="n">
        <v>20018</v>
      </c>
      <c r="C151" s="61" t="str">
        <f aca="false">_xlfn.xlookup(B151,Spec!A:A,Spec!C:C)</f>
        <v>AKO</v>
      </c>
      <c r="D151" s="69" t="str">
        <f aca="false">_xlfn.xlookup(B151,Spec!A:A,Spec!D:D)</f>
        <v>AH3010</v>
      </c>
      <c r="E151" s="15" t="s">
        <v>31</v>
      </c>
      <c r="F151" s="15" t="str">
        <f aca="false">_xlfn.xlookup(E151,Clients!B:B,Clients!D:D,FALSE())</f>
        <v>A</v>
      </c>
      <c r="G151" s="42" t="s">
        <v>680</v>
      </c>
      <c r="H151" s="15" t="s">
        <v>574</v>
      </c>
      <c r="I151" s="61" t="s">
        <v>371</v>
      </c>
      <c r="J151" s="61" t="str">
        <f aca="false">_xlfn.xlookup(B151,Spec!A:A,Spec!J:J)</f>
        <v>TC DT - Acrylic Adhesive</v>
      </c>
      <c r="K151" s="61" t="str">
        <f aca="false">_xlfn.xlookup(B151,Spec!A:A,Spec!E:E)</f>
        <v>Self Adhesive Paper</v>
      </c>
      <c r="L151" s="61" t="str">
        <f aca="false">IF(F151="F","Larg: "&amp;P151&amp;"po   Long: "&amp;Q151&amp;"pi","W: "&amp;P151&amp;"in   L: "&amp;Q151&amp;"ft")</f>
        <v>W: 5.875in   L: 5000ft</v>
      </c>
      <c r="N151" s="43" t="n">
        <v>0.31</v>
      </c>
      <c r="O151" s="43" t="s">
        <v>554</v>
      </c>
      <c r="P151" s="72" t="n">
        <v>5.875</v>
      </c>
      <c r="Q151" s="73" t="n">
        <v>5000</v>
      </c>
      <c r="R151" s="83" t="n">
        <f aca="false">P151*12*Q151/1000</f>
        <v>352.5</v>
      </c>
      <c r="S151" s="88" t="str">
        <f aca="false">_xlfn.xlookup(E151,Clients!B:B,Clients!D:D,FALSE())</f>
        <v>A</v>
      </c>
      <c r="T151" s="84" t="n">
        <f aca="false">IF(O151="msi",P151*12*Q151/1000*N151,IF(O151="sqm",P151/1000*Q151,N151))</f>
        <v>109.275</v>
      </c>
      <c r="U151" s="61" t="str">
        <f aca="false">IF(F151="F","roul.","roll")</f>
        <v>roll</v>
      </c>
      <c r="V151" s="61" t="str">
        <f aca="false">_xlfn.xlookup(E151,Clients!B:B,Clients!X:X,FALSE())</f>
        <v>USD</v>
      </c>
      <c r="X151" s="89" t="n">
        <f aca="false">IF(V151=Z151,N151,N151*W151)</f>
        <v>0.31</v>
      </c>
      <c r="Y151" s="61" t="str">
        <f aca="false">O151</f>
        <v>msi</v>
      </c>
      <c r="Z151" s="61" t="str">
        <f aca="false">_xlfn.xlookup(E151,Clients!B:B,Clients!Y:Y,FALSE())</f>
        <v>USD</v>
      </c>
      <c r="AA151" s="61" t="str">
        <f aca="false">_xlfn.xlookup(B151,Spec!A:A,Spec!K:K,FALSE())</f>
        <v>Canada</v>
      </c>
      <c r="AB151" s="61" t="n">
        <f aca="false">_xlfn.xlookup(B151,Spec!A:A,Spec!L:L,FALSE())</f>
        <v>4811.41</v>
      </c>
    </row>
    <row r="152" customFormat="false" ht="14.25" hidden="false" customHeight="false" outlineLevel="0" collapsed="false">
      <c r="A152" s="1" t="n">
        <v>40171</v>
      </c>
      <c r="B152" s="1" t="n">
        <v>20015</v>
      </c>
      <c r="C152" s="61" t="str">
        <f aca="false">_xlfn.xlookup(B152,Spec!A:A,Spec!C:C)</f>
        <v>Jinda</v>
      </c>
      <c r="D152" s="69" t="str">
        <f aca="false">_xlfn.xlookup(B152,Spec!A:A,Spec!D:D)</f>
        <v>0402105</v>
      </c>
      <c r="E152" s="15" t="s">
        <v>178</v>
      </c>
      <c r="F152" s="15" t="str">
        <f aca="false">_xlfn.xlookup(E152,Clients!B:B,Clients!D:D,FALSE())</f>
        <v>A</v>
      </c>
      <c r="G152" s="42"/>
      <c r="H152" s="15" t="s">
        <v>586</v>
      </c>
      <c r="I152" s="61" t="str">
        <f aca="false">_xlfn.xlookup(B152,Spec!A:A,Spec!B:B)</f>
        <v>S15-3</v>
      </c>
      <c r="J152" s="61" t="str">
        <f aca="false">_xlfn.xlookup(B152,Spec!A:A,Spec!J:J)</f>
        <v>SG - Acrylic Adhesive</v>
      </c>
      <c r="K152" s="61" t="str">
        <f aca="false">_xlfn.xlookup(B152,Spec!A:A,Spec!E:E)</f>
        <v>Self Adhesive Paper</v>
      </c>
      <c r="L152" s="61" t="str">
        <f aca="false">IF(F152="F","Larg: "&amp;P152&amp;"po   Long: "&amp;Q152&amp;"pi","W: "&amp;P152&amp;"in   L: "&amp;Q152&amp;"ft")</f>
        <v>W: 10in   L: 10000ft</v>
      </c>
      <c r="N152" s="90" t="n">
        <v>0.347</v>
      </c>
      <c r="O152" s="43" t="s">
        <v>554</v>
      </c>
      <c r="P152" s="72" t="n">
        <v>10</v>
      </c>
      <c r="Q152" s="73" t="n">
        <v>10000</v>
      </c>
      <c r="R152" s="83" t="n">
        <f aca="false">P152*12*Q152/1000</f>
        <v>1200</v>
      </c>
      <c r="S152" s="88" t="str">
        <f aca="false">_xlfn.xlookup(E152,Clients!B:B,Clients!D:D,FALSE())</f>
        <v>A</v>
      </c>
      <c r="T152" s="84" t="n">
        <f aca="false">IF(O152="msi",P152*12*Q152/1000*N152,IF(O152="sqm",P152/1000*Q152,N152))</f>
        <v>416.4</v>
      </c>
      <c r="U152" s="61" t="str">
        <f aca="false">IF(F152="F","roul.","roll")</f>
        <v>roll</v>
      </c>
      <c r="V152" s="61" t="str">
        <f aca="false">_xlfn.xlookup(E152,Clients!B:B,Clients!X:X,FALSE())</f>
        <v>CAD</v>
      </c>
      <c r="X152" s="89" t="n">
        <f aca="false">IF(V152=Z152,N152,N152*W152)</f>
        <v>0.347</v>
      </c>
      <c r="Y152" s="61" t="str">
        <f aca="false">O152</f>
        <v>msi</v>
      </c>
      <c r="Z152" s="61" t="str">
        <f aca="false">_xlfn.xlookup(E152,Clients!B:B,Clients!Y:Y,FALSE())</f>
        <v>CAD</v>
      </c>
      <c r="AA152" s="61" t="str">
        <f aca="false">_xlfn.xlookup(B152,Spec!A:A,Spec!K:K,FALSE())</f>
        <v>Canada</v>
      </c>
      <c r="AB152" s="61" t="n">
        <f aca="false">_xlfn.xlookup(B152,Spec!A:A,Spec!L:L,FALSE())</f>
        <v>4811.41</v>
      </c>
    </row>
    <row r="153" customFormat="false" ht="14.25" hidden="false" customHeight="false" outlineLevel="0" collapsed="false">
      <c r="A153" s="1" t="n">
        <v>40172</v>
      </c>
      <c r="B153" s="1" t="n">
        <v>20011</v>
      </c>
      <c r="C153" s="61" t="str">
        <f aca="false">_xlfn.xlookup(B153,Spec!A:A,Spec!C:C)</f>
        <v>AKO</v>
      </c>
      <c r="D153" s="69" t="str">
        <f aca="false">_xlfn.xlookup(B153,Spec!A:A,Spec!D:D)</f>
        <v>AP1019</v>
      </c>
      <c r="E153" s="15" t="s">
        <v>189</v>
      </c>
      <c r="F153" s="15" t="str">
        <f aca="false">_xlfn.xlookup(E153,Clients!B:B,Clients!D:D,FALSE())</f>
        <v>F</v>
      </c>
      <c r="G153" s="42"/>
      <c r="H153" s="15" t="s">
        <v>602</v>
      </c>
      <c r="I153" s="61" t="str">
        <f aca="false">_xlfn.xlookup(B153,Spec!A:A,Spec!B:B)</f>
        <v>S21-1</v>
      </c>
      <c r="J153" s="61" t="str">
        <f aca="false">_xlfn.xlookup(B153,Spec!A:A,Spec!J:J)</f>
        <v>SG - Hotmelt Adhesive</v>
      </c>
      <c r="K153" s="61" t="str">
        <f aca="false">_xlfn.xlookup(B153,Spec!A:A,Spec!E:E)</f>
        <v>Self Adhesive Paper</v>
      </c>
      <c r="L153" s="61" t="str">
        <f aca="false">IF(F153="F","Larg: "&amp;P153&amp;"po   Long: "&amp;Q153&amp;"pi","W: "&amp;P153&amp;"in   L: "&amp;Q153&amp;"ft")</f>
        <v>Larg: 5.625po   Long: 5000pi</v>
      </c>
      <c r="N153" s="43" t="n">
        <v>0.322</v>
      </c>
      <c r="O153" s="43" t="s">
        <v>554</v>
      </c>
      <c r="P153" s="72" t="n">
        <v>5.625</v>
      </c>
      <c r="Q153" s="73" t="n">
        <v>5000</v>
      </c>
      <c r="R153" s="83" t="n">
        <f aca="false">P153*12*Q153/1000</f>
        <v>337.5</v>
      </c>
      <c r="S153" s="88" t="str">
        <f aca="false">_xlfn.xlookup(E153,Clients!B:B,Clients!D:D,FALSE())</f>
        <v>F</v>
      </c>
      <c r="T153" s="84" t="n">
        <f aca="false">IF(O153="msi",P153*12*Q153/1000*N153,IF(O153="sqm",P153/1000*Q153,N153))</f>
        <v>108.675</v>
      </c>
      <c r="U153" s="61" t="str">
        <f aca="false">IF(F153="F","roul.","roll")</f>
        <v>roul.</v>
      </c>
      <c r="V153" s="61" t="str">
        <f aca="false">_xlfn.xlookup(E153,Clients!B:B,Clients!X:X,FALSE())</f>
        <v>CAD</v>
      </c>
      <c r="X153" s="89" t="n">
        <f aca="false">IF(V153=Z153,N153,N153*W153)</f>
        <v>0.322</v>
      </c>
      <c r="Y153" s="61" t="str">
        <f aca="false">O153</f>
        <v>msi</v>
      </c>
      <c r="Z153" s="61" t="str">
        <f aca="false">_xlfn.xlookup(E153,Clients!B:B,Clients!Y:Y,FALSE())</f>
        <v>CAD</v>
      </c>
      <c r="AA153" s="61" t="str">
        <f aca="false">_xlfn.xlookup(B153,Spec!A:A,Spec!K:K,FALSE())</f>
        <v>Canada</v>
      </c>
      <c r="AB153" s="61" t="n">
        <f aca="false">_xlfn.xlookup(B153,Spec!A:A,Spec!L:L,FALSE())</f>
        <v>4811.41</v>
      </c>
    </row>
    <row r="154" customFormat="false" ht="14.25" hidden="false" customHeight="false" outlineLevel="0" collapsed="false">
      <c r="A154" s="1" t="n">
        <v>40173</v>
      </c>
      <c r="B154" s="1" t="n">
        <v>20011</v>
      </c>
      <c r="C154" s="61" t="str">
        <f aca="false">_xlfn.xlookup(B154,Spec!A:A,Spec!C:C)</f>
        <v>AKO</v>
      </c>
      <c r="D154" s="69" t="str">
        <f aca="false">_xlfn.xlookup(B154,Spec!A:A,Spec!D:D)</f>
        <v>AP1019</v>
      </c>
      <c r="E154" s="15" t="s">
        <v>124</v>
      </c>
      <c r="F154" s="15" t="str">
        <f aca="false">_xlfn.xlookup(E154,Clients!B:B,Clients!D:D,FALSE())</f>
        <v>F</v>
      </c>
      <c r="G154" s="42" t="n">
        <v>2212</v>
      </c>
      <c r="H154" s="15" t="s">
        <v>602</v>
      </c>
      <c r="I154" s="61" t="str">
        <f aca="false">_xlfn.xlookup(B154,Spec!A:A,Spec!B:B)</f>
        <v>S21-1</v>
      </c>
      <c r="J154" s="61" t="str">
        <f aca="false">_xlfn.xlookup(B154,Spec!A:A,Spec!J:J)</f>
        <v>SG - Hotmelt Adhesive</v>
      </c>
      <c r="K154" s="61" t="str">
        <f aca="false">_xlfn.xlookup(B154,Spec!A:A,Spec!E:E)</f>
        <v>Self Adhesive Paper</v>
      </c>
      <c r="L154" s="61" t="str">
        <f aca="false">IF(F154="F","Larg: "&amp;P154&amp;"po   Long: "&amp;Q154&amp;"pi","W: "&amp;P154&amp;"in   L: "&amp;Q154&amp;"ft")</f>
        <v>Larg: 12po   Long: 10000pi</v>
      </c>
      <c r="N154" s="43" t="n">
        <v>0.27</v>
      </c>
      <c r="O154" s="43" t="s">
        <v>554</v>
      </c>
      <c r="P154" s="72" t="n">
        <v>12</v>
      </c>
      <c r="Q154" s="73" t="n">
        <v>10000</v>
      </c>
      <c r="R154" s="83" t="n">
        <f aca="false">P154*12*Q154/1000</f>
        <v>1440</v>
      </c>
      <c r="S154" s="88" t="str">
        <f aca="false">_xlfn.xlookup(E154,Clients!B:B,Clients!D:D,FALSE())</f>
        <v>F</v>
      </c>
      <c r="T154" s="84" t="n">
        <f aca="false">IF(O154="msi",P154*12*Q154/1000*N154,IF(O154="sqm",P154/1000*Q154,N154))</f>
        <v>388.8</v>
      </c>
      <c r="U154" s="61" t="str">
        <f aca="false">IF(F154="F","roul.","roll")</f>
        <v>roul.</v>
      </c>
      <c r="V154" s="61" t="str">
        <f aca="false">_xlfn.xlookup(E154,Clients!B:B,Clients!X:X,FALSE())</f>
        <v>USD</v>
      </c>
      <c r="X154" s="89" t="n">
        <f aca="false">IF(V154=Z154,N154,N154*W154)</f>
        <v>0.27</v>
      </c>
      <c r="Y154" s="61" t="str">
        <f aca="false">O154</f>
        <v>msi</v>
      </c>
      <c r="Z154" s="61" t="str">
        <f aca="false">_xlfn.xlookup(E154,Clients!B:B,Clients!Y:Y,FALSE())</f>
        <v>USD</v>
      </c>
      <c r="AA154" s="61" t="str">
        <f aca="false">_xlfn.xlookup(B154,Spec!A:A,Spec!K:K,FALSE())</f>
        <v>Canada</v>
      </c>
      <c r="AB154" s="61" t="n">
        <f aca="false">_xlfn.xlookup(B154,Spec!A:A,Spec!L:L,FALSE())</f>
        <v>4811.41</v>
      </c>
    </row>
    <row r="155" customFormat="false" ht="14.25" hidden="false" customHeight="false" outlineLevel="0" collapsed="false">
      <c r="A155" s="1" t="n">
        <v>40174</v>
      </c>
      <c r="B155" s="1" t="n">
        <v>20015</v>
      </c>
      <c r="C155" s="61" t="str">
        <f aca="false">_xlfn.xlookup(B155,Spec!A:A,Spec!C:C)</f>
        <v>Jinda</v>
      </c>
      <c r="D155" s="69" t="str">
        <f aca="false">_xlfn.xlookup(B155,Spec!A:A,Spec!D:D)</f>
        <v>0402105</v>
      </c>
      <c r="E155" s="15" t="s">
        <v>124</v>
      </c>
      <c r="F155" s="15" t="str">
        <f aca="false">_xlfn.xlookup(E155,Clients!B:B,Clients!D:D,FALSE())</f>
        <v>F</v>
      </c>
      <c r="G155" s="42" t="n">
        <v>2213</v>
      </c>
      <c r="H155" s="15" t="s">
        <v>586</v>
      </c>
      <c r="I155" s="61" t="str">
        <f aca="false">_xlfn.xlookup(B155,Spec!A:A,Spec!B:B)</f>
        <v>S15-3</v>
      </c>
      <c r="J155" s="61" t="str">
        <f aca="false">_xlfn.xlookup(B155,Spec!A:A,Spec!J:J)</f>
        <v>SG - Acrylic Adhesive</v>
      </c>
      <c r="K155" s="61" t="str">
        <f aca="false">_xlfn.xlookup(B155,Spec!A:A,Spec!E:E)</f>
        <v>Self Adhesive Paper</v>
      </c>
      <c r="L155" s="61" t="str">
        <f aca="false">IF(F155="F","Larg: "&amp;P155&amp;"po   Long: "&amp;Q155&amp;"pi","W: "&amp;P155&amp;"in   L: "&amp;Q155&amp;"ft")</f>
        <v>Larg: 8po   Long: 5000pi</v>
      </c>
      <c r="N155" s="43" t="n">
        <v>0.28</v>
      </c>
      <c r="O155" s="43" t="s">
        <v>554</v>
      </c>
      <c r="P155" s="72" t="n">
        <v>8</v>
      </c>
      <c r="Q155" s="73" t="n">
        <v>5000</v>
      </c>
      <c r="R155" s="83" t="n">
        <f aca="false">P155*12*Q155/1000</f>
        <v>480</v>
      </c>
      <c r="S155" s="88" t="str">
        <f aca="false">_xlfn.xlookup(E155,Clients!B:B,Clients!D:D,FALSE())</f>
        <v>F</v>
      </c>
      <c r="T155" s="84" t="n">
        <f aca="false">IF(O155="msi",P155*12*Q155/1000*N155,IF(O155="sqm",P155/1000*Q155,N155))</f>
        <v>134.4</v>
      </c>
      <c r="U155" s="61" t="str">
        <f aca="false">IF(F155="F","roul.","roll")</f>
        <v>roul.</v>
      </c>
      <c r="V155" s="61" t="str">
        <f aca="false">_xlfn.xlookup(E155,Clients!B:B,Clients!X:X,FALSE())</f>
        <v>USD</v>
      </c>
      <c r="X155" s="89" t="n">
        <f aca="false">IF(V155=Z155,N155,N155*W155)</f>
        <v>0.28</v>
      </c>
      <c r="Y155" s="61" t="str">
        <f aca="false">O155</f>
        <v>msi</v>
      </c>
      <c r="Z155" s="61" t="str">
        <f aca="false">_xlfn.xlookup(E155,Clients!B:B,Clients!Y:Y,FALSE())</f>
        <v>USD</v>
      </c>
      <c r="AA155" s="61" t="str">
        <f aca="false">_xlfn.xlookup(B155,Spec!A:A,Spec!K:K,FALSE())</f>
        <v>Canada</v>
      </c>
      <c r="AB155" s="61" t="n">
        <f aca="false">_xlfn.xlookup(B155,Spec!A:A,Spec!L:L,FALSE())</f>
        <v>4811.41</v>
      </c>
    </row>
    <row r="156" customFormat="false" ht="14.25" hidden="false" customHeight="false" outlineLevel="0" collapsed="false">
      <c r="A156" s="1" t="n">
        <v>40175</v>
      </c>
      <c r="B156" s="1" t="n">
        <v>20019</v>
      </c>
      <c r="C156" s="61" t="str">
        <f aca="false">_xlfn.xlookup(B156,Spec!A:A,Spec!C:C)</f>
        <v>COSMO</v>
      </c>
      <c r="D156" s="69" t="str">
        <f aca="false">_xlfn.xlookup(B156,Spec!A:A,Spec!D:D)</f>
        <v>C1031</v>
      </c>
      <c r="E156" s="15" t="s">
        <v>124</v>
      </c>
      <c r="F156" s="15" t="str">
        <f aca="false">_xlfn.xlookup(E156,Clients!B:B,Clients!D:D,FALSE())</f>
        <v>F</v>
      </c>
      <c r="G156" s="42"/>
      <c r="H156" s="15" t="s">
        <v>681</v>
      </c>
      <c r="I156" s="61" t="str">
        <f aca="false">_xlfn.xlookup(B156,Spec!A:A,Spec!B:B)</f>
        <v>F50-5</v>
      </c>
      <c r="J156" s="61"/>
      <c r="K156" s="61" t="str">
        <f aca="false">_xlfn.xlookup(B156,Spec!A:A,Spec!E:E)</f>
        <v>Clear BOPP 95µ</v>
      </c>
      <c r="L156" s="61" t="str">
        <f aca="false">IF(F156="F","Larg: "&amp;P156&amp;"po   Long: "&amp;Q156&amp;"pi","W: "&amp;P156&amp;"in   L: "&amp;Q156&amp;"ft")</f>
        <v>Larg: 16.5po   Long: 2500pi</v>
      </c>
      <c r="N156" s="43" t="n">
        <v>0</v>
      </c>
      <c r="O156" s="43" t="s">
        <v>554</v>
      </c>
      <c r="P156" s="72" t="n">
        <v>16.5</v>
      </c>
      <c r="Q156" s="73" t="n">
        <v>2500</v>
      </c>
      <c r="R156" s="83" t="n">
        <f aca="false">P156*12*Q156/1000</f>
        <v>495</v>
      </c>
      <c r="S156" s="88" t="str">
        <f aca="false">_xlfn.xlookup(E156,Clients!B:B,Clients!D:D,FALSE())</f>
        <v>F</v>
      </c>
      <c r="T156" s="84" t="n">
        <f aca="false">IF(O156="msi",P156*12*Q156/1000*N156,IF(O156="sqm",P156/1000*Q156,N156))</f>
        <v>0</v>
      </c>
      <c r="U156" s="61" t="str">
        <f aca="false">IF(F156="F","roul.","roll")</f>
        <v>roul.</v>
      </c>
      <c r="V156" s="61" t="str">
        <f aca="false">_xlfn.xlookup(E156,Clients!B:B,Clients!X:X,FALSE())</f>
        <v>USD</v>
      </c>
      <c r="X156" s="89" t="n">
        <f aca="false">IF(V156=Z156,N156,N156*W156)</f>
        <v>0</v>
      </c>
      <c r="Y156" s="61" t="str">
        <f aca="false">O156</f>
        <v>msi</v>
      </c>
      <c r="Z156" s="61" t="str">
        <f aca="false">_xlfn.xlookup(E156,Clients!B:B,Clients!Y:Y,FALSE())</f>
        <v>USD</v>
      </c>
      <c r="AA156" s="61" t="str">
        <f aca="false">_xlfn.xlookup(B156,Spec!A:A,Spec!K:K,FALSE())</f>
        <v>India</v>
      </c>
      <c r="AB156" s="61" t="str">
        <f aca="false">_xlfn.xlookup(B156,Spec!A:A,Spec!L:L,FALSE())</f>
        <v>3920.20</v>
      </c>
    </row>
    <row r="157" customFormat="false" ht="14.25" hidden="false" customHeight="false" outlineLevel="0" collapsed="false">
      <c r="A157" s="1" t="n">
        <v>40176</v>
      </c>
      <c r="B157" s="1" t="n">
        <v>20003</v>
      </c>
      <c r="C157" s="61" t="str">
        <f aca="false">_xlfn.xlookup(B157,Spec!A:A,Spec!C:C)</f>
        <v>AKO</v>
      </c>
      <c r="D157" s="69" t="str">
        <f aca="false">_xlfn.xlookup(B157,Spec!A:A,Spec!D:D)</f>
        <v>AT1003</v>
      </c>
      <c r="E157" s="15" t="s">
        <v>269</v>
      </c>
      <c r="F157" s="15" t="str">
        <f aca="false">_xlfn.xlookup(E157,Clients!B:B,Clients!D:D,FALSE())</f>
        <v>F</v>
      </c>
      <c r="G157" s="42"/>
      <c r="H157" s="15" t="s">
        <v>660</v>
      </c>
      <c r="I157" s="61" t="str">
        <f aca="false">_xlfn.xlookup(B157,Spec!A:A,Spec!B:B)</f>
        <v>T11-1</v>
      </c>
      <c r="J157" s="61" t="str">
        <f aca="false">_xlfn.xlookup(B157,Spec!A:A,Spec!J:J)</f>
        <v>TT - HM Adhesive</v>
      </c>
      <c r="K157" s="61" t="str">
        <f aca="false">_xlfn.xlookup(B157,Spec!A:A,Spec!E:E)</f>
        <v>Self Adhesive Paper</v>
      </c>
      <c r="L157" s="61" t="str">
        <f aca="false">IF(F157="F","Larg: "&amp;P157&amp;"po   Long: "&amp;Q157&amp;"pi","W: "&amp;P157&amp;"in   L: "&amp;Q157&amp;"ft")</f>
        <v>Larg: 4.5po   Long: 2500pi</v>
      </c>
      <c r="N157" s="43"/>
      <c r="O157" s="43" t="s">
        <v>554</v>
      </c>
      <c r="P157" s="72" t="n">
        <v>4.5</v>
      </c>
      <c r="Q157" s="73" t="n">
        <v>2500</v>
      </c>
      <c r="R157" s="83" t="n">
        <f aca="false">P157*12*Q157/1000</f>
        <v>135</v>
      </c>
      <c r="S157" s="88" t="str">
        <f aca="false">_xlfn.xlookup(E157,Clients!B:B,Clients!D:D,FALSE())</f>
        <v>F</v>
      </c>
      <c r="T157" s="84" t="n">
        <f aca="false">IF(O157="msi",P157*12*Q157/1000*N157,IF(O157="sqm",P157/1000*Q157,N157))</f>
        <v>0</v>
      </c>
      <c r="U157" s="61" t="str">
        <f aca="false">IF(F157="F","roul.","roll")</f>
        <v>roul.</v>
      </c>
      <c r="V157" s="61" t="str">
        <f aca="false">_xlfn.xlookup(E157,Clients!B:B,Clients!X:X,FALSE())</f>
        <v>CAD</v>
      </c>
      <c r="X157" s="89" t="n">
        <f aca="false">IF(V157=Z157,N157,N157*W157)</f>
        <v>0</v>
      </c>
      <c r="Y157" s="61" t="str">
        <f aca="false">O157</f>
        <v>msi</v>
      </c>
      <c r="Z157" s="61" t="str">
        <f aca="false">_xlfn.xlookup(E157,Clients!B:B,Clients!Y:Y,FALSE())</f>
        <v>CAD</v>
      </c>
      <c r="AA157" s="61" t="str">
        <f aca="false">_xlfn.xlookup(B157,Spec!A:A,Spec!K:K,FALSE())</f>
        <v>Canada</v>
      </c>
      <c r="AB157" s="61" t="n">
        <f aca="false">_xlfn.xlookup(B157,Spec!A:A,Spec!L:L,FALSE())</f>
        <v>4811.41</v>
      </c>
    </row>
    <row r="158" customFormat="false" ht="14.25" hidden="false" customHeight="false" outlineLevel="0" collapsed="false">
      <c r="A158" s="1" t="n">
        <v>40177</v>
      </c>
      <c r="B158" s="1" t="n">
        <v>20015</v>
      </c>
      <c r="C158" s="61" t="str">
        <f aca="false">_xlfn.xlookup(B158,Spec!A:A,Spec!C:C)</f>
        <v>Jinda</v>
      </c>
      <c r="D158" s="69" t="str">
        <f aca="false">_xlfn.xlookup(B158,Spec!A:A,Spec!D:D)</f>
        <v>0402105</v>
      </c>
      <c r="E158" s="15" t="s">
        <v>124</v>
      </c>
      <c r="F158" s="15" t="str">
        <f aca="false">_xlfn.xlookup(E158,Clients!B:B,Clients!D:D,FALSE())</f>
        <v>F</v>
      </c>
      <c r="G158" s="42" t="n">
        <v>2213</v>
      </c>
      <c r="H158" s="15" t="s">
        <v>586</v>
      </c>
      <c r="I158" s="61" t="str">
        <f aca="false">_xlfn.xlookup(B158,Spec!A:A,Spec!B:B)</f>
        <v>S15-3</v>
      </c>
      <c r="J158" s="61" t="str">
        <f aca="false">_xlfn.xlookup(B158,Spec!A:A,Spec!J:J)</f>
        <v>SG - Acrylic Adhesive</v>
      </c>
      <c r="K158" s="61" t="str">
        <f aca="false">_xlfn.xlookup(B158,Spec!A:A,Spec!E:E)</f>
        <v>Self Adhesive Paper</v>
      </c>
      <c r="L158" s="61" t="str">
        <f aca="false">IF(F158="F","Larg: "&amp;P158&amp;"po   Long: "&amp;Q158&amp;"pi","W: "&amp;P158&amp;"in   L: "&amp;Q158&amp;"ft")</f>
        <v>Larg: 13po   Long: 10000pi</v>
      </c>
      <c r="N158" s="43" t="n">
        <v>0.28</v>
      </c>
      <c r="O158" s="43" t="s">
        <v>554</v>
      </c>
      <c r="P158" s="72" t="n">
        <v>13</v>
      </c>
      <c r="Q158" s="73" t="n">
        <v>10000</v>
      </c>
      <c r="R158" s="83" t="n">
        <f aca="false">P158*12*Q158/1000</f>
        <v>1560</v>
      </c>
      <c r="S158" s="88" t="str">
        <f aca="false">_xlfn.xlookup(E158,Clients!B:B,Clients!D:D,FALSE())</f>
        <v>F</v>
      </c>
      <c r="T158" s="84" t="n">
        <f aca="false">IF(O158="msi",P158*12*Q158/1000*N158,IF(O158="sqm",P158/1000*Q158,N158))</f>
        <v>436.8</v>
      </c>
      <c r="U158" s="61" t="str">
        <f aca="false">IF(F158="F","roul.","roll")</f>
        <v>roul.</v>
      </c>
      <c r="V158" s="61" t="str">
        <f aca="false">_xlfn.xlookup(E158,Clients!B:B,Clients!X:X,FALSE())</f>
        <v>USD</v>
      </c>
      <c r="X158" s="89" t="n">
        <f aca="false">IF(V158=Z158,N158,N158*W158)</f>
        <v>0.28</v>
      </c>
      <c r="Y158" s="61" t="str">
        <f aca="false">O158</f>
        <v>msi</v>
      </c>
      <c r="Z158" s="61" t="str">
        <f aca="false">_xlfn.xlookup(E158,Clients!B:B,Clients!Y:Y,FALSE())</f>
        <v>USD</v>
      </c>
      <c r="AA158" s="61" t="str">
        <f aca="false">_xlfn.xlookup(B158,Spec!A:A,Spec!K:K,FALSE())</f>
        <v>Canada</v>
      </c>
      <c r="AB158" s="61" t="n">
        <f aca="false">_xlfn.xlookup(B158,Spec!A:A,Spec!L:L,FALSE())</f>
        <v>4811.41</v>
      </c>
    </row>
    <row r="159" customFormat="false" ht="14.25" hidden="false" customHeight="false" outlineLevel="0" collapsed="false">
      <c r="A159" s="1" t="n">
        <v>40178</v>
      </c>
      <c r="B159" s="1" t="n">
        <v>20015</v>
      </c>
      <c r="C159" s="61" t="str">
        <f aca="false">_xlfn.xlookup(B159,Spec!A:A,Spec!C:C)</f>
        <v>Jinda</v>
      </c>
      <c r="D159" s="69" t="str">
        <f aca="false">_xlfn.xlookup(B159,Spec!A:A,Spec!D:D)</f>
        <v>0402105</v>
      </c>
      <c r="E159" s="15" t="s">
        <v>124</v>
      </c>
      <c r="F159" s="15" t="str">
        <f aca="false">_xlfn.xlookup(E159,Clients!B:B,Clients!D:D,FALSE())</f>
        <v>F</v>
      </c>
      <c r="G159" s="42" t="n">
        <v>2213</v>
      </c>
      <c r="H159" s="15" t="s">
        <v>586</v>
      </c>
      <c r="I159" s="61" t="str">
        <f aca="false">_xlfn.xlookup(B159,Spec!A:A,Spec!B:B)</f>
        <v>S15-3</v>
      </c>
      <c r="J159" s="61" t="str">
        <f aca="false">_xlfn.xlookup(B159,Spec!A:A,Spec!J:J)</f>
        <v>SG - Acrylic Adhesive</v>
      </c>
      <c r="K159" s="61" t="str">
        <f aca="false">_xlfn.xlookup(B159,Spec!A:A,Spec!E:E)</f>
        <v>Self Adhesive Paper</v>
      </c>
      <c r="L159" s="61" t="str">
        <f aca="false">IF(F159="F","Larg: "&amp;P159&amp;"po   Long: "&amp;Q159&amp;"pi","W: "&amp;P159&amp;"in   L: "&amp;Q159&amp;"ft")</f>
        <v>Larg: 8po   Long: 10000pi</v>
      </c>
      <c r="N159" s="43" t="n">
        <v>0.28</v>
      </c>
      <c r="O159" s="43" t="s">
        <v>554</v>
      </c>
      <c r="P159" s="72" t="n">
        <v>8</v>
      </c>
      <c r="Q159" s="73" t="n">
        <v>10000</v>
      </c>
      <c r="R159" s="83" t="n">
        <f aca="false">P159*12*Q159/1000</f>
        <v>960</v>
      </c>
      <c r="S159" s="88" t="str">
        <f aca="false">_xlfn.xlookup(E159,Clients!B:B,Clients!D:D,FALSE())</f>
        <v>F</v>
      </c>
      <c r="T159" s="84" t="n">
        <f aca="false">IF(O159="msi",P159*12*Q159/1000*N159,IF(O159="sqm",P159/1000*Q159,N159))</f>
        <v>268.8</v>
      </c>
      <c r="U159" s="61" t="str">
        <f aca="false">IF(F159="F","roul.","roll")</f>
        <v>roul.</v>
      </c>
      <c r="V159" s="61" t="str">
        <f aca="false">_xlfn.xlookup(E159,Clients!B:B,Clients!X:X,FALSE())</f>
        <v>USD</v>
      </c>
      <c r="X159" s="89" t="n">
        <f aca="false">IF(V159=Z159,N159,N159*W159)</f>
        <v>0.28</v>
      </c>
      <c r="Y159" s="61" t="str">
        <f aca="false">O159</f>
        <v>msi</v>
      </c>
      <c r="Z159" s="61" t="str">
        <f aca="false">_xlfn.xlookup(E159,Clients!B:B,Clients!Y:Y,FALSE())</f>
        <v>USD</v>
      </c>
      <c r="AA159" s="61" t="str">
        <f aca="false">_xlfn.xlookup(B159,Spec!A:A,Spec!K:K,FALSE())</f>
        <v>Canada</v>
      </c>
      <c r="AB159" s="61" t="n">
        <f aca="false">_xlfn.xlookup(B159,Spec!A:A,Spec!L:L,FALSE())</f>
        <v>4811.41</v>
      </c>
    </row>
    <row r="160" customFormat="false" ht="14.25" hidden="false" customHeight="false" outlineLevel="0" collapsed="false">
      <c r="A160" s="1" t="n">
        <v>40179</v>
      </c>
      <c r="B160" s="1" t="n">
        <v>20011</v>
      </c>
      <c r="C160" s="61" t="str">
        <f aca="false">_xlfn.xlookup(B160,Spec!A:A,Spec!C:C)</f>
        <v>AKO</v>
      </c>
      <c r="D160" s="69" t="str">
        <f aca="false">_xlfn.xlookup(B160,Spec!A:A,Spec!D:D)</f>
        <v>AP1019</v>
      </c>
      <c r="E160" s="15" t="s">
        <v>258</v>
      </c>
      <c r="F160" s="15" t="str">
        <f aca="false">_xlfn.xlookup(E160,Clients!B:B,Clients!D:D,FALSE())</f>
        <v>A</v>
      </c>
      <c r="G160" s="42"/>
      <c r="H160" s="15" t="s">
        <v>602</v>
      </c>
      <c r="I160" s="61" t="str">
        <f aca="false">_xlfn.xlookup(B160,Spec!A:A,Spec!B:B)</f>
        <v>S21-1</v>
      </c>
      <c r="J160" s="61" t="str">
        <f aca="false">_xlfn.xlookup(B160,Spec!A:A,Spec!J:J)</f>
        <v>SG - Hotmelt Adhesive</v>
      </c>
      <c r="K160" s="61" t="str">
        <f aca="false">_xlfn.xlookup(B160,Spec!A:A,Spec!E:E)</f>
        <v>Self Adhesive Paper</v>
      </c>
      <c r="L160" s="61" t="str">
        <f aca="false">IF(F160="F","Larg: "&amp;P160&amp;"po   Long: "&amp;Q160&amp;"pi","W: "&amp;P160&amp;"in   L: "&amp;Q160&amp;"ft")</f>
        <v>W: 12in   L: 10000ft</v>
      </c>
      <c r="N160" s="43" t="n">
        <v>0.331</v>
      </c>
      <c r="O160" s="43" t="s">
        <v>554</v>
      </c>
      <c r="P160" s="72" t="n">
        <v>12</v>
      </c>
      <c r="Q160" s="73" t="n">
        <v>10000</v>
      </c>
      <c r="R160" s="83" t="n">
        <f aca="false">P160*12*Q160/1000</f>
        <v>1440</v>
      </c>
      <c r="S160" s="88" t="str">
        <f aca="false">_xlfn.xlookup(E160,Clients!B:B,Clients!D:D,FALSE())</f>
        <v>A</v>
      </c>
      <c r="T160" s="84" t="n">
        <f aca="false">IF(O160="msi",P160*12*Q160/1000*N160,IF(O160="sqm",P160/1000*Q160,N160))</f>
        <v>476.64</v>
      </c>
      <c r="U160" s="61" t="str">
        <f aca="false">IF(F160="F","roul.","roll")</f>
        <v>roll</v>
      </c>
      <c r="V160" s="61" t="str">
        <f aca="false">_xlfn.xlookup(E160,Clients!B:B,Clients!X:X,FALSE())</f>
        <v>CAD</v>
      </c>
      <c r="X160" s="89" t="n">
        <f aca="false">IF(V160=Z160,N160,N160*W160)</f>
        <v>0.331</v>
      </c>
      <c r="Y160" s="61" t="str">
        <f aca="false">O160</f>
        <v>msi</v>
      </c>
      <c r="Z160" s="61" t="str">
        <f aca="false">_xlfn.xlookup(E160,Clients!B:B,Clients!Y:Y,FALSE())</f>
        <v>CAD</v>
      </c>
      <c r="AA160" s="61" t="str">
        <f aca="false">_xlfn.xlookup(B160,Spec!A:A,Spec!K:K,FALSE())</f>
        <v>Canada</v>
      </c>
      <c r="AB160" s="61" t="n">
        <f aca="false">_xlfn.xlookup(B160,Spec!A:A,Spec!L:L,FALSE())</f>
        <v>4811.41</v>
      </c>
    </row>
    <row r="161" customFormat="false" ht="14.25" hidden="false" customHeight="false" outlineLevel="0" collapsed="false">
      <c r="A161" s="1" t="n">
        <v>40180</v>
      </c>
      <c r="B161" s="1" t="n">
        <v>20013</v>
      </c>
      <c r="C161" s="61" t="str">
        <f aca="false">_xlfn.xlookup(B161,Spec!A:A,Spec!C:C)</f>
        <v>AKO</v>
      </c>
      <c r="D161" s="69" t="str">
        <f aca="false">_xlfn.xlookup(B161,Spec!A:A,Spec!D:D)</f>
        <v>Hansol TC CL74</v>
      </c>
      <c r="E161" s="15" t="s">
        <v>141</v>
      </c>
      <c r="F161" s="15" t="str">
        <f aca="false">_xlfn.xlookup(E161,Clients!B:B,Clients!D:D,FALSE())</f>
        <v>F</v>
      </c>
      <c r="G161" s="42" t="n">
        <v>7475</v>
      </c>
      <c r="H161" s="15" t="s">
        <v>669</v>
      </c>
      <c r="I161" s="61" t="str">
        <f aca="false">_xlfn.xlookup(B161,Spec!A:A,Spec!B:B)</f>
        <v>D11-1</v>
      </c>
      <c r="J161" s="61" t="str">
        <f aca="false">_xlfn.xlookup(B161,Spec!A:A,Spec!J:J)</f>
        <v>TC DT - Hotmelt Adhesive</v>
      </c>
      <c r="K161" s="61" t="str">
        <f aca="false">_xlfn.xlookup(B161,Spec!A:A,Spec!E:E)</f>
        <v>Self Adhesive Paper</v>
      </c>
      <c r="L161" s="61" t="str">
        <f aca="false">IF(F161="F","Larg: "&amp;P161&amp;"po   Long: "&amp;Q161&amp;"pi","W: "&amp;P161&amp;"in   L: "&amp;Q161&amp;"ft")</f>
        <v>Larg: 9po   Long: 10000pi</v>
      </c>
      <c r="N161" s="43" t="n">
        <v>0.458</v>
      </c>
      <c r="O161" s="43" t="s">
        <v>554</v>
      </c>
      <c r="P161" s="72" t="n">
        <v>9</v>
      </c>
      <c r="Q161" s="73" t="n">
        <v>10000</v>
      </c>
      <c r="R161" s="83" t="n">
        <f aca="false">P161*12*Q161/1000</f>
        <v>1080</v>
      </c>
      <c r="S161" s="88" t="str">
        <f aca="false">_xlfn.xlookup(E161,Clients!B:B,Clients!D:D,FALSE())</f>
        <v>F</v>
      </c>
      <c r="T161" s="84" t="n">
        <f aca="false">IF(O161="msi",P161*12*Q161/1000*N161,IF(O161="sqm",P161/1000*Q161,N161))</f>
        <v>494.64</v>
      </c>
      <c r="U161" s="61" t="str">
        <f aca="false">IF(F161="F","roul.","roll")</f>
        <v>roul.</v>
      </c>
      <c r="V161" s="61" t="str">
        <f aca="false">_xlfn.xlookup(E161,Clients!B:B,Clients!X:X,FALSE())</f>
        <v>CAD</v>
      </c>
      <c r="X161" s="89" t="n">
        <f aca="false">IF(V161=Z161,N161,N161*W161)</f>
        <v>0.458</v>
      </c>
      <c r="Y161" s="61" t="str">
        <f aca="false">O161</f>
        <v>msi</v>
      </c>
      <c r="Z161" s="61" t="str">
        <f aca="false">_xlfn.xlookup(E161,Clients!B:B,Clients!Y:Y,FALSE())</f>
        <v>CAD</v>
      </c>
      <c r="AA161" s="61" t="str">
        <f aca="false">_xlfn.xlookup(B161,Spec!A:A,Spec!K:K,FALSE())</f>
        <v>Canada</v>
      </c>
      <c r="AB161" s="61" t="n">
        <f aca="false">_xlfn.xlookup(B161,Spec!A:A,Spec!L:L,FALSE())</f>
        <v>4811.41</v>
      </c>
    </row>
    <row r="162" customFormat="false" ht="14.25" hidden="false" customHeight="false" outlineLevel="0" collapsed="false">
      <c r="A162" s="1" t="n">
        <v>40181</v>
      </c>
      <c r="B162" s="1" t="n">
        <v>20003</v>
      </c>
      <c r="C162" s="61" t="str">
        <f aca="false">_xlfn.xlookup(B162,Spec!A:A,Spec!C:C)</f>
        <v>AKO</v>
      </c>
      <c r="D162" s="69" t="str">
        <f aca="false">_xlfn.xlookup(B162,Spec!A:A,Spec!D:D)</f>
        <v>AT1003</v>
      </c>
      <c r="E162" s="15" t="s">
        <v>134</v>
      </c>
      <c r="F162" s="15" t="str">
        <f aca="false">_xlfn.xlookup(E162,Clients!B:B,Clients!D:D,FALSE())</f>
        <v>F</v>
      </c>
      <c r="G162" s="42"/>
      <c r="H162" s="15" t="s">
        <v>660</v>
      </c>
      <c r="I162" s="61" t="str">
        <f aca="false">_xlfn.xlookup(B162,Spec!A:A,Spec!B:B)</f>
        <v>T11-1</v>
      </c>
      <c r="J162" s="61" t="str">
        <f aca="false">_xlfn.xlookup(B162,Spec!A:A,Spec!J:J)</f>
        <v>TT - HM Adhesive</v>
      </c>
      <c r="K162" s="61" t="str">
        <f aca="false">_xlfn.xlookup(B162,Spec!A:A,Spec!E:E)</f>
        <v>Self Adhesive Paper</v>
      </c>
      <c r="L162" s="61" t="str">
        <f aca="false">IF(F162="F","Larg: "&amp;P162&amp;"po   Long: "&amp;Q162&amp;"pi","W: "&amp;P162&amp;"in   L: "&amp;Q162&amp;"ft")</f>
        <v>Larg: 8.625po   Long: 10000pi</v>
      </c>
      <c r="N162" s="43" t="n">
        <v>0.438</v>
      </c>
      <c r="O162" s="43" t="s">
        <v>554</v>
      </c>
      <c r="P162" s="72" t="n">
        <v>8.625</v>
      </c>
      <c r="Q162" s="73" t="n">
        <v>10000</v>
      </c>
      <c r="R162" s="83" t="n">
        <f aca="false">P162*12*Q162/1000</f>
        <v>1035</v>
      </c>
      <c r="S162" s="88" t="str">
        <f aca="false">_xlfn.xlookup(E162,Clients!B:B,Clients!D:D,FALSE())</f>
        <v>F</v>
      </c>
      <c r="T162" s="84" t="n">
        <f aca="false">IF(O162="msi",P162*12*Q162/1000*N162,IF(O162="sqm",P162/1000*Q162,N162))</f>
        <v>453.33</v>
      </c>
      <c r="U162" s="61" t="str">
        <f aca="false">IF(F162="F","roul.","roll")</f>
        <v>roul.</v>
      </c>
      <c r="V162" s="61" t="str">
        <f aca="false">_xlfn.xlookup(E162,Clients!B:B,Clients!X:X,FALSE())</f>
        <v>CAD</v>
      </c>
      <c r="X162" s="89" t="n">
        <f aca="false">IF(V162=Z162,N162,N162*W162)</f>
        <v>0.438</v>
      </c>
      <c r="Y162" s="61" t="str">
        <f aca="false">O162</f>
        <v>msi</v>
      </c>
      <c r="Z162" s="61" t="str">
        <f aca="false">_xlfn.xlookup(E162,Clients!B:B,Clients!Y:Y,FALSE())</f>
        <v>CAD</v>
      </c>
      <c r="AA162" s="61" t="str">
        <f aca="false">_xlfn.xlookup(B162,Spec!A:A,Spec!K:K,FALSE())</f>
        <v>Canada</v>
      </c>
      <c r="AB162" s="61" t="n">
        <f aca="false">_xlfn.xlookup(B162,Spec!A:A,Spec!L:L,FALSE())</f>
        <v>4811.41</v>
      </c>
    </row>
    <row r="163" customFormat="false" ht="14.25" hidden="false" customHeight="false" outlineLevel="0" collapsed="false">
      <c r="A163" s="1" t="n">
        <v>40182</v>
      </c>
      <c r="B163" s="1" t="n">
        <v>20003</v>
      </c>
      <c r="C163" s="61" t="str">
        <f aca="false">_xlfn.xlookup(B163,Spec!A:A,Spec!C:C)</f>
        <v>AKO</v>
      </c>
      <c r="D163" s="69" t="str">
        <f aca="false">_xlfn.xlookup(B163,Spec!A:A,Spec!D:D)</f>
        <v>AT1003</v>
      </c>
      <c r="E163" s="15" t="s">
        <v>134</v>
      </c>
      <c r="F163" s="15" t="str">
        <f aca="false">_xlfn.xlookup(E163,Clients!B:B,Clients!D:D,FALSE())</f>
        <v>F</v>
      </c>
      <c r="G163" s="42"/>
      <c r="H163" s="15" t="s">
        <v>660</v>
      </c>
      <c r="I163" s="61" t="str">
        <f aca="false">_xlfn.xlookup(B163,Spec!A:A,Spec!B:B)</f>
        <v>T11-1</v>
      </c>
      <c r="J163" s="61" t="str">
        <f aca="false">_xlfn.xlookup(B163,Spec!A:A,Spec!J:J)</f>
        <v>TT - HM Adhesive</v>
      </c>
      <c r="K163" s="61" t="str">
        <f aca="false">_xlfn.xlookup(B163,Spec!A:A,Spec!E:E)</f>
        <v>Self Adhesive Paper</v>
      </c>
      <c r="L163" s="61" t="str">
        <f aca="false">IF(F163="F","Larg: "&amp;P163&amp;"po   Long: "&amp;Q163&amp;"pi","W: "&amp;P163&amp;"in   L: "&amp;Q163&amp;"ft")</f>
        <v>Larg: 8.625po   Long: 5000pi</v>
      </c>
      <c r="N163" s="43" t="n">
        <v>0.438</v>
      </c>
      <c r="O163" s="43" t="s">
        <v>554</v>
      </c>
      <c r="P163" s="72" t="n">
        <v>8.625</v>
      </c>
      <c r="Q163" s="73" t="n">
        <v>5000</v>
      </c>
      <c r="R163" s="83" t="n">
        <f aca="false">P163*12*Q163/1000</f>
        <v>517.5</v>
      </c>
      <c r="S163" s="88" t="str">
        <f aca="false">_xlfn.xlookup(E163,Clients!B:B,Clients!D:D,FALSE())</f>
        <v>F</v>
      </c>
      <c r="T163" s="84" t="n">
        <f aca="false">IF(O163="msi",P163*12*Q163/1000*N163,IF(O163="sqm",P163/1000*Q163,N163))</f>
        <v>226.665</v>
      </c>
      <c r="U163" s="61" t="str">
        <f aca="false">IF(F163="F","roul.","roll")</f>
        <v>roul.</v>
      </c>
      <c r="V163" s="61" t="str">
        <f aca="false">_xlfn.xlookup(E163,Clients!B:B,Clients!X:X,FALSE())</f>
        <v>CAD</v>
      </c>
      <c r="X163" s="89" t="n">
        <f aca="false">IF(V163=Z163,N163,N163*W163)</f>
        <v>0.438</v>
      </c>
      <c r="Y163" s="61" t="str">
        <f aca="false">O163</f>
        <v>msi</v>
      </c>
      <c r="Z163" s="61" t="str">
        <f aca="false">_xlfn.xlookup(E163,Clients!B:B,Clients!Y:Y,FALSE())</f>
        <v>CAD</v>
      </c>
      <c r="AA163" s="61" t="str">
        <f aca="false">_xlfn.xlookup(B163,Spec!A:A,Spec!K:K,FALSE())</f>
        <v>Canada</v>
      </c>
      <c r="AB163" s="61" t="n">
        <f aca="false">_xlfn.xlookup(B163,Spec!A:A,Spec!L:L,FALSE())</f>
        <v>4811.41</v>
      </c>
    </row>
    <row r="164" customFormat="false" ht="14.25" hidden="false" customHeight="false" outlineLevel="0" collapsed="false">
      <c r="A164" s="1" t="n">
        <v>40183</v>
      </c>
      <c r="B164" s="1" t="n">
        <v>20011</v>
      </c>
      <c r="C164" s="61" t="str">
        <f aca="false">_xlfn.xlookup(B164,Spec!A:A,Spec!C:C)</f>
        <v>AKO</v>
      </c>
      <c r="D164" s="69" t="str">
        <f aca="false">_xlfn.xlookup(B164,Spec!A:A,Spec!D:D)</f>
        <v>AP1019</v>
      </c>
      <c r="E164" s="15" t="s">
        <v>134</v>
      </c>
      <c r="F164" s="15" t="str">
        <f aca="false">_xlfn.xlookup(E164,Clients!B:B,Clients!D:D,FALSE())</f>
        <v>F</v>
      </c>
      <c r="G164" s="42"/>
      <c r="H164" s="15" t="s">
        <v>602</v>
      </c>
      <c r="I164" s="61" t="str">
        <f aca="false">_xlfn.xlookup(B164,Spec!A:A,Spec!B:B)</f>
        <v>S21-1</v>
      </c>
      <c r="J164" s="61" t="str">
        <f aca="false">_xlfn.xlookup(B164,Spec!A:A,Spec!J:J)</f>
        <v>SG - Hotmelt Adhesive</v>
      </c>
      <c r="K164" s="61" t="str">
        <f aca="false">_xlfn.xlookup(B164,Spec!A:A,Spec!E:E)</f>
        <v>Self Adhesive Paper</v>
      </c>
      <c r="L164" s="61" t="str">
        <f aca="false">IF(F164="F","Larg: "&amp;P164&amp;"po   Long: "&amp;Q164&amp;"pi","W: "&amp;P164&amp;"in   L: "&amp;Q164&amp;"ft")</f>
        <v>Larg: 10.75po   Long: 5000pi</v>
      </c>
      <c r="N164" s="90" t="n">
        <v>0.37</v>
      </c>
      <c r="O164" s="43" t="s">
        <v>554</v>
      </c>
      <c r="P164" s="72" t="n">
        <v>10.75</v>
      </c>
      <c r="Q164" s="73" t="n">
        <v>5000</v>
      </c>
      <c r="R164" s="83" t="n">
        <f aca="false">P164*12*Q164/1000</f>
        <v>645</v>
      </c>
      <c r="S164" s="88" t="str">
        <f aca="false">_xlfn.xlookup(E164,Clients!B:B,Clients!D:D,FALSE())</f>
        <v>F</v>
      </c>
      <c r="T164" s="84" t="n">
        <f aca="false">IF(O164="msi",P164*12*Q164/1000*N164,IF(O164="sqm",P164/1000*Q164,N164))</f>
        <v>238.65</v>
      </c>
      <c r="U164" s="61" t="str">
        <f aca="false">IF(F164="F","roul.","roll")</f>
        <v>roul.</v>
      </c>
      <c r="V164" s="61" t="str">
        <f aca="false">_xlfn.xlookup(E164,Clients!B:B,Clients!X:X,FALSE())</f>
        <v>CAD</v>
      </c>
      <c r="X164" s="89" t="n">
        <f aca="false">IF(V164=Z164,N164,N164*W164)</f>
        <v>0.37</v>
      </c>
      <c r="Y164" s="61" t="str">
        <f aca="false">O164</f>
        <v>msi</v>
      </c>
      <c r="Z164" s="61" t="str">
        <f aca="false">_xlfn.xlookup(E164,Clients!B:B,Clients!Y:Y,FALSE())</f>
        <v>CAD</v>
      </c>
      <c r="AA164" s="61" t="str">
        <f aca="false">_xlfn.xlookup(B164,Spec!A:A,Spec!K:K,FALSE())</f>
        <v>Canada</v>
      </c>
      <c r="AB164" s="61" t="n">
        <f aca="false">_xlfn.xlookup(B164,Spec!A:A,Spec!L:L,FALSE())</f>
        <v>4811.41</v>
      </c>
    </row>
    <row r="165" customFormat="false" ht="14.25" hidden="false" customHeight="false" outlineLevel="0" collapsed="false">
      <c r="A165" s="1" t="n">
        <v>40184</v>
      </c>
      <c r="B165" s="1" t="n">
        <v>20011</v>
      </c>
      <c r="C165" s="61" t="str">
        <f aca="false">_xlfn.xlookup(B165,Spec!A:A,Spec!C:C)</f>
        <v>AKO</v>
      </c>
      <c r="D165" s="69" t="str">
        <f aca="false">_xlfn.xlookup(B165,Spec!A:A,Spec!D:D)</f>
        <v>AP1019</v>
      </c>
      <c r="E165" s="15" t="s">
        <v>134</v>
      </c>
      <c r="F165" s="15" t="str">
        <f aca="false">_xlfn.xlookup(E165,Clients!B:B,Clients!D:D,FALSE())</f>
        <v>F</v>
      </c>
      <c r="G165" s="42"/>
      <c r="H165" s="15" t="s">
        <v>602</v>
      </c>
      <c r="I165" s="61" t="str">
        <f aca="false">_xlfn.xlookup(B165,Spec!A:A,Spec!B:B)</f>
        <v>S21-1</v>
      </c>
      <c r="J165" s="61" t="str">
        <f aca="false">_xlfn.xlookup(B165,Spec!A:A,Spec!J:J)</f>
        <v>SG - Hotmelt Adhesive</v>
      </c>
      <c r="K165" s="61" t="str">
        <f aca="false">_xlfn.xlookup(B165,Spec!A:A,Spec!E:E)</f>
        <v>Self Adhesive Paper</v>
      </c>
      <c r="L165" s="61" t="str">
        <f aca="false">IF(F165="F","Larg: "&amp;P165&amp;"po   Long: "&amp;Q165&amp;"pi","W: "&amp;P165&amp;"in   L: "&amp;Q165&amp;"ft")</f>
        <v>Larg: 6po   Long: 5000pi</v>
      </c>
      <c r="N165" s="90" t="n">
        <v>0.37</v>
      </c>
      <c r="O165" s="43" t="s">
        <v>554</v>
      </c>
      <c r="P165" s="72" t="n">
        <v>6</v>
      </c>
      <c r="Q165" s="73" t="n">
        <v>5000</v>
      </c>
      <c r="R165" s="83" t="n">
        <f aca="false">P165*12*Q165/1000</f>
        <v>360</v>
      </c>
      <c r="S165" s="88" t="str">
        <f aca="false">_xlfn.xlookup(E165,Clients!B:B,Clients!D:D,FALSE())</f>
        <v>F</v>
      </c>
      <c r="T165" s="84" t="n">
        <f aca="false">IF(O165="msi",P165*12*Q165/1000*N165,IF(O165="sqm",P165/1000*Q165,N165))</f>
        <v>133.2</v>
      </c>
      <c r="U165" s="61" t="str">
        <f aca="false">IF(F165="F","roul.","roll")</f>
        <v>roul.</v>
      </c>
      <c r="V165" s="61" t="str">
        <f aca="false">_xlfn.xlookup(E165,Clients!B:B,Clients!X:X,FALSE())</f>
        <v>CAD</v>
      </c>
      <c r="X165" s="89" t="n">
        <f aca="false">IF(V165=Z165,N165,N165*W165)</f>
        <v>0.37</v>
      </c>
      <c r="Y165" s="61" t="str">
        <f aca="false">O165</f>
        <v>msi</v>
      </c>
      <c r="Z165" s="61" t="str">
        <f aca="false">_xlfn.xlookup(E165,Clients!B:B,Clients!Y:Y,FALSE())</f>
        <v>CAD</v>
      </c>
      <c r="AA165" s="61" t="str">
        <f aca="false">_xlfn.xlookup(B165,Spec!A:A,Spec!K:K,FALSE())</f>
        <v>Canada</v>
      </c>
      <c r="AB165" s="61" t="n">
        <f aca="false">_xlfn.xlookup(B165,Spec!A:A,Spec!L:L,FALSE())</f>
        <v>4811.41</v>
      </c>
    </row>
    <row r="166" customFormat="false" ht="14.25" hidden="false" customHeight="false" outlineLevel="0" collapsed="false">
      <c r="A166" s="1" t="n">
        <v>40185</v>
      </c>
      <c r="B166" s="1" t="n">
        <v>20011</v>
      </c>
      <c r="C166" s="61" t="str">
        <f aca="false">_xlfn.xlookup(B166,Spec!A:A,Spec!C:C)</f>
        <v>AKO</v>
      </c>
      <c r="D166" s="69" t="str">
        <f aca="false">_xlfn.xlookup(B166,Spec!A:A,Spec!D:D)</f>
        <v>AP1019</v>
      </c>
      <c r="E166" s="15" t="s">
        <v>134</v>
      </c>
      <c r="F166" s="15" t="str">
        <f aca="false">_xlfn.xlookup(E166,Clients!B:B,Clients!D:D,FALSE())</f>
        <v>F</v>
      </c>
      <c r="G166" s="42"/>
      <c r="H166" s="15" t="s">
        <v>602</v>
      </c>
      <c r="I166" s="61" t="str">
        <f aca="false">_xlfn.xlookup(B166,Spec!A:A,Spec!B:B)</f>
        <v>S21-1</v>
      </c>
      <c r="J166" s="61" t="str">
        <f aca="false">_xlfn.xlookup(B166,Spec!A:A,Spec!J:J)</f>
        <v>SG - Hotmelt Adhesive</v>
      </c>
      <c r="K166" s="61" t="str">
        <f aca="false">_xlfn.xlookup(B166,Spec!A:A,Spec!E:E)</f>
        <v>Self Adhesive Paper</v>
      </c>
      <c r="L166" s="61" t="str">
        <f aca="false">IF(F166="F","Larg: "&amp;P166&amp;"po   Long: "&amp;Q166&amp;"pi","W: "&amp;P166&amp;"in   L: "&amp;Q166&amp;"ft")</f>
        <v>Larg: 5po   Long: 5000pi</v>
      </c>
      <c r="N166" s="90" t="n">
        <v>0.37</v>
      </c>
      <c r="O166" s="43" t="s">
        <v>554</v>
      </c>
      <c r="P166" s="72" t="n">
        <v>5</v>
      </c>
      <c r="Q166" s="73" t="n">
        <v>5000</v>
      </c>
      <c r="R166" s="83" t="n">
        <f aca="false">P166*12*Q166/1000</f>
        <v>300</v>
      </c>
      <c r="S166" s="88" t="str">
        <f aca="false">_xlfn.xlookup(E166,Clients!B:B,Clients!D:D,FALSE())</f>
        <v>F</v>
      </c>
      <c r="T166" s="84" t="n">
        <f aca="false">IF(O166="msi",P166*12*Q166/1000*N166,IF(O166="sqm",P166/1000*Q166,N166))</f>
        <v>111</v>
      </c>
      <c r="U166" s="61" t="str">
        <f aca="false">IF(F166="F","roul.","roll")</f>
        <v>roul.</v>
      </c>
      <c r="V166" s="61" t="str">
        <f aca="false">_xlfn.xlookup(E166,Clients!B:B,Clients!X:X,FALSE())</f>
        <v>CAD</v>
      </c>
      <c r="X166" s="89" t="n">
        <f aca="false">IF(V166=Z166,N166,N166*W166)</f>
        <v>0.37</v>
      </c>
      <c r="Y166" s="61" t="str">
        <f aca="false">O166</f>
        <v>msi</v>
      </c>
      <c r="Z166" s="61" t="str">
        <f aca="false">_xlfn.xlookup(E166,Clients!B:B,Clients!Y:Y,FALSE())</f>
        <v>CAD</v>
      </c>
      <c r="AA166" s="61" t="str">
        <f aca="false">_xlfn.xlookup(B166,Spec!A:A,Spec!K:K,FALSE())</f>
        <v>Canada</v>
      </c>
      <c r="AB166" s="61" t="n">
        <f aca="false">_xlfn.xlookup(B166,Spec!A:A,Spec!L:L,FALSE())</f>
        <v>4811.41</v>
      </c>
    </row>
    <row r="167" customFormat="false" ht="14.25" hidden="false" customHeight="false" outlineLevel="0" collapsed="false">
      <c r="A167" s="1" t="n">
        <v>40186</v>
      </c>
      <c r="B167" s="1" t="n">
        <v>20017</v>
      </c>
      <c r="C167" s="61" t="str">
        <f aca="false">_xlfn.xlookup(B167,Spec!A:A,Spec!C:C)</f>
        <v>Jinda</v>
      </c>
      <c r="D167" s="69" t="str">
        <f aca="false">_xlfn.xlookup(B167,Spec!A:A,Spec!D:D)</f>
        <v>0488056</v>
      </c>
      <c r="E167" s="15" t="s">
        <v>258</v>
      </c>
      <c r="F167" s="15" t="str">
        <f aca="false">_xlfn.xlookup(E167,Clients!B:B,Clients!D:D,FALSE())</f>
        <v>A</v>
      </c>
      <c r="G167" s="42"/>
      <c r="H167" s="15" t="s">
        <v>593</v>
      </c>
      <c r="I167" s="61" t="str">
        <f aca="false">_xlfn.xlookup(B167,Spec!A:A,Spec!B:B)</f>
        <v>B25-3</v>
      </c>
      <c r="J167" s="61" t="str">
        <f aca="false">_xlfn.xlookup(B167,Spec!A:A,Spec!J:J)</f>
        <v>White BOPP - Acrylic Adhesive</v>
      </c>
      <c r="K167" s="61" t="str">
        <f aca="false">_xlfn.xlookup(B167,Spec!A:A,Spec!E:E)</f>
        <v>Self Adhesive Film</v>
      </c>
      <c r="L167" s="61" t="str">
        <f aca="false">IF(F167="F","Larg: "&amp;P167&amp;"po   Long: "&amp;Q167&amp;"pi","W: "&amp;P167&amp;"in   L: "&amp;Q167&amp;"ft")</f>
        <v>W: 13in   L: 10000ft</v>
      </c>
      <c r="N167" s="90" t="n">
        <v>0.452</v>
      </c>
      <c r="O167" s="43" t="s">
        <v>554</v>
      </c>
      <c r="P167" s="72" t="n">
        <v>13</v>
      </c>
      <c r="Q167" s="73" t="n">
        <v>10000</v>
      </c>
      <c r="R167" s="83" t="n">
        <f aca="false">P167*12*Q167/1000</f>
        <v>1560</v>
      </c>
      <c r="S167" s="88" t="str">
        <f aca="false">_xlfn.xlookup(E167,Clients!B:B,Clients!D:D,FALSE())</f>
        <v>A</v>
      </c>
      <c r="T167" s="84" t="n">
        <f aca="false">IF(O167="msi",P167*12*Q167/1000*N167,IF(O167="sqm",P167/1000*Q167,N167))</f>
        <v>705.12</v>
      </c>
      <c r="U167" s="61" t="str">
        <f aca="false">IF(F167="F","roul.","roll")</f>
        <v>roll</v>
      </c>
      <c r="V167" s="61" t="str">
        <f aca="false">_xlfn.xlookup(E167,Clients!B:B,Clients!X:X,FALSE())</f>
        <v>CAD</v>
      </c>
      <c r="X167" s="89" t="n">
        <f aca="false">IF(V167=Z167,N167,N167*W167)</f>
        <v>0.452</v>
      </c>
      <c r="Y167" s="61" t="str">
        <f aca="false">O167</f>
        <v>msi</v>
      </c>
      <c r="Z167" s="61" t="str">
        <f aca="false">_xlfn.xlookup(E167,Clients!B:B,Clients!Y:Y,FALSE())</f>
        <v>CAD</v>
      </c>
      <c r="AA167" s="61" t="str">
        <f aca="false">_xlfn.xlookup(B167,Spec!A:A,Spec!K:K,FALSE())</f>
        <v>Canada</v>
      </c>
      <c r="AB167" s="61" t="str">
        <f aca="false">_xlfn.xlookup(B167,Spec!A:A,Spec!L:L,FALSE())</f>
        <v>3919.90</v>
      </c>
    </row>
    <row r="168" customFormat="false" ht="14.25" hidden="false" customHeight="false" outlineLevel="0" collapsed="false">
      <c r="A168" s="1" t="n">
        <v>40187</v>
      </c>
      <c r="B168" s="1" t="n">
        <v>20017</v>
      </c>
      <c r="C168" s="61" t="str">
        <f aca="false">_xlfn.xlookup(B168,Spec!A:A,Spec!C:C)</f>
        <v>Jinda</v>
      </c>
      <c r="D168" s="69" t="str">
        <f aca="false">_xlfn.xlookup(B168,Spec!A:A,Spec!D:D)</f>
        <v>0488056</v>
      </c>
      <c r="E168" s="15" t="s">
        <v>258</v>
      </c>
      <c r="F168" s="15" t="str">
        <f aca="false">_xlfn.xlookup(E168,Clients!B:B,Clients!D:D,FALSE())</f>
        <v>A</v>
      </c>
      <c r="G168" s="42"/>
      <c r="H168" s="15" t="s">
        <v>593</v>
      </c>
      <c r="I168" s="61" t="str">
        <f aca="false">_xlfn.xlookup(B168,Spec!A:A,Spec!B:B)</f>
        <v>B25-3</v>
      </c>
      <c r="J168" s="61" t="str">
        <f aca="false">_xlfn.xlookup(B168,Spec!A:A,Spec!J:J)</f>
        <v>White BOPP - Acrylic Adhesive</v>
      </c>
      <c r="K168" s="61" t="str">
        <f aca="false">_xlfn.xlookup(B168,Spec!A:A,Spec!E:E)</f>
        <v>Self Adhesive Film</v>
      </c>
      <c r="L168" s="61" t="str">
        <f aca="false">IF(F168="F","Larg: "&amp;P168&amp;"po   Long: "&amp;Q168&amp;"pi","W: "&amp;P168&amp;"in   L: "&amp;Q168&amp;"ft")</f>
        <v>W: 12.5in   L: 10000ft</v>
      </c>
      <c r="N168" s="90" t="n">
        <v>0.452</v>
      </c>
      <c r="O168" s="43" t="s">
        <v>554</v>
      </c>
      <c r="P168" s="72" t="n">
        <v>12.5</v>
      </c>
      <c r="Q168" s="73" t="n">
        <v>10000</v>
      </c>
      <c r="R168" s="83" t="n">
        <f aca="false">P168*12*Q168/1000</f>
        <v>1500</v>
      </c>
      <c r="S168" s="88" t="str">
        <f aca="false">_xlfn.xlookup(E168,Clients!B:B,Clients!D:D,FALSE())</f>
        <v>A</v>
      </c>
      <c r="T168" s="84" t="n">
        <f aca="false">IF(O168="msi",P168*12*Q168/1000*N168,IF(O168="sqm",P168/1000*Q168,N168))</f>
        <v>678</v>
      </c>
      <c r="U168" s="61" t="str">
        <f aca="false">IF(F168="F","roul.","roll")</f>
        <v>roll</v>
      </c>
      <c r="V168" s="61" t="str">
        <f aca="false">_xlfn.xlookup(E168,Clients!B:B,Clients!X:X,FALSE())</f>
        <v>CAD</v>
      </c>
      <c r="X168" s="89" t="n">
        <f aca="false">IF(V168=Z168,N168,N168*W168)</f>
        <v>0.452</v>
      </c>
      <c r="Y168" s="61" t="str">
        <f aca="false">O168</f>
        <v>msi</v>
      </c>
      <c r="Z168" s="61" t="str">
        <f aca="false">_xlfn.xlookup(E168,Clients!B:B,Clients!Y:Y,FALSE())</f>
        <v>CAD</v>
      </c>
      <c r="AA168" s="61" t="str">
        <f aca="false">_xlfn.xlookup(B168,Spec!A:A,Spec!K:K,FALSE())</f>
        <v>Canada</v>
      </c>
      <c r="AB168" s="61" t="str">
        <f aca="false">_xlfn.xlookup(B168,Spec!A:A,Spec!L:L,FALSE())</f>
        <v>3919.90</v>
      </c>
    </row>
    <row r="169" customFormat="false" ht="14.25" hidden="false" customHeight="false" outlineLevel="0" collapsed="false">
      <c r="A169" s="1" t="n">
        <v>40188</v>
      </c>
      <c r="B169" s="1" t="n">
        <v>20017</v>
      </c>
      <c r="C169" s="61" t="str">
        <f aca="false">_xlfn.xlookup(B169,Spec!A:A,Spec!C:C)</f>
        <v>Jinda</v>
      </c>
      <c r="D169" s="69" t="str">
        <f aca="false">_xlfn.xlookup(B169,Spec!A:A,Spec!D:D)</f>
        <v>0488056</v>
      </c>
      <c r="E169" s="15" t="s">
        <v>258</v>
      </c>
      <c r="F169" s="15" t="str">
        <f aca="false">_xlfn.xlookup(E169,Clients!B:B,Clients!D:D,FALSE())</f>
        <v>A</v>
      </c>
      <c r="G169" s="42"/>
      <c r="H169" s="15" t="s">
        <v>593</v>
      </c>
      <c r="I169" s="61" t="str">
        <f aca="false">_xlfn.xlookup(B169,Spec!A:A,Spec!B:B)</f>
        <v>B25-3</v>
      </c>
      <c r="J169" s="61" t="str">
        <f aca="false">_xlfn.xlookup(B169,Spec!A:A,Spec!J:J)</f>
        <v>White BOPP - Acrylic Adhesive</v>
      </c>
      <c r="K169" s="61" t="str">
        <f aca="false">_xlfn.xlookup(B169,Spec!A:A,Spec!E:E)</f>
        <v>Self Adhesive Film</v>
      </c>
      <c r="L169" s="61" t="str">
        <f aca="false">IF(F169="F","Larg: "&amp;P169&amp;"po   Long: "&amp;Q169&amp;"pi","W: "&amp;P169&amp;"in   L: "&amp;Q169&amp;"ft")</f>
        <v>W: 9in   L: 10000ft</v>
      </c>
      <c r="N169" s="90" t="n">
        <v>0.452</v>
      </c>
      <c r="O169" s="43" t="s">
        <v>554</v>
      </c>
      <c r="P169" s="72" t="n">
        <v>9</v>
      </c>
      <c r="Q169" s="73" t="n">
        <v>10000</v>
      </c>
      <c r="R169" s="83" t="n">
        <f aca="false">P169*12*Q169/1000</f>
        <v>1080</v>
      </c>
      <c r="S169" s="88" t="str">
        <f aca="false">_xlfn.xlookup(E169,Clients!B:B,Clients!D:D,FALSE())</f>
        <v>A</v>
      </c>
      <c r="T169" s="84" t="n">
        <f aca="false">IF(O169="msi",P169*12*Q169/1000*N169,IF(O169="sqm",P169/1000*Q169,N169))</f>
        <v>488.16</v>
      </c>
      <c r="U169" s="61" t="str">
        <f aca="false">IF(F169="F","roul.","roll")</f>
        <v>roll</v>
      </c>
      <c r="V169" s="61" t="str">
        <f aca="false">_xlfn.xlookup(E169,Clients!B:B,Clients!X:X,FALSE())</f>
        <v>CAD</v>
      </c>
      <c r="X169" s="89" t="n">
        <f aca="false">IF(V169=Z169,N169,N169*W169)</f>
        <v>0.452</v>
      </c>
      <c r="Y169" s="61" t="str">
        <f aca="false">O169</f>
        <v>msi</v>
      </c>
      <c r="Z169" s="61" t="str">
        <f aca="false">_xlfn.xlookup(E169,Clients!B:B,Clients!Y:Y,FALSE())</f>
        <v>CAD</v>
      </c>
      <c r="AA169" s="61" t="str">
        <f aca="false">_xlfn.xlookup(B169,Spec!A:A,Spec!K:K,FALSE())</f>
        <v>Canada</v>
      </c>
      <c r="AB169" s="61" t="str">
        <f aca="false">_xlfn.xlookup(B169,Spec!A:A,Spec!L:L,FALSE())</f>
        <v>3919.90</v>
      </c>
    </row>
    <row r="170" customFormat="false" ht="14.25" hidden="false" customHeight="false" outlineLevel="0" collapsed="false">
      <c r="A170" s="1" t="n">
        <v>40189</v>
      </c>
      <c r="B170" s="1" t="n">
        <v>20016</v>
      </c>
      <c r="C170" s="61" t="str">
        <f aca="false">_xlfn.xlookup(B170,Spec!A:A,Spec!C:C)</f>
        <v>Jinda</v>
      </c>
      <c r="D170" s="69" t="str">
        <f aca="false">_xlfn.xlookup(B170,Spec!A:A,Spec!D:D)</f>
        <v>0488032</v>
      </c>
      <c r="E170" s="15" t="s">
        <v>258</v>
      </c>
      <c r="F170" s="15" t="str">
        <f aca="false">_xlfn.xlookup(E170,Clients!B:B,Clients!D:D,FALSE())</f>
        <v>A</v>
      </c>
      <c r="G170" s="42"/>
      <c r="H170" s="15" t="s">
        <v>608</v>
      </c>
      <c r="I170" s="61" t="str">
        <f aca="false">_xlfn.xlookup(B170,Spec!A:A,Spec!B:B)</f>
        <v>B15-3</v>
      </c>
      <c r="J170" s="61" t="str">
        <f aca="false">_xlfn.xlookup(B170,Spec!A:A,Spec!J:J)</f>
        <v>Clear BOPP - Acrylic Adhesive</v>
      </c>
      <c r="K170" s="61" t="str">
        <f aca="false">_xlfn.xlookup(B170,Spec!A:A,Spec!E:E)</f>
        <v>Self Adhesive Film</v>
      </c>
      <c r="L170" s="61" t="str">
        <f aca="false">IF(F170="F","Larg: "&amp;P170&amp;"po   Long: "&amp;Q170&amp;"pi","W: "&amp;P170&amp;"in   L: "&amp;Q170&amp;"ft")</f>
        <v>W: 13in   L: 10000ft</v>
      </c>
      <c r="N170" s="90" t="n">
        <v>0.452</v>
      </c>
      <c r="O170" s="43" t="s">
        <v>554</v>
      </c>
      <c r="P170" s="72" t="n">
        <v>13</v>
      </c>
      <c r="Q170" s="73" t="n">
        <v>10000</v>
      </c>
      <c r="R170" s="83" t="n">
        <f aca="false">P170*12*Q170/1000</f>
        <v>1560</v>
      </c>
      <c r="S170" s="88" t="str">
        <f aca="false">_xlfn.xlookup(E170,Clients!B:B,Clients!D:D,FALSE())</f>
        <v>A</v>
      </c>
      <c r="T170" s="84" t="n">
        <f aca="false">IF(O170="msi",P170*12*Q170/1000*N170,IF(O170="sqm",P170/1000*Q170,N170))</f>
        <v>705.12</v>
      </c>
      <c r="U170" s="61" t="str">
        <f aca="false">IF(F170="F","roul.","roll")</f>
        <v>roll</v>
      </c>
      <c r="V170" s="61" t="str">
        <f aca="false">_xlfn.xlookup(E170,Clients!B:B,Clients!X:X,FALSE())</f>
        <v>CAD</v>
      </c>
      <c r="X170" s="89" t="n">
        <f aca="false">IF(V170=Z170,N170,N170*W170)</f>
        <v>0.452</v>
      </c>
      <c r="Y170" s="61" t="str">
        <f aca="false">O170</f>
        <v>msi</v>
      </c>
      <c r="Z170" s="61" t="str">
        <f aca="false">_xlfn.xlookup(E170,Clients!B:B,Clients!Y:Y,FALSE())</f>
        <v>CAD</v>
      </c>
      <c r="AA170" s="61" t="str">
        <f aca="false">_xlfn.xlookup(B170,Spec!A:A,Spec!K:K,FALSE())</f>
        <v>Canada</v>
      </c>
      <c r="AB170" s="61" t="str">
        <f aca="false">_xlfn.xlookup(B170,Spec!A:A,Spec!L:L,FALSE())</f>
        <v>3919.90</v>
      </c>
    </row>
    <row r="171" customFormat="false" ht="14.25" hidden="false" customHeight="false" outlineLevel="0" collapsed="false">
      <c r="A171" s="1" t="n">
        <v>40190</v>
      </c>
      <c r="B171" s="1" t="n">
        <v>20016</v>
      </c>
      <c r="C171" s="61" t="str">
        <f aca="false">_xlfn.xlookup(B171,Spec!A:A,Spec!C:C)</f>
        <v>Jinda</v>
      </c>
      <c r="D171" s="69" t="str">
        <f aca="false">_xlfn.xlookup(B171,Spec!A:A,Spec!D:D)</f>
        <v>0488032</v>
      </c>
      <c r="E171" s="15" t="s">
        <v>258</v>
      </c>
      <c r="F171" s="15" t="str">
        <f aca="false">_xlfn.xlookup(E171,Clients!B:B,Clients!D:D,FALSE())</f>
        <v>A</v>
      </c>
      <c r="G171" s="42"/>
      <c r="H171" s="15" t="s">
        <v>608</v>
      </c>
      <c r="I171" s="61" t="str">
        <f aca="false">_xlfn.xlookup(B171,Spec!A:A,Spec!B:B)</f>
        <v>B15-3</v>
      </c>
      <c r="J171" s="61" t="str">
        <f aca="false">_xlfn.xlookup(B171,Spec!A:A,Spec!J:J)</f>
        <v>Clear BOPP - Acrylic Adhesive</v>
      </c>
      <c r="K171" s="61" t="str">
        <f aca="false">_xlfn.xlookup(B171,Spec!A:A,Spec!E:E)</f>
        <v>Self Adhesive Film</v>
      </c>
      <c r="L171" s="61" t="str">
        <f aca="false">IF(F171="F","Larg: "&amp;P171&amp;"po   Long: "&amp;Q171&amp;"pi","W: "&amp;P171&amp;"in   L: "&amp;Q171&amp;"ft")</f>
        <v>W: 12.5in   L: 10000ft</v>
      </c>
      <c r="N171" s="90" t="n">
        <v>0.452</v>
      </c>
      <c r="O171" s="43" t="s">
        <v>554</v>
      </c>
      <c r="P171" s="72" t="n">
        <v>12.5</v>
      </c>
      <c r="Q171" s="73" t="n">
        <v>10000</v>
      </c>
      <c r="R171" s="83" t="n">
        <f aca="false">P171*12*Q171/1000</f>
        <v>1500</v>
      </c>
      <c r="S171" s="88" t="str">
        <f aca="false">_xlfn.xlookup(E171,Clients!B:B,Clients!D:D,FALSE())</f>
        <v>A</v>
      </c>
      <c r="T171" s="84" t="n">
        <f aca="false">IF(O171="msi",P171*12*Q171/1000*N171,IF(O171="sqm",P171/1000*Q171,N171))</f>
        <v>678</v>
      </c>
      <c r="U171" s="61" t="str">
        <f aca="false">IF(F171="F","roul.","roll")</f>
        <v>roll</v>
      </c>
      <c r="V171" s="61" t="str">
        <f aca="false">_xlfn.xlookup(E171,Clients!B:B,Clients!X:X,FALSE())</f>
        <v>CAD</v>
      </c>
      <c r="X171" s="89" t="n">
        <f aca="false">IF(V171=Z171,N171,N171*W171)</f>
        <v>0.452</v>
      </c>
      <c r="Y171" s="61" t="str">
        <f aca="false">O171</f>
        <v>msi</v>
      </c>
      <c r="Z171" s="61" t="str">
        <f aca="false">_xlfn.xlookup(E171,Clients!B:B,Clients!Y:Y,FALSE())</f>
        <v>CAD</v>
      </c>
      <c r="AA171" s="61" t="str">
        <f aca="false">_xlfn.xlookup(B171,Spec!A:A,Spec!K:K,FALSE())</f>
        <v>Canada</v>
      </c>
      <c r="AB171" s="61" t="str">
        <f aca="false">_xlfn.xlookup(B171,Spec!A:A,Spec!L:L,FALSE())</f>
        <v>3919.90</v>
      </c>
    </row>
    <row r="172" customFormat="false" ht="14.25" hidden="false" customHeight="false" outlineLevel="0" collapsed="false">
      <c r="A172" s="1" t="n">
        <v>40191</v>
      </c>
      <c r="B172" s="1" t="n">
        <v>20016</v>
      </c>
      <c r="C172" s="61" t="str">
        <f aca="false">_xlfn.xlookup(B172,Spec!A:A,Spec!C:C)</f>
        <v>Jinda</v>
      </c>
      <c r="D172" s="69" t="str">
        <f aca="false">_xlfn.xlookup(B172,Spec!A:A,Spec!D:D)</f>
        <v>0488032</v>
      </c>
      <c r="E172" s="15" t="s">
        <v>258</v>
      </c>
      <c r="F172" s="15" t="str">
        <f aca="false">_xlfn.xlookup(E172,Clients!B:B,Clients!D:D,FALSE())</f>
        <v>A</v>
      </c>
      <c r="G172" s="42"/>
      <c r="H172" s="15" t="s">
        <v>608</v>
      </c>
      <c r="I172" s="61" t="str">
        <f aca="false">_xlfn.xlookup(B172,Spec!A:A,Spec!B:B)</f>
        <v>B15-3</v>
      </c>
      <c r="J172" s="61" t="str">
        <f aca="false">_xlfn.xlookup(B172,Spec!A:A,Spec!J:J)</f>
        <v>Clear BOPP - Acrylic Adhesive</v>
      </c>
      <c r="K172" s="61" t="str">
        <f aca="false">_xlfn.xlookup(B172,Spec!A:A,Spec!E:E)</f>
        <v>Self Adhesive Film</v>
      </c>
      <c r="L172" s="61" t="str">
        <f aca="false">IF(F172="F","Larg: "&amp;P172&amp;"po   Long: "&amp;Q172&amp;"pi","W: "&amp;P172&amp;"in   L: "&amp;Q172&amp;"ft")</f>
        <v>W: 9in   L: 10000ft</v>
      </c>
      <c r="N172" s="90" t="n">
        <v>0.452</v>
      </c>
      <c r="O172" s="43" t="s">
        <v>554</v>
      </c>
      <c r="P172" s="72" t="n">
        <v>9</v>
      </c>
      <c r="Q172" s="73" t="n">
        <v>10000</v>
      </c>
      <c r="R172" s="83" t="n">
        <f aca="false">P172*12*Q172/1000</f>
        <v>1080</v>
      </c>
      <c r="S172" s="88" t="str">
        <f aca="false">_xlfn.xlookup(E172,Clients!B:B,Clients!D:D,FALSE())</f>
        <v>A</v>
      </c>
      <c r="T172" s="84" t="n">
        <f aca="false">IF(O172="msi",P172*12*Q172/1000*N172,IF(O172="sqm",P172/1000*Q172,N172))</f>
        <v>488.16</v>
      </c>
      <c r="U172" s="61" t="str">
        <f aca="false">IF(F172="F","roul.","roll")</f>
        <v>roll</v>
      </c>
      <c r="V172" s="61" t="str">
        <f aca="false">_xlfn.xlookup(E172,Clients!B:B,Clients!X:X,FALSE())</f>
        <v>CAD</v>
      </c>
      <c r="X172" s="89" t="n">
        <f aca="false">IF(V172=Z172,N172,N172*W172)</f>
        <v>0.452</v>
      </c>
      <c r="Y172" s="61" t="str">
        <f aca="false">O172</f>
        <v>msi</v>
      </c>
      <c r="Z172" s="61" t="str">
        <f aca="false">_xlfn.xlookup(E172,Clients!B:B,Clients!Y:Y,FALSE())</f>
        <v>CAD</v>
      </c>
      <c r="AA172" s="61" t="str">
        <f aca="false">_xlfn.xlookup(B172,Spec!A:A,Spec!K:K,FALSE())</f>
        <v>Canada</v>
      </c>
      <c r="AB172" s="61" t="str">
        <f aca="false">_xlfn.xlookup(B172,Spec!A:A,Spec!L:L,FALSE())</f>
        <v>3919.90</v>
      </c>
    </row>
    <row r="173" customFormat="false" ht="14.25" hidden="false" customHeight="false" outlineLevel="0" collapsed="false">
      <c r="A173" s="1" t="n">
        <v>40192</v>
      </c>
      <c r="B173" s="1" t="n">
        <v>20016</v>
      </c>
      <c r="C173" s="61" t="str">
        <f aca="false">_xlfn.xlookup(B173,Spec!A:A,Spec!C:C)</f>
        <v>Jinda</v>
      </c>
      <c r="D173" s="69" t="str">
        <f aca="false">_xlfn.xlookup(B173,Spec!A:A,Spec!D:D)</f>
        <v>0488032</v>
      </c>
      <c r="E173" s="15" t="s">
        <v>258</v>
      </c>
      <c r="F173" s="15" t="str">
        <f aca="false">_xlfn.xlookup(E173,Clients!B:B,Clients!D:D,FALSE())</f>
        <v>A</v>
      </c>
      <c r="G173" s="42"/>
      <c r="H173" s="15" t="s">
        <v>608</v>
      </c>
      <c r="I173" s="61" t="str">
        <f aca="false">_xlfn.xlookup(B173,Spec!A:A,Spec!B:B)</f>
        <v>B15-3</v>
      </c>
      <c r="J173" s="61" t="str">
        <f aca="false">_xlfn.xlookup(B173,Spec!A:A,Spec!J:J)</f>
        <v>Clear BOPP - Acrylic Adhesive</v>
      </c>
      <c r="K173" s="61" t="str">
        <f aca="false">_xlfn.xlookup(B173,Spec!A:A,Spec!E:E)</f>
        <v>Self Adhesive Film</v>
      </c>
      <c r="L173" s="61" t="str">
        <f aca="false">IF(F173="F","Larg: "&amp;P173&amp;"po   Long: "&amp;Q173&amp;"pi","W: "&amp;P173&amp;"in   L: "&amp;Q173&amp;"ft")</f>
        <v>W: 8.5in   L: 10000ft</v>
      </c>
      <c r="N173" s="90" t="n">
        <v>0.452</v>
      </c>
      <c r="O173" s="43" t="s">
        <v>554</v>
      </c>
      <c r="P173" s="72" t="n">
        <v>8.5</v>
      </c>
      <c r="Q173" s="73" t="n">
        <v>10000</v>
      </c>
      <c r="R173" s="83" t="n">
        <f aca="false">P173*12*Q173/1000</f>
        <v>1020</v>
      </c>
      <c r="S173" s="88" t="str">
        <f aca="false">_xlfn.xlookup(E173,Clients!B:B,Clients!D:D,FALSE())</f>
        <v>A</v>
      </c>
      <c r="T173" s="84" t="n">
        <f aca="false">IF(O173="msi",P173*12*Q173/1000*N173,IF(O173="sqm",P173/1000*Q173,N173))</f>
        <v>461.04</v>
      </c>
      <c r="U173" s="61" t="str">
        <f aca="false">IF(F173="F","roul.","roll")</f>
        <v>roll</v>
      </c>
      <c r="V173" s="61" t="str">
        <f aca="false">_xlfn.xlookup(E173,Clients!B:B,Clients!X:X,FALSE())</f>
        <v>CAD</v>
      </c>
      <c r="X173" s="89" t="n">
        <f aca="false">IF(V173=Z173,N173,N173*W173)</f>
        <v>0.452</v>
      </c>
      <c r="Y173" s="61" t="str">
        <f aca="false">O173</f>
        <v>msi</v>
      </c>
      <c r="Z173" s="61" t="str">
        <f aca="false">_xlfn.xlookup(E173,Clients!B:B,Clients!Y:Y,FALSE())</f>
        <v>CAD</v>
      </c>
      <c r="AA173" s="61" t="str">
        <f aca="false">_xlfn.xlookup(B173,Spec!A:A,Spec!K:K,FALSE())</f>
        <v>Canada</v>
      </c>
      <c r="AB173" s="61" t="str">
        <f aca="false">_xlfn.xlookup(B173,Spec!A:A,Spec!L:L,FALSE())</f>
        <v>3919.90</v>
      </c>
    </row>
    <row r="174" customFormat="false" ht="14.25" hidden="false" customHeight="false" outlineLevel="0" collapsed="false">
      <c r="A174" s="1" t="n">
        <v>40193</v>
      </c>
      <c r="B174" s="1" t="n">
        <v>20017</v>
      </c>
      <c r="C174" s="61" t="str">
        <f aca="false">_xlfn.xlookup(B174,Spec!A:A,Spec!C:C)</f>
        <v>Jinda</v>
      </c>
      <c r="D174" s="69" t="str">
        <f aca="false">_xlfn.xlookup(B174,Spec!A:A,Spec!D:D)</f>
        <v>0488056</v>
      </c>
      <c r="E174" s="15" t="s">
        <v>141</v>
      </c>
      <c r="F174" s="15" t="str">
        <f aca="false">_xlfn.xlookup(E174,Clients!B:B,Clients!D:D,FALSE())</f>
        <v>F</v>
      </c>
      <c r="G174" s="42"/>
      <c r="H174" s="15" t="s">
        <v>593</v>
      </c>
      <c r="I174" s="61" t="str">
        <f aca="false">_xlfn.xlookup(B174,Spec!A:A,Spec!B:B)</f>
        <v>B25-3</v>
      </c>
      <c r="J174" s="61" t="str">
        <f aca="false">_xlfn.xlookup(B174,Spec!A:A,Spec!J:J)</f>
        <v>White BOPP - Acrylic Adhesive</v>
      </c>
      <c r="K174" s="61" t="str">
        <f aca="false">_xlfn.xlookup(B174,Spec!A:A,Spec!E:E)</f>
        <v>Self Adhesive Film</v>
      </c>
      <c r="L174" s="61" t="str">
        <f aca="false">IF(F174="F","Larg: "&amp;P174&amp;"po   Long: "&amp;Q174&amp;"pi","W: "&amp;P174&amp;"in   L: "&amp;Q174&amp;"ft")</f>
        <v>Larg: 10po   Long: 10000pi</v>
      </c>
      <c r="N174" s="43" t="n">
        <v>0.452</v>
      </c>
      <c r="O174" s="43" t="s">
        <v>554</v>
      </c>
      <c r="P174" s="72" t="n">
        <v>10</v>
      </c>
      <c r="Q174" s="73" t="n">
        <v>10000</v>
      </c>
      <c r="R174" s="83" t="n">
        <f aca="false">P174*12*Q174/1000</f>
        <v>1200</v>
      </c>
      <c r="S174" s="88" t="str">
        <f aca="false">_xlfn.xlookup(E174,Clients!B:B,Clients!D:D,FALSE())</f>
        <v>F</v>
      </c>
      <c r="T174" s="84" t="n">
        <f aca="false">IF(O174="msi",P174*12*Q174/1000*N174,IF(O174="sqm",P174/1000*Q174,N174))</f>
        <v>542.4</v>
      </c>
      <c r="U174" s="61" t="str">
        <f aca="false">IF(F174="F","roul.","roll")</f>
        <v>roul.</v>
      </c>
      <c r="V174" s="61" t="str">
        <f aca="false">_xlfn.xlookup(E174,Clients!B:B,Clients!X:X,FALSE())</f>
        <v>CAD</v>
      </c>
      <c r="X174" s="89" t="n">
        <f aca="false">IF(V174=Z174,N174,N174*W174)</f>
        <v>0.452</v>
      </c>
      <c r="Y174" s="61" t="str">
        <f aca="false">O174</f>
        <v>msi</v>
      </c>
      <c r="Z174" s="61" t="str">
        <f aca="false">_xlfn.xlookup(E174,Clients!B:B,Clients!Y:Y,FALSE())</f>
        <v>CAD</v>
      </c>
      <c r="AA174" s="61" t="str">
        <f aca="false">_xlfn.xlookup(B174,Spec!A:A,Spec!K:K,FALSE())</f>
        <v>Canada</v>
      </c>
      <c r="AB174" s="61" t="str">
        <f aca="false">_xlfn.xlookup(B174,Spec!A:A,Spec!L:L,FALSE())</f>
        <v>3919.90</v>
      </c>
    </row>
    <row r="175" customFormat="false" ht="14.25" hidden="false" customHeight="false" outlineLevel="0" collapsed="false">
      <c r="A175" s="1" t="n">
        <v>40194</v>
      </c>
      <c r="B175" s="1" t="n">
        <v>20015</v>
      </c>
      <c r="C175" s="61" t="str">
        <f aca="false">_xlfn.xlookup(B175,Spec!A:A,Spec!C:C)</f>
        <v>Jinda</v>
      </c>
      <c r="D175" s="69" t="str">
        <f aca="false">_xlfn.xlookup(B175,Spec!A:A,Spec!D:D)</f>
        <v>0402105</v>
      </c>
      <c r="E175" s="15" t="s">
        <v>258</v>
      </c>
      <c r="F175" s="15" t="str">
        <f aca="false">_xlfn.xlookup(E175,Clients!B:B,Clients!D:D,FALSE())</f>
        <v>A</v>
      </c>
      <c r="G175" s="42" t="s">
        <v>682</v>
      </c>
      <c r="H175" s="15" t="s">
        <v>586</v>
      </c>
      <c r="I175" s="61" t="str">
        <f aca="false">_xlfn.xlookup(B175,Spec!A:A,Spec!B:B)</f>
        <v>S15-3</v>
      </c>
      <c r="J175" s="61" t="str">
        <f aca="false">_xlfn.xlookup(B175,Spec!A:A,Spec!J:J)</f>
        <v>SG - Acrylic Adhesive</v>
      </c>
      <c r="K175" s="61" t="str">
        <f aca="false">_xlfn.xlookup(B175,Spec!A:A,Spec!E:E)</f>
        <v>Self Adhesive Paper</v>
      </c>
      <c r="L175" s="61" t="str">
        <f aca="false">IF(F175="F","Larg: "&amp;P175&amp;"po   Long: "&amp;Q175&amp;"pi","W: "&amp;P175&amp;"in   L: "&amp;Q175&amp;"ft")</f>
        <v>W: 12in   L: 2000ft</v>
      </c>
      <c r="N175" s="43" t="n">
        <v>0</v>
      </c>
      <c r="O175" s="43" t="s">
        <v>554</v>
      </c>
      <c r="P175" s="72" t="n">
        <v>12</v>
      </c>
      <c r="Q175" s="73" t="n">
        <v>2000</v>
      </c>
      <c r="R175" s="83" t="n">
        <f aca="false">P175*12*Q175/1000</f>
        <v>288</v>
      </c>
      <c r="S175" s="88" t="str">
        <f aca="false">_xlfn.xlookup(E175,Clients!B:B,Clients!D:D,FALSE())</f>
        <v>A</v>
      </c>
      <c r="T175" s="84" t="n">
        <f aca="false">IF(O175="msi",P175*12*Q175/1000*N175,IF(O175="sqm",P175/1000*Q175,N175))</f>
        <v>0</v>
      </c>
      <c r="U175" s="61" t="str">
        <f aca="false">IF(F175="F","roul.","roll")</f>
        <v>roll</v>
      </c>
      <c r="V175" s="61" t="str">
        <f aca="false">_xlfn.xlookup(E175,Clients!B:B,Clients!X:X,FALSE())</f>
        <v>CAD</v>
      </c>
      <c r="X175" s="89" t="n">
        <f aca="false">IF(V175=Z175,N175,N175*W175)</f>
        <v>0</v>
      </c>
      <c r="Y175" s="61" t="str">
        <f aca="false">O175</f>
        <v>msi</v>
      </c>
      <c r="Z175" s="61" t="str">
        <f aca="false">_xlfn.xlookup(E175,Clients!B:B,Clients!Y:Y,FALSE())</f>
        <v>CAD</v>
      </c>
      <c r="AA175" s="61" t="str">
        <f aca="false">_xlfn.xlookup(B175,Spec!A:A,Spec!K:K,FALSE())</f>
        <v>Canada</v>
      </c>
      <c r="AB175" s="61" t="n">
        <f aca="false">_xlfn.xlookup(B175,Spec!A:A,Spec!L:L,FALSE())</f>
        <v>4811.41</v>
      </c>
    </row>
    <row r="176" customFormat="false" ht="14.25" hidden="false" customHeight="false" outlineLevel="0" collapsed="false">
      <c r="A176" s="1" t="n">
        <v>40195</v>
      </c>
      <c r="B176" s="1" t="n">
        <v>20024</v>
      </c>
      <c r="C176" s="61" t="str">
        <f aca="false">_xlfn.xlookup(B176,Spec!A:A,Spec!C:C)</f>
        <v>Jinda</v>
      </c>
      <c r="D176" s="69" t="str">
        <f aca="false">_xlfn.xlookup(B176,Spec!A:A,Spec!D:D)</f>
        <v>0410664</v>
      </c>
      <c r="E176" s="15" t="s">
        <v>276</v>
      </c>
      <c r="F176" s="15" t="str">
        <f aca="false">_xlfn.xlookup(E176,Clients!B:B,Clients!D:D,FALSE())</f>
        <v>F</v>
      </c>
      <c r="G176" s="42" t="s">
        <v>629</v>
      </c>
      <c r="H176" s="15" t="s">
        <v>669</v>
      </c>
      <c r="I176" s="61" t="str">
        <f aca="false">_xlfn.xlookup(B176,Spec!A:A,Spec!B:B)</f>
        <v>D11-3</v>
      </c>
      <c r="J176" s="61" t="str">
        <f aca="false">_xlfn.xlookup(B176,Spec!A:A,Spec!J:J)</f>
        <v>TC DT - Hotmelt Adhesive</v>
      </c>
      <c r="K176" s="61" t="str">
        <f aca="false">_xlfn.xlookup(B176,Spec!A:A,Spec!E:E)</f>
        <v>Self Adhesive Paper</v>
      </c>
      <c r="L176" s="61" t="str">
        <f aca="false">IF(F176="F","Larg: "&amp;P176&amp;"po   Long: "&amp;Q176&amp;"pi","W: "&amp;P176&amp;"in   L: "&amp;Q176&amp;"ft")</f>
        <v>Larg: 10po   Long: 2500pi</v>
      </c>
      <c r="N176" s="43"/>
      <c r="O176" s="43" t="s">
        <v>554</v>
      </c>
      <c r="P176" s="72" t="n">
        <v>10</v>
      </c>
      <c r="Q176" s="73" t="n">
        <v>2500</v>
      </c>
      <c r="R176" s="83" t="n">
        <f aca="false">P176*12*Q176/1000</f>
        <v>300</v>
      </c>
      <c r="S176" s="88" t="str">
        <f aca="false">_xlfn.xlookup(E176,Clients!B:B,Clients!D:D,FALSE())</f>
        <v>F</v>
      </c>
      <c r="T176" s="84" t="n">
        <f aca="false">IF(O176="msi",P176*12*Q176/1000*N176,IF(O176="sqm",P176/1000*Q176,N176))</f>
        <v>0</v>
      </c>
      <c r="U176" s="61" t="str">
        <f aca="false">IF(F176="F","roul.","roll")</f>
        <v>roul.</v>
      </c>
      <c r="V176" s="61" t="str">
        <f aca="false">_xlfn.xlookup(E176,Clients!B:B,Clients!X:X,FALSE())</f>
        <v>CAD</v>
      </c>
      <c r="X176" s="89" t="n">
        <f aca="false">IF(V176=Z176,N176,N176*W176)</f>
        <v>0</v>
      </c>
      <c r="Y176" s="61" t="str">
        <f aca="false">O176</f>
        <v>msi</v>
      </c>
      <c r="Z176" s="61" t="str">
        <f aca="false">_xlfn.xlookup(E176,Clients!B:B,Clients!Y:Y,FALSE())</f>
        <v>CAD</v>
      </c>
      <c r="AA176" s="61" t="str">
        <f aca="false">_xlfn.xlookup(B176,Spec!A:A,Spec!K:K,FALSE())</f>
        <v>Canada</v>
      </c>
      <c r="AB176" s="61" t="n">
        <f aca="false">_xlfn.xlookup(B176,Spec!A:A,Spec!L:L,FALSE())</f>
        <v>4811.41</v>
      </c>
    </row>
    <row r="177" customFormat="false" ht="14.25" hidden="false" customHeight="false" outlineLevel="0" collapsed="false">
      <c r="A177" s="1" t="n">
        <v>40196</v>
      </c>
      <c r="B177" s="1" t="n">
        <v>20003</v>
      </c>
      <c r="C177" s="61" t="str">
        <f aca="false">_xlfn.xlookup(B177,Spec!A:A,Spec!C:C)</f>
        <v>AKO</v>
      </c>
      <c r="D177" s="69" t="str">
        <f aca="false">_xlfn.xlookup(B177,Spec!A:A,Spec!D:D)</f>
        <v>AT1003</v>
      </c>
      <c r="E177" s="15" t="s">
        <v>276</v>
      </c>
      <c r="F177" s="15" t="str">
        <f aca="false">_xlfn.xlookup(E177,Clients!B:B,Clients!D:D,FALSE())</f>
        <v>F</v>
      </c>
      <c r="G177" s="42" t="s">
        <v>629</v>
      </c>
      <c r="H177" s="15" t="s">
        <v>660</v>
      </c>
      <c r="I177" s="61" t="str">
        <f aca="false">_xlfn.xlookup(B177,Spec!A:A,Spec!B:B)</f>
        <v>T11-1</v>
      </c>
      <c r="J177" s="61" t="str">
        <f aca="false">_xlfn.xlookup(B177,Spec!A:A,Spec!J:J)</f>
        <v>TT - HM Adhesive</v>
      </c>
      <c r="K177" s="61" t="str">
        <f aca="false">_xlfn.xlookup(B177,Spec!A:A,Spec!E:E)</f>
        <v>Self Adhesive Paper</v>
      </c>
      <c r="L177" s="61" t="str">
        <f aca="false">IF(F177="F","Larg: "&amp;P177&amp;"po   Long: "&amp;Q177&amp;"pi","W: "&amp;P177&amp;"in   L: "&amp;Q177&amp;"ft")</f>
        <v>Larg: 10po   Long: 2500pi</v>
      </c>
      <c r="N177" s="43"/>
      <c r="O177" s="43" t="s">
        <v>554</v>
      </c>
      <c r="P177" s="72" t="n">
        <v>10</v>
      </c>
      <c r="Q177" s="73" t="n">
        <v>2500</v>
      </c>
      <c r="R177" s="83" t="n">
        <f aca="false">P177*12*Q177/1000</f>
        <v>300</v>
      </c>
      <c r="S177" s="88" t="str">
        <f aca="false">_xlfn.xlookup(E177,Clients!B:B,Clients!D:D,FALSE())</f>
        <v>F</v>
      </c>
      <c r="T177" s="84" t="n">
        <f aca="false">IF(O177="msi",P177*12*Q177/1000*N177,IF(O177="sqm",P177/1000*Q177,N177))</f>
        <v>0</v>
      </c>
      <c r="U177" s="61" t="str">
        <f aca="false">IF(F177="F","roul.","roll")</f>
        <v>roul.</v>
      </c>
      <c r="V177" s="61" t="str">
        <f aca="false">_xlfn.xlookup(E177,Clients!B:B,Clients!X:X,FALSE())</f>
        <v>CAD</v>
      </c>
      <c r="X177" s="89" t="n">
        <f aca="false">IF(V177=Z177,N177,N177*W177)</f>
        <v>0</v>
      </c>
      <c r="Y177" s="61" t="str">
        <f aca="false">O177</f>
        <v>msi</v>
      </c>
      <c r="Z177" s="61" t="str">
        <f aca="false">_xlfn.xlookup(E177,Clients!B:B,Clients!Y:Y,FALSE())</f>
        <v>CAD</v>
      </c>
      <c r="AA177" s="61" t="str">
        <f aca="false">_xlfn.xlookup(B177,Spec!A:A,Spec!K:K,FALSE())</f>
        <v>Canada</v>
      </c>
      <c r="AB177" s="61" t="n">
        <f aca="false">_xlfn.xlookup(B177,Spec!A:A,Spec!L:L,FALSE())</f>
        <v>4811.41</v>
      </c>
    </row>
    <row r="178" customFormat="false" ht="14.25" hidden="false" customHeight="false" outlineLevel="0" collapsed="false">
      <c r="A178" s="1" t="n">
        <v>40197</v>
      </c>
      <c r="B178" s="1" t="n">
        <v>20015</v>
      </c>
      <c r="C178" s="61" t="str">
        <f aca="false">_xlfn.xlookup(B178,Spec!A:A,Spec!C:C)</f>
        <v>Jinda</v>
      </c>
      <c r="D178" s="69" t="str">
        <f aca="false">_xlfn.xlookup(B178,Spec!A:A,Spec!D:D)</f>
        <v>0402105</v>
      </c>
      <c r="E178" s="15" t="s">
        <v>276</v>
      </c>
      <c r="F178" s="15" t="str">
        <f aca="false">_xlfn.xlookup(E178,Clients!B:B,Clients!D:D,FALSE())</f>
        <v>F</v>
      </c>
      <c r="G178" s="42" t="s">
        <v>629</v>
      </c>
      <c r="H178" s="15" t="s">
        <v>586</v>
      </c>
      <c r="I178" s="61" t="str">
        <f aca="false">_xlfn.xlookup(B178,Spec!A:A,Spec!B:B)</f>
        <v>S15-3</v>
      </c>
      <c r="J178" s="61" t="str">
        <f aca="false">_xlfn.xlookup(B178,Spec!A:A,Spec!J:J)</f>
        <v>SG - Acrylic Adhesive</v>
      </c>
      <c r="K178" s="61" t="str">
        <f aca="false">_xlfn.xlookup(B178,Spec!A:A,Spec!E:E)</f>
        <v>Self Adhesive Paper</v>
      </c>
      <c r="L178" s="61" t="str">
        <f aca="false">IF(F178="F","Larg: "&amp;P178&amp;"po   Long: "&amp;Q178&amp;"pi","W: "&amp;P178&amp;"in   L: "&amp;Q178&amp;"ft")</f>
        <v>Larg: 10po   Long: 2500pi</v>
      </c>
      <c r="N178" s="43"/>
      <c r="O178" s="43" t="s">
        <v>554</v>
      </c>
      <c r="P178" s="72" t="n">
        <v>10</v>
      </c>
      <c r="Q178" s="73" t="n">
        <v>2500</v>
      </c>
      <c r="R178" s="83" t="n">
        <f aca="false">P178*12*Q178/1000</f>
        <v>300</v>
      </c>
      <c r="S178" s="88" t="str">
        <f aca="false">_xlfn.xlookup(E178,Clients!B:B,Clients!D:D,FALSE())</f>
        <v>F</v>
      </c>
      <c r="T178" s="84" t="n">
        <f aca="false">IF(O178="msi",P178*12*Q178/1000*N178,IF(O178="sqm",P178/1000*Q178,N178))</f>
        <v>0</v>
      </c>
      <c r="U178" s="61" t="str">
        <f aca="false">IF(F178="F","roul.","roll")</f>
        <v>roul.</v>
      </c>
      <c r="V178" s="61" t="str">
        <f aca="false">_xlfn.xlookup(E178,Clients!B:B,Clients!X:X,FALSE())</f>
        <v>CAD</v>
      </c>
      <c r="X178" s="89" t="n">
        <f aca="false">IF(V178=Z178,N178,N178*W178)</f>
        <v>0</v>
      </c>
      <c r="Y178" s="61" t="str">
        <f aca="false">O178</f>
        <v>msi</v>
      </c>
      <c r="Z178" s="61" t="str">
        <f aca="false">_xlfn.xlookup(E178,Clients!B:B,Clients!Y:Y,FALSE())</f>
        <v>CAD</v>
      </c>
      <c r="AA178" s="61" t="str">
        <f aca="false">_xlfn.xlookup(B178,Spec!A:A,Spec!K:K,FALSE())</f>
        <v>Canada</v>
      </c>
      <c r="AB178" s="61" t="n">
        <f aca="false">_xlfn.xlookup(B178,Spec!A:A,Spec!L:L,FALSE())</f>
        <v>4811.41</v>
      </c>
    </row>
    <row r="179" customFormat="false" ht="14.25" hidden="false" customHeight="false" outlineLevel="0" collapsed="false">
      <c r="A179" s="1" t="n">
        <v>40198</v>
      </c>
      <c r="B179" s="1" t="n">
        <v>20015</v>
      </c>
      <c r="C179" s="61" t="str">
        <f aca="false">_xlfn.xlookup(B179,Spec!A:A,Spec!C:C)</f>
        <v>Jinda</v>
      </c>
      <c r="D179" s="69" t="str">
        <f aca="false">_xlfn.xlookup(B179,Spec!A:A,Spec!D:D)</f>
        <v>0402105</v>
      </c>
      <c r="E179" s="15" t="s">
        <v>178</v>
      </c>
      <c r="F179" s="15" t="str">
        <f aca="false">_xlfn.xlookup(E179,Clients!B:B,Clients!D:D,FALSE())</f>
        <v>A</v>
      </c>
      <c r="G179" s="42"/>
      <c r="H179" s="15" t="s">
        <v>586</v>
      </c>
      <c r="I179" s="61" t="str">
        <f aca="false">_xlfn.xlookup(B179,Spec!A:A,Spec!B:B)</f>
        <v>S15-3</v>
      </c>
      <c r="J179" s="61" t="str">
        <f aca="false">_xlfn.xlookup(B179,Spec!A:A,Spec!J:J)</f>
        <v>SG - Acrylic Adhesive</v>
      </c>
      <c r="K179" s="61" t="str">
        <f aca="false">_xlfn.xlookup(B179,Spec!A:A,Spec!E:E)</f>
        <v>Self Adhesive Paper</v>
      </c>
      <c r="L179" s="61" t="str">
        <f aca="false">IF(F179="F","Larg: "&amp;P179&amp;"po   Long: "&amp;Q179&amp;"pi","W: "&amp;P179&amp;"in   L: "&amp;Q179&amp;"ft")</f>
        <v>W: 12in   L: 7500ft</v>
      </c>
      <c r="N179" s="90" t="n">
        <v>0.347</v>
      </c>
      <c r="O179" s="43" t="s">
        <v>554</v>
      </c>
      <c r="P179" s="72" t="n">
        <v>12</v>
      </c>
      <c r="Q179" s="73" t="n">
        <v>7500</v>
      </c>
      <c r="R179" s="83" t="n">
        <f aca="false">P179*12*Q179/1000</f>
        <v>1080</v>
      </c>
      <c r="S179" s="88" t="str">
        <f aca="false">_xlfn.xlookup(E179,Clients!B:B,Clients!D:D,FALSE())</f>
        <v>A</v>
      </c>
      <c r="T179" s="84" t="n">
        <f aca="false">IF(O179="msi",P179*12*Q179/1000*N179,IF(O179="sqm",P179/1000*Q179,N179))</f>
        <v>374.76</v>
      </c>
      <c r="U179" s="61" t="str">
        <f aca="false">IF(F179="F","roul.","roll")</f>
        <v>roll</v>
      </c>
      <c r="V179" s="61" t="str">
        <f aca="false">_xlfn.xlookup(E179,Clients!B:B,Clients!X:X,FALSE())</f>
        <v>CAD</v>
      </c>
      <c r="X179" s="89" t="n">
        <f aca="false">IF(V179=Z179,N179,N179*W179)</f>
        <v>0.347</v>
      </c>
      <c r="Y179" s="61" t="str">
        <f aca="false">O179</f>
        <v>msi</v>
      </c>
      <c r="Z179" s="61" t="str">
        <f aca="false">_xlfn.xlookup(E179,Clients!B:B,Clients!Y:Y,FALSE())</f>
        <v>CAD</v>
      </c>
      <c r="AA179" s="61" t="str">
        <f aca="false">_xlfn.xlookup(B179,Spec!A:A,Spec!K:K,FALSE())</f>
        <v>Canada</v>
      </c>
      <c r="AB179" s="61" t="n">
        <f aca="false">_xlfn.xlookup(B179,Spec!A:A,Spec!L:L,FALSE())</f>
        <v>4811.41</v>
      </c>
    </row>
    <row r="180" customFormat="false" ht="14.25" hidden="false" customHeight="false" outlineLevel="0" collapsed="false">
      <c r="A180" s="1" t="n">
        <v>40199</v>
      </c>
      <c r="B180" s="1" t="n">
        <v>20024</v>
      </c>
      <c r="C180" s="61" t="str">
        <f aca="false">_xlfn.xlookup(B180,Spec!A:A,Spec!C:C)</f>
        <v>Jinda</v>
      </c>
      <c r="D180" s="69" t="str">
        <f aca="false">_xlfn.xlookup(B180,Spec!A:A,Spec!D:D)</f>
        <v>0410664</v>
      </c>
      <c r="E180" s="15" t="s">
        <v>100</v>
      </c>
      <c r="F180" s="15" t="str">
        <f aca="false">_xlfn.xlookup(E180,Clients!B:B,Clients!D:D,FALSE())</f>
        <v>F</v>
      </c>
      <c r="G180" s="42" t="s">
        <v>683</v>
      </c>
      <c r="H180" s="15" t="s">
        <v>589</v>
      </c>
      <c r="I180" s="61" t="str">
        <f aca="false">_xlfn.xlookup(B180,Spec!A:A,Spec!B:B)</f>
        <v>D11-3</v>
      </c>
      <c r="J180" s="61" t="str">
        <f aca="false">_xlfn.xlookup(B180,Spec!A:A,Spec!J:J)</f>
        <v>TC DT - Hotmelt Adhesive</v>
      </c>
      <c r="K180" s="61" t="str">
        <f aca="false">_xlfn.xlookup(B180,Spec!A:A,Spec!E:E)</f>
        <v>Self Adhesive Paper</v>
      </c>
      <c r="L180" s="61" t="str">
        <f aca="false">IF(F180="F","Larg: "&amp;P180&amp;"po   Long: "&amp;Q180&amp;"pi","W: "&amp;P180&amp;"in   L: "&amp;Q180&amp;"ft")</f>
        <v>Larg: 8.75po   Long: 5000pi</v>
      </c>
      <c r="N180" s="90" t="n">
        <v>0.447</v>
      </c>
      <c r="O180" s="43" t="s">
        <v>554</v>
      </c>
      <c r="P180" s="72" t="n">
        <v>8.75</v>
      </c>
      <c r="Q180" s="73" t="n">
        <v>5000</v>
      </c>
      <c r="R180" s="83" t="n">
        <f aca="false">P180*12*Q180/1000</f>
        <v>525</v>
      </c>
      <c r="S180" s="88" t="str">
        <f aca="false">_xlfn.xlookup(E180,Clients!B:B,Clients!D:D,FALSE())</f>
        <v>F</v>
      </c>
      <c r="T180" s="84" t="n">
        <f aca="false">IF(O180="msi",P180*12*Q180/1000*N180,IF(O180="sqm",P180/1000*Q180,N180))</f>
        <v>234.675</v>
      </c>
      <c r="U180" s="61" t="str">
        <f aca="false">IF(F180="F","roul.","roll")</f>
        <v>roul.</v>
      </c>
      <c r="V180" s="61" t="str">
        <f aca="false">_xlfn.xlookup(E180,Clients!B:B,Clients!X:X,FALSE())</f>
        <v>CAD</v>
      </c>
      <c r="X180" s="89" t="n">
        <f aca="false">IF(V180=Z180,N180,N180*W180)</f>
        <v>0.447</v>
      </c>
      <c r="Y180" s="61" t="str">
        <f aca="false">O180</f>
        <v>msi</v>
      </c>
      <c r="Z180" s="61" t="str">
        <f aca="false">_xlfn.xlookup(E180,Clients!B:B,Clients!Y:Y,FALSE())</f>
        <v>CAD</v>
      </c>
      <c r="AA180" s="61" t="str">
        <f aca="false">_xlfn.xlookup(B180,Spec!A:A,Spec!K:K,FALSE())</f>
        <v>Canada</v>
      </c>
      <c r="AB180" s="61" t="n">
        <f aca="false">_xlfn.xlookup(B180,Spec!A:A,Spec!L:L,FALSE())</f>
        <v>4811.41</v>
      </c>
    </row>
    <row r="181" customFormat="false" ht="14.25" hidden="false" customHeight="false" outlineLevel="0" collapsed="false">
      <c r="A181" s="1" t="n">
        <v>40200</v>
      </c>
      <c r="C181" s="61" t="n">
        <f aca="false">_xlfn.xlookup(B181,Spec!A:A,Spec!C:C)</f>
        <v>0</v>
      </c>
      <c r="D181" s="69" t="n">
        <f aca="false">_xlfn.xlookup(B181,Spec!A:A,Spec!D:D)</f>
        <v>0</v>
      </c>
      <c r="E181" s="15" t="s">
        <v>283</v>
      </c>
      <c r="F181" s="15" t="str">
        <f aca="false">_xlfn.xlookup(E181,Clients!B:B,Clients!D:D,FALSE())</f>
        <v>F</v>
      </c>
      <c r="G181" s="42"/>
      <c r="I181" s="61" t="s">
        <v>684</v>
      </c>
      <c r="J181" s="61"/>
      <c r="K181" s="61" t="s">
        <v>685</v>
      </c>
      <c r="L181" s="61" t="s">
        <v>686</v>
      </c>
      <c r="N181" s="43" t="n">
        <f aca="false">441.21*1.4</f>
        <v>617.694</v>
      </c>
      <c r="O181" s="43" t="s">
        <v>687</v>
      </c>
      <c r="P181" s="72"/>
      <c r="Q181" s="73"/>
      <c r="R181" s="83" t="n">
        <f aca="false">P181*12*Q181/1000</f>
        <v>0</v>
      </c>
      <c r="S181" s="88" t="str">
        <f aca="false">_xlfn.xlookup(E181,Clients!B:B,Clients!D:D,FALSE())</f>
        <v>F</v>
      </c>
      <c r="T181" s="84"/>
      <c r="U181" s="61"/>
      <c r="V181" s="61" t="str">
        <f aca="false">_xlfn.xlookup(E181,Clients!B:B,Clients!X:X,FALSE())</f>
        <v>CAD</v>
      </c>
      <c r="X181" s="89" t="n">
        <f aca="false">IF(V181=Z181,N181,N181*W181)</f>
        <v>617.694</v>
      </c>
      <c r="Y181" s="61" t="str">
        <f aca="false">O181</f>
        <v>lot</v>
      </c>
      <c r="Z181" s="61" t="str">
        <f aca="false">_xlfn.xlookup(E181,Clients!B:B,Clients!Y:Y,FALSE())</f>
        <v>CAD</v>
      </c>
      <c r="AA181" s="61" t="n">
        <f aca="false">_xlfn.xlookup(B181,Spec!A:A,Spec!K:K,FALSE())</f>
        <v>0</v>
      </c>
      <c r="AB181" s="61" t="n">
        <f aca="false">_xlfn.xlookup(B181,Spec!A:A,Spec!L:L,FALSE())</f>
        <v>0</v>
      </c>
    </row>
    <row r="182" customFormat="false" ht="14.25" hidden="false" customHeight="false" outlineLevel="0" collapsed="false">
      <c r="A182" s="1" t="n">
        <v>40201</v>
      </c>
      <c r="B182" s="1" t="n">
        <v>20011</v>
      </c>
      <c r="C182" s="61" t="str">
        <f aca="false">_xlfn.xlookup(B182,Spec!A:A,Spec!C:C)</f>
        <v>AKO</v>
      </c>
      <c r="D182" s="69" t="str">
        <f aca="false">_xlfn.xlookup(B182,Spec!A:A,Spec!D:D)</f>
        <v>AP1019</v>
      </c>
      <c r="E182" s="15" t="s">
        <v>222</v>
      </c>
      <c r="F182" s="15" t="str">
        <f aca="false">_xlfn.xlookup(E182,Clients!B:B,Clients!D:D,FALSE())</f>
        <v>F</v>
      </c>
      <c r="G182" s="42"/>
      <c r="H182" s="15" t="s">
        <v>602</v>
      </c>
      <c r="I182" s="61" t="str">
        <f aca="false">_xlfn.xlookup(B182,Spec!A:A,Spec!B:B)</f>
        <v>S21-1</v>
      </c>
      <c r="J182" s="61" t="str">
        <f aca="false">_xlfn.xlookup(B182,Spec!A:A,Spec!J:J)</f>
        <v>SG - Hotmelt Adhesive</v>
      </c>
      <c r="K182" s="61" t="str">
        <f aca="false">_xlfn.xlookup(B182,Spec!A:A,Spec!E:E)</f>
        <v>Self Adhesive Paper</v>
      </c>
      <c r="L182" s="61" t="str">
        <f aca="false">IF(F182="F","Larg: "&amp;P182&amp;"po   Long: "&amp;Q182&amp;"pi","W: "&amp;P182&amp;"in   L: "&amp;Q182&amp;"ft")</f>
        <v>Larg: 13po   Long: 2400pi</v>
      </c>
      <c r="N182" s="43"/>
      <c r="O182" s="43" t="s">
        <v>554</v>
      </c>
      <c r="P182" s="72" t="n">
        <v>13</v>
      </c>
      <c r="Q182" s="73" t="n">
        <v>2400</v>
      </c>
      <c r="R182" s="83" t="n">
        <f aca="false">P182*12*Q182/1000</f>
        <v>374.4</v>
      </c>
      <c r="S182" s="88" t="str">
        <f aca="false">_xlfn.xlookup(E182,Clients!B:B,Clients!D:D,FALSE())</f>
        <v>F</v>
      </c>
      <c r="T182" s="84" t="n">
        <f aca="false">IF(O182="msi",P182*12*Q182/1000*N182,IF(O182="sqm",P182/1000*Q182,N182))</f>
        <v>0</v>
      </c>
      <c r="U182" s="61" t="str">
        <f aca="false">IF(F182="F","roul.","roll")</f>
        <v>roul.</v>
      </c>
      <c r="V182" s="61" t="str">
        <f aca="false">_xlfn.xlookup(E182,Clients!B:B,Clients!X:X,FALSE())</f>
        <v>CAD</v>
      </c>
      <c r="X182" s="89" t="n">
        <f aca="false">IF(V182=Z182,N182,N182*W182)</f>
        <v>0</v>
      </c>
      <c r="Y182" s="61" t="str">
        <f aca="false">O182</f>
        <v>msi</v>
      </c>
      <c r="Z182" s="61" t="str">
        <f aca="false">_xlfn.xlookup(E182,Clients!B:B,Clients!Y:Y,FALSE())</f>
        <v>CAD</v>
      </c>
      <c r="AA182" s="61" t="str">
        <f aca="false">_xlfn.xlookup(B182,Spec!A:A,Spec!K:K,FALSE())</f>
        <v>Canada</v>
      </c>
      <c r="AB182" s="61" t="n">
        <f aca="false">_xlfn.xlookup(B182,Spec!A:A,Spec!L:L,FALSE())</f>
        <v>4811.41</v>
      </c>
    </row>
    <row r="183" customFormat="false" ht="14.25" hidden="false" customHeight="false" outlineLevel="0" collapsed="false">
      <c r="A183" s="1" t="n">
        <v>40202</v>
      </c>
      <c r="B183" s="1" t="n">
        <v>20017</v>
      </c>
      <c r="C183" s="61" t="str">
        <f aca="false">_xlfn.xlookup(B183,Spec!A:A,Spec!C:C)</f>
        <v>Jinda</v>
      </c>
      <c r="D183" s="69" t="str">
        <f aca="false">_xlfn.xlookup(B183,Spec!A:A,Spec!D:D)</f>
        <v>0488056</v>
      </c>
      <c r="E183" s="15" t="s">
        <v>134</v>
      </c>
      <c r="F183" s="15" t="str">
        <f aca="false">_xlfn.xlookup(E183,Clients!B:B,Clients!D:D,FALSE())</f>
        <v>F</v>
      </c>
      <c r="G183" s="42"/>
      <c r="H183" s="15" t="s">
        <v>593</v>
      </c>
      <c r="I183" s="61" t="str">
        <f aca="false">_xlfn.xlookup(B183,Spec!A:A,Spec!B:B)</f>
        <v>B25-3</v>
      </c>
      <c r="J183" s="61" t="str">
        <f aca="false">_xlfn.xlookup(B183,Spec!A:A,Spec!J:J)</f>
        <v>White BOPP - Acrylic Adhesive</v>
      </c>
      <c r="K183" s="61" t="str">
        <f aca="false">_xlfn.xlookup(B183,Spec!A:A,Spec!E:E)</f>
        <v>Self Adhesive Film</v>
      </c>
      <c r="L183" s="61" t="str">
        <f aca="false">IF(F183="F","Larg: "&amp;P183&amp;"po   Long: "&amp;Q183&amp;"pi","W: "&amp;P183&amp;"in   L: "&amp;Q183&amp;"ft")</f>
        <v>Larg: 4.75po   Long: 2500pi</v>
      </c>
      <c r="N183" s="43" t="n">
        <v>0.452</v>
      </c>
      <c r="O183" s="43" t="s">
        <v>554</v>
      </c>
      <c r="P183" s="72" t="n">
        <v>4.75</v>
      </c>
      <c r="Q183" s="73" t="n">
        <v>2500</v>
      </c>
      <c r="R183" s="83" t="n">
        <f aca="false">P183*12*Q183/1000</f>
        <v>142.5</v>
      </c>
      <c r="S183" s="88" t="str">
        <f aca="false">_xlfn.xlookup(E183,Clients!B:B,Clients!D:D,FALSE())</f>
        <v>F</v>
      </c>
      <c r="T183" s="84" t="n">
        <f aca="false">IF(O183="msi",P183*12*Q183/1000*N183,IF(O183="sqm",P183/1000*Q183,N183))</f>
        <v>64.41</v>
      </c>
      <c r="U183" s="61" t="str">
        <f aca="false">IF(F183="F","roul.","roll")</f>
        <v>roul.</v>
      </c>
      <c r="V183" s="61" t="str">
        <f aca="false">_xlfn.xlookup(E183,Clients!B:B,Clients!X:X,FALSE())</f>
        <v>CAD</v>
      </c>
      <c r="X183" s="89" t="n">
        <f aca="false">IF(V183=Z183,N183,N183*W183)</f>
        <v>0.452</v>
      </c>
      <c r="Y183" s="61" t="str">
        <f aca="false">O183</f>
        <v>msi</v>
      </c>
      <c r="Z183" s="61" t="str">
        <f aca="false">_xlfn.xlookup(E183,Clients!B:B,Clients!Y:Y,FALSE())</f>
        <v>CAD</v>
      </c>
      <c r="AA183" s="61" t="str">
        <f aca="false">_xlfn.xlookup(B183,Spec!A:A,Spec!K:K,FALSE())</f>
        <v>Canada</v>
      </c>
      <c r="AB183" s="61" t="str">
        <f aca="false">_xlfn.xlookup(B183,Spec!A:A,Spec!L:L,FALSE())</f>
        <v>3919.90</v>
      </c>
    </row>
    <row r="184" customFormat="false" ht="14.25" hidden="false" customHeight="false" outlineLevel="0" collapsed="false">
      <c r="A184" s="1" t="n">
        <v>40203</v>
      </c>
      <c r="B184" s="1" t="n">
        <v>20015</v>
      </c>
      <c r="C184" s="61" t="str">
        <f aca="false">_xlfn.xlookup(B184,Spec!A:A,Spec!C:C)</f>
        <v>Jinda</v>
      </c>
      <c r="D184" s="69" t="str">
        <f aca="false">_xlfn.xlookup(B184,Spec!A:A,Spec!D:D)</f>
        <v>0402105</v>
      </c>
      <c r="E184" s="15" t="s">
        <v>124</v>
      </c>
      <c r="F184" s="15" t="str">
        <f aca="false">_xlfn.xlookup(E184,Clients!B:B,Clients!D:D,FALSE())</f>
        <v>F</v>
      </c>
      <c r="G184" s="42" t="n">
        <v>2213</v>
      </c>
      <c r="H184" s="15" t="s">
        <v>586</v>
      </c>
      <c r="I184" s="61" t="str">
        <f aca="false">_xlfn.xlookup(B184,Spec!A:A,Spec!B:B)</f>
        <v>S15-3</v>
      </c>
      <c r="J184" s="61" t="str">
        <f aca="false">_xlfn.xlookup(B184,Spec!A:A,Spec!J:J)</f>
        <v>SG - Acrylic Adhesive</v>
      </c>
      <c r="K184" s="61" t="str">
        <f aca="false">_xlfn.xlookup(B184,Spec!A:A,Spec!E:E)</f>
        <v>Self Adhesive Paper</v>
      </c>
      <c r="L184" s="61" t="str">
        <f aca="false">IF(F184="F","Larg: "&amp;P184&amp;"po   Long: "&amp;Q184&amp;"pi","W: "&amp;P184&amp;"in   L: "&amp;Q184&amp;"ft")</f>
        <v>Larg: 7po   Long: 5000pi</v>
      </c>
      <c r="N184" s="43" t="n">
        <v>0.28</v>
      </c>
      <c r="O184" s="43" t="s">
        <v>554</v>
      </c>
      <c r="P184" s="72" t="n">
        <v>7</v>
      </c>
      <c r="Q184" s="73" t="n">
        <v>5000</v>
      </c>
      <c r="R184" s="83" t="n">
        <f aca="false">P184*12*Q184/1000</f>
        <v>420</v>
      </c>
      <c r="S184" s="88" t="str">
        <f aca="false">_xlfn.xlookup(E184,Clients!B:B,Clients!D:D,FALSE())</f>
        <v>F</v>
      </c>
      <c r="T184" s="84" t="n">
        <f aca="false">IF(O184="msi",P184*12*Q184/1000*N184,IF(O184="sqm",P184/1000*Q184,N184))</f>
        <v>117.6</v>
      </c>
      <c r="U184" s="61" t="str">
        <f aca="false">IF(F184="F","roul.","roll")</f>
        <v>roul.</v>
      </c>
      <c r="V184" s="61" t="str">
        <f aca="false">_xlfn.xlookup(E184,Clients!B:B,Clients!X:X,FALSE())</f>
        <v>USD</v>
      </c>
      <c r="X184" s="89" t="n">
        <f aca="false">IF(V184=Z184,N184,N184*W184)</f>
        <v>0.28</v>
      </c>
      <c r="Y184" s="61" t="str">
        <f aca="false">O184</f>
        <v>msi</v>
      </c>
      <c r="Z184" s="61" t="str">
        <f aca="false">_xlfn.xlookup(E184,Clients!B:B,Clients!Y:Y,FALSE())</f>
        <v>USD</v>
      </c>
      <c r="AA184" s="61" t="str">
        <f aca="false">_xlfn.xlookup(B184,Spec!A:A,Spec!K:K,FALSE())</f>
        <v>Canada</v>
      </c>
      <c r="AB184" s="61" t="n">
        <f aca="false">_xlfn.xlookup(B184,Spec!A:A,Spec!L:L,FALSE())</f>
        <v>4811.41</v>
      </c>
    </row>
    <row r="185" customFormat="false" ht="14.25" hidden="false" customHeight="false" outlineLevel="0" collapsed="false">
      <c r="A185" s="1" t="n">
        <v>40204</v>
      </c>
      <c r="B185" s="1" t="n">
        <v>20013</v>
      </c>
      <c r="C185" s="61" t="str">
        <f aca="false">_xlfn.xlookup(B185,Spec!A:A,Spec!C:C)</f>
        <v>AKO</v>
      </c>
      <c r="D185" s="69" t="str">
        <f aca="false">_xlfn.xlookup(B185,Spec!A:A,Spec!D:D)</f>
        <v>Hansol TC CL74</v>
      </c>
      <c r="E185" s="15" t="s">
        <v>241</v>
      </c>
      <c r="F185" s="15" t="str">
        <f aca="false">_xlfn.xlookup(E185,Clients!B:B,Clients!D:D,FALSE())</f>
        <v>F</v>
      </c>
      <c r="G185" s="42"/>
      <c r="H185" s="15" t="s">
        <v>669</v>
      </c>
      <c r="I185" s="61" t="str">
        <f aca="false">_xlfn.xlookup(B185,Spec!A:A,Spec!B:B)</f>
        <v>D11-1</v>
      </c>
      <c r="J185" s="61" t="str">
        <f aca="false">_xlfn.xlookup(B185,Spec!A:A,Spec!J:J)</f>
        <v>TC DT - Hotmelt Adhesive</v>
      </c>
      <c r="K185" s="61" t="str">
        <f aca="false">_xlfn.xlookup(B185,Spec!A:A,Spec!E:E)</f>
        <v>Self Adhesive Paper</v>
      </c>
      <c r="L185" s="61" t="str">
        <f aca="false">IF(F185="F","Larg: "&amp;P185&amp;"po   Long: "&amp;Q185&amp;"pi","W: "&amp;P185&amp;"in   L: "&amp;Q185&amp;"ft")</f>
        <v>Larg: 6.5po   Long: 5000pi</v>
      </c>
      <c r="N185" s="43" t="n">
        <v>0.431</v>
      </c>
      <c r="O185" s="43" t="s">
        <v>554</v>
      </c>
      <c r="P185" s="72" t="n">
        <v>6.5</v>
      </c>
      <c r="Q185" s="73" t="n">
        <v>5000</v>
      </c>
      <c r="R185" s="83" t="n">
        <f aca="false">P185*12*Q185/1000</f>
        <v>390</v>
      </c>
      <c r="S185" s="88" t="str">
        <f aca="false">_xlfn.xlookup(E185,Clients!B:B,Clients!D:D,FALSE())</f>
        <v>F</v>
      </c>
      <c r="T185" s="84" t="n">
        <f aca="false">IF(O185="msi",P185*12*Q185/1000*N185,IF(O185="sqm",P185/1000*Q185,N185))</f>
        <v>168.09</v>
      </c>
      <c r="U185" s="61" t="str">
        <f aca="false">IF(F185="F","roul.","roll")</f>
        <v>roul.</v>
      </c>
      <c r="V185" s="61" t="str">
        <f aca="false">_xlfn.xlookup(E185,Clients!B:B,Clients!X:X,FALSE())</f>
        <v>CAD</v>
      </c>
      <c r="X185" s="89" t="n">
        <f aca="false">IF(V185=Z185,N185,N185*W185)</f>
        <v>0.431</v>
      </c>
      <c r="Y185" s="61" t="str">
        <f aca="false">O185</f>
        <v>msi</v>
      </c>
      <c r="Z185" s="61" t="str">
        <f aca="false">_xlfn.xlookup(E185,Clients!B:B,Clients!Y:Y,FALSE())</f>
        <v>CAD</v>
      </c>
      <c r="AA185" s="61" t="str">
        <f aca="false">_xlfn.xlookup(B185,Spec!A:A,Spec!K:K,FALSE())</f>
        <v>Canada</v>
      </c>
      <c r="AB185" s="61" t="n">
        <f aca="false">_xlfn.xlookup(B185,Spec!A:A,Spec!L:L,FALSE())</f>
        <v>4811.41</v>
      </c>
    </row>
    <row r="186" customFormat="false" ht="14.25" hidden="false" customHeight="false" outlineLevel="0" collapsed="false">
      <c r="A186" s="1" t="n">
        <v>40205</v>
      </c>
      <c r="B186" s="1" t="n">
        <v>20011</v>
      </c>
      <c r="C186" s="61" t="str">
        <f aca="false">_xlfn.xlookup(B186,Spec!A:A,Spec!C:C)</f>
        <v>AKO</v>
      </c>
      <c r="D186" s="69" t="str">
        <f aca="false">_xlfn.xlookup(B186,Spec!A:A,Spec!D:D)</f>
        <v>AP1019</v>
      </c>
      <c r="E186" s="15" t="s">
        <v>124</v>
      </c>
      <c r="F186" s="15" t="str">
        <f aca="false">_xlfn.xlookup(E186,Clients!B:B,Clients!D:D,FALSE())</f>
        <v>F</v>
      </c>
      <c r="G186" s="42" t="n">
        <v>2212</v>
      </c>
      <c r="H186" s="15" t="s">
        <v>602</v>
      </c>
      <c r="I186" s="61" t="str">
        <f aca="false">_xlfn.xlookup(B186,Spec!A:A,Spec!B:B)</f>
        <v>S21-1</v>
      </c>
      <c r="J186" s="61" t="str">
        <f aca="false">_xlfn.xlookup(B186,Spec!A:A,Spec!J:J)</f>
        <v>SG - Hotmelt Adhesive</v>
      </c>
      <c r="K186" s="61" t="str">
        <f aca="false">_xlfn.xlookup(B186,Spec!A:A,Spec!E:E)</f>
        <v>Self Adhesive Paper</v>
      </c>
      <c r="L186" s="61" t="str">
        <f aca="false">IF(F186="F","Larg: "&amp;P186&amp;"po   Long: "&amp;Q186&amp;"pi","W: "&amp;P186&amp;"in   L: "&amp;Q186&amp;"ft")</f>
        <v>Larg: 7po   Long: 5000pi</v>
      </c>
      <c r="N186" s="90" t="n">
        <v>0.27</v>
      </c>
      <c r="O186" s="43" t="s">
        <v>554</v>
      </c>
      <c r="P186" s="72" t="n">
        <v>7</v>
      </c>
      <c r="Q186" s="73" t="n">
        <v>5000</v>
      </c>
      <c r="R186" s="83" t="n">
        <f aca="false">P186*12*Q186/1000</f>
        <v>420</v>
      </c>
      <c r="S186" s="88" t="str">
        <f aca="false">_xlfn.xlookup(E186,Clients!B:B,Clients!D:D,FALSE())</f>
        <v>F</v>
      </c>
      <c r="T186" s="84" t="n">
        <f aca="false">IF(O186="msi",P186*12*Q186/1000*N186,IF(O186="sqm",P186/1000*Q186,N186))</f>
        <v>113.4</v>
      </c>
      <c r="U186" s="61" t="str">
        <f aca="false">IF(F186="F","roul.","roll")</f>
        <v>roul.</v>
      </c>
      <c r="V186" s="61" t="str">
        <f aca="false">_xlfn.xlookup(E186,Clients!B:B,Clients!X:X,FALSE())</f>
        <v>USD</v>
      </c>
      <c r="X186" s="89" t="n">
        <f aca="false">IF(V186=Z186,N186,N186*W186)</f>
        <v>0.27</v>
      </c>
      <c r="Y186" s="61" t="str">
        <f aca="false">O186</f>
        <v>msi</v>
      </c>
      <c r="Z186" s="61" t="str">
        <f aca="false">_xlfn.xlookup(E186,Clients!B:B,Clients!Y:Y,FALSE())</f>
        <v>USD</v>
      </c>
      <c r="AA186" s="61" t="str">
        <f aca="false">_xlfn.xlookup(B186,Spec!A:A,Spec!K:K,FALSE())</f>
        <v>Canada</v>
      </c>
      <c r="AB186" s="61" t="n">
        <f aca="false">_xlfn.xlookup(B186,Spec!A:A,Spec!L:L,FALSE())</f>
        <v>4811.41</v>
      </c>
    </row>
    <row r="187" customFormat="false" ht="14.25" hidden="false" customHeight="false" outlineLevel="0" collapsed="false">
      <c r="A187" s="1" t="n">
        <v>40206</v>
      </c>
      <c r="B187" s="1" t="n">
        <v>20015</v>
      </c>
      <c r="C187" s="61" t="str">
        <f aca="false">_xlfn.xlookup(B187,Spec!A:A,Spec!C:C)</f>
        <v>Jinda</v>
      </c>
      <c r="D187" s="69" t="str">
        <f aca="false">_xlfn.xlookup(B187,Spec!A:A,Spec!D:D)</f>
        <v>0402105</v>
      </c>
      <c r="E187" s="15" t="s">
        <v>141</v>
      </c>
      <c r="F187" s="15" t="str">
        <f aca="false">_xlfn.xlookup(E187,Clients!B:B,Clients!D:D,FALSE())</f>
        <v>F</v>
      </c>
      <c r="G187" s="42"/>
      <c r="H187" s="15" t="s">
        <v>586</v>
      </c>
      <c r="I187" s="61" t="str">
        <f aca="false">_xlfn.xlookup(B187,Spec!A:A,Spec!B:B)</f>
        <v>S15-3</v>
      </c>
      <c r="J187" s="61" t="str">
        <f aca="false">_xlfn.xlookup(B187,Spec!A:A,Spec!J:J)</f>
        <v>SG - Acrylic Adhesive</v>
      </c>
      <c r="K187" s="61" t="str">
        <f aca="false">_xlfn.xlookup(B187,Spec!A:A,Spec!E:E)</f>
        <v>Self Adhesive Paper</v>
      </c>
      <c r="L187" s="61" t="str">
        <f aca="false">IF(F187="F","Larg: "&amp;P187&amp;"po   Long: "&amp;Q187&amp;"pi","W: "&amp;P187&amp;"in   L: "&amp;Q187&amp;"ft")</f>
        <v>Larg: 10po   Long: 10000pi</v>
      </c>
      <c r="N187" s="43" t="n">
        <v>0.343</v>
      </c>
      <c r="O187" s="43" t="s">
        <v>554</v>
      </c>
      <c r="P187" s="72" t="n">
        <v>10</v>
      </c>
      <c r="Q187" s="73" t="n">
        <v>10000</v>
      </c>
      <c r="R187" s="83" t="n">
        <f aca="false">P187*12*Q187/1000</f>
        <v>1200</v>
      </c>
      <c r="S187" s="88" t="str">
        <f aca="false">_xlfn.xlookup(E187,Clients!B:B,Clients!D:D,FALSE())</f>
        <v>F</v>
      </c>
      <c r="T187" s="84" t="n">
        <f aca="false">IF(O187="msi",P187*12*Q187/1000*N187,IF(O187="sqm",P187/1000*Q187,N187))</f>
        <v>411.6</v>
      </c>
      <c r="U187" s="61" t="str">
        <f aca="false">IF(F187="F","roul.","roll")</f>
        <v>roul.</v>
      </c>
      <c r="V187" s="61" t="str">
        <f aca="false">_xlfn.xlookup(E187,Clients!B:B,Clients!X:X,FALSE())</f>
        <v>CAD</v>
      </c>
      <c r="X187" s="89" t="n">
        <f aca="false">IF(V187=Z187,N187,N187*W187)</f>
        <v>0.343</v>
      </c>
      <c r="Y187" s="61" t="str">
        <f aca="false">O187</f>
        <v>msi</v>
      </c>
      <c r="Z187" s="61" t="str">
        <f aca="false">_xlfn.xlookup(E187,Clients!B:B,Clients!Y:Y,FALSE())</f>
        <v>CAD</v>
      </c>
      <c r="AA187" s="61" t="str">
        <f aca="false">_xlfn.xlookup(B187,Spec!A:A,Spec!K:K,FALSE())</f>
        <v>Canada</v>
      </c>
      <c r="AB187" s="61" t="n">
        <f aca="false">_xlfn.xlookup(B187,Spec!A:A,Spec!L:L,FALSE())</f>
        <v>4811.41</v>
      </c>
    </row>
    <row r="188" customFormat="false" ht="14.25" hidden="false" customHeight="false" outlineLevel="0" collapsed="false">
      <c r="A188" s="1" t="n">
        <v>40207</v>
      </c>
      <c r="B188" s="1" t="n">
        <v>20015</v>
      </c>
      <c r="C188" s="61" t="str">
        <f aca="false">_xlfn.xlookup(B188,Spec!A:A,Spec!C:C)</f>
        <v>Jinda</v>
      </c>
      <c r="D188" s="69" t="str">
        <f aca="false">_xlfn.xlookup(B188,Spec!A:A,Spec!D:D)</f>
        <v>0402105</v>
      </c>
      <c r="E188" s="15" t="s">
        <v>141</v>
      </c>
      <c r="F188" s="15" t="str">
        <f aca="false">_xlfn.xlookup(E188,Clients!B:B,Clients!D:D,FALSE())</f>
        <v>F</v>
      </c>
      <c r="G188" s="42"/>
      <c r="H188" s="15" t="s">
        <v>586</v>
      </c>
      <c r="I188" s="61" t="str">
        <f aca="false">_xlfn.xlookup(B188,Spec!A:A,Spec!B:B)</f>
        <v>S15-3</v>
      </c>
      <c r="J188" s="61" t="str">
        <f aca="false">_xlfn.xlookup(B188,Spec!A:A,Spec!J:J)</f>
        <v>SG - Acrylic Adhesive</v>
      </c>
      <c r="K188" s="61" t="str">
        <f aca="false">_xlfn.xlookup(B188,Spec!A:A,Spec!E:E)</f>
        <v>Self Adhesive Paper</v>
      </c>
      <c r="L188" s="61" t="str">
        <f aca="false">IF(F188="F","Larg: "&amp;P188&amp;"po   Long: "&amp;Q188&amp;"pi","W: "&amp;P188&amp;"in   L: "&amp;Q188&amp;"ft")</f>
        <v>Larg: 8.75po   Long: 10000pi</v>
      </c>
      <c r="N188" s="43" t="n">
        <v>0.343</v>
      </c>
      <c r="O188" s="43" t="s">
        <v>554</v>
      </c>
      <c r="P188" s="72" t="n">
        <v>8.75</v>
      </c>
      <c r="Q188" s="73" t="n">
        <v>10000</v>
      </c>
      <c r="R188" s="83" t="n">
        <f aca="false">P188*12*Q188/1000</f>
        <v>1050</v>
      </c>
      <c r="S188" s="88" t="str">
        <f aca="false">_xlfn.xlookup(E188,Clients!B:B,Clients!D:D,FALSE())</f>
        <v>F</v>
      </c>
      <c r="T188" s="84" t="n">
        <f aca="false">IF(O188="msi",P188*12*Q188/1000*N188,IF(O188="sqm",P188/1000*Q188,N188))</f>
        <v>360.15</v>
      </c>
      <c r="U188" s="61" t="str">
        <f aca="false">IF(F188="F","roul.","roll")</f>
        <v>roul.</v>
      </c>
      <c r="V188" s="61" t="str">
        <f aca="false">_xlfn.xlookup(E188,Clients!B:B,Clients!X:X,FALSE())</f>
        <v>CAD</v>
      </c>
      <c r="X188" s="89" t="n">
        <f aca="false">IF(V188=Z188,N188,N188*W188)</f>
        <v>0.343</v>
      </c>
      <c r="Y188" s="61" t="str">
        <f aca="false">O188</f>
        <v>msi</v>
      </c>
      <c r="Z188" s="61" t="str">
        <f aca="false">_xlfn.xlookup(E188,Clients!B:B,Clients!Y:Y,FALSE())</f>
        <v>CAD</v>
      </c>
      <c r="AA188" s="61" t="str">
        <f aca="false">_xlfn.xlookup(B188,Spec!A:A,Spec!K:K,FALSE())</f>
        <v>Canada</v>
      </c>
      <c r="AB188" s="61" t="n">
        <f aca="false">_xlfn.xlookup(B188,Spec!A:A,Spec!L:L,FALSE())</f>
        <v>4811.41</v>
      </c>
    </row>
    <row r="189" customFormat="false" ht="14.25" hidden="false" customHeight="false" outlineLevel="0" collapsed="false">
      <c r="A189" s="1" t="n">
        <v>40208</v>
      </c>
      <c r="B189" s="1" t="n">
        <v>20015</v>
      </c>
      <c r="C189" s="61" t="str">
        <f aca="false">_xlfn.xlookup(B189,Spec!A:A,Spec!C:C)</f>
        <v>Jinda</v>
      </c>
      <c r="D189" s="69" t="str">
        <f aca="false">_xlfn.xlookup(B189,Spec!A:A,Spec!D:D)</f>
        <v>0402105</v>
      </c>
      <c r="E189" s="15" t="s">
        <v>141</v>
      </c>
      <c r="F189" s="15" t="str">
        <f aca="false">_xlfn.xlookup(E189,Clients!B:B,Clients!D:D,FALSE())</f>
        <v>F</v>
      </c>
      <c r="G189" s="42"/>
      <c r="H189" s="15" t="s">
        <v>586</v>
      </c>
      <c r="I189" s="61" t="str">
        <f aca="false">_xlfn.xlookup(B189,Spec!A:A,Spec!B:B)</f>
        <v>S15-3</v>
      </c>
      <c r="J189" s="61" t="str">
        <f aca="false">_xlfn.xlookup(B189,Spec!A:A,Spec!J:J)</f>
        <v>SG - Acrylic Adhesive</v>
      </c>
      <c r="K189" s="61" t="str">
        <f aca="false">_xlfn.xlookup(B189,Spec!A:A,Spec!E:E)</f>
        <v>Self Adhesive Paper</v>
      </c>
      <c r="L189" s="61" t="str">
        <f aca="false">IF(F189="F","Larg: "&amp;P189&amp;"po   Long: "&amp;Q189&amp;"pi","W: "&amp;P189&amp;"in   L: "&amp;Q189&amp;"ft")</f>
        <v>Larg: 7.5po   Long: 10000pi</v>
      </c>
      <c r="N189" s="43" t="n">
        <v>0.343</v>
      </c>
      <c r="O189" s="43" t="s">
        <v>554</v>
      </c>
      <c r="P189" s="72" t="n">
        <v>7.5</v>
      </c>
      <c r="Q189" s="73" t="n">
        <v>10000</v>
      </c>
      <c r="R189" s="83" t="n">
        <f aca="false">P189*12*Q189/1000</f>
        <v>900</v>
      </c>
      <c r="S189" s="88" t="str">
        <f aca="false">_xlfn.xlookup(E189,Clients!B:B,Clients!D:D,FALSE())</f>
        <v>F</v>
      </c>
      <c r="T189" s="84" t="n">
        <f aca="false">IF(O189="msi",P189*12*Q189/1000*N189,IF(O189="sqm",P189/1000*Q189,N189))</f>
        <v>308.7</v>
      </c>
      <c r="U189" s="61" t="str">
        <f aca="false">IF(F189="F","roul.","roll")</f>
        <v>roul.</v>
      </c>
      <c r="V189" s="61" t="str">
        <f aca="false">_xlfn.xlookup(E189,Clients!B:B,Clients!X:X,FALSE())</f>
        <v>CAD</v>
      </c>
      <c r="X189" s="89" t="n">
        <f aca="false">IF(V189=Z189,N189,N189*W189)</f>
        <v>0.343</v>
      </c>
      <c r="Y189" s="61" t="str">
        <f aca="false">O189</f>
        <v>msi</v>
      </c>
      <c r="Z189" s="61" t="str">
        <f aca="false">_xlfn.xlookup(E189,Clients!B:B,Clients!Y:Y,FALSE())</f>
        <v>CAD</v>
      </c>
      <c r="AA189" s="61" t="str">
        <f aca="false">_xlfn.xlookup(B189,Spec!A:A,Spec!K:K,FALSE())</f>
        <v>Canada</v>
      </c>
      <c r="AB189" s="61" t="n">
        <f aca="false">_xlfn.xlookup(B189,Spec!A:A,Spec!L:L,FALSE())</f>
        <v>4811.41</v>
      </c>
    </row>
    <row r="190" customFormat="false" ht="14.25" hidden="false" customHeight="false" outlineLevel="0" collapsed="false">
      <c r="A190" s="1" t="n">
        <v>40209</v>
      </c>
      <c r="C190" s="61" t="n">
        <f aca="false">_xlfn.xlookup(B190,Spec!A:A,Spec!C:C)</f>
        <v>0</v>
      </c>
      <c r="D190" s="69" t="n">
        <f aca="false">_xlfn.xlookup(B190,Spec!A:A,Spec!D:D)</f>
        <v>0</v>
      </c>
      <c r="E190" s="15" t="s">
        <v>288</v>
      </c>
      <c r="F190" s="15" t="str">
        <f aca="false">_xlfn.xlookup(E190,Clients!B:B,Clients!D:D,FALSE())</f>
        <v>F</v>
      </c>
      <c r="G190" s="42"/>
      <c r="I190" s="61"/>
      <c r="J190" s="61"/>
      <c r="K190" s="61" t="s">
        <v>688</v>
      </c>
      <c r="L190" s="61" t="s">
        <v>689</v>
      </c>
      <c r="N190" s="43" t="n">
        <f aca="false">150*2*1.4154</f>
        <v>424.62</v>
      </c>
      <c r="O190" s="43" t="s">
        <v>690</v>
      </c>
      <c r="P190" s="72"/>
      <c r="Q190" s="73"/>
      <c r="R190" s="83" t="n">
        <f aca="false">P190*12*Q190/1000</f>
        <v>0</v>
      </c>
      <c r="S190" s="88" t="str">
        <f aca="false">_xlfn.xlookup(E190,Clients!B:B,Clients!D:D,FALSE())</f>
        <v>F</v>
      </c>
      <c r="T190" s="84" t="n">
        <f aca="false">IF(O190="msi",P190*12*Q190/1000*N190,IF(O190="sqm",P190/1000*Q190,N190))</f>
        <v>424.62</v>
      </c>
      <c r="U190" s="61"/>
      <c r="V190" s="61" t="str">
        <f aca="false">_xlfn.xlookup(E190,Clients!B:B,Clients!X:X,FALSE())</f>
        <v>CAD</v>
      </c>
      <c r="X190" s="89" t="n">
        <f aca="false">IF(V190=Z190,N190,N190*W190)</f>
        <v>424.62</v>
      </c>
      <c r="Y190" s="61" t="str">
        <f aca="false">O190</f>
        <v>Ch.</v>
      </c>
      <c r="Z190" s="61" t="str">
        <f aca="false">_xlfn.xlookup(E190,Clients!B:B,Clients!Y:Y,FALSE())</f>
        <v>CAD</v>
      </c>
      <c r="AA190" s="61" t="n">
        <f aca="false">_xlfn.xlookup(B190,Spec!A:A,Spec!K:K,FALSE())</f>
        <v>0</v>
      </c>
      <c r="AB190" s="61" t="n">
        <f aca="false">_xlfn.xlookup(B190,Spec!A:A,Spec!L:L,FALSE())</f>
        <v>0</v>
      </c>
    </row>
    <row r="191" customFormat="false" ht="14.25" hidden="false" customHeight="false" outlineLevel="0" collapsed="false">
      <c r="A191" s="1" t="n">
        <v>40210</v>
      </c>
      <c r="B191" s="1" t="n">
        <v>20018</v>
      </c>
      <c r="C191" s="61" t="str">
        <f aca="false">_xlfn.xlookup(B191,Spec!A:A,Spec!C:C)</f>
        <v>AKO</v>
      </c>
      <c r="D191" s="69" t="str">
        <f aca="false">_xlfn.xlookup(B191,Spec!A:A,Spec!D:D)</f>
        <v>AH3010</v>
      </c>
      <c r="E191" s="15" t="s">
        <v>31</v>
      </c>
      <c r="F191" s="15" t="str">
        <f aca="false">_xlfn.xlookup(E191,Clients!B:B,Clients!D:D,FALSE())</f>
        <v>A</v>
      </c>
      <c r="G191" s="42" t="s">
        <v>691</v>
      </c>
      <c r="H191" s="15" t="s">
        <v>574</v>
      </c>
      <c r="I191" s="61" t="s">
        <v>371</v>
      </c>
      <c r="J191" s="61" t="str">
        <f aca="false">_xlfn.xlookup(B191,Spec!A:A,Spec!J:J)</f>
        <v>TC DT - Acrylic Adhesive</v>
      </c>
      <c r="K191" s="61" t="str">
        <f aca="false">_xlfn.xlookup(B191,Spec!A:A,Spec!E:E)</f>
        <v>Self Adhesive Paper</v>
      </c>
      <c r="L191" s="61" t="str">
        <f aca="false">IF(F191="F","Larg: "&amp;P191&amp;"po   Long: "&amp;Q191&amp;"pi","W: "&amp;P191&amp;"in   L: "&amp;Q191&amp;"ft")</f>
        <v>W: 9in   L: 5000ft</v>
      </c>
      <c r="N191" s="43" t="n">
        <v>0.31</v>
      </c>
      <c r="O191" s="43" t="s">
        <v>554</v>
      </c>
      <c r="P191" s="72" t="n">
        <v>9</v>
      </c>
      <c r="Q191" s="73" t="n">
        <v>5000</v>
      </c>
      <c r="R191" s="83" t="n">
        <f aca="false">P191*12*Q191/1000</f>
        <v>540</v>
      </c>
      <c r="S191" s="88" t="str">
        <f aca="false">_xlfn.xlookup(E191,Clients!B:B,Clients!D:D,FALSE())</f>
        <v>A</v>
      </c>
      <c r="T191" s="84" t="n">
        <f aca="false">IF(O191="msi",P191*12*Q191/1000*N191,IF(O191="sqm",P191/1000*Q191,N191))</f>
        <v>167.4</v>
      </c>
      <c r="U191" s="61" t="str">
        <f aca="false">IF(F191="F","roul.","roll")</f>
        <v>roll</v>
      </c>
      <c r="V191" s="61" t="str">
        <f aca="false">_xlfn.xlookup(E191,Clients!B:B,Clients!X:X,FALSE())</f>
        <v>USD</v>
      </c>
      <c r="X191" s="89" t="n">
        <f aca="false">IF(V191=Z191,N191,N191*W191)</f>
        <v>0.31</v>
      </c>
      <c r="Y191" s="61" t="str">
        <f aca="false">O191</f>
        <v>msi</v>
      </c>
      <c r="Z191" s="61" t="str">
        <f aca="false">_xlfn.xlookup(E191,Clients!B:B,Clients!Y:Y,FALSE())</f>
        <v>USD</v>
      </c>
      <c r="AA191" s="61" t="str">
        <f aca="false">_xlfn.xlookup(B191,Spec!A:A,Spec!K:K,FALSE())</f>
        <v>Canada</v>
      </c>
      <c r="AB191" s="61" t="n">
        <f aca="false">_xlfn.xlookup(B191,Spec!A:A,Spec!L:L,FALSE())</f>
        <v>4811.41</v>
      </c>
    </row>
    <row r="192" customFormat="false" ht="14.25" hidden="false" customHeight="false" outlineLevel="0" collapsed="false">
      <c r="A192" s="1" t="n">
        <v>40211</v>
      </c>
      <c r="B192" s="1" t="n">
        <v>20018</v>
      </c>
      <c r="C192" s="61" t="str">
        <f aca="false">_xlfn.xlookup(B192,Spec!A:A,Spec!C:C)</f>
        <v>AKO</v>
      </c>
      <c r="D192" s="69" t="str">
        <f aca="false">_xlfn.xlookup(B192,Spec!A:A,Spec!D:D)</f>
        <v>AH3010</v>
      </c>
      <c r="E192" s="15" t="s">
        <v>31</v>
      </c>
      <c r="F192" s="15" t="str">
        <f aca="false">_xlfn.xlookup(E192,Clients!B:B,Clients!D:D,FALSE())</f>
        <v>A</v>
      </c>
      <c r="G192" s="91" t="s">
        <v>692</v>
      </c>
      <c r="H192" s="15" t="s">
        <v>574</v>
      </c>
      <c r="I192" s="61" t="s">
        <v>371</v>
      </c>
      <c r="J192" s="61" t="str">
        <f aca="false">_xlfn.xlookup(B192,Spec!A:A,Spec!J:J)</f>
        <v>TC DT - Acrylic Adhesive</v>
      </c>
      <c r="K192" s="61" t="str">
        <f aca="false">_xlfn.xlookup(B192,Spec!A:A,Spec!E:E)</f>
        <v>Self Adhesive Paper</v>
      </c>
      <c r="L192" s="61" t="str">
        <f aca="false">IF(F192="F","Larg: "&amp;P192&amp;"po   Long: "&amp;Q192&amp;"pi","W: "&amp;P192&amp;"in   L: "&amp;Q192&amp;"ft")</f>
        <v>W: 6in   L: 5000ft</v>
      </c>
      <c r="N192" s="43" t="n">
        <v>0.31</v>
      </c>
      <c r="O192" s="43" t="s">
        <v>554</v>
      </c>
      <c r="P192" s="72" t="n">
        <v>6</v>
      </c>
      <c r="Q192" s="73" t="n">
        <v>5000</v>
      </c>
      <c r="R192" s="83" t="n">
        <f aca="false">P192*12*Q192/1000</f>
        <v>360</v>
      </c>
      <c r="S192" s="88" t="str">
        <f aca="false">_xlfn.xlookup(E192,Clients!B:B,Clients!D:D,FALSE())</f>
        <v>A</v>
      </c>
      <c r="T192" s="84" t="n">
        <f aca="false">IF(O192="msi",P192*12*Q192/1000*N192,IF(O192="sqm",P192/1000*Q192,N192))</f>
        <v>111.6</v>
      </c>
      <c r="U192" s="61" t="str">
        <f aca="false">IF(F192="F","roul.","roll")</f>
        <v>roll</v>
      </c>
      <c r="V192" s="61" t="str">
        <f aca="false">_xlfn.xlookup(E192,Clients!B:B,Clients!X:X,FALSE())</f>
        <v>USD</v>
      </c>
      <c r="X192" s="89" t="n">
        <f aca="false">IF(V192=Z192,N192,N192*W192)</f>
        <v>0.31</v>
      </c>
      <c r="Y192" s="61" t="str">
        <f aca="false">O192</f>
        <v>msi</v>
      </c>
      <c r="Z192" s="61" t="str">
        <f aca="false">_xlfn.xlookup(E192,Clients!B:B,Clients!Y:Y,FALSE())</f>
        <v>USD</v>
      </c>
      <c r="AA192" s="61" t="str">
        <f aca="false">_xlfn.xlookup(B192,Spec!A:A,Spec!K:K,FALSE())</f>
        <v>Canada</v>
      </c>
      <c r="AB192" s="61" t="n">
        <f aca="false">_xlfn.xlookup(B192,Spec!A:A,Spec!L:L,FALSE())</f>
        <v>4811.41</v>
      </c>
    </row>
    <row r="193" customFormat="false" ht="14.25" hidden="false" customHeight="false" outlineLevel="0" collapsed="false">
      <c r="A193" s="1" t="n">
        <v>40212</v>
      </c>
      <c r="B193" s="1" t="n">
        <v>20011</v>
      </c>
      <c r="C193" s="61" t="str">
        <f aca="false">_xlfn.xlookup(B193,Spec!A:A,Spec!C:C)</f>
        <v>AKO</v>
      </c>
      <c r="D193" s="69" t="str">
        <f aca="false">_xlfn.xlookup(B193,Spec!A:A,Spec!D:D)</f>
        <v>AP1019</v>
      </c>
      <c r="E193" s="15" t="s">
        <v>134</v>
      </c>
      <c r="F193" s="15" t="str">
        <f aca="false">_xlfn.xlookup(E193,Clients!B:B,Clients!D:D,FALSE())</f>
        <v>F</v>
      </c>
      <c r="G193" s="42"/>
      <c r="H193" s="15" t="s">
        <v>602</v>
      </c>
      <c r="I193" s="61" t="str">
        <f aca="false">_xlfn.xlookup(B193,Spec!A:A,Spec!B:B)</f>
        <v>S21-1</v>
      </c>
      <c r="J193" s="61" t="str">
        <f aca="false">_xlfn.xlookup(B193,Spec!A:A,Spec!J:J)</f>
        <v>SG - Hotmelt Adhesive</v>
      </c>
      <c r="K193" s="61" t="str">
        <f aca="false">_xlfn.xlookup(B193,Spec!A:A,Spec!E:E)</f>
        <v>Self Adhesive Paper</v>
      </c>
      <c r="L193" s="61" t="str">
        <f aca="false">IF(F193="F","Larg: "&amp;P193&amp;"po   Long: "&amp;Q193&amp;"pi","W: "&amp;P193&amp;"in   L: "&amp;Q193&amp;"ft")</f>
        <v>Larg: 4.75po   Long: 5000pi</v>
      </c>
      <c r="N193" s="90" t="n">
        <v>0.37</v>
      </c>
      <c r="O193" s="43" t="s">
        <v>554</v>
      </c>
      <c r="P193" s="72" t="n">
        <v>4.75</v>
      </c>
      <c r="Q193" s="73" t="n">
        <v>5000</v>
      </c>
      <c r="R193" s="83" t="n">
        <f aca="false">P193*12*Q193/1000</f>
        <v>285</v>
      </c>
      <c r="S193" s="88" t="str">
        <f aca="false">_xlfn.xlookup(E193,Clients!B:B,Clients!D:D,FALSE())</f>
        <v>F</v>
      </c>
      <c r="T193" s="84" t="n">
        <f aca="false">IF(O193="msi",P193*12*Q193/1000*N193,IF(O193="sqm",P193/1000*Q193,N193))</f>
        <v>105.45</v>
      </c>
      <c r="U193" s="61" t="str">
        <f aca="false">IF(F193="F","roul.","roll")</f>
        <v>roul.</v>
      </c>
      <c r="V193" s="61" t="str">
        <f aca="false">_xlfn.xlookup(E193,Clients!B:B,Clients!X:X,FALSE())</f>
        <v>CAD</v>
      </c>
      <c r="X193" s="89" t="n">
        <f aca="false">IF(V193=Z193,N193,N193*W193)</f>
        <v>0.37</v>
      </c>
      <c r="Y193" s="61" t="str">
        <f aca="false">O193</f>
        <v>msi</v>
      </c>
      <c r="Z193" s="61" t="str">
        <f aca="false">_xlfn.xlookup(E193,Clients!B:B,Clients!Y:Y,FALSE())</f>
        <v>CAD</v>
      </c>
      <c r="AA193" s="61" t="str">
        <f aca="false">_xlfn.xlookup(B193,Spec!A:A,Spec!K:K,FALSE())</f>
        <v>Canada</v>
      </c>
      <c r="AB193" s="61" t="n">
        <f aca="false">_xlfn.xlookup(B193,Spec!A:A,Spec!L:L,FALSE())</f>
        <v>4811.41</v>
      </c>
    </row>
    <row r="194" customFormat="false" ht="14.25" hidden="false" customHeight="false" outlineLevel="0" collapsed="false">
      <c r="A194" s="1" t="n">
        <v>40213</v>
      </c>
      <c r="B194" s="1" t="n">
        <v>20011</v>
      </c>
      <c r="C194" s="61" t="str">
        <f aca="false">_xlfn.xlookup(B194,Spec!A:A,Spec!C:C)</f>
        <v>AKO</v>
      </c>
      <c r="D194" s="69" t="str">
        <f aca="false">_xlfn.xlookup(B194,Spec!A:A,Spec!D:D)</f>
        <v>AP1019</v>
      </c>
      <c r="E194" s="15" t="s">
        <v>134</v>
      </c>
      <c r="F194" s="15" t="str">
        <f aca="false">_xlfn.xlookup(E194,Clients!B:B,Clients!D:D,FALSE())</f>
        <v>F</v>
      </c>
      <c r="G194" s="42"/>
      <c r="H194" s="15" t="s">
        <v>602</v>
      </c>
      <c r="I194" s="61" t="str">
        <f aca="false">_xlfn.xlookup(B194,Spec!A:A,Spec!B:B)</f>
        <v>S21-1</v>
      </c>
      <c r="J194" s="61" t="str">
        <f aca="false">_xlfn.xlookup(B194,Spec!A:A,Spec!J:J)</f>
        <v>SG - Hotmelt Adhesive</v>
      </c>
      <c r="K194" s="61" t="str">
        <f aca="false">_xlfn.xlookup(B194,Spec!A:A,Spec!E:E)</f>
        <v>Self Adhesive Paper</v>
      </c>
      <c r="L194" s="61" t="str">
        <f aca="false">IF(F194="F","Larg: "&amp;P194&amp;"po   Long: "&amp;Q194&amp;"pi","W: "&amp;P194&amp;"in   L: "&amp;Q194&amp;"ft")</f>
        <v>Larg: 6.25po   Long: 5000pi</v>
      </c>
      <c r="N194" s="90" t="n">
        <v>0.37</v>
      </c>
      <c r="O194" s="43" t="s">
        <v>554</v>
      </c>
      <c r="P194" s="72" t="n">
        <v>6.25</v>
      </c>
      <c r="Q194" s="73" t="n">
        <v>5000</v>
      </c>
      <c r="R194" s="83" t="n">
        <f aca="false">P194*12*Q194/1000</f>
        <v>375</v>
      </c>
      <c r="S194" s="88" t="str">
        <f aca="false">_xlfn.xlookup(E194,Clients!B:B,Clients!D:D,FALSE())</f>
        <v>F</v>
      </c>
      <c r="T194" s="84" t="n">
        <f aca="false">IF(O194="msi",P194*12*Q194/1000*N194,IF(O194="sqm",P194/1000*Q194,N194))</f>
        <v>138.75</v>
      </c>
      <c r="U194" s="61" t="str">
        <f aca="false">IF(F194="F","roul.","roll")</f>
        <v>roul.</v>
      </c>
      <c r="V194" s="61" t="str">
        <f aca="false">_xlfn.xlookup(E194,Clients!B:B,Clients!X:X,FALSE())</f>
        <v>CAD</v>
      </c>
      <c r="X194" s="89" t="n">
        <f aca="false">IF(V194=Z194,N194,N194*W194)</f>
        <v>0.37</v>
      </c>
      <c r="Y194" s="61" t="str">
        <f aca="false">O194</f>
        <v>msi</v>
      </c>
      <c r="Z194" s="61" t="str">
        <f aca="false">_xlfn.xlookup(E194,Clients!B:B,Clients!Y:Y,FALSE())</f>
        <v>CAD</v>
      </c>
      <c r="AA194" s="61" t="str">
        <f aca="false">_xlfn.xlookup(B194,Spec!A:A,Spec!K:K,FALSE())</f>
        <v>Canada</v>
      </c>
      <c r="AB194" s="61" t="n">
        <f aca="false">_xlfn.xlookup(B194,Spec!A:A,Spec!L:L,FALSE())</f>
        <v>4811.41</v>
      </c>
    </row>
    <row r="195" customFormat="false" ht="14.25" hidden="false" customHeight="false" outlineLevel="0" collapsed="false">
      <c r="A195" s="1" t="n">
        <v>40214</v>
      </c>
      <c r="B195" s="1" t="n">
        <v>20003</v>
      </c>
      <c r="C195" s="61" t="str">
        <f aca="false">_xlfn.xlookup(B195,Spec!A:A,Spec!C:C)</f>
        <v>AKO</v>
      </c>
      <c r="D195" s="69" t="str">
        <f aca="false">_xlfn.xlookup(B195,Spec!A:A,Spec!D:D)</f>
        <v>AT1003</v>
      </c>
      <c r="E195" s="15" t="s">
        <v>160</v>
      </c>
      <c r="F195" s="15" t="str">
        <f aca="false">_xlfn.xlookup(E195,Clients!B:B,Clients!D:D,FALSE())</f>
        <v>F</v>
      </c>
      <c r="G195" s="42" t="s">
        <v>693</v>
      </c>
      <c r="H195" s="15" t="s">
        <v>660</v>
      </c>
      <c r="I195" s="61" t="str">
        <f aca="false">_xlfn.xlookup(B195,Spec!A:A,Spec!B:B)</f>
        <v>T11-1</v>
      </c>
      <c r="J195" s="61" t="str">
        <f aca="false">_xlfn.xlookup(B195,Spec!A:A,Spec!J:J)</f>
        <v>TT - HM Adhesive</v>
      </c>
      <c r="K195" s="61" t="str">
        <f aca="false">_xlfn.xlookup(B195,Spec!A:A,Spec!E:E)</f>
        <v>Self Adhesive Paper</v>
      </c>
      <c r="L195" s="61" t="str">
        <f aca="false">IF(F195="F","Larg: "&amp;P195&amp;"po   Long: "&amp;Q195&amp;"pi","W: "&amp;P195&amp;"in   L: "&amp;Q195&amp;"ft")</f>
        <v>Larg: 8.75po   Long: 10000pi</v>
      </c>
      <c r="N195" s="90" t="n">
        <v>0.377</v>
      </c>
      <c r="O195" s="43" t="s">
        <v>554</v>
      </c>
      <c r="P195" s="72" t="n">
        <v>8.75</v>
      </c>
      <c r="Q195" s="73" t="n">
        <v>10000</v>
      </c>
      <c r="R195" s="83" t="n">
        <f aca="false">P195*12*Q195/1000</f>
        <v>1050</v>
      </c>
      <c r="S195" s="88" t="str">
        <f aca="false">_xlfn.xlookup(E195,Clients!B:B,Clients!D:D,FALSE())</f>
        <v>F</v>
      </c>
      <c r="T195" s="84" t="n">
        <f aca="false">IF(O195="msi",P195*12*Q195/1000*N195,IF(O195="sqm",P195/1000*Q195,N195))</f>
        <v>395.85</v>
      </c>
      <c r="U195" s="61" t="str">
        <f aca="false">IF(F195="F","roul.","roll")</f>
        <v>roul.</v>
      </c>
      <c r="V195" s="61" t="str">
        <f aca="false">_xlfn.xlookup(E195,Clients!B:B,Clients!X:X,FALSE())</f>
        <v>CAD</v>
      </c>
      <c r="X195" s="89" t="n">
        <f aca="false">IF(V195=Z195,N195,N195*W195)</f>
        <v>0.377</v>
      </c>
      <c r="Y195" s="61" t="str">
        <f aca="false">O195</f>
        <v>msi</v>
      </c>
      <c r="Z195" s="61" t="str">
        <f aca="false">_xlfn.xlookup(E195,Clients!B:B,Clients!Y:Y,FALSE())</f>
        <v>CAD</v>
      </c>
      <c r="AA195" s="61" t="str">
        <f aca="false">_xlfn.xlookup(B195,Spec!A:A,Spec!K:K,FALSE())</f>
        <v>Canada</v>
      </c>
      <c r="AB195" s="61" t="n">
        <f aca="false">_xlfn.xlookup(B195,Spec!A:A,Spec!L:L,FALSE())</f>
        <v>4811.41</v>
      </c>
    </row>
    <row r="196" customFormat="false" ht="14.25" hidden="false" customHeight="false" outlineLevel="0" collapsed="false">
      <c r="A196" s="1" t="n">
        <v>40215</v>
      </c>
      <c r="B196" s="1" t="n">
        <v>20003</v>
      </c>
      <c r="C196" s="61" t="str">
        <f aca="false">_xlfn.xlookup(B196,Spec!A:A,Spec!C:C)</f>
        <v>AKO</v>
      </c>
      <c r="D196" s="69" t="str">
        <f aca="false">_xlfn.xlookup(B196,Spec!A:A,Spec!D:D)</f>
        <v>AT1003</v>
      </c>
      <c r="E196" s="15" t="s">
        <v>160</v>
      </c>
      <c r="F196" s="15" t="str">
        <f aca="false">_xlfn.xlookup(E196,Clients!B:B,Clients!D:D,FALSE())</f>
        <v>F</v>
      </c>
      <c r="G196" s="42" t="s">
        <v>693</v>
      </c>
      <c r="H196" s="15" t="s">
        <v>660</v>
      </c>
      <c r="I196" s="61" t="str">
        <f aca="false">_xlfn.xlookup(B196,Spec!A:A,Spec!B:B)</f>
        <v>T11-1</v>
      </c>
      <c r="J196" s="61" t="str">
        <f aca="false">_xlfn.xlookup(B196,Spec!A:A,Spec!J:J)</f>
        <v>TT - HM Adhesive</v>
      </c>
      <c r="K196" s="61" t="str">
        <f aca="false">_xlfn.xlookup(B196,Spec!A:A,Spec!E:E)</f>
        <v>Self Adhesive Paper</v>
      </c>
      <c r="L196" s="61" t="str">
        <f aca="false">IF(F196="F","Larg: "&amp;P196&amp;"po   Long: "&amp;Q196&amp;"pi","W: "&amp;P196&amp;"in   L: "&amp;Q196&amp;"ft")</f>
        <v>Larg: 8.625po   Long: 10000pi</v>
      </c>
      <c r="N196" s="90" t="n">
        <v>0.377</v>
      </c>
      <c r="O196" s="43" t="s">
        <v>554</v>
      </c>
      <c r="P196" s="72" t="n">
        <v>8.625</v>
      </c>
      <c r="Q196" s="73" t="n">
        <v>10000</v>
      </c>
      <c r="R196" s="83" t="n">
        <f aca="false">P196*12*Q196/1000</f>
        <v>1035</v>
      </c>
      <c r="S196" s="88" t="str">
        <f aca="false">_xlfn.xlookup(E196,Clients!B:B,Clients!D:D,FALSE())</f>
        <v>F</v>
      </c>
      <c r="T196" s="84" t="n">
        <f aca="false">IF(O196="msi",P196*12*Q196/1000*N196,IF(O196="sqm",P196/1000*Q196,N196))</f>
        <v>390.195</v>
      </c>
      <c r="U196" s="61" t="str">
        <f aca="false">IF(F196="F","roul.","roll")</f>
        <v>roul.</v>
      </c>
      <c r="V196" s="61" t="str">
        <f aca="false">_xlfn.xlookup(E196,Clients!B:B,Clients!X:X,FALSE())</f>
        <v>CAD</v>
      </c>
      <c r="X196" s="89" t="n">
        <f aca="false">IF(V196=Z196,N196,N196*W196)</f>
        <v>0.377</v>
      </c>
      <c r="Y196" s="61" t="str">
        <f aca="false">O196</f>
        <v>msi</v>
      </c>
      <c r="Z196" s="61" t="str">
        <f aca="false">_xlfn.xlookup(E196,Clients!B:B,Clients!Y:Y,FALSE())</f>
        <v>CAD</v>
      </c>
      <c r="AA196" s="61" t="str">
        <f aca="false">_xlfn.xlookup(B196,Spec!A:A,Spec!K:K,FALSE())</f>
        <v>Canada</v>
      </c>
      <c r="AB196" s="61" t="n">
        <f aca="false">_xlfn.xlookup(B196,Spec!A:A,Spec!L:L,FALSE())</f>
        <v>4811.41</v>
      </c>
    </row>
    <row r="197" customFormat="false" ht="14.25" hidden="false" customHeight="false" outlineLevel="0" collapsed="false">
      <c r="A197" s="1" t="n">
        <v>40216</v>
      </c>
      <c r="B197" s="1" t="n">
        <v>20003</v>
      </c>
      <c r="C197" s="61" t="str">
        <f aca="false">_xlfn.xlookup(B197,Spec!A:A,Spec!C:C)</f>
        <v>AKO</v>
      </c>
      <c r="D197" s="69" t="str">
        <f aca="false">_xlfn.xlookup(B197,Spec!A:A,Spec!D:D)</f>
        <v>AT1003</v>
      </c>
      <c r="E197" s="15" t="s">
        <v>160</v>
      </c>
      <c r="F197" s="15" t="str">
        <f aca="false">_xlfn.xlookup(E197,Clients!B:B,Clients!D:D,FALSE())</f>
        <v>F</v>
      </c>
      <c r="G197" s="42" t="s">
        <v>693</v>
      </c>
      <c r="H197" s="15" t="s">
        <v>660</v>
      </c>
      <c r="I197" s="61" t="str">
        <f aca="false">_xlfn.xlookup(B197,Spec!A:A,Spec!B:B)</f>
        <v>T11-1</v>
      </c>
      <c r="J197" s="61" t="str">
        <f aca="false">_xlfn.xlookup(B197,Spec!A:A,Spec!J:J)</f>
        <v>TT - HM Adhesive</v>
      </c>
      <c r="K197" s="61" t="str">
        <f aca="false">_xlfn.xlookup(B197,Spec!A:A,Spec!E:E)</f>
        <v>Self Adhesive Paper</v>
      </c>
      <c r="L197" s="61" t="str">
        <f aca="false">IF(F197="F","Larg: "&amp;P197&amp;"po   Long: "&amp;Q197&amp;"pi","W: "&amp;P197&amp;"in   L: "&amp;Q197&amp;"ft")</f>
        <v>Larg: 7.875po   Long: 10000pi</v>
      </c>
      <c r="N197" s="90" t="n">
        <v>0.377</v>
      </c>
      <c r="O197" s="43" t="s">
        <v>554</v>
      </c>
      <c r="P197" s="72" t="n">
        <v>7.875</v>
      </c>
      <c r="Q197" s="73" t="n">
        <v>10000</v>
      </c>
      <c r="R197" s="83" t="n">
        <f aca="false">P197*12*Q197/1000</f>
        <v>945</v>
      </c>
      <c r="S197" s="88" t="str">
        <f aca="false">_xlfn.xlookup(E197,Clients!B:B,Clients!D:D,FALSE())</f>
        <v>F</v>
      </c>
      <c r="T197" s="84" t="n">
        <f aca="false">IF(O197="msi",P197*12*Q197/1000*N197,IF(O197="sqm",P197/1000*Q197,N197))</f>
        <v>356.265</v>
      </c>
      <c r="U197" s="61" t="str">
        <f aca="false">IF(F197="F","roul.","roll")</f>
        <v>roul.</v>
      </c>
      <c r="V197" s="61" t="str">
        <f aca="false">_xlfn.xlookup(E197,Clients!B:B,Clients!X:X,FALSE())</f>
        <v>CAD</v>
      </c>
      <c r="X197" s="89" t="n">
        <f aca="false">IF(V197=Z197,N197,N197*W197)</f>
        <v>0.377</v>
      </c>
      <c r="Y197" s="61" t="str">
        <f aca="false">O197</f>
        <v>msi</v>
      </c>
      <c r="Z197" s="61" t="str">
        <f aca="false">_xlfn.xlookup(E197,Clients!B:B,Clients!Y:Y,FALSE())</f>
        <v>CAD</v>
      </c>
      <c r="AA197" s="61" t="str">
        <f aca="false">_xlfn.xlookup(B197,Spec!A:A,Spec!K:K,FALSE())</f>
        <v>Canada</v>
      </c>
      <c r="AB197" s="61" t="n">
        <f aca="false">_xlfn.xlookup(B197,Spec!A:A,Spec!L:L,FALSE())</f>
        <v>4811.41</v>
      </c>
    </row>
    <row r="198" customFormat="false" ht="14.25" hidden="false" customHeight="false" outlineLevel="0" collapsed="false">
      <c r="A198" s="1" t="n">
        <v>40217</v>
      </c>
      <c r="B198" s="1" t="n">
        <v>20025</v>
      </c>
      <c r="C198" s="61" t="str">
        <f aca="false">_xlfn.xlookup(B198,Spec!A:A,Spec!C:C)</f>
        <v>Etsuhiro</v>
      </c>
      <c r="D198" s="69" t="str">
        <f aca="false">_xlfn.xlookup(B198,Spec!A:A,Spec!D:D)</f>
        <v>EL3059</v>
      </c>
      <c r="E198" s="15" t="s">
        <v>269</v>
      </c>
      <c r="F198" s="15" t="str">
        <f aca="false">_xlfn.xlookup(E198,Clients!B:B,Clients!D:D,FALSE())</f>
        <v>F</v>
      </c>
      <c r="G198" s="42"/>
      <c r="H198" s="15" t="s">
        <v>669</v>
      </c>
      <c r="I198" s="61" t="str">
        <f aca="false">_xlfn.xlookup(B198,Spec!A:A,Spec!B:B)</f>
        <v>D11-2</v>
      </c>
      <c r="J198" s="61" t="str">
        <f aca="false">_xlfn.xlookup(B198,Spec!A:A,Spec!J:J)</f>
        <v>TC DT - Hotmelt Adhesive</v>
      </c>
      <c r="K198" s="61" t="str">
        <f aca="false">_xlfn.xlookup(B198,Spec!A:A,Spec!E:E)</f>
        <v>Self Adhesive Paper</v>
      </c>
      <c r="L198" s="61" t="str">
        <f aca="false">IF(F198="F","Larg: "&amp;P198&amp;"po   Long: "&amp;Q198&amp;"pi","W: "&amp;P198&amp;"in   L: "&amp;Q198&amp;"ft")</f>
        <v>Larg: 7.125po   Long: 10000pi</v>
      </c>
      <c r="N198" s="90" t="n">
        <v>0.444</v>
      </c>
      <c r="O198" s="43" t="s">
        <v>554</v>
      </c>
      <c r="P198" s="72" t="n">
        <v>7.125</v>
      </c>
      <c r="Q198" s="73" t="n">
        <v>10000</v>
      </c>
      <c r="R198" s="83" t="n">
        <f aca="false">P198*12*Q198/1000</f>
        <v>855</v>
      </c>
      <c r="S198" s="88" t="str">
        <f aca="false">_xlfn.xlookup(E198,Clients!B:B,Clients!D:D,FALSE())</f>
        <v>F</v>
      </c>
      <c r="T198" s="84" t="n">
        <f aca="false">IF(O198="msi",P198*12*Q198/1000*N198,IF(O198="sqm",P198/1000*Q198,N198))</f>
        <v>379.62</v>
      </c>
      <c r="U198" s="61" t="str">
        <f aca="false">IF(F198="F","roul.","roll")</f>
        <v>roul.</v>
      </c>
      <c r="V198" s="61" t="str">
        <f aca="false">_xlfn.xlookup(E198,Clients!B:B,Clients!X:X,FALSE())</f>
        <v>CAD</v>
      </c>
      <c r="X198" s="89" t="n">
        <f aca="false">IF(V198=Z198,N198,N198*W198)</f>
        <v>0.444</v>
      </c>
      <c r="Y198" s="61" t="str">
        <f aca="false">O198</f>
        <v>msi</v>
      </c>
      <c r="Z198" s="61" t="str">
        <f aca="false">_xlfn.xlookup(E198,Clients!B:B,Clients!Y:Y,FALSE())</f>
        <v>CAD</v>
      </c>
      <c r="AA198" s="61" t="str">
        <f aca="false">_xlfn.xlookup(B198,Spec!A:A,Spec!K:K,FALSE())</f>
        <v>Canada</v>
      </c>
      <c r="AB198" s="61" t="n">
        <f aca="false">_xlfn.xlookup(B198,Spec!A:A,Spec!L:L,FALSE())</f>
        <v>4811.41</v>
      </c>
    </row>
    <row r="199" customFormat="false" ht="14.25" hidden="false" customHeight="false" outlineLevel="0" collapsed="false">
      <c r="A199" s="1" t="n">
        <v>40218</v>
      </c>
      <c r="B199" s="1" t="n">
        <v>20025</v>
      </c>
      <c r="C199" s="61" t="str">
        <f aca="false">_xlfn.xlookup(B199,Spec!A:A,Spec!C:C)</f>
        <v>Etsuhiro</v>
      </c>
      <c r="D199" s="69" t="str">
        <f aca="false">_xlfn.xlookup(B199,Spec!A:A,Spec!D:D)</f>
        <v>EL3059</v>
      </c>
      <c r="E199" s="15" t="s">
        <v>269</v>
      </c>
      <c r="F199" s="15" t="str">
        <f aca="false">_xlfn.xlookup(E199,Clients!B:B,Clients!D:D,FALSE())</f>
        <v>F</v>
      </c>
      <c r="G199" s="42"/>
      <c r="H199" s="15" t="s">
        <v>669</v>
      </c>
      <c r="I199" s="61" t="str">
        <f aca="false">_xlfn.xlookup(B199,Spec!A:A,Spec!B:B)</f>
        <v>D11-2</v>
      </c>
      <c r="J199" s="61" t="str">
        <f aca="false">_xlfn.xlookup(B199,Spec!A:A,Spec!J:J)</f>
        <v>TC DT - Hotmelt Adhesive</v>
      </c>
      <c r="K199" s="61" t="str">
        <f aca="false">_xlfn.xlookup(B199,Spec!A:A,Spec!E:E)</f>
        <v>Self Adhesive Paper</v>
      </c>
      <c r="L199" s="61" t="str">
        <f aca="false">IF(F199="F","Larg: "&amp;P199&amp;"po   Long: "&amp;Q199&amp;"pi","W: "&amp;P199&amp;"in   L: "&amp;Q199&amp;"ft")</f>
        <v>Larg: 6.75po   Long: 10000pi</v>
      </c>
      <c r="N199" s="90" t="n">
        <v>0.444</v>
      </c>
      <c r="O199" s="43" t="s">
        <v>554</v>
      </c>
      <c r="P199" s="72" t="n">
        <v>6.75</v>
      </c>
      <c r="Q199" s="73" t="n">
        <v>10000</v>
      </c>
      <c r="R199" s="83" t="n">
        <f aca="false">P199*12*Q199/1000</f>
        <v>810</v>
      </c>
      <c r="S199" s="88" t="str">
        <f aca="false">_xlfn.xlookup(E199,Clients!B:B,Clients!D:D,FALSE())</f>
        <v>F</v>
      </c>
      <c r="T199" s="84" t="n">
        <f aca="false">IF(O199="msi",P199*12*Q199/1000*N199,IF(O199="sqm",P199/1000*Q199,N199))</f>
        <v>359.64</v>
      </c>
      <c r="U199" s="61" t="str">
        <f aca="false">IF(F199="F","roul.","roll")</f>
        <v>roul.</v>
      </c>
      <c r="V199" s="61" t="str">
        <f aca="false">_xlfn.xlookup(E199,Clients!B:B,Clients!X:X,FALSE())</f>
        <v>CAD</v>
      </c>
      <c r="X199" s="89" t="n">
        <f aca="false">IF(V199=Z199,N199,N199*W199)</f>
        <v>0.444</v>
      </c>
      <c r="Y199" s="61" t="str">
        <f aca="false">O199</f>
        <v>msi</v>
      </c>
      <c r="Z199" s="61" t="str">
        <f aca="false">_xlfn.xlookup(E199,Clients!B:B,Clients!Y:Y,FALSE())</f>
        <v>CAD</v>
      </c>
      <c r="AA199" s="61" t="str">
        <f aca="false">_xlfn.xlookup(B199,Spec!A:A,Spec!K:K,FALSE())</f>
        <v>Canada</v>
      </c>
      <c r="AB199" s="61" t="n">
        <f aca="false">_xlfn.xlookup(B199,Spec!A:A,Spec!L:L,FALSE())</f>
        <v>4811.41</v>
      </c>
    </row>
    <row r="200" customFormat="false" ht="14.25" hidden="false" customHeight="false" outlineLevel="0" collapsed="false">
      <c r="A200" s="1" t="n">
        <v>40219</v>
      </c>
      <c r="B200" s="1" t="n">
        <v>20025</v>
      </c>
      <c r="C200" s="61" t="str">
        <f aca="false">_xlfn.xlookup(B200,Spec!A:A,Spec!C:C)</f>
        <v>Etsuhiro</v>
      </c>
      <c r="D200" s="69" t="str">
        <f aca="false">_xlfn.xlookup(B200,Spec!A:A,Spec!D:D)</f>
        <v>EL3059</v>
      </c>
      <c r="E200" s="15" t="s">
        <v>269</v>
      </c>
      <c r="F200" s="15" t="str">
        <f aca="false">_xlfn.xlookup(E200,Clients!B:B,Clients!D:D,FALSE())</f>
        <v>F</v>
      </c>
      <c r="G200" s="42"/>
      <c r="H200" s="15" t="s">
        <v>669</v>
      </c>
      <c r="I200" s="61" t="str">
        <f aca="false">_xlfn.xlookup(B200,Spec!A:A,Spec!B:B)</f>
        <v>D11-2</v>
      </c>
      <c r="J200" s="61" t="str">
        <f aca="false">_xlfn.xlookup(B200,Spec!A:A,Spec!J:J)</f>
        <v>TC DT - Hotmelt Adhesive</v>
      </c>
      <c r="K200" s="61" t="str">
        <f aca="false">_xlfn.xlookup(B200,Spec!A:A,Spec!E:E)</f>
        <v>Self Adhesive Paper</v>
      </c>
      <c r="L200" s="61" t="str">
        <f aca="false">IF(F200="F","Larg: "&amp;P200&amp;"po   Long: "&amp;Q200&amp;"pi","W: "&amp;P200&amp;"in   L: "&amp;Q200&amp;"ft")</f>
        <v>Larg: 3.375po   Long: 10000pi</v>
      </c>
      <c r="N200" s="90" t="n">
        <v>0.444</v>
      </c>
      <c r="O200" s="43" t="s">
        <v>554</v>
      </c>
      <c r="P200" s="72" t="n">
        <v>3.375</v>
      </c>
      <c r="Q200" s="73" t="n">
        <v>10000</v>
      </c>
      <c r="R200" s="83" t="n">
        <f aca="false">P200*12*Q200/1000</f>
        <v>405</v>
      </c>
      <c r="S200" s="88" t="str">
        <f aca="false">_xlfn.xlookup(E200,Clients!B:B,Clients!D:D,FALSE())</f>
        <v>F</v>
      </c>
      <c r="T200" s="84" t="n">
        <f aca="false">IF(O200="msi",P200*12*Q200/1000*N200,IF(O200="sqm",P200/1000*Q200,N200))</f>
        <v>179.82</v>
      </c>
      <c r="U200" s="61" t="str">
        <f aca="false">IF(F200="F","roul.","roll")</f>
        <v>roul.</v>
      </c>
      <c r="V200" s="61" t="str">
        <f aca="false">_xlfn.xlookup(E200,Clients!B:B,Clients!X:X,FALSE())</f>
        <v>CAD</v>
      </c>
      <c r="X200" s="89" t="n">
        <f aca="false">IF(V200=Z200,N200,N200*W200)</f>
        <v>0.444</v>
      </c>
      <c r="Y200" s="61" t="str">
        <f aca="false">O200</f>
        <v>msi</v>
      </c>
      <c r="Z200" s="61" t="str">
        <f aca="false">_xlfn.xlookup(E200,Clients!B:B,Clients!Y:Y,FALSE())</f>
        <v>CAD</v>
      </c>
      <c r="AA200" s="61" t="str">
        <f aca="false">_xlfn.xlookup(B200,Spec!A:A,Spec!K:K,FALSE())</f>
        <v>Canada</v>
      </c>
      <c r="AB200" s="61" t="n">
        <f aca="false">_xlfn.xlookup(B200,Spec!A:A,Spec!L:L,FALSE())</f>
        <v>4811.41</v>
      </c>
    </row>
    <row r="201" customFormat="false" ht="14.25" hidden="false" customHeight="false" outlineLevel="0" collapsed="false">
      <c r="A201" s="1" t="n">
        <v>40220</v>
      </c>
      <c r="B201" s="1" t="n">
        <v>20013</v>
      </c>
      <c r="C201" s="61" t="str">
        <f aca="false">_xlfn.xlookup(B201,Spec!A:A,Spec!C:C)</f>
        <v>AKO</v>
      </c>
      <c r="D201" s="69" t="str">
        <f aca="false">_xlfn.xlookup(B201,Spec!A:A,Spec!D:D)</f>
        <v>Hansol TC CL74</v>
      </c>
      <c r="E201" s="15" t="s">
        <v>241</v>
      </c>
      <c r="F201" s="15" t="str">
        <f aca="false">_xlfn.xlookup(E201,Clients!B:B,Clients!D:D,FALSE())</f>
        <v>F</v>
      </c>
      <c r="G201" s="42"/>
      <c r="H201" s="15" t="s">
        <v>669</v>
      </c>
      <c r="I201" s="61" t="str">
        <f aca="false">_xlfn.xlookup(B201,Spec!A:A,Spec!B:B)</f>
        <v>D11-1</v>
      </c>
      <c r="J201" s="61" t="str">
        <f aca="false">_xlfn.xlookup(B201,Spec!A:A,Spec!J:J)</f>
        <v>TC DT - Hotmelt Adhesive</v>
      </c>
      <c r="K201" s="61" t="str">
        <f aca="false">_xlfn.xlookup(B201,Spec!A:A,Spec!E:E)</f>
        <v>Self Adhesive Paper</v>
      </c>
      <c r="L201" s="61" t="str">
        <f aca="false">IF(F201="F","Larg: "&amp;P201&amp;"po   Long: "&amp;Q201&amp;"pi","W: "&amp;P201&amp;"in   L: "&amp;Q201&amp;"ft")</f>
        <v>Larg: 10po   Long: 5000pi</v>
      </c>
      <c r="N201" s="90" t="n">
        <v>0.431</v>
      </c>
      <c r="O201" s="43" t="s">
        <v>554</v>
      </c>
      <c r="P201" s="72" t="n">
        <v>10</v>
      </c>
      <c r="Q201" s="73" t="n">
        <v>5000</v>
      </c>
      <c r="R201" s="83" t="n">
        <f aca="false">P201*12*Q201/1000</f>
        <v>600</v>
      </c>
      <c r="S201" s="88" t="str">
        <f aca="false">_xlfn.xlookup(E201,Clients!B:B,Clients!D:D,FALSE())</f>
        <v>F</v>
      </c>
      <c r="T201" s="84" t="n">
        <f aca="false">IF(O201="msi",P201*12*Q201/1000*N201,IF(O201="sqm",P201/1000*Q201,N201))</f>
        <v>258.6</v>
      </c>
      <c r="U201" s="61" t="str">
        <f aca="false">IF(F201="F","roul.","roll")</f>
        <v>roul.</v>
      </c>
      <c r="V201" s="61" t="str">
        <f aca="false">_xlfn.xlookup(E201,Clients!B:B,Clients!X:X,FALSE())</f>
        <v>CAD</v>
      </c>
      <c r="X201" s="89" t="n">
        <f aca="false">IF(V201=Z201,N201,N201*W201)</f>
        <v>0.431</v>
      </c>
      <c r="Y201" s="61" t="str">
        <f aca="false">O201</f>
        <v>msi</v>
      </c>
      <c r="Z201" s="61" t="str">
        <f aca="false">_xlfn.xlookup(E201,Clients!B:B,Clients!Y:Y,FALSE())</f>
        <v>CAD</v>
      </c>
      <c r="AA201" s="61" t="str">
        <f aca="false">_xlfn.xlookup(B201,Spec!A:A,Spec!K:K,FALSE())</f>
        <v>Canada</v>
      </c>
      <c r="AB201" s="61" t="n">
        <f aca="false">_xlfn.xlookup(B201,Spec!A:A,Spec!L:L,FALSE())</f>
        <v>4811.41</v>
      </c>
    </row>
    <row r="202" customFormat="false" ht="14.25" hidden="false" customHeight="false" outlineLevel="0" collapsed="false">
      <c r="A202" s="1" t="n">
        <v>40221</v>
      </c>
      <c r="B202" s="1" t="n">
        <v>20011</v>
      </c>
      <c r="C202" s="61" t="str">
        <f aca="false">_xlfn.xlookup(B202,Spec!A:A,Spec!C:C)</f>
        <v>AKO</v>
      </c>
      <c r="D202" s="69" t="str">
        <f aca="false">_xlfn.xlookup(B202,Spec!A:A,Spec!D:D)</f>
        <v>AP1019</v>
      </c>
      <c r="E202" s="15" t="s">
        <v>124</v>
      </c>
      <c r="F202" s="15" t="str">
        <f aca="false">_xlfn.xlookup(E202,Clients!B:B,Clients!D:D,FALSE())</f>
        <v>F</v>
      </c>
      <c r="G202" s="42" t="n">
        <v>2212</v>
      </c>
      <c r="H202" s="15" t="s">
        <v>602</v>
      </c>
      <c r="I202" s="61" t="str">
        <f aca="false">_xlfn.xlookup(B202,Spec!A:A,Spec!B:B)</f>
        <v>S21-1</v>
      </c>
      <c r="J202" s="61" t="str">
        <f aca="false">_xlfn.xlookup(B202,Spec!A:A,Spec!J:J)</f>
        <v>SG - Hotmelt Adhesive</v>
      </c>
      <c r="K202" s="61" t="str">
        <f aca="false">_xlfn.xlookup(B202,Spec!A:A,Spec!E:E)</f>
        <v>Self Adhesive Paper</v>
      </c>
      <c r="L202" s="61" t="str">
        <f aca="false">IF(F202="F","Larg: "&amp;P202&amp;"po   Long: "&amp;Q202&amp;"pi","W: "&amp;P202&amp;"in   L: "&amp;Q202&amp;"ft")</f>
        <v>Larg: 14po   Long: 5000pi</v>
      </c>
      <c r="N202" s="90" t="n">
        <v>0.27</v>
      </c>
      <c r="O202" s="43" t="s">
        <v>554</v>
      </c>
      <c r="P202" s="72" t="n">
        <v>14</v>
      </c>
      <c r="Q202" s="73" t="n">
        <v>5000</v>
      </c>
      <c r="R202" s="83" t="n">
        <f aca="false">P202*12*Q202/1000</f>
        <v>840</v>
      </c>
      <c r="S202" s="88" t="str">
        <f aca="false">_xlfn.xlookup(E202,Clients!B:B,Clients!D:D,FALSE())</f>
        <v>F</v>
      </c>
      <c r="T202" s="84" t="n">
        <f aca="false">IF(O202="msi",P202*12*Q202/1000*N202,IF(O202="sqm",P202/1000*Q202,N202))</f>
        <v>226.8</v>
      </c>
      <c r="U202" s="61" t="str">
        <f aca="false">IF(F202="F","roul.","roll")</f>
        <v>roul.</v>
      </c>
      <c r="V202" s="61" t="str">
        <f aca="false">_xlfn.xlookup(E202,Clients!B:B,Clients!X:X,FALSE())</f>
        <v>USD</v>
      </c>
      <c r="X202" s="89" t="n">
        <f aca="false">IF(V202=Z202,N202,N202*W202)</f>
        <v>0.27</v>
      </c>
      <c r="Y202" s="61" t="str">
        <f aca="false">O202</f>
        <v>msi</v>
      </c>
      <c r="Z202" s="61" t="str">
        <f aca="false">_xlfn.xlookup(E202,Clients!B:B,Clients!Y:Y,FALSE())</f>
        <v>USD</v>
      </c>
      <c r="AA202" s="61" t="str">
        <f aca="false">_xlfn.xlookup(B202,Spec!A:A,Spec!K:K,FALSE())</f>
        <v>Canada</v>
      </c>
      <c r="AB202" s="61" t="n">
        <f aca="false">_xlfn.xlookup(B202,Spec!A:A,Spec!L:L,FALSE())</f>
        <v>4811.41</v>
      </c>
    </row>
    <row r="203" customFormat="false" ht="14.25" hidden="false" customHeight="false" outlineLevel="0" collapsed="false">
      <c r="A203" s="1" t="n">
        <v>40222</v>
      </c>
      <c r="B203" s="1" t="n">
        <v>20011</v>
      </c>
      <c r="C203" s="61" t="str">
        <f aca="false">_xlfn.xlookup(B203,Spec!A:A,Spec!C:C)</f>
        <v>AKO</v>
      </c>
      <c r="D203" s="69" t="str">
        <f aca="false">_xlfn.xlookup(B203,Spec!A:A,Spec!D:D)</f>
        <v>AP1019</v>
      </c>
      <c r="E203" s="15" t="s">
        <v>124</v>
      </c>
      <c r="F203" s="15" t="str">
        <f aca="false">_xlfn.xlookup(E203,Clients!B:B,Clients!D:D,FALSE())</f>
        <v>F</v>
      </c>
      <c r="G203" s="42" t="n">
        <v>2212</v>
      </c>
      <c r="H203" s="15" t="s">
        <v>602</v>
      </c>
      <c r="I203" s="61" t="str">
        <f aca="false">_xlfn.xlookup(B203,Spec!A:A,Spec!B:B)</f>
        <v>S21-1</v>
      </c>
      <c r="J203" s="61" t="str">
        <f aca="false">_xlfn.xlookup(B203,Spec!A:A,Spec!J:J)</f>
        <v>SG - Hotmelt Adhesive</v>
      </c>
      <c r="K203" s="61" t="str">
        <f aca="false">_xlfn.xlookup(B203,Spec!A:A,Spec!E:E)</f>
        <v>Self Adhesive Paper</v>
      </c>
      <c r="L203" s="61" t="str">
        <f aca="false">IF(F203="F","Larg: "&amp;P203&amp;"po   Long: "&amp;Q203&amp;"pi","W: "&amp;P203&amp;"in   L: "&amp;Q203&amp;"ft")</f>
        <v>Larg: 4po   Long: 5000pi</v>
      </c>
      <c r="N203" s="90" t="n">
        <v>0.27</v>
      </c>
      <c r="O203" s="43" t="s">
        <v>554</v>
      </c>
      <c r="P203" s="72" t="n">
        <v>4</v>
      </c>
      <c r="Q203" s="73" t="n">
        <v>5000</v>
      </c>
      <c r="R203" s="83" t="n">
        <f aca="false">P203*12*Q203/1000</f>
        <v>240</v>
      </c>
      <c r="S203" s="88" t="str">
        <f aca="false">_xlfn.xlookup(E203,Clients!B:B,Clients!D:D,FALSE())</f>
        <v>F</v>
      </c>
      <c r="T203" s="84" t="n">
        <f aca="false">IF(O203="msi",P203*12*Q203/1000*N203,IF(O203="sqm",P203/1000*Q203,N203))</f>
        <v>64.8</v>
      </c>
      <c r="U203" s="61" t="str">
        <f aca="false">IF(F203="F","roul.","roll")</f>
        <v>roul.</v>
      </c>
      <c r="V203" s="61" t="str">
        <f aca="false">_xlfn.xlookup(E203,Clients!B:B,Clients!X:X,FALSE())</f>
        <v>USD</v>
      </c>
      <c r="X203" s="89" t="n">
        <f aca="false">IF(V203=Z203,N203,N203*W203)</f>
        <v>0.27</v>
      </c>
      <c r="Y203" s="61" t="str">
        <f aca="false">O203</f>
        <v>msi</v>
      </c>
      <c r="Z203" s="61" t="str">
        <f aca="false">_xlfn.xlookup(E203,Clients!B:B,Clients!Y:Y,FALSE())</f>
        <v>USD</v>
      </c>
      <c r="AA203" s="61" t="str">
        <f aca="false">_xlfn.xlookup(B203,Spec!A:A,Spec!K:K,FALSE())</f>
        <v>Canada</v>
      </c>
      <c r="AB203" s="61" t="n">
        <f aca="false">_xlfn.xlookup(B203,Spec!A:A,Spec!L:L,FALSE())</f>
        <v>4811.41</v>
      </c>
    </row>
    <row r="204" customFormat="false" ht="14.25" hidden="false" customHeight="false" outlineLevel="0" collapsed="false">
      <c r="A204" s="1" t="n">
        <v>40223</v>
      </c>
      <c r="B204" s="1" t="n">
        <v>20003</v>
      </c>
      <c r="C204" s="61" t="str">
        <f aca="false">_xlfn.xlookup(B204,Spec!A:A,Spec!C:C)</f>
        <v>AKO</v>
      </c>
      <c r="D204" s="69" t="str">
        <f aca="false">_xlfn.xlookup(B204,Spec!A:A,Spec!D:D)</f>
        <v>AT1003</v>
      </c>
      <c r="E204" s="15" t="s">
        <v>250</v>
      </c>
      <c r="F204" s="15" t="str">
        <f aca="false">_xlfn.xlookup(E204,Clients!B:B,Clients!D:D,FALSE())</f>
        <v>F</v>
      </c>
      <c r="G204" s="42"/>
      <c r="H204" s="15" t="s">
        <v>660</v>
      </c>
      <c r="I204" s="61" t="str">
        <f aca="false">_xlfn.xlookup(B204,Spec!A:A,Spec!B:B)</f>
        <v>T11-1</v>
      </c>
      <c r="J204" s="61" t="str">
        <f aca="false">_xlfn.xlookup(B204,Spec!A:A,Spec!J:J)</f>
        <v>TT - HM Adhesive</v>
      </c>
      <c r="K204" s="61" t="str">
        <f aca="false">_xlfn.xlookup(B204,Spec!A:A,Spec!E:E)</f>
        <v>Self Adhesive Paper</v>
      </c>
      <c r="L204" s="61" t="str">
        <f aca="false">IF(F204="F","Larg: "&amp;P204&amp;"po   Long: "&amp;Q204&amp;"pi","W: "&amp;P204&amp;"in   L: "&amp;Q204&amp;"ft")</f>
        <v>Larg: 12.75po   Long: 10000pi</v>
      </c>
      <c r="N204" s="90" t="n">
        <v>0.375</v>
      </c>
      <c r="O204" s="43" t="s">
        <v>554</v>
      </c>
      <c r="P204" s="72" t="n">
        <v>12.75</v>
      </c>
      <c r="Q204" s="73" t="n">
        <v>10000</v>
      </c>
      <c r="R204" s="83" t="n">
        <f aca="false">P204*12*Q204/1000</f>
        <v>1530</v>
      </c>
      <c r="S204" s="88" t="str">
        <f aca="false">_xlfn.xlookup(E204,Clients!B:B,Clients!D:D,FALSE())</f>
        <v>F</v>
      </c>
      <c r="T204" s="84" t="n">
        <f aca="false">IF(O204="msi",P204*12*Q204/1000*N204,IF(O204="sqm",P204/1000*Q204,N204))</f>
        <v>573.75</v>
      </c>
      <c r="U204" s="61" t="str">
        <f aca="false">IF(F204="F","roul.","roll")</f>
        <v>roul.</v>
      </c>
      <c r="V204" s="61" t="str">
        <f aca="false">_xlfn.xlookup(E204,Clients!B:B,Clients!X:X,FALSE())</f>
        <v>CAD</v>
      </c>
      <c r="X204" s="89" t="n">
        <f aca="false">IF(V204=Z204,N204,N204*W204)</f>
        <v>0.375</v>
      </c>
      <c r="Y204" s="61" t="str">
        <f aca="false">O204</f>
        <v>msi</v>
      </c>
      <c r="Z204" s="61" t="str">
        <f aca="false">_xlfn.xlookup(E204,Clients!B:B,Clients!Y:Y,FALSE())</f>
        <v>CAD</v>
      </c>
      <c r="AA204" s="61" t="str">
        <f aca="false">_xlfn.xlookup(B204,Spec!A:A,Spec!K:K,FALSE())</f>
        <v>Canada</v>
      </c>
      <c r="AB204" s="61" t="n">
        <f aca="false">_xlfn.xlookup(B204,Spec!A:A,Spec!L:L,FALSE())</f>
        <v>4811.41</v>
      </c>
    </row>
    <row r="205" customFormat="false" ht="14.25" hidden="false" customHeight="false" outlineLevel="0" collapsed="false">
      <c r="A205" s="1" t="n">
        <v>40224</v>
      </c>
      <c r="B205" s="1" t="n">
        <v>20003</v>
      </c>
      <c r="C205" s="61" t="str">
        <f aca="false">_xlfn.xlookup(B205,Spec!A:A,Spec!C:C)</f>
        <v>AKO</v>
      </c>
      <c r="D205" s="69" t="str">
        <f aca="false">_xlfn.xlookup(B205,Spec!A:A,Spec!D:D)</f>
        <v>AT1003</v>
      </c>
      <c r="E205" s="15" t="s">
        <v>250</v>
      </c>
      <c r="F205" s="15" t="str">
        <f aca="false">_xlfn.xlookup(E205,Clients!B:B,Clients!D:D,FALSE())</f>
        <v>F</v>
      </c>
      <c r="G205" s="42"/>
      <c r="H205" s="15" t="s">
        <v>660</v>
      </c>
      <c r="I205" s="61" t="str">
        <f aca="false">_xlfn.xlookup(B205,Spec!A:A,Spec!B:B)</f>
        <v>T11-1</v>
      </c>
      <c r="J205" s="61" t="str">
        <f aca="false">_xlfn.xlookup(B205,Spec!A:A,Spec!J:J)</f>
        <v>TT - HM Adhesive</v>
      </c>
      <c r="K205" s="61" t="str">
        <f aca="false">_xlfn.xlookup(B205,Spec!A:A,Spec!E:E)</f>
        <v>Self Adhesive Paper</v>
      </c>
      <c r="L205" s="61" t="str">
        <f aca="false">IF(F205="F","Larg: "&amp;P205&amp;"po   Long: "&amp;Q205&amp;"pi","W: "&amp;P205&amp;"in   L: "&amp;Q205&amp;"ft")</f>
        <v>Larg: 9po   Long: 10000pi</v>
      </c>
      <c r="N205" s="90" t="n">
        <v>0.375</v>
      </c>
      <c r="O205" s="43" t="s">
        <v>554</v>
      </c>
      <c r="P205" s="72" t="n">
        <v>9</v>
      </c>
      <c r="Q205" s="73" t="n">
        <v>10000</v>
      </c>
      <c r="R205" s="83" t="n">
        <f aca="false">P205*12*Q205/1000</f>
        <v>1080</v>
      </c>
      <c r="S205" s="88" t="str">
        <f aca="false">_xlfn.xlookup(E205,Clients!B:B,Clients!D:D,FALSE())</f>
        <v>F</v>
      </c>
      <c r="T205" s="84" t="n">
        <f aca="false">IF(O205="msi",P205*12*Q205/1000*N205,IF(O205="sqm",P205/1000*Q205,N205))</f>
        <v>405</v>
      </c>
      <c r="U205" s="61" t="str">
        <f aca="false">IF(F205="F","roul.","roll")</f>
        <v>roul.</v>
      </c>
      <c r="V205" s="61" t="str">
        <f aca="false">_xlfn.xlookup(E205,Clients!B:B,Clients!X:X,FALSE())</f>
        <v>CAD</v>
      </c>
      <c r="X205" s="89" t="n">
        <f aca="false">IF(V205=Z205,N205,N205*W205)</f>
        <v>0.375</v>
      </c>
      <c r="Y205" s="61" t="str">
        <f aca="false">O205</f>
        <v>msi</v>
      </c>
      <c r="Z205" s="61" t="str">
        <f aca="false">_xlfn.xlookup(E205,Clients!B:B,Clients!Y:Y,FALSE())</f>
        <v>CAD</v>
      </c>
      <c r="AA205" s="61" t="str">
        <f aca="false">_xlfn.xlookup(B205,Spec!A:A,Spec!K:K,FALSE())</f>
        <v>Canada</v>
      </c>
      <c r="AB205" s="61" t="n">
        <f aca="false">_xlfn.xlookup(B205,Spec!A:A,Spec!L:L,FALSE())</f>
        <v>4811.41</v>
      </c>
    </row>
    <row r="206" customFormat="false" ht="14.25" hidden="false" customHeight="false" outlineLevel="0" collapsed="false">
      <c r="A206" s="1" t="n">
        <v>40225</v>
      </c>
      <c r="B206" s="1" t="n">
        <v>20003</v>
      </c>
      <c r="C206" s="61" t="str">
        <f aca="false">_xlfn.xlookup(B206,Spec!A:A,Spec!C:C)</f>
        <v>AKO</v>
      </c>
      <c r="D206" s="69" t="str">
        <f aca="false">_xlfn.xlookup(B206,Spec!A:A,Spec!D:D)</f>
        <v>AT1003</v>
      </c>
      <c r="E206" s="15" t="s">
        <v>250</v>
      </c>
      <c r="F206" s="15" t="str">
        <f aca="false">_xlfn.xlookup(E206,Clients!B:B,Clients!D:D,FALSE())</f>
        <v>F</v>
      </c>
      <c r="G206" s="42"/>
      <c r="H206" s="15" t="s">
        <v>660</v>
      </c>
      <c r="I206" s="61" t="str">
        <f aca="false">_xlfn.xlookup(B206,Spec!A:A,Spec!B:B)</f>
        <v>T11-1</v>
      </c>
      <c r="J206" s="61" t="str">
        <f aca="false">_xlfn.xlookup(B206,Spec!A:A,Spec!J:J)</f>
        <v>TT - HM Adhesive</v>
      </c>
      <c r="K206" s="61" t="str">
        <f aca="false">_xlfn.xlookup(B206,Spec!A:A,Spec!E:E)</f>
        <v>Self Adhesive Paper</v>
      </c>
      <c r="L206" s="61" t="str">
        <f aca="false">IF(F206="F","Larg: "&amp;P206&amp;"po   Long: "&amp;Q206&amp;"pi","W: "&amp;P206&amp;"in   L: "&amp;Q206&amp;"ft")</f>
        <v>Larg: 4.5po   Long: 10000pi</v>
      </c>
      <c r="N206" s="90" t="n">
        <v>0.375</v>
      </c>
      <c r="O206" s="43" t="s">
        <v>554</v>
      </c>
      <c r="P206" s="72" t="n">
        <v>4.5</v>
      </c>
      <c r="Q206" s="73" t="n">
        <v>10000</v>
      </c>
      <c r="R206" s="83" t="n">
        <f aca="false">P206*12*Q206/1000</f>
        <v>540</v>
      </c>
      <c r="S206" s="88" t="str">
        <f aca="false">_xlfn.xlookup(E206,Clients!B:B,Clients!D:D,FALSE())</f>
        <v>F</v>
      </c>
      <c r="T206" s="84" t="n">
        <f aca="false">IF(O206="msi",P206*12*Q206/1000*N206,IF(O206="sqm",P206/1000*Q206,N206))</f>
        <v>202.5</v>
      </c>
      <c r="U206" s="61" t="str">
        <f aca="false">IF(F206="F","roul.","roll")</f>
        <v>roul.</v>
      </c>
      <c r="V206" s="61" t="str">
        <f aca="false">_xlfn.xlookup(E206,Clients!B:B,Clients!X:X,FALSE())</f>
        <v>CAD</v>
      </c>
      <c r="X206" s="89" t="n">
        <f aca="false">IF(V206=Z206,N206,N206*W206)</f>
        <v>0.375</v>
      </c>
      <c r="Y206" s="61" t="str">
        <f aca="false">O206</f>
        <v>msi</v>
      </c>
      <c r="Z206" s="61" t="str">
        <f aca="false">_xlfn.xlookup(E206,Clients!B:B,Clients!Y:Y,FALSE())</f>
        <v>CAD</v>
      </c>
      <c r="AA206" s="61" t="str">
        <f aca="false">_xlfn.xlookup(B206,Spec!A:A,Spec!K:K,FALSE())</f>
        <v>Canada</v>
      </c>
      <c r="AB206" s="61" t="n">
        <f aca="false">_xlfn.xlookup(B206,Spec!A:A,Spec!L:L,FALSE())</f>
        <v>4811.41</v>
      </c>
    </row>
    <row r="207" customFormat="false" ht="14.25" hidden="false" customHeight="false" outlineLevel="0" collapsed="false">
      <c r="A207" s="1" t="n">
        <v>40226</v>
      </c>
      <c r="B207" s="1" t="n">
        <v>20003</v>
      </c>
      <c r="C207" s="61" t="str">
        <f aca="false">_xlfn.xlookup(B207,Spec!A:A,Spec!C:C)</f>
        <v>AKO</v>
      </c>
      <c r="D207" s="69" t="str">
        <f aca="false">_xlfn.xlookup(B207,Spec!A:A,Spec!D:D)</f>
        <v>AT1003</v>
      </c>
      <c r="E207" s="15" t="s">
        <v>250</v>
      </c>
      <c r="F207" s="15" t="str">
        <f aca="false">_xlfn.xlookup(E207,Clients!B:B,Clients!D:D,FALSE())</f>
        <v>F</v>
      </c>
      <c r="G207" s="42"/>
      <c r="H207" s="15" t="s">
        <v>660</v>
      </c>
      <c r="I207" s="61" t="str">
        <f aca="false">_xlfn.xlookup(B207,Spec!A:A,Spec!B:B)</f>
        <v>T11-1</v>
      </c>
      <c r="J207" s="61" t="str">
        <f aca="false">_xlfn.xlookup(B207,Spec!A:A,Spec!J:J)</f>
        <v>TT - HM Adhesive</v>
      </c>
      <c r="K207" s="61" t="str">
        <f aca="false">_xlfn.xlookup(B207,Spec!A:A,Spec!E:E)</f>
        <v>Self Adhesive Paper</v>
      </c>
      <c r="L207" s="61" t="str">
        <f aca="false">IF(F207="F","Larg: "&amp;P207&amp;"po   Long: "&amp;Q207&amp;"pi","W: "&amp;P207&amp;"in   L: "&amp;Q207&amp;"ft")</f>
        <v>Larg: 6po   Long: 10000pi</v>
      </c>
      <c r="N207" s="90" t="n">
        <v>0.375</v>
      </c>
      <c r="O207" s="43" t="s">
        <v>554</v>
      </c>
      <c r="P207" s="72" t="n">
        <v>6</v>
      </c>
      <c r="Q207" s="73" t="n">
        <v>10000</v>
      </c>
      <c r="R207" s="83" t="n">
        <f aca="false">P207*12*Q207/1000</f>
        <v>720</v>
      </c>
      <c r="S207" s="88" t="str">
        <f aca="false">_xlfn.xlookup(E207,Clients!B:B,Clients!D:D,FALSE())</f>
        <v>F</v>
      </c>
      <c r="T207" s="84" t="n">
        <f aca="false">IF(O207="msi",P207*12*Q207/1000*N207,IF(O207="sqm",P207/1000*Q207,N207))</f>
        <v>270</v>
      </c>
      <c r="U207" s="61" t="str">
        <f aca="false">IF(F207="F","roul.","roll")</f>
        <v>roul.</v>
      </c>
      <c r="V207" s="61" t="str">
        <f aca="false">_xlfn.xlookup(E207,Clients!B:B,Clients!X:X,FALSE())</f>
        <v>CAD</v>
      </c>
      <c r="X207" s="89" t="n">
        <f aca="false">IF(V207=Z207,N207,N207*W207)</f>
        <v>0.375</v>
      </c>
      <c r="Y207" s="61" t="str">
        <f aca="false">O207</f>
        <v>msi</v>
      </c>
      <c r="Z207" s="61" t="str">
        <f aca="false">_xlfn.xlookup(E207,Clients!B:B,Clients!Y:Y,FALSE())</f>
        <v>CAD</v>
      </c>
      <c r="AA207" s="61" t="str">
        <f aca="false">_xlfn.xlookup(B207,Spec!A:A,Spec!K:K,FALSE())</f>
        <v>Canada</v>
      </c>
      <c r="AB207" s="61" t="n">
        <f aca="false">_xlfn.xlookup(B207,Spec!A:A,Spec!L:L,FALSE())</f>
        <v>4811.41</v>
      </c>
    </row>
    <row r="208" customFormat="false" ht="14.25" hidden="false" customHeight="false" outlineLevel="0" collapsed="false">
      <c r="A208" s="1" t="n">
        <v>40227</v>
      </c>
      <c r="B208" s="1" t="n">
        <v>20015</v>
      </c>
      <c r="C208" s="61" t="str">
        <f aca="false">_xlfn.xlookup(B208,Spec!A:A,Spec!C:C)</f>
        <v>Jinda</v>
      </c>
      <c r="D208" s="69" t="str">
        <f aca="false">_xlfn.xlookup(B208,Spec!A:A,Spec!D:D)</f>
        <v>0402105</v>
      </c>
      <c r="E208" s="15" t="s">
        <v>258</v>
      </c>
      <c r="F208" s="15" t="str">
        <f aca="false">_xlfn.xlookup(E208,Clients!B:B,Clients!D:D,FALSE())</f>
        <v>A</v>
      </c>
      <c r="G208" s="42"/>
      <c r="H208" s="15" t="s">
        <v>586</v>
      </c>
      <c r="I208" s="61" t="str">
        <f aca="false">_xlfn.xlookup(B208,Spec!A:A,Spec!B:B)</f>
        <v>S15-3</v>
      </c>
      <c r="J208" s="61" t="str">
        <f aca="false">_xlfn.xlookup(B208,Spec!A:A,Spec!J:J)</f>
        <v>SG - Acrylic Adhesive</v>
      </c>
      <c r="K208" s="61" t="str">
        <f aca="false">_xlfn.xlookup(B208,Spec!A:A,Spec!E:E)</f>
        <v>Self Adhesive Paper</v>
      </c>
      <c r="L208" s="61" t="str">
        <f aca="false">IF(F208="F","Larg: "&amp;P208&amp;"po   Long: "&amp;Q208&amp;"pi","W: "&amp;P208&amp;"in   L: "&amp;Q208&amp;"ft")</f>
        <v>W: 12in   L: 10000ft</v>
      </c>
      <c r="N208" s="90" t="n">
        <v>0.344</v>
      </c>
      <c r="O208" s="43" t="s">
        <v>554</v>
      </c>
      <c r="P208" s="72" t="n">
        <v>12</v>
      </c>
      <c r="Q208" s="73" t="n">
        <v>10000</v>
      </c>
      <c r="R208" s="83" t="n">
        <f aca="false">P208*12*Q208/1000</f>
        <v>1440</v>
      </c>
      <c r="S208" s="88" t="str">
        <f aca="false">_xlfn.xlookup(E208,Clients!B:B,Clients!D:D,FALSE())</f>
        <v>A</v>
      </c>
      <c r="T208" s="84" t="n">
        <f aca="false">IF(O208="msi",P208*12*Q208/1000*N208,IF(O208="sqm",P208/1000*Q208,N208))</f>
        <v>495.36</v>
      </c>
      <c r="U208" s="61" t="str">
        <f aca="false">IF(F208="F","roul.","roll")</f>
        <v>roll</v>
      </c>
      <c r="V208" s="61" t="str">
        <f aca="false">_xlfn.xlookup(E208,Clients!B:B,Clients!X:X,FALSE())</f>
        <v>CAD</v>
      </c>
      <c r="X208" s="89" t="n">
        <f aca="false">IF(V208=Z208,N208,N208*W208)</f>
        <v>0.344</v>
      </c>
      <c r="Y208" s="61" t="str">
        <f aca="false">O208</f>
        <v>msi</v>
      </c>
      <c r="Z208" s="61" t="str">
        <f aca="false">_xlfn.xlookup(E208,Clients!B:B,Clients!Y:Y,FALSE())</f>
        <v>CAD</v>
      </c>
      <c r="AA208" s="61" t="str">
        <f aca="false">_xlfn.xlookup(B208,Spec!A:A,Spec!K:K,FALSE())</f>
        <v>Canada</v>
      </c>
      <c r="AB208" s="61" t="n">
        <f aca="false">_xlfn.xlookup(B208,Spec!A:A,Spec!L:L,FALSE())</f>
        <v>4811.41</v>
      </c>
    </row>
    <row r="209" customFormat="false" ht="14.25" hidden="false" customHeight="false" outlineLevel="0" collapsed="false">
      <c r="A209" s="1" t="n">
        <v>40228</v>
      </c>
      <c r="B209" s="1" t="n">
        <v>20013</v>
      </c>
      <c r="C209" s="61" t="str">
        <f aca="false">_xlfn.xlookup(B209,Spec!A:A,Spec!C:C)</f>
        <v>AKO</v>
      </c>
      <c r="D209" s="69" t="str">
        <f aca="false">_xlfn.xlookup(B209,Spec!A:A,Spec!D:D)</f>
        <v>Hansol TC CL74</v>
      </c>
      <c r="E209" s="15" t="s">
        <v>241</v>
      </c>
      <c r="F209" s="15" t="str">
        <f aca="false">_xlfn.xlookup(E209,Clients!B:B,Clients!D:D,FALSE())</f>
        <v>F</v>
      </c>
      <c r="G209" s="42"/>
      <c r="H209" s="15" t="s">
        <v>669</v>
      </c>
      <c r="I209" s="61" t="str">
        <f aca="false">_xlfn.xlookup(B209,Spec!A:A,Spec!B:B)</f>
        <v>D11-1</v>
      </c>
      <c r="J209" s="61" t="str">
        <f aca="false">_xlfn.xlookup(B209,Spec!A:A,Spec!J:J)</f>
        <v>TC DT - Hotmelt Adhesive</v>
      </c>
      <c r="K209" s="61" t="str">
        <f aca="false">_xlfn.xlookup(B209,Spec!A:A,Spec!E:E)</f>
        <v>Self Adhesive Paper</v>
      </c>
      <c r="L209" s="61" t="str">
        <f aca="false">IF(F209="F","Larg: "&amp;P209&amp;"po   Long: "&amp;Q209&amp;"pi","W: "&amp;P209&amp;"in   L: "&amp;Q209&amp;"ft")</f>
        <v>Larg: 8po   Long: 10000pi</v>
      </c>
      <c r="N209" s="90" t="n">
        <v>0.431</v>
      </c>
      <c r="O209" s="43" t="s">
        <v>554</v>
      </c>
      <c r="P209" s="72" t="n">
        <v>8</v>
      </c>
      <c r="Q209" s="73" t="n">
        <v>10000</v>
      </c>
      <c r="R209" s="83" t="n">
        <f aca="false">P209*12*Q209/1000</f>
        <v>960</v>
      </c>
      <c r="S209" s="88" t="str">
        <f aca="false">_xlfn.xlookup(E209,Clients!B:B,Clients!D:D,FALSE())</f>
        <v>F</v>
      </c>
      <c r="T209" s="84" t="n">
        <f aca="false">IF(O209="msi",P209*12*Q209/1000*N209,IF(O209="sqm",P209/1000*Q209,N209))</f>
        <v>413.76</v>
      </c>
      <c r="U209" s="61" t="str">
        <f aca="false">IF(F209="F","roul.","roll")</f>
        <v>roul.</v>
      </c>
      <c r="V209" s="61" t="str">
        <f aca="false">_xlfn.xlookup(E209,Clients!B:B,Clients!X:X,FALSE())</f>
        <v>CAD</v>
      </c>
      <c r="X209" s="89" t="n">
        <f aca="false">IF(V209=Z209,N209,N209*W209)</f>
        <v>0.431</v>
      </c>
      <c r="Y209" s="61" t="str">
        <f aca="false">O209</f>
        <v>msi</v>
      </c>
      <c r="Z209" s="61" t="str">
        <f aca="false">_xlfn.xlookup(E209,Clients!B:B,Clients!Y:Y,FALSE())</f>
        <v>CAD</v>
      </c>
      <c r="AA209" s="61" t="str">
        <f aca="false">_xlfn.xlookup(B209,Spec!A:A,Spec!K:K,FALSE())</f>
        <v>Canada</v>
      </c>
      <c r="AB209" s="61" t="n">
        <f aca="false">_xlfn.xlookup(B209,Spec!A:A,Spec!L:L,FALSE())</f>
        <v>4811.41</v>
      </c>
    </row>
    <row r="210" customFormat="false" ht="14.25" hidden="false" customHeight="false" outlineLevel="0" collapsed="false">
      <c r="A210" s="1" t="n">
        <v>40229</v>
      </c>
      <c r="B210" s="1" t="n">
        <v>20013</v>
      </c>
      <c r="C210" s="61" t="str">
        <f aca="false">_xlfn.xlookup(B210,Spec!A:A,Spec!C:C)</f>
        <v>AKO</v>
      </c>
      <c r="D210" s="69" t="str">
        <f aca="false">_xlfn.xlookup(B210,Spec!A:A,Spec!D:D)</f>
        <v>Hansol TC CL74</v>
      </c>
      <c r="E210" s="15" t="s">
        <v>241</v>
      </c>
      <c r="F210" s="15" t="str">
        <f aca="false">_xlfn.xlookup(E210,Clients!B:B,Clients!D:D,FALSE())</f>
        <v>F</v>
      </c>
      <c r="G210" s="42"/>
      <c r="H210" s="15" t="s">
        <v>669</v>
      </c>
      <c r="I210" s="61" t="str">
        <f aca="false">_xlfn.xlookup(B210,Spec!A:A,Spec!B:B)</f>
        <v>D11-1</v>
      </c>
      <c r="J210" s="61" t="str">
        <f aca="false">_xlfn.xlookup(B210,Spec!A:A,Spec!J:J)</f>
        <v>TC DT - Hotmelt Adhesive</v>
      </c>
      <c r="K210" s="61" t="str">
        <f aca="false">_xlfn.xlookup(B210,Spec!A:A,Spec!E:E)</f>
        <v>Self Adhesive Paper</v>
      </c>
      <c r="L210" s="61" t="str">
        <f aca="false">IF(F210="F","Larg: "&amp;P210&amp;"po   Long: "&amp;Q210&amp;"pi","W: "&amp;P210&amp;"in   L: "&amp;Q210&amp;"ft")</f>
        <v>Larg: 4po   Long: 10000pi</v>
      </c>
      <c r="N210" s="90" t="n">
        <v>0.431</v>
      </c>
      <c r="O210" s="43" t="s">
        <v>554</v>
      </c>
      <c r="P210" s="72" t="n">
        <v>4</v>
      </c>
      <c r="Q210" s="73" t="n">
        <v>10000</v>
      </c>
      <c r="R210" s="83" t="n">
        <f aca="false">P210*12*Q210/1000</f>
        <v>480</v>
      </c>
      <c r="S210" s="88" t="str">
        <f aca="false">_xlfn.xlookup(E210,Clients!B:B,Clients!D:D,FALSE())</f>
        <v>F</v>
      </c>
      <c r="T210" s="84" t="n">
        <f aca="false">IF(O210="msi",P210*12*Q210/1000*N210,IF(O210="sqm",P210/1000*Q210,N210))</f>
        <v>206.88</v>
      </c>
      <c r="U210" s="61" t="str">
        <f aca="false">IF(F210="F","roul.","roll")</f>
        <v>roul.</v>
      </c>
      <c r="V210" s="61" t="str">
        <f aca="false">_xlfn.xlookup(E210,Clients!B:B,Clients!X:X,FALSE())</f>
        <v>CAD</v>
      </c>
      <c r="X210" s="89" t="n">
        <f aca="false">IF(V210=Z210,N210,N210*W210)</f>
        <v>0.431</v>
      </c>
      <c r="Y210" s="61" t="str">
        <f aca="false">O210</f>
        <v>msi</v>
      </c>
      <c r="Z210" s="61" t="str">
        <f aca="false">_xlfn.xlookup(E210,Clients!B:B,Clients!Y:Y,FALSE())</f>
        <v>CAD</v>
      </c>
      <c r="AA210" s="61" t="str">
        <f aca="false">_xlfn.xlookup(B210,Spec!A:A,Spec!K:K,FALSE())</f>
        <v>Canada</v>
      </c>
      <c r="AB210" s="61" t="n">
        <f aca="false">_xlfn.xlookup(B210,Spec!A:A,Spec!L:L,FALSE())</f>
        <v>4811.41</v>
      </c>
    </row>
    <row r="211" customFormat="false" ht="14.25" hidden="false" customHeight="false" outlineLevel="0" collapsed="false">
      <c r="A211" s="1" t="n">
        <v>40230</v>
      </c>
      <c r="B211" s="1" t="n">
        <v>20013</v>
      </c>
      <c r="C211" s="61" t="str">
        <f aca="false">_xlfn.xlookup(B211,Spec!A:A,Spec!C:C)</f>
        <v>AKO</v>
      </c>
      <c r="D211" s="69" t="str">
        <f aca="false">_xlfn.xlookup(B211,Spec!A:A,Spec!D:D)</f>
        <v>Hansol TC CL74</v>
      </c>
      <c r="E211" s="15" t="s">
        <v>288</v>
      </c>
      <c r="F211" s="15" t="str">
        <f aca="false">_xlfn.xlookup(E211,Clients!B:B,Clients!D:D,FALSE())</f>
        <v>F</v>
      </c>
      <c r="G211" s="42"/>
      <c r="H211" s="15" t="s">
        <v>669</v>
      </c>
      <c r="I211" s="61" t="str">
        <f aca="false">_xlfn.xlookup(B211,Spec!A:A,Spec!B:B)</f>
        <v>D11-1</v>
      </c>
      <c r="J211" s="61" t="str">
        <f aca="false">_xlfn.xlookup(B211,Spec!A:A,Spec!J:J)</f>
        <v>TC DT - Hotmelt Adhesive</v>
      </c>
      <c r="K211" s="61" t="str">
        <f aca="false">_xlfn.xlookup(B211,Spec!A:A,Spec!E:E)</f>
        <v>Self Adhesive Paper</v>
      </c>
      <c r="L211" s="61" t="str">
        <f aca="false">IF(F211="F","Larg: "&amp;P211&amp;"po   Long: "&amp;Q211&amp;"pi","W: "&amp;P211&amp;"in   L: "&amp;Q211&amp;"ft")</f>
        <v>Larg: 14.167po   Long: 5000pi</v>
      </c>
      <c r="N211" s="43" t="n">
        <v>0</v>
      </c>
      <c r="O211" s="43" t="s">
        <v>554</v>
      </c>
      <c r="P211" s="72" t="n">
        <v>14.167</v>
      </c>
      <c r="Q211" s="73" t="n">
        <v>5000</v>
      </c>
      <c r="R211" s="83" t="n">
        <f aca="false">P211*12*Q211/1000</f>
        <v>850.02</v>
      </c>
      <c r="S211" s="88" t="str">
        <f aca="false">_xlfn.xlookup(E211,Clients!B:B,Clients!D:D,FALSE())</f>
        <v>F</v>
      </c>
      <c r="T211" s="84" t="n">
        <f aca="false">IF(O211="msi",P211*12*Q211/1000*N211,IF(O211="sqm",P211/1000*Q211,N211))</f>
        <v>0</v>
      </c>
      <c r="U211" s="61" t="str">
        <f aca="false">IF(F211="F","roul.","roll")</f>
        <v>roul.</v>
      </c>
      <c r="V211" s="61" t="str">
        <f aca="false">_xlfn.xlookup(E211,Clients!B:B,Clients!X:X,FALSE())</f>
        <v>CAD</v>
      </c>
      <c r="X211" s="89" t="n">
        <f aca="false">IF(V211=Z211,N211,N211*W211)</f>
        <v>0</v>
      </c>
      <c r="Y211" s="61" t="str">
        <f aca="false">O211</f>
        <v>msi</v>
      </c>
      <c r="Z211" s="61" t="str">
        <f aca="false">_xlfn.xlookup(E211,Clients!B:B,Clients!Y:Y,FALSE())</f>
        <v>CAD</v>
      </c>
      <c r="AA211" s="61" t="str">
        <f aca="false">_xlfn.xlookup(B211,Spec!A:A,Spec!K:K,FALSE())</f>
        <v>Canada</v>
      </c>
      <c r="AB211" s="61" t="n">
        <f aca="false">_xlfn.xlookup(B211,Spec!A:A,Spec!L:L,FALSE())</f>
        <v>4811.41</v>
      </c>
    </row>
    <row r="212" customFormat="false" ht="14.25" hidden="false" customHeight="false" outlineLevel="0" collapsed="false">
      <c r="A212" s="1" t="n">
        <v>40231</v>
      </c>
      <c r="B212" s="1" t="n">
        <v>20003</v>
      </c>
      <c r="C212" s="61" t="str">
        <f aca="false">_xlfn.xlookup(B212,Spec!A:A,Spec!C:C)</f>
        <v>AKO</v>
      </c>
      <c r="D212" s="69" t="str">
        <f aca="false">_xlfn.xlookup(B212,Spec!A:A,Spec!D:D)</f>
        <v>AT1003</v>
      </c>
      <c r="E212" s="15" t="s">
        <v>178</v>
      </c>
      <c r="F212" s="15" t="str">
        <f aca="false">_xlfn.xlookup(E212,Clients!B:B,Clients!D:D,FALSE())</f>
        <v>A</v>
      </c>
      <c r="G212" s="42"/>
      <c r="H212" s="15" t="s">
        <v>660</v>
      </c>
      <c r="I212" s="61" t="str">
        <f aca="false">_xlfn.xlookup(B212,Spec!A:A,Spec!B:B)</f>
        <v>T11-1</v>
      </c>
      <c r="J212" s="61" t="str">
        <f aca="false">_xlfn.xlookup(B212,Spec!A:A,Spec!J:J)</f>
        <v>TT - HM Adhesive</v>
      </c>
      <c r="K212" s="61" t="str">
        <f aca="false">_xlfn.xlookup(B212,Spec!A:A,Spec!E:E)</f>
        <v>Self Adhesive Paper</v>
      </c>
      <c r="L212" s="61" t="str">
        <f aca="false">IF(F212="F","Larg: "&amp;P212&amp;"po   Long: "&amp;Q212&amp;"pi","W:"&amp;P212&amp;"in   L: "&amp;Q212&amp;"ft")</f>
        <v>W:10in   L: 10000ft</v>
      </c>
      <c r="N212" s="90" t="n">
        <v>0.374</v>
      </c>
      <c r="O212" s="43" t="s">
        <v>554</v>
      </c>
      <c r="P212" s="72" t="n">
        <v>10</v>
      </c>
      <c r="Q212" s="73" t="n">
        <v>10000</v>
      </c>
      <c r="R212" s="83" t="n">
        <f aca="false">P212*12*Q212/1000</f>
        <v>1200</v>
      </c>
      <c r="S212" s="88" t="str">
        <f aca="false">_xlfn.xlookup(E212,Clients!B:B,Clients!D:D,FALSE())</f>
        <v>A</v>
      </c>
      <c r="T212" s="84" t="n">
        <f aca="false">IF(O212="msi",P212*12*Q212/1000*N212,IF(O212="sqm",P212/1000*Q212,N212))</f>
        <v>448.8</v>
      </c>
      <c r="U212" s="61" t="str">
        <f aca="false">IF(F212="F","roul.","roll")</f>
        <v>roll</v>
      </c>
      <c r="V212" s="61" t="str">
        <f aca="false">_xlfn.xlookup(E212,Clients!B:B,Clients!X:X,FALSE())</f>
        <v>CAD</v>
      </c>
      <c r="X212" s="89" t="n">
        <f aca="false">IF(V212=Z212,N212,N212*W212)</f>
        <v>0.374</v>
      </c>
      <c r="Y212" s="61" t="str">
        <f aca="false">O212</f>
        <v>msi</v>
      </c>
      <c r="Z212" s="61" t="str">
        <f aca="false">_xlfn.xlookup(E212,Clients!B:B,Clients!Y:Y,FALSE())</f>
        <v>CAD</v>
      </c>
      <c r="AA212" s="61" t="str">
        <f aca="false">_xlfn.xlookup(B212,Spec!A:A,Spec!K:K,FALSE())</f>
        <v>Canada</v>
      </c>
      <c r="AB212" s="61" t="n">
        <f aca="false">_xlfn.xlookup(B212,Spec!A:A,Spec!L:L,FALSE())</f>
        <v>4811.41</v>
      </c>
    </row>
    <row r="213" customFormat="false" ht="14.25" hidden="false" customHeight="false" outlineLevel="0" collapsed="false">
      <c r="A213" s="1" t="n">
        <v>40232</v>
      </c>
      <c r="B213" s="1" t="n">
        <v>20013</v>
      </c>
      <c r="C213" s="61" t="str">
        <f aca="false">_xlfn.xlookup(B213,Spec!A:A,Spec!C:C)</f>
        <v>AKO</v>
      </c>
      <c r="D213" s="69" t="str">
        <f aca="false">_xlfn.xlookup(B213,Spec!A:A,Spec!D:D)</f>
        <v>Hansol TC CL74</v>
      </c>
      <c r="E213" s="15" t="s">
        <v>241</v>
      </c>
      <c r="F213" s="15" t="str">
        <f aca="false">_xlfn.xlookup(E213,Clients!B:B,Clients!D:D,FALSE())</f>
        <v>F</v>
      </c>
      <c r="G213" s="42"/>
      <c r="H213" s="15" t="s">
        <v>669</v>
      </c>
      <c r="I213" s="61" t="str">
        <f aca="false">_xlfn.xlookup(B213,Spec!A:A,Spec!B:B)</f>
        <v>D11-1</v>
      </c>
      <c r="J213" s="61" t="str">
        <f aca="false">_xlfn.xlookup(B213,Spec!A:A,Spec!J:J)</f>
        <v>TC DT - Hotmelt Adhesive</v>
      </c>
      <c r="K213" s="61" t="str">
        <f aca="false">_xlfn.xlookup(B213,Spec!A:A,Spec!E:E)</f>
        <v>Self Adhesive Paper</v>
      </c>
      <c r="L213" s="61" t="str">
        <f aca="false">IF(F213="F","Larg: "&amp;P213&amp;"po   Long: "&amp;Q213&amp;"pi","W: "&amp;P213&amp;"in   L: "&amp;Q213&amp;"ft")</f>
        <v>Larg: 12po   Long: 5000pi</v>
      </c>
      <c r="N213" s="90" t="n">
        <v>0.431</v>
      </c>
      <c r="O213" s="43" t="s">
        <v>554</v>
      </c>
      <c r="P213" s="72" t="n">
        <v>12</v>
      </c>
      <c r="Q213" s="73" t="n">
        <v>5000</v>
      </c>
      <c r="R213" s="83" t="n">
        <f aca="false">P213*12*Q213/1000</f>
        <v>720</v>
      </c>
      <c r="S213" s="88" t="str">
        <f aca="false">_xlfn.xlookup(E213,Clients!B:B,Clients!D:D,FALSE())</f>
        <v>F</v>
      </c>
      <c r="T213" s="84" t="n">
        <f aca="false">IF(O213="msi",P213*12*Q213/1000*N213,IF(O213="sqm",P213/1000*Q213,N213))</f>
        <v>310.32</v>
      </c>
      <c r="U213" s="61" t="str">
        <f aca="false">IF(F213="F","roul.","roll")</f>
        <v>roul.</v>
      </c>
      <c r="V213" s="61" t="str">
        <f aca="false">_xlfn.xlookup(E213,Clients!B:B,Clients!X:X,FALSE())</f>
        <v>CAD</v>
      </c>
      <c r="X213" s="89" t="n">
        <f aca="false">IF(V213=Z213,N213,N213*W213)</f>
        <v>0.431</v>
      </c>
      <c r="Y213" s="61" t="str">
        <f aca="false">O213</f>
        <v>msi</v>
      </c>
      <c r="Z213" s="61" t="str">
        <f aca="false">_xlfn.xlookup(E213,Clients!B:B,Clients!Y:Y,FALSE())</f>
        <v>CAD</v>
      </c>
      <c r="AA213" s="61" t="str">
        <f aca="false">_xlfn.xlookup(B213,Spec!A:A,Spec!K:K,FALSE())</f>
        <v>Canada</v>
      </c>
      <c r="AB213" s="61" t="n">
        <f aca="false">_xlfn.xlookup(B213,Spec!A:A,Spec!L:L,FALSE())</f>
        <v>4811.41</v>
      </c>
    </row>
    <row r="214" customFormat="false" ht="14.25" hidden="false" customHeight="false" outlineLevel="0" collapsed="false">
      <c r="A214" s="1" t="n">
        <v>40233</v>
      </c>
      <c r="B214" s="1" t="n">
        <v>20013</v>
      </c>
      <c r="C214" s="61" t="str">
        <f aca="false">_xlfn.xlookup(B214,Spec!A:A,Spec!C:C)</f>
        <v>AKO</v>
      </c>
      <c r="D214" s="69" t="str">
        <f aca="false">_xlfn.xlookup(B214,Spec!A:A,Spec!D:D)</f>
        <v>Hansol TC CL74</v>
      </c>
      <c r="E214" s="15" t="s">
        <v>241</v>
      </c>
      <c r="F214" s="15" t="str">
        <f aca="false">_xlfn.xlookup(E214,Clients!B:B,Clients!D:D,FALSE())</f>
        <v>F</v>
      </c>
      <c r="G214" s="42"/>
      <c r="H214" s="15" t="s">
        <v>694</v>
      </c>
      <c r="I214" s="61" t="str">
        <f aca="false">_xlfn.xlookup(B214,Spec!A:A,Spec!B:B)</f>
        <v>D11-1</v>
      </c>
      <c r="J214" s="61" t="str">
        <f aca="false">_xlfn.xlookup(B214,Spec!A:A,Spec!J:J)</f>
        <v>TC DT - Hotmelt Adhesive</v>
      </c>
      <c r="K214" s="61" t="str">
        <f aca="false">_xlfn.xlookup(B214,Spec!A:A,Spec!E:E)</f>
        <v>Self Adhesive Paper</v>
      </c>
      <c r="L214" s="61" t="str">
        <f aca="false">IF(F214="F","Larg: "&amp;P214&amp;"po   Long: "&amp;Q214&amp;"pi","W: "&amp;P214&amp;"in   L: "&amp;Q214&amp;"ft")</f>
        <v>Larg: 0.5po   Long: 5000pi</v>
      </c>
      <c r="N214" s="90" t="n">
        <v>0.431</v>
      </c>
      <c r="O214" s="43" t="s">
        <v>554</v>
      </c>
      <c r="P214" s="72" t="n">
        <v>0.5</v>
      </c>
      <c r="Q214" s="73" t="n">
        <v>5000</v>
      </c>
      <c r="R214" s="83" t="n">
        <f aca="false">P214*12*Q214/1000</f>
        <v>30</v>
      </c>
      <c r="S214" s="88" t="str">
        <f aca="false">_xlfn.xlookup(E214,Clients!B:B,Clients!D:D,FALSE())</f>
        <v>F</v>
      </c>
      <c r="T214" s="84" t="n">
        <f aca="false">IF(O214="msi",P214*12*Q214/1000*N214,IF(O214="sqm",P214/1000*Q214,N214))</f>
        <v>12.93</v>
      </c>
      <c r="U214" s="61" t="str">
        <f aca="false">IF(F214="F","roul.","roll")</f>
        <v>roul.</v>
      </c>
      <c r="V214" s="61" t="str">
        <f aca="false">_xlfn.xlookup(E214,Clients!B:B,Clients!X:X,FALSE())</f>
        <v>CAD</v>
      </c>
      <c r="X214" s="89" t="n">
        <f aca="false">IF(V214=Z214,N214,N214*W214)</f>
        <v>0.431</v>
      </c>
      <c r="Y214" s="61" t="str">
        <f aca="false">O214</f>
        <v>msi</v>
      </c>
      <c r="Z214" s="61" t="str">
        <f aca="false">_xlfn.xlookup(E214,Clients!B:B,Clients!Y:Y,FALSE())</f>
        <v>CAD</v>
      </c>
      <c r="AA214" s="61" t="str">
        <f aca="false">_xlfn.xlookup(B214,Spec!A:A,Spec!K:K,FALSE())</f>
        <v>Canada</v>
      </c>
      <c r="AB214" s="61" t="n">
        <f aca="false">_xlfn.xlookup(B214,Spec!A:A,Spec!L:L,FALSE())</f>
        <v>4811.41</v>
      </c>
    </row>
    <row r="215" customFormat="false" ht="14.25" hidden="false" customHeight="false" outlineLevel="0" collapsed="false">
      <c r="A215" s="1" t="n">
        <v>40234</v>
      </c>
      <c r="B215" s="1" t="n">
        <v>20003</v>
      </c>
      <c r="C215" s="61" t="str">
        <f aca="false">_xlfn.xlookup(B215,Spec!A:A,Spec!C:C)</f>
        <v>AKO</v>
      </c>
      <c r="D215" s="69" t="str">
        <f aca="false">_xlfn.xlookup(B215,Spec!A:A,Spec!D:D)</f>
        <v>AT1003</v>
      </c>
      <c r="E215" s="15" t="s">
        <v>160</v>
      </c>
      <c r="F215" s="15" t="str">
        <f aca="false">_xlfn.xlookup(E215,Clients!B:B,Clients!D:D,FALSE())</f>
        <v>F</v>
      </c>
      <c r="G215" s="42" t="s">
        <v>693</v>
      </c>
      <c r="H215" s="15" t="s">
        <v>660</v>
      </c>
      <c r="I215" s="61" t="str">
        <f aca="false">_xlfn.xlookup(B215,Spec!A:A,Spec!B:B)</f>
        <v>T11-1</v>
      </c>
      <c r="J215" s="61" t="str">
        <f aca="false">_xlfn.xlookup(B215,Spec!A:A,Spec!J:J)</f>
        <v>TT - HM Adhesive</v>
      </c>
      <c r="K215" s="61" t="str">
        <f aca="false">_xlfn.xlookup(B215,Spec!A:A,Spec!E:E)</f>
        <v>Self Adhesive Paper</v>
      </c>
      <c r="L215" s="61" t="str">
        <f aca="false">IF(F215="F","Larg: "&amp;P215&amp;"po   Long: "&amp;Q215&amp;"pi","W: "&amp;P215&amp;"in   L: "&amp;Q215&amp;"ft")</f>
        <v>Larg: 8.875po   Long: 10000pi</v>
      </c>
      <c r="N215" s="90" t="n">
        <v>0.377</v>
      </c>
      <c r="O215" s="43" t="s">
        <v>554</v>
      </c>
      <c r="P215" s="72" t="n">
        <v>8.875</v>
      </c>
      <c r="Q215" s="73" t="n">
        <v>10000</v>
      </c>
      <c r="R215" s="83" t="n">
        <f aca="false">P215*12*Q215/1000</f>
        <v>1065</v>
      </c>
      <c r="S215" s="88" t="str">
        <f aca="false">_xlfn.xlookup(E215,Clients!B:B,Clients!D:D,FALSE())</f>
        <v>F</v>
      </c>
      <c r="T215" s="84" t="n">
        <f aca="false">IF(O215="msi",P215*12*Q215/1000*N215,IF(O215="sqm",P215/1000*Q215,N215))</f>
        <v>401.505</v>
      </c>
      <c r="U215" s="61" t="str">
        <f aca="false">IF(F215="F","roul.","roll")</f>
        <v>roul.</v>
      </c>
      <c r="V215" s="61" t="str">
        <f aca="false">_xlfn.xlookup(E215,Clients!B:B,Clients!X:X,FALSE())</f>
        <v>CAD</v>
      </c>
      <c r="X215" s="89" t="n">
        <f aca="false">IF(V215=Z215,N215,N215*W215)</f>
        <v>0.377</v>
      </c>
      <c r="Y215" s="61" t="str">
        <f aca="false">O215</f>
        <v>msi</v>
      </c>
      <c r="Z215" s="61" t="str">
        <f aca="false">_xlfn.xlookup(E215,Clients!B:B,Clients!Y:Y,FALSE())</f>
        <v>CAD</v>
      </c>
      <c r="AA215" s="61" t="str">
        <f aca="false">_xlfn.xlookup(B215,Spec!A:A,Spec!K:K,FALSE())</f>
        <v>Canada</v>
      </c>
      <c r="AB215" s="61" t="n">
        <f aca="false">_xlfn.xlookup(B215,Spec!A:A,Spec!L:L,FALSE())</f>
        <v>4811.41</v>
      </c>
    </row>
    <row r="216" customFormat="false" ht="14.25" hidden="false" customHeight="false" outlineLevel="0" collapsed="false">
      <c r="A216" s="1" t="n">
        <v>40235</v>
      </c>
      <c r="B216" s="1" t="n">
        <v>20003</v>
      </c>
      <c r="C216" s="61" t="str">
        <f aca="false">_xlfn.xlookup(B216,Spec!A:A,Spec!C:C)</f>
        <v>AKO</v>
      </c>
      <c r="D216" s="69" t="str">
        <f aca="false">_xlfn.xlookup(B216,Spec!A:A,Spec!D:D)</f>
        <v>AT1003</v>
      </c>
      <c r="E216" s="15" t="s">
        <v>160</v>
      </c>
      <c r="F216" s="15" t="str">
        <f aca="false">_xlfn.xlookup(E216,Clients!B:B,Clients!D:D,FALSE())</f>
        <v>F</v>
      </c>
      <c r="G216" s="42" t="s">
        <v>693</v>
      </c>
      <c r="H216" s="15" t="s">
        <v>660</v>
      </c>
      <c r="I216" s="61" t="str">
        <f aca="false">_xlfn.xlookup(B216,Spec!A:A,Spec!B:B)</f>
        <v>T11-1</v>
      </c>
      <c r="J216" s="61" t="str">
        <f aca="false">_xlfn.xlookup(B216,Spec!A:A,Spec!J:J)</f>
        <v>TT - HM Adhesive</v>
      </c>
      <c r="K216" s="61" t="str">
        <f aca="false">_xlfn.xlookup(B216,Spec!A:A,Spec!E:E)</f>
        <v>Self Adhesive Paper</v>
      </c>
      <c r="L216" s="61" t="str">
        <f aca="false">IF(F216="F","Larg: "&amp;P216&amp;"po   Long: "&amp;Q216&amp;"pi","W: "&amp;P216&amp;"in   L: "&amp;Q216&amp;"ft")</f>
        <v>Larg: 7.375po   Long: 10000pi</v>
      </c>
      <c r="N216" s="90" t="n">
        <v>0.377</v>
      </c>
      <c r="O216" s="43" t="s">
        <v>554</v>
      </c>
      <c r="P216" s="72" t="n">
        <v>7.375</v>
      </c>
      <c r="Q216" s="73" t="n">
        <v>10000</v>
      </c>
      <c r="R216" s="83" t="n">
        <f aca="false">P216*12*Q216/1000</f>
        <v>885</v>
      </c>
      <c r="S216" s="88" t="str">
        <f aca="false">_xlfn.xlookup(E216,Clients!B:B,Clients!D:D,FALSE())</f>
        <v>F</v>
      </c>
      <c r="T216" s="84" t="n">
        <f aca="false">IF(O216="msi",P216*12*Q216/1000*N216,IF(O216="sqm",P216/1000*Q216,N216))</f>
        <v>333.645</v>
      </c>
      <c r="U216" s="61" t="str">
        <f aca="false">IF(F216="F","roul.","roll")</f>
        <v>roul.</v>
      </c>
      <c r="V216" s="61" t="str">
        <f aca="false">_xlfn.xlookup(E216,Clients!B:B,Clients!X:X,FALSE())</f>
        <v>CAD</v>
      </c>
      <c r="X216" s="89" t="n">
        <f aca="false">IF(V216=Z216,N216,N216*W216)</f>
        <v>0.377</v>
      </c>
      <c r="Y216" s="61" t="str">
        <f aca="false">O216</f>
        <v>msi</v>
      </c>
      <c r="Z216" s="61" t="str">
        <f aca="false">_xlfn.xlookup(E216,Clients!B:B,Clients!Y:Y,FALSE())</f>
        <v>CAD</v>
      </c>
      <c r="AA216" s="61" t="str">
        <f aca="false">_xlfn.xlookup(B216,Spec!A:A,Spec!K:K,FALSE())</f>
        <v>Canada</v>
      </c>
      <c r="AB216" s="61" t="n">
        <f aca="false">_xlfn.xlookup(B216,Spec!A:A,Spec!L:L,FALSE())</f>
        <v>4811.41</v>
      </c>
    </row>
    <row r="217" customFormat="false" ht="14.25" hidden="false" customHeight="false" outlineLevel="0" collapsed="false">
      <c r="A217" s="1" t="n">
        <v>40236</v>
      </c>
      <c r="B217" s="1" t="n">
        <v>20003</v>
      </c>
      <c r="C217" s="61" t="str">
        <f aca="false">_xlfn.xlookup(B217,Spec!A:A,Spec!C:C)</f>
        <v>AKO</v>
      </c>
      <c r="D217" s="69" t="str">
        <f aca="false">_xlfn.xlookup(B217,Spec!A:A,Spec!D:D)</f>
        <v>AT1003</v>
      </c>
      <c r="E217" s="15" t="s">
        <v>160</v>
      </c>
      <c r="F217" s="15" t="str">
        <f aca="false">_xlfn.xlookup(E217,Clients!B:B,Clients!D:D,FALSE())</f>
        <v>F</v>
      </c>
      <c r="G217" s="42" t="s">
        <v>693</v>
      </c>
      <c r="H217" s="15" t="s">
        <v>660</v>
      </c>
      <c r="I217" s="61" t="str">
        <f aca="false">_xlfn.xlookup(B217,Spec!A:A,Spec!B:B)</f>
        <v>T11-1</v>
      </c>
      <c r="J217" s="61" t="str">
        <f aca="false">_xlfn.xlookup(B217,Spec!A:A,Spec!J:J)</f>
        <v>TT - HM Adhesive</v>
      </c>
      <c r="K217" s="61" t="str">
        <f aca="false">_xlfn.xlookup(B217,Spec!A:A,Spec!E:E)</f>
        <v>Self Adhesive Paper</v>
      </c>
      <c r="L217" s="61" t="str">
        <f aca="false">IF(F217="F","Larg: "&amp;P217&amp;"po   Long: "&amp;Q217&amp;"pi","W: "&amp;P217&amp;"in   L: "&amp;Q217&amp;"ft")</f>
        <v>Larg: 6.625po   Long: 10000pi</v>
      </c>
      <c r="N217" s="90" t="n">
        <v>0.377</v>
      </c>
      <c r="O217" s="43" t="s">
        <v>554</v>
      </c>
      <c r="P217" s="72" t="n">
        <v>6.625</v>
      </c>
      <c r="Q217" s="73" t="n">
        <v>10000</v>
      </c>
      <c r="R217" s="83" t="n">
        <f aca="false">P217*12*Q217/1000</f>
        <v>795</v>
      </c>
      <c r="S217" s="88" t="str">
        <f aca="false">_xlfn.xlookup(E217,Clients!B:B,Clients!D:D,FALSE())</f>
        <v>F</v>
      </c>
      <c r="T217" s="84" t="n">
        <f aca="false">IF(O217="msi",P217*12*Q217/1000*N217,IF(O217="sqm",P217/1000*Q217,N217))</f>
        <v>299.715</v>
      </c>
      <c r="U217" s="61" t="str">
        <f aca="false">IF(F217="F","roul.","roll")</f>
        <v>roul.</v>
      </c>
      <c r="V217" s="61" t="str">
        <f aca="false">_xlfn.xlookup(E217,Clients!B:B,Clients!X:X,FALSE())</f>
        <v>CAD</v>
      </c>
      <c r="X217" s="89" t="n">
        <f aca="false">IF(V217=Z217,N217,N217*W217)</f>
        <v>0.377</v>
      </c>
      <c r="Y217" s="61" t="str">
        <f aca="false">O217</f>
        <v>msi</v>
      </c>
      <c r="Z217" s="61" t="str">
        <f aca="false">_xlfn.xlookup(E217,Clients!B:B,Clients!Y:Y,FALSE())</f>
        <v>CAD</v>
      </c>
      <c r="AA217" s="61" t="str">
        <f aca="false">_xlfn.xlookup(B217,Spec!A:A,Spec!K:K,FALSE())</f>
        <v>Canada</v>
      </c>
      <c r="AB217" s="61" t="n">
        <f aca="false">_xlfn.xlookup(B217,Spec!A:A,Spec!L:L,FALSE())</f>
        <v>4811.41</v>
      </c>
    </row>
    <row r="218" customFormat="false" ht="14.25" hidden="false" customHeight="false" outlineLevel="0" collapsed="false">
      <c r="A218" s="1" t="n">
        <v>40237</v>
      </c>
      <c r="B218" s="1" t="n">
        <v>20003</v>
      </c>
      <c r="C218" s="61" t="str">
        <f aca="false">_xlfn.xlookup(B218,Spec!A:A,Spec!C:C)</f>
        <v>AKO</v>
      </c>
      <c r="D218" s="69" t="str">
        <f aca="false">_xlfn.xlookup(B218,Spec!A:A,Spec!D:D)</f>
        <v>AT1003</v>
      </c>
      <c r="E218" s="15" t="s">
        <v>160</v>
      </c>
      <c r="F218" s="15" t="str">
        <f aca="false">_xlfn.xlookup(E218,Clients!B:B,Clients!D:D,FALSE())</f>
        <v>F</v>
      </c>
      <c r="G218" s="42" t="s">
        <v>693</v>
      </c>
      <c r="H218" s="15" t="s">
        <v>660</v>
      </c>
      <c r="I218" s="61" t="str">
        <f aca="false">_xlfn.xlookup(B218,Spec!A:A,Spec!B:B)</f>
        <v>T11-1</v>
      </c>
      <c r="J218" s="61" t="str">
        <f aca="false">_xlfn.xlookup(B218,Spec!A:A,Spec!J:J)</f>
        <v>TT - HM Adhesive</v>
      </c>
      <c r="K218" s="61" t="str">
        <f aca="false">_xlfn.xlookup(B218,Spec!A:A,Spec!E:E)</f>
        <v>Self Adhesive Paper</v>
      </c>
      <c r="L218" s="61" t="str">
        <f aca="false">IF(F218="F","Larg: "&amp;P218&amp;"po   Long: "&amp;Q218&amp;"pi","W: "&amp;P218&amp;"in   L: "&amp;Q218&amp;"ft")</f>
        <v>Larg: 4.875po   Long: 10000pi</v>
      </c>
      <c r="N218" s="90" t="n">
        <v>0.377</v>
      </c>
      <c r="O218" s="43" t="s">
        <v>554</v>
      </c>
      <c r="P218" s="72" t="n">
        <v>4.875</v>
      </c>
      <c r="Q218" s="73" t="n">
        <v>10000</v>
      </c>
      <c r="R218" s="83" t="n">
        <f aca="false">P218*12*Q218/1000</f>
        <v>585</v>
      </c>
      <c r="S218" s="88" t="str">
        <f aca="false">_xlfn.xlookup(E218,Clients!B:B,Clients!D:D,FALSE())</f>
        <v>F</v>
      </c>
      <c r="T218" s="84" t="n">
        <f aca="false">IF(O218="msi",P218*12*Q218/1000*N218,IF(O218="sqm",P218/1000*Q218,N218))</f>
        <v>220.545</v>
      </c>
      <c r="U218" s="61" t="str">
        <f aca="false">IF(F218="F","roul.","roll")</f>
        <v>roul.</v>
      </c>
      <c r="V218" s="61" t="str">
        <f aca="false">_xlfn.xlookup(E218,Clients!B:B,Clients!X:X,FALSE())</f>
        <v>CAD</v>
      </c>
      <c r="X218" s="89" t="n">
        <f aca="false">IF(V218=Z218,N218,N218*W218)</f>
        <v>0.377</v>
      </c>
      <c r="Y218" s="61" t="str">
        <f aca="false">O218</f>
        <v>msi</v>
      </c>
      <c r="Z218" s="61" t="str">
        <f aca="false">_xlfn.xlookup(E218,Clients!B:B,Clients!Y:Y,FALSE())</f>
        <v>CAD</v>
      </c>
      <c r="AA218" s="61" t="str">
        <f aca="false">_xlfn.xlookup(B218,Spec!A:A,Spec!K:K,FALSE())</f>
        <v>Canada</v>
      </c>
      <c r="AB218" s="61" t="n">
        <f aca="false">_xlfn.xlookup(B218,Spec!A:A,Spec!L:L,FALSE())</f>
        <v>4811.41</v>
      </c>
    </row>
    <row r="219" customFormat="false" ht="14.25" hidden="false" customHeight="false" outlineLevel="0" collapsed="false">
      <c r="A219" s="1" t="n">
        <v>40238</v>
      </c>
      <c r="B219" s="1" t="n">
        <v>20003</v>
      </c>
      <c r="C219" s="61" t="str">
        <f aca="false">_xlfn.xlookup(B219,Spec!A:A,Spec!C:C)</f>
        <v>AKO</v>
      </c>
      <c r="D219" s="69" t="str">
        <f aca="false">_xlfn.xlookup(B219,Spec!A:A,Spec!D:D)</f>
        <v>AT1003</v>
      </c>
      <c r="E219" s="15" t="s">
        <v>160</v>
      </c>
      <c r="F219" s="15" t="str">
        <f aca="false">_xlfn.xlookup(E219,Clients!B:B,Clients!D:D,FALSE())</f>
        <v>F</v>
      </c>
      <c r="G219" s="42" t="s">
        <v>693</v>
      </c>
      <c r="H219" s="15" t="s">
        <v>660</v>
      </c>
      <c r="I219" s="61" t="str">
        <f aca="false">_xlfn.xlookup(B219,Spec!A:A,Spec!B:B)</f>
        <v>T11-1</v>
      </c>
      <c r="J219" s="61" t="str">
        <f aca="false">_xlfn.xlookup(B219,Spec!A:A,Spec!J:J)</f>
        <v>TT - HM Adhesive</v>
      </c>
      <c r="K219" s="61" t="str">
        <f aca="false">_xlfn.xlookup(B219,Spec!A:A,Spec!E:E)</f>
        <v>Self Adhesive Paper</v>
      </c>
      <c r="L219" s="61" t="str">
        <f aca="false">IF(F219="F","Larg: "&amp;P219&amp;"po   Long: "&amp;Q219&amp;"pi","W: "&amp;P219&amp;"in   L: "&amp;Q219&amp;"ft")</f>
        <v>Larg: 4.75po   Long: 10000pi</v>
      </c>
      <c r="N219" s="90" t="n">
        <v>0.377</v>
      </c>
      <c r="O219" s="43" t="s">
        <v>554</v>
      </c>
      <c r="P219" s="72" t="n">
        <v>4.75</v>
      </c>
      <c r="Q219" s="73" t="n">
        <v>10000</v>
      </c>
      <c r="R219" s="83" t="n">
        <f aca="false">P219*12*Q219/1000</f>
        <v>570</v>
      </c>
      <c r="S219" s="88" t="str">
        <f aca="false">_xlfn.xlookup(E219,Clients!B:B,Clients!D:D,FALSE())</f>
        <v>F</v>
      </c>
      <c r="T219" s="84" t="n">
        <f aca="false">IF(O219="msi",P219*12*Q219/1000*N219,IF(O219="sqm",P219/1000*Q219,N219))</f>
        <v>214.89</v>
      </c>
      <c r="U219" s="61" t="str">
        <f aca="false">IF(F219="F","roul.","roll")</f>
        <v>roul.</v>
      </c>
      <c r="V219" s="61" t="str">
        <f aca="false">_xlfn.xlookup(E219,Clients!B:B,Clients!X:X,FALSE())</f>
        <v>CAD</v>
      </c>
      <c r="X219" s="89" t="n">
        <f aca="false">IF(V219=Z219,N219,N219*W219)</f>
        <v>0.377</v>
      </c>
      <c r="Y219" s="61" t="str">
        <f aca="false">O219</f>
        <v>msi</v>
      </c>
      <c r="Z219" s="61" t="str">
        <f aca="false">_xlfn.xlookup(E219,Clients!B:B,Clients!Y:Y,FALSE())</f>
        <v>CAD</v>
      </c>
      <c r="AA219" s="61" t="str">
        <f aca="false">_xlfn.xlookup(B219,Spec!A:A,Spec!K:K,FALSE())</f>
        <v>Canada</v>
      </c>
      <c r="AB219" s="61" t="n">
        <f aca="false">_xlfn.xlookup(B219,Spec!A:A,Spec!L:L,FALSE())</f>
        <v>4811.41</v>
      </c>
    </row>
    <row r="220" customFormat="false" ht="14.25" hidden="false" customHeight="false" outlineLevel="0" collapsed="false">
      <c r="A220" s="1" t="n">
        <v>40239</v>
      </c>
      <c r="C220" s="61" t="n">
        <f aca="false">_xlfn.xlookup(B220,Spec!A:A,Spec!C:C)</f>
        <v>0</v>
      </c>
      <c r="D220" s="69" t="n">
        <f aca="false">_xlfn.xlookup(B220,Spec!A:A,Spec!D:D)</f>
        <v>0</v>
      </c>
      <c r="E220" s="15" t="s">
        <v>124</v>
      </c>
      <c r="F220" s="15" t="str">
        <f aca="false">_xlfn.xlookup(E220,Clients!B:B,Clients!D:D,FALSE())</f>
        <v>F</v>
      </c>
      <c r="G220" s="42"/>
      <c r="H220" s="15" t="s">
        <v>695</v>
      </c>
      <c r="I220" s="61" t="n">
        <f aca="false">_xlfn.xlookup(B220,Spec!A:A,Spec!B:B)</f>
        <v>0</v>
      </c>
      <c r="J220" s="61"/>
      <c r="K220" s="61" t="s">
        <v>696</v>
      </c>
      <c r="L220" s="61" t="s">
        <v>697</v>
      </c>
      <c r="N220" s="90" t="n">
        <v>10</v>
      </c>
      <c r="O220" s="43" t="s">
        <v>698</v>
      </c>
      <c r="P220" s="72"/>
      <c r="Q220" s="73"/>
      <c r="R220" s="83" t="n">
        <f aca="false">P220*12*Q220/1000</f>
        <v>0</v>
      </c>
      <c r="S220" s="88" t="str">
        <f aca="false">_xlfn.xlookup(E220,Clients!B:B,Clients!D:D,FALSE())</f>
        <v>F</v>
      </c>
      <c r="T220" s="84" t="n">
        <f aca="false">IF(O220="msi",P220*12*Q220/1000*N220,IF(O220="sqm",P220/1000*Q220,N220))</f>
        <v>10</v>
      </c>
      <c r="U220" s="61" t="str">
        <f aca="false">IF(F220="F","roul.","roll")</f>
        <v>roul.</v>
      </c>
      <c r="V220" s="61" t="str">
        <f aca="false">_xlfn.xlookup(E220,Clients!B:B,Clients!X:X,FALSE())</f>
        <v>USD</v>
      </c>
      <c r="X220" s="89" t="n">
        <f aca="false">IF(V220=Z220,N220,N220*W220)</f>
        <v>10</v>
      </c>
      <c r="Y220" s="61" t="str">
        <f aca="false">O220</f>
        <v>palette</v>
      </c>
      <c r="Z220" s="61" t="str">
        <f aca="false">_xlfn.xlookup(E220,Clients!B:B,Clients!Y:Y,FALSE())</f>
        <v>USD</v>
      </c>
      <c r="AA220" s="61" t="n">
        <f aca="false">_xlfn.xlookup(B220,Spec!A:A,Spec!K:K,FALSE())</f>
        <v>0</v>
      </c>
      <c r="AB220" s="61" t="n">
        <f aca="false">_xlfn.xlookup(B220,Spec!A:A,Spec!L:L,FALSE())</f>
        <v>0</v>
      </c>
    </row>
    <row r="221" customFormat="false" ht="14.25" hidden="false" customHeight="false" outlineLevel="0" collapsed="false">
      <c r="A221" s="1" t="n">
        <v>40240</v>
      </c>
      <c r="B221" s="1" t="n">
        <v>20011</v>
      </c>
      <c r="C221" s="61" t="str">
        <f aca="false">_xlfn.xlookup(B221,Spec!A:A,Spec!C:C)</f>
        <v>AKO</v>
      </c>
      <c r="D221" s="69" t="str">
        <f aca="false">_xlfn.xlookup(B221,Spec!A:A,Spec!D:D)</f>
        <v>AP1019</v>
      </c>
      <c r="E221" s="15" t="s">
        <v>178</v>
      </c>
      <c r="F221" s="15" t="str">
        <f aca="false">_xlfn.xlookup(E221,Clients!B:B,Clients!D:D,FALSE())</f>
        <v>A</v>
      </c>
      <c r="G221" s="42" t="s">
        <v>602</v>
      </c>
      <c r="H221" s="15" t="s">
        <v>602</v>
      </c>
      <c r="I221" s="61" t="str">
        <f aca="false">_xlfn.xlookup(B221,Spec!A:A,Spec!B:B)</f>
        <v>S21-1</v>
      </c>
      <c r="J221" s="61" t="str">
        <f aca="false">_xlfn.xlookup(B221,Spec!A:A,Spec!J:J)</f>
        <v>SG - Hotmelt Adhesive</v>
      </c>
      <c r="K221" s="61" t="str">
        <f aca="false">_xlfn.xlookup(B221,Spec!A:A,Spec!E:E)</f>
        <v>Self Adhesive Paper</v>
      </c>
      <c r="L221" s="61" t="str">
        <f aca="false">IF(F221="F","Larg: "&amp;P221&amp;"po   Long: "&amp;Q221&amp;"pi","W: "&amp;P221&amp;"in   L: "&amp;Q221&amp;"ft")</f>
        <v>W: 8in   L: 10000ft</v>
      </c>
      <c r="N221" s="90" t="n">
        <v>0.333</v>
      </c>
      <c r="O221" s="43" t="s">
        <v>554</v>
      </c>
      <c r="P221" s="72" t="n">
        <v>8</v>
      </c>
      <c r="Q221" s="73" t="n">
        <v>10000</v>
      </c>
      <c r="R221" s="83" t="n">
        <f aca="false">P221*12*Q221/1000</f>
        <v>960</v>
      </c>
      <c r="S221" s="88" t="str">
        <f aca="false">_xlfn.xlookup(E221,Clients!B:B,Clients!D:D,FALSE())</f>
        <v>A</v>
      </c>
      <c r="T221" s="84" t="n">
        <f aca="false">IF(O221="msi",P221*12*Q221/1000*N221,IF(O221="sqm",P221/1000*Q221,N221))</f>
        <v>319.68</v>
      </c>
      <c r="U221" s="61" t="str">
        <f aca="false">IF(F221="F","roul.","roll")</f>
        <v>roll</v>
      </c>
      <c r="V221" s="61" t="str">
        <f aca="false">_xlfn.xlookup(E221,Clients!B:B,Clients!X:X,FALSE())</f>
        <v>CAD</v>
      </c>
      <c r="X221" s="89" t="n">
        <f aca="false">IF(V221=Z221,N221,N221*W221)</f>
        <v>0.333</v>
      </c>
      <c r="Y221" s="61" t="str">
        <f aca="false">O221</f>
        <v>msi</v>
      </c>
      <c r="Z221" s="61" t="str">
        <f aca="false">_xlfn.xlookup(E221,Clients!B:B,Clients!Y:Y,FALSE())</f>
        <v>CAD</v>
      </c>
      <c r="AA221" s="61" t="str">
        <f aca="false">_xlfn.xlookup(B221,Spec!A:A,Spec!K:K,FALSE())</f>
        <v>Canada</v>
      </c>
      <c r="AB221" s="61" t="n">
        <f aca="false">_xlfn.xlookup(B221,Spec!A:A,Spec!L:L,FALSE())</f>
        <v>4811.41</v>
      </c>
    </row>
    <row r="222" customFormat="false" ht="14.25" hidden="false" customHeight="false" outlineLevel="0" collapsed="false">
      <c r="A222" s="1" t="n">
        <v>40241</v>
      </c>
      <c r="B222" s="1" t="n">
        <v>20011</v>
      </c>
      <c r="C222" s="61" t="str">
        <f aca="false">_xlfn.xlookup(B222,Spec!A:A,Spec!C:C)</f>
        <v>AKO</v>
      </c>
      <c r="D222" s="69" t="str">
        <f aca="false">_xlfn.xlookup(B222,Spec!A:A,Spec!D:D)</f>
        <v>AP1019</v>
      </c>
      <c r="E222" s="15" t="s">
        <v>178</v>
      </c>
      <c r="F222" s="15" t="str">
        <f aca="false">_xlfn.xlookup(E222,Clients!B:B,Clients!D:D,FALSE())</f>
        <v>A</v>
      </c>
      <c r="G222" s="42" t="s">
        <v>602</v>
      </c>
      <c r="H222" s="15" t="s">
        <v>602</v>
      </c>
      <c r="I222" s="61" t="str">
        <f aca="false">_xlfn.xlookup(B222,Spec!A:A,Spec!B:B)</f>
        <v>S21-1</v>
      </c>
      <c r="J222" s="61" t="str">
        <f aca="false">_xlfn.xlookup(B222,Spec!A:A,Spec!J:J)</f>
        <v>SG - Hotmelt Adhesive</v>
      </c>
      <c r="K222" s="61" t="str">
        <f aca="false">_xlfn.xlookup(B222,Spec!A:A,Spec!E:E)</f>
        <v>Self Adhesive Paper</v>
      </c>
      <c r="L222" s="61" t="str">
        <f aca="false">IF(F222="F","Larg: "&amp;P222&amp;"po   Long: "&amp;Q222&amp;"pi","W: "&amp;P222&amp;"in   L: "&amp;Q222&amp;"ft")</f>
        <v>W: 11in   L: 10000ft</v>
      </c>
      <c r="N222" s="90" t="n">
        <v>0.333</v>
      </c>
      <c r="O222" s="43" t="s">
        <v>554</v>
      </c>
      <c r="P222" s="72" t="n">
        <v>11</v>
      </c>
      <c r="Q222" s="73" t="n">
        <v>10000</v>
      </c>
      <c r="R222" s="83" t="n">
        <f aca="false">P222*12*Q222/1000</f>
        <v>1320</v>
      </c>
      <c r="S222" s="88" t="str">
        <f aca="false">_xlfn.xlookup(E222,Clients!B:B,Clients!D:D,FALSE())</f>
        <v>A</v>
      </c>
      <c r="T222" s="84" t="n">
        <f aca="false">IF(O222="msi",P222*12*Q222/1000*N222,IF(O222="sqm",P222/1000*Q222,N222))</f>
        <v>439.56</v>
      </c>
      <c r="U222" s="61" t="str">
        <f aca="false">IF(F222="F","roul.","roll")</f>
        <v>roll</v>
      </c>
      <c r="V222" s="61" t="str">
        <f aca="false">_xlfn.xlookup(E222,Clients!B:B,Clients!X:X,FALSE())</f>
        <v>CAD</v>
      </c>
      <c r="X222" s="89" t="n">
        <f aca="false">IF(V222=Z222,N222,N222*W222)</f>
        <v>0.333</v>
      </c>
      <c r="Y222" s="61" t="str">
        <f aca="false">O222</f>
        <v>msi</v>
      </c>
      <c r="Z222" s="61" t="str">
        <f aca="false">_xlfn.xlookup(E222,Clients!B:B,Clients!Y:Y,FALSE())</f>
        <v>CAD</v>
      </c>
      <c r="AA222" s="61" t="str">
        <f aca="false">_xlfn.xlookup(B222,Spec!A:A,Spec!K:K,FALSE())</f>
        <v>Canada</v>
      </c>
      <c r="AB222" s="61" t="n">
        <f aca="false">_xlfn.xlookup(B222,Spec!A:A,Spec!L:L,FALSE())</f>
        <v>4811.41</v>
      </c>
    </row>
    <row r="223" customFormat="false" ht="14.25" hidden="false" customHeight="false" outlineLevel="0" collapsed="false">
      <c r="A223" s="1" t="n">
        <v>40242</v>
      </c>
      <c r="B223" s="1" t="n">
        <v>20011</v>
      </c>
      <c r="C223" s="61" t="str">
        <f aca="false">_xlfn.xlookup(B223,Spec!A:A,Spec!C:C)</f>
        <v>AKO</v>
      </c>
      <c r="D223" s="69" t="str">
        <f aca="false">_xlfn.xlookup(B223,Spec!A:A,Spec!D:D)</f>
        <v>AP1019</v>
      </c>
      <c r="E223" s="15" t="s">
        <v>124</v>
      </c>
      <c r="F223" s="15" t="str">
        <f aca="false">_xlfn.xlookup(E223,Clients!B:B,Clients!D:D,FALSE())</f>
        <v>F</v>
      </c>
      <c r="G223" s="42" t="n">
        <v>2212</v>
      </c>
      <c r="H223" s="15" t="s">
        <v>602</v>
      </c>
      <c r="I223" s="61" t="str">
        <f aca="false">_xlfn.xlookup(B223,Spec!A:A,Spec!B:B)</f>
        <v>S21-1</v>
      </c>
      <c r="J223" s="61" t="str">
        <f aca="false">_xlfn.xlookup(B223,Spec!A:A,Spec!J:J)</f>
        <v>SG - Hotmelt Adhesive</v>
      </c>
      <c r="K223" s="61" t="str">
        <f aca="false">_xlfn.xlookup(B223,Spec!A:A,Spec!E:E)</f>
        <v>Self Adhesive Paper</v>
      </c>
      <c r="L223" s="61" t="str">
        <f aca="false">IF(F223="F","Larg: "&amp;P223&amp;"po   Long: "&amp;Q223&amp;"pi","W: "&amp;P223&amp;"in   L: "&amp;Q223&amp;"ft")</f>
        <v>Larg: 13po   Long: 10000pi</v>
      </c>
      <c r="N223" s="90" t="n">
        <v>0.27</v>
      </c>
      <c r="O223" s="43" t="s">
        <v>554</v>
      </c>
      <c r="P223" s="72" t="n">
        <v>13</v>
      </c>
      <c r="Q223" s="73" t="n">
        <v>10000</v>
      </c>
      <c r="R223" s="83" t="n">
        <f aca="false">P223*12*Q223/1000</f>
        <v>1560</v>
      </c>
      <c r="S223" s="88" t="str">
        <f aca="false">_xlfn.xlookup(E223,Clients!B:B,Clients!D:D,FALSE())</f>
        <v>F</v>
      </c>
      <c r="T223" s="84" t="n">
        <f aca="false">IF(O223="msi",P223*12*Q223/1000*N223,IF(O223="sqm",P223/1000*Q223,N223))</f>
        <v>421.2</v>
      </c>
      <c r="U223" s="61" t="str">
        <f aca="false">IF(F223="F","roul.","roll")</f>
        <v>roul.</v>
      </c>
      <c r="V223" s="61" t="str">
        <f aca="false">_xlfn.xlookup(E223,Clients!B:B,Clients!X:X,FALSE())</f>
        <v>USD</v>
      </c>
      <c r="X223" s="89" t="n">
        <f aca="false">IF(V223=Z223,N223,N223*W223)</f>
        <v>0.27</v>
      </c>
      <c r="Y223" s="61" t="str">
        <f aca="false">O223</f>
        <v>msi</v>
      </c>
      <c r="Z223" s="61" t="str">
        <f aca="false">_xlfn.xlookup(E223,Clients!B:B,Clients!Y:Y,FALSE())</f>
        <v>USD</v>
      </c>
      <c r="AA223" s="61" t="str">
        <f aca="false">_xlfn.xlookup(B223,Spec!A:A,Spec!K:K,FALSE())</f>
        <v>Canada</v>
      </c>
      <c r="AB223" s="61" t="n">
        <f aca="false">_xlfn.xlookup(B223,Spec!A:A,Spec!L:L,FALSE())</f>
        <v>4811.41</v>
      </c>
    </row>
    <row r="224" customFormat="false" ht="14.25" hidden="false" customHeight="false" outlineLevel="0" collapsed="false">
      <c r="A224" s="1" t="n">
        <v>40243</v>
      </c>
      <c r="B224" s="1" t="n">
        <v>20011</v>
      </c>
      <c r="C224" s="61" t="str">
        <f aca="false">_xlfn.xlookup(B224,Spec!A:A,Spec!C:C)</f>
        <v>AKO</v>
      </c>
      <c r="D224" s="69" t="str">
        <f aca="false">_xlfn.xlookup(B224,Spec!A:A,Spec!D:D)</f>
        <v>AP1019</v>
      </c>
      <c r="E224" s="15" t="s">
        <v>124</v>
      </c>
      <c r="F224" s="15" t="str">
        <f aca="false">_xlfn.xlookup(E224,Clients!B:B,Clients!D:D,FALSE())</f>
        <v>F</v>
      </c>
      <c r="G224" s="42" t="n">
        <v>2212</v>
      </c>
      <c r="H224" s="15" t="s">
        <v>602</v>
      </c>
      <c r="I224" s="61" t="str">
        <f aca="false">_xlfn.xlookup(B224,Spec!A:A,Spec!B:B)</f>
        <v>S21-1</v>
      </c>
      <c r="J224" s="61" t="str">
        <f aca="false">_xlfn.xlookup(B224,Spec!A:A,Spec!J:J)</f>
        <v>SG - Hotmelt Adhesive</v>
      </c>
      <c r="K224" s="61" t="str">
        <f aca="false">_xlfn.xlookup(B224,Spec!A:A,Spec!E:E)</f>
        <v>Self Adhesive Paper</v>
      </c>
      <c r="L224" s="61" t="str">
        <f aca="false">IF(F224="F","Larg: "&amp;P224&amp;"po   Long: "&amp;Q224&amp;"pi","W: "&amp;P224&amp;"in   L: "&amp;Q224&amp;"ft")</f>
        <v>Larg: 8po   Long: 10000pi</v>
      </c>
      <c r="N224" s="90" t="n">
        <v>0.27</v>
      </c>
      <c r="O224" s="43" t="s">
        <v>554</v>
      </c>
      <c r="P224" s="72" t="n">
        <v>8</v>
      </c>
      <c r="Q224" s="73" t="n">
        <v>10000</v>
      </c>
      <c r="R224" s="83" t="n">
        <f aca="false">P224*12*Q224/1000</f>
        <v>960</v>
      </c>
      <c r="S224" s="88" t="str">
        <f aca="false">_xlfn.xlookup(E224,Clients!B:B,Clients!D:D,FALSE())</f>
        <v>F</v>
      </c>
      <c r="T224" s="84" t="n">
        <f aca="false">IF(O224="msi",P224*12*Q224/1000*N224,IF(O224="sqm",P224/1000*Q224,N224))</f>
        <v>259.2</v>
      </c>
      <c r="U224" s="61" t="str">
        <f aca="false">IF(F224="F","roul.","roll")</f>
        <v>roul.</v>
      </c>
      <c r="V224" s="61" t="str">
        <f aca="false">_xlfn.xlookup(E224,Clients!B:B,Clients!X:X,FALSE())</f>
        <v>USD</v>
      </c>
      <c r="X224" s="89" t="n">
        <f aca="false">IF(V224=Z224,N224,N224*W224)</f>
        <v>0.27</v>
      </c>
      <c r="Y224" s="61" t="str">
        <f aca="false">O224</f>
        <v>msi</v>
      </c>
      <c r="Z224" s="61" t="str">
        <f aca="false">_xlfn.xlookup(E224,Clients!B:B,Clients!Y:Y,FALSE())</f>
        <v>USD</v>
      </c>
      <c r="AA224" s="61" t="str">
        <f aca="false">_xlfn.xlookup(B224,Spec!A:A,Spec!K:K,FALSE())</f>
        <v>Canada</v>
      </c>
      <c r="AB224" s="61" t="n">
        <f aca="false">_xlfn.xlookup(B224,Spec!A:A,Spec!L:L,FALSE())</f>
        <v>4811.41</v>
      </c>
    </row>
    <row r="225" customFormat="false" ht="14.25" hidden="false" customHeight="false" outlineLevel="0" collapsed="false">
      <c r="A225" s="1" t="n">
        <v>40244</v>
      </c>
      <c r="B225" s="1" t="n">
        <v>20015</v>
      </c>
      <c r="C225" s="61" t="str">
        <f aca="false">_xlfn.xlookup(B225,Spec!A:A,Spec!C:C)</f>
        <v>Jinda</v>
      </c>
      <c r="D225" s="69" t="str">
        <f aca="false">_xlfn.xlookup(B225,Spec!A:A,Spec!D:D)</f>
        <v>0402105</v>
      </c>
      <c r="E225" s="15" t="s">
        <v>296</v>
      </c>
      <c r="F225" s="15" t="str">
        <f aca="false">_xlfn.xlookup(E225,Clients!B:B,Clients!D:D,FALSE())</f>
        <v>F</v>
      </c>
      <c r="G225" s="42"/>
      <c r="H225" s="15" t="s">
        <v>586</v>
      </c>
      <c r="I225" s="61" t="str">
        <f aca="false">_xlfn.xlookup(B225,Spec!A:A,Spec!B:B)</f>
        <v>S15-3</v>
      </c>
      <c r="J225" s="61" t="str">
        <f aca="false">_xlfn.xlookup(B225,Spec!A:A,Spec!J:J)</f>
        <v>SG - Acrylic Adhesive</v>
      </c>
      <c r="K225" s="61" t="str">
        <f aca="false">_xlfn.xlookup(B225,Spec!A:A,Spec!E:E)</f>
        <v>Self Adhesive Paper</v>
      </c>
      <c r="L225" s="61" t="str">
        <f aca="false">IF(F225="F","Larg: "&amp;P225&amp;"po   Long: "&amp;Q225&amp;"pi","W: "&amp;P225&amp;"in   L: "&amp;Q225&amp;"ft")</f>
        <v>Larg: 6po   Long: 5000pi</v>
      </c>
      <c r="N225" s="90" t="n">
        <v>0.363</v>
      </c>
      <c r="O225" s="43" t="s">
        <v>554</v>
      </c>
      <c r="P225" s="72" t="n">
        <v>6</v>
      </c>
      <c r="Q225" s="73" t="n">
        <v>5000</v>
      </c>
      <c r="R225" s="83" t="n">
        <f aca="false">P225*12*Q225/1000</f>
        <v>360</v>
      </c>
      <c r="S225" s="88" t="str">
        <f aca="false">_xlfn.xlookup(E225,Clients!B:B,Clients!D:D,FALSE())</f>
        <v>F</v>
      </c>
      <c r="T225" s="84" t="n">
        <f aca="false">IF(O225="msi",P225*12*Q225/1000*N225,IF(O225="sqm",P225/1000*Q225,N225))</f>
        <v>130.68</v>
      </c>
      <c r="U225" s="61" t="str">
        <f aca="false">IF(F225="F","roul.","roll")</f>
        <v>roul.</v>
      </c>
      <c r="V225" s="61" t="str">
        <f aca="false">_xlfn.xlookup(E225,Clients!B:B,Clients!X:X,FALSE())</f>
        <v>CAD</v>
      </c>
      <c r="X225" s="89" t="n">
        <f aca="false">IF(V225=Z225,N225,N225*W225)</f>
        <v>0.363</v>
      </c>
      <c r="Y225" s="61" t="str">
        <f aca="false">O225</f>
        <v>msi</v>
      </c>
      <c r="Z225" s="61" t="str">
        <f aca="false">_xlfn.xlookup(E225,Clients!B:B,Clients!Y:Y,FALSE())</f>
        <v>CAD</v>
      </c>
      <c r="AA225" s="61" t="str">
        <f aca="false">_xlfn.xlookup(B225,Spec!A:A,Spec!K:K,FALSE())</f>
        <v>Canada</v>
      </c>
      <c r="AB225" s="61" t="n">
        <f aca="false">_xlfn.xlookup(B225,Spec!A:A,Spec!L:L,FALSE())</f>
        <v>4811.41</v>
      </c>
    </row>
    <row r="226" customFormat="false" ht="14.25" hidden="false" customHeight="false" outlineLevel="0" collapsed="false">
      <c r="A226" s="1" t="n">
        <v>40245</v>
      </c>
      <c r="B226" s="1" t="n">
        <v>20017</v>
      </c>
      <c r="C226" s="61" t="str">
        <f aca="false">_xlfn.xlookup(B226,Spec!A:A,Spec!C:C)</f>
        <v>Jinda</v>
      </c>
      <c r="D226" s="69" t="str">
        <f aca="false">_xlfn.xlookup(B226,Spec!A:A,Spec!D:D)</f>
        <v>0488056</v>
      </c>
      <c r="E226" s="15" t="s">
        <v>296</v>
      </c>
      <c r="F226" s="15" t="str">
        <f aca="false">_xlfn.xlookup(E226,Clients!B:B,Clients!D:D,FALSE())</f>
        <v>F</v>
      </c>
      <c r="G226" s="42"/>
      <c r="H226" s="15" t="s">
        <v>593</v>
      </c>
      <c r="I226" s="61" t="str">
        <f aca="false">_xlfn.xlookup(B226,Spec!A:A,Spec!B:B)</f>
        <v>B25-3</v>
      </c>
      <c r="J226" s="61" t="str">
        <f aca="false">_xlfn.xlookup(B226,Spec!A:A,Spec!J:J)</f>
        <v>White BOPP - Acrylic Adhesive</v>
      </c>
      <c r="K226" s="61" t="str">
        <f aca="false">_xlfn.xlookup(B226,Spec!A:A,Spec!E:E)</f>
        <v>Self Adhesive Film</v>
      </c>
      <c r="L226" s="61" t="str">
        <f aca="false">IF(F226="F","Larg: "&amp;P226&amp;"po   Long: "&amp;Q226&amp;"pi","W: "&amp;P226&amp;"in   L: "&amp;Q226&amp;"ft")</f>
        <v>Larg: 6.625po   Long: 2000pi</v>
      </c>
      <c r="N226" s="43" t="n">
        <v>0</v>
      </c>
      <c r="O226" s="43" t="s">
        <v>554</v>
      </c>
      <c r="P226" s="72" t="n">
        <v>6.625</v>
      </c>
      <c r="Q226" s="73" t="n">
        <v>2000</v>
      </c>
      <c r="R226" s="83" t="n">
        <f aca="false">P226*12*Q226/1000</f>
        <v>159</v>
      </c>
      <c r="S226" s="88" t="str">
        <f aca="false">_xlfn.xlookup(E226,Clients!B:B,Clients!D:D,FALSE())</f>
        <v>F</v>
      </c>
      <c r="T226" s="84" t="n">
        <f aca="false">IF(O226="msi",P226*12*Q226/1000*N226,IF(O226="sqm",P226/1000*Q226,N226))</f>
        <v>0</v>
      </c>
      <c r="U226" s="61" t="str">
        <f aca="false">IF(F226="F","roul.","roll")</f>
        <v>roul.</v>
      </c>
      <c r="V226" s="61" t="str">
        <f aca="false">_xlfn.xlookup(E226,Clients!B:B,Clients!X:X,FALSE())</f>
        <v>CAD</v>
      </c>
      <c r="X226" s="89" t="n">
        <f aca="false">IF(V226=Z226,N226,N226*W226)</f>
        <v>0</v>
      </c>
      <c r="Y226" s="61" t="str">
        <f aca="false">O226</f>
        <v>msi</v>
      </c>
      <c r="Z226" s="61" t="str">
        <f aca="false">_xlfn.xlookup(E226,Clients!B:B,Clients!Y:Y,FALSE())</f>
        <v>CAD</v>
      </c>
      <c r="AA226" s="61" t="str">
        <f aca="false">_xlfn.xlookup(B226,Spec!A:A,Spec!K:K,FALSE())</f>
        <v>Canada</v>
      </c>
      <c r="AB226" s="61" t="str">
        <f aca="false">_xlfn.xlookup(B226,Spec!A:A,Spec!L:L,FALSE())</f>
        <v>3919.90</v>
      </c>
    </row>
    <row r="227" customFormat="false" ht="14.25" hidden="false" customHeight="false" outlineLevel="0" collapsed="false">
      <c r="A227" s="1" t="n">
        <v>40246</v>
      </c>
      <c r="B227" s="1" t="n">
        <v>20011</v>
      </c>
      <c r="C227" s="61" t="str">
        <f aca="false">_xlfn.xlookup(B227,Spec!A:A,Spec!C:C)</f>
        <v>AKO</v>
      </c>
      <c r="D227" s="69" t="str">
        <f aca="false">_xlfn.xlookup(B227,Spec!A:A,Spec!D:D)</f>
        <v>AP1019</v>
      </c>
      <c r="E227" s="15" t="s">
        <v>222</v>
      </c>
      <c r="F227" s="15" t="str">
        <f aca="false">_xlfn.xlookup(E227,Clients!B:B,Clients!D:D,FALSE())</f>
        <v>F</v>
      </c>
      <c r="G227" s="42"/>
      <c r="H227" s="15" t="s">
        <v>602</v>
      </c>
      <c r="I227" s="61" t="str">
        <f aca="false">_xlfn.xlookup(B227,Spec!A:A,Spec!B:B)</f>
        <v>S21-1</v>
      </c>
      <c r="J227" s="61" t="str">
        <f aca="false">_xlfn.xlookup(B227,Spec!A:A,Spec!J:J)</f>
        <v>SG - Hotmelt Adhesive</v>
      </c>
      <c r="K227" s="61" t="str">
        <f aca="false">_xlfn.xlookup(B227,Spec!A:A,Spec!E:E)</f>
        <v>Self Adhesive Paper</v>
      </c>
      <c r="L227" s="61" t="str">
        <f aca="false">IF(F227="F","Larg: "&amp;P227&amp;"po   Long: "&amp;Q227&amp;"pi","W: "&amp;P227&amp;"in   L: "&amp;Q227&amp;"ft")</f>
        <v>Larg: 4po   Long: 10000pi</v>
      </c>
      <c r="N227" s="90" t="n">
        <v>0.316</v>
      </c>
      <c r="O227" s="43" t="s">
        <v>554</v>
      </c>
      <c r="P227" s="72" t="n">
        <v>4</v>
      </c>
      <c r="Q227" s="73" t="n">
        <v>10000</v>
      </c>
      <c r="R227" s="83" t="n">
        <f aca="false">P227*12*Q227/1000</f>
        <v>480</v>
      </c>
      <c r="S227" s="88" t="str">
        <f aca="false">_xlfn.xlookup(E227,Clients!B:B,Clients!D:D,FALSE())</f>
        <v>F</v>
      </c>
      <c r="T227" s="84" t="n">
        <f aca="false">IF(O227="msi",P227*12*Q227/1000*N227,IF(O227="sqm",P227/1000*Q227,N227))</f>
        <v>151.68</v>
      </c>
      <c r="U227" s="61" t="str">
        <f aca="false">IF(F227="F","roul.","roll")</f>
        <v>roul.</v>
      </c>
      <c r="V227" s="61" t="str">
        <f aca="false">_xlfn.xlookup(E227,Clients!B:B,Clients!X:X,FALSE())</f>
        <v>CAD</v>
      </c>
      <c r="X227" s="89" t="n">
        <f aca="false">IF(V227=Z227,N227,N227*W227)</f>
        <v>0.316</v>
      </c>
      <c r="Y227" s="61" t="str">
        <f aca="false">O227</f>
        <v>msi</v>
      </c>
      <c r="Z227" s="61" t="str">
        <f aca="false">_xlfn.xlookup(E227,Clients!B:B,Clients!Y:Y,FALSE())</f>
        <v>CAD</v>
      </c>
      <c r="AA227" s="61" t="str">
        <f aca="false">_xlfn.xlookup(B227,Spec!A:A,Spec!K:K,FALSE())</f>
        <v>Canada</v>
      </c>
      <c r="AB227" s="61" t="n">
        <f aca="false">_xlfn.xlookup(B227,Spec!A:A,Spec!L:L,FALSE())</f>
        <v>4811.41</v>
      </c>
    </row>
    <row r="228" customFormat="false" ht="14.25" hidden="false" customHeight="false" outlineLevel="0" collapsed="false">
      <c r="A228" s="1" t="n">
        <v>40247</v>
      </c>
      <c r="B228" s="1" t="n">
        <v>20011</v>
      </c>
      <c r="C228" s="61" t="str">
        <f aca="false">_xlfn.xlookup(B228,Spec!A:A,Spec!C:C)</f>
        <v>AKO</v>
      </c>
      <c r="D228" s="69" t="str">
        <f aca="false">_xlfn.xlookup(B228,Spec!A:A,Spec!D:D)</f>
        <v>AP1019</v>
      </c>
      <c r="E228" s="15" t="s">
        <v>222</v>
      </c>
      <c r="F228" s="15" t="str">
        <f aca="false">_xlfn.xlookup(E228,Clients!B:B,Clients!D:D,FALSE())</f>
        <v>F</v>
      </c>
      <c r="G228" s="42"/>
      <c r="H228" s="15" t="s">
        <v>602</v>
      </c>
      <c r="I228" s="61" t="str">
        <f aca="false">_xlfn.xlookup(B228,Spec!A:A,Spec!B:B)</f>
        <v>S21-1</v>
      </c>
      <c r="J228" s="61" t="str">
        <f aca="false">_xlfn.xlookup(B228,Spec!A:A,Spec!J:J)</f>
        <v>SG - Hotmelt Adhesive</v>
      </c>
      <c r="K228" s="61" t="str">
        <f aca="false">_xlfn.xlookup(B228,Spec!A:A,Spec!E:E)</f>
        <v>Self Adhesive Paper</v>
      </c>
      <c r="L228" s="61" t="str">
        <f aca="false">IF(F228="F","Larg: "&amp;P228&amp;"po   Long: "&amp;Q228&amp;"pi","W: "&amp;P228&amp;"in   L: "&amp;Q228&amp;"ft")</f>
        <v>Larg: 8.125po   Long: 10000pi</v>
      </c>
      <c r="N228" s="90" t="n">
        <v>0.316</v>
      </c>
      <c r="O228" s="43" t="s">
        <v>554</v>
      </c>
      <c r="P228" s="72" t="n">
        <v>8.125</v>
      </c>
      <c r="Q228" s="73" t="n">
        <v>10000</v>
      </c>
      <c r="R228" s="83" t="n">
        <f aca="false">P228*12*Q228/1000</f>
        <v>975</v>
      </c>
      <c r="S228" s="88" t="str">
        <f aca="false">_xlfn.xlookup(E228,Clients!B:B,Clients!D:D,FALSE())</f>
        <v>F</v>
      </c>
      <c r="T228" s="84" t="n">
        <f aca="false">IF(O228="msi",P228*12*Q228/1000*N228,IF(O228="sqm",P228/1000*Q228,N228))</f>
        <v>308.1</v>
      </c>
      <c r="U228" s="61" t="str">
        <f aca="false">IF(F228="F","roul.","roll")</f>
        <v>roul.</v>
      </c>
      <c r="V228" s="61" t="str">
        <f aca="false">_xlfn.xlookup(E228,Clients!B:B,Clients!X:X,FALSE())</f>
        <v>CAD</v>
      </c>
      <c r="X228" s="89" t="n">
        <f aca="false">IF(V228=Z228,N228,N228*W228)</f>
        <v>0.316</v>
      </c>
      <c r="Y228" s="61" t="str">
        <f aca="false">O228</f>
        <v>msi</v>
      </c>
      <c r="Z228" s="61" t="str">
        <f aca="false">_xlfn.xlookup(E228,Clients!B:B,Clients!Y:Y,FALSE())</f>
        <v>CAD</v>
      </c>
      <c r="AA228" s="61" t="str">
        <f aca="false">_xlfn.xlookup(B228,Spec!A:A,Spec!K:K,FALSE())</f>
        <v>Canada</v>
      </c>
      <c r="AB228" s="61" t="n">
        <f aca="false">_xlfn.xlookup(B228,Spec!A:A,Spec!L:L,FALSE())</f>
        <v>4811.41</v>
      </c>
    </row>
    <row r="229" customFormat="false" ht="14.25" hidden="false" customHeight="false" outlineLevel="0" collapsed="false">
      <c r="A229" s="1" t="n">
        <v>40248</v>
      </c>
      <c r="B229" s="1" t="n">
        <v>20011</v>
      </c>
      <c r="C229" s="61" t="str">
        <f aca="false">_xlfn.xlookup(B229,Spec!A:A,Spec!C:C)</f>
        <v>AKO</v>
      </c>
      <c r="D229" s="69" t="str">
        <f aca="false">_xlfn.xlookup(B229,Spec!A:A,Spec!D:D)</f>
        <v>AP1019</v>
      </c>
      <c r="E229" s="15" t="s">
        <v>222</v>
      </c>
      <c r="F229" s="15" t="str">
        <f aca="false">_xlfn.xlookup(E229,Clients!B:B,Clients!D:D,FALSE())</f>
        <v>F</v>
      </c>
      <c r="G229" s="42"/>
      <c r="H229" s="15" t="s">
        <v>602</v>
      </c>
      <c r="I229" s="61" t="str">
        <f aca="false">_xlfn.xlookup(B229,Spec!A:A,Spec!B:B)</f>
        <v>S21-1</v>
      </c>
      <c r="J229" s="61" t="str">
        <f aca="false">_xlfn.xlookup(B229,Spec!A:A,Spec!J:J)</f>
        <v>SG - Hotmelt Adhesive</v>
      </c>
      <c r="K229" s="61" t="str">
        <f aca="false">_xlfn.xlookup(B229,Spec!A:A,Spec!E:E)</f>
        <v>Self Adhesive Paper</v>
      </c>
      <c r="L229" s="61" t="str">
        <f aca="false">IF(F229="F","Larg: "&amp;P229&amp;"po   Long: "&amp;Q229&amp;"pi","W: "&amp;P229&amp;"in   L: "&amp;Q229&amp;"ft")</f>
        <v>Larg: 6.75po   Long: 10000pi</v>
      </c>
      <c r="N229" s="90" t="n">
        <v>0.316</v>
      </c>
      <c r="O229" s="43" t="s">
        <v>554</v>
      </c>
      <c r="P229" s="72" t="n">
        <v>6.75</v>
      </c>
      <c r="Q229" s="73" t="n">
        <v>10000</v>
      </c>
      <c r="R229" s="83" t="n">
        <f aca="false">P229*12*Q229/1000</f>
        <v>810</v>
      </c>
      <c r="S229" s="88" t="str">
        <f aca="false">_xlfn.xlookup(E229,Clients!B:B,Clients!D:D,FALSE())</f>
        <v>F</v>
      </c>
      <c r="T229" s="84" t="n">
        <f aca="false">IF(O229="msi",P229*12*Q229/1000*N229,IF(O229="sqm",P229/1000*Q229,N229))</f>
        <v>255.96</v>
      </c>
      <c r="U229" s="61" t="str">
        <f aca="false">IF(F229="F","roul.","roll")</f>
        <v>roul.</v>
      </c>
      <c r="V229" s="61" t="str">
        <f aca="false">_xlfn.xlookup(E229,Clients!B:B,Clients!X:X,FALSE())</f>
        <v>CAD</v>
      </c>
      <c r="X229" s="89" t="n">
        <f aca="false">IF(V229=Z229,N229,N229*W229)</f>
        <v>0.316</v>
      </c>
      <c r="Y229" s="61" t="str">
        <f aca="false">O229</f>
        <v>msi</v>
      </c>
      <c r="Z229" s="61" t="str">
        <f aca="false">_xlfn.xlookup(E229,Clients!B:B,Clients!Y:Y,FALSE())</f>
        <v>CAD</v>
      </c>
      <c r="AA229" s="61" t="str">
        <f aca="false">_xlfn.xlookup(B229,Spec!A:A,Spec!K:K,FALSE())</f>
        <v>Canada</v>
      </c>
      <c r="AB229" s="61" t="n">
        <f aca="false">_xlfn.xlookup(B229,Spec!A:A,Spec!L:L,FALSE())</f>
        <v>4811.41</v>
      </c>
    </row>
    <row r="230" customFormat="false" ht="14.25" hidden="false" customHeight="false" outlineLevel="0" collapsed="false">
      <c r="A230" s="1" t="n">
        <v>40249</v>
      </c>
      <c r="B230" s="1" t="n">
        <v>20011</v>
      </c>
      <c r="C230" s="61" t="str">
        <f aca="false">_xlfn.xlookup(B230,Spec!A:A,Spec!C:C)</f>
        <v>AKO</v>
      </c>
      <c r="D230" s="69" t="str">
        <f aca="false">_xlfn.xlookup(B230,Spec!A:A,Spec!D:D)</f>
        <v>AP1019</v>
      </c>
      <c r="E230" s="15" t="s">
        <v>222</v>
      </c>
      <c r="F230" s="15" t="str">
        <f aca="false">_xlfn.xlookup(E230,Clients!B:B,Clients!D:D,FALSE())</f>
        <v>F</v>
      </c>
      <c r="G230" s="42"/>
      <c r="H230" s="15" t="s">
        <v>602</v>
      </c>
      <c r="I230" s="61" t="str">
        <f aca="false">_xlfn.xlookup(B230,Spec!A:A,Spec!B:B)</f>
        <v>S21-1</v>
      </c>
      <c r="J230" s="61" t="str">
        <f aca="false">_xlfn.xlookup(B230,Spec!A:A,Spec!J:J)</f>
        <v>SG - Hotmelt Adhesive</v>
      </c>
      <c r="K230" s="61" t="str">
        <f aca="false">_xlfn.xlookup(B230,Spec!A:A,Spec!E:E)</f>
        <v>Self Adhesive Paper</v>
      </c>
      <c r="L230" s="61" t="str">
        <f aca="false">IF(F230="F","Larg: "&amp;P230&amp;"po   Long: "&amp;Q230&amp;"pi","W: "&amp;P230&amp;"in   L: "&amp;Q230&amp;"ft")</f>
        <v>Larg: 3.25po   Long: 10000pi</v>
      </c>
      <c r="N230" s="90" t="n">
        <v>0.316</v>
      </c>
      <c r="O230" s="43" t="s">
        <v>554</v>
      </c>
      <c r="P230" s="72" t="n">
        <v>3.25</v>
      </c>
      <c r="Q230" s="73" t="n">
        <v>10000</v>
      </c>
      <c r="R230" s="83" t="n">
        <f aca="false">P230*12*Q230/1000</f>
        <v>390</v>
      </c>
      <c r="S230" s="88" t="str">
        <f aca="false">_xlfn.xlookup(E230,Clients!B:B,Clients!D:D,FALSE())</f>
        <v>F</v>
      </c>
      <c r="T230" s="84" t="n">
        <f aca="false">IF(O230="msi",P230*12*Q230/1000*N230,IF(O230="sqm",P230/1000*Q230,N230))</f>
        <v>123.24</v>
      </c>
      <c r="U230" s="61" t="str">
        <f aca="false">IF(F230="F","roul.","roll")</f>
        <v>roul.</v>
      </c>
      <c r="V230" s="61" t="str">
        <f aca="false">_xlfn.xlookup(E230,Clients!B:B,Clients!X:X,FALSE())</f>
        <v>CAD</v>
      </c>
      <c r="X230" s="89" t="n">
        <f aca="false">IF(V230=Z230,N230,N230*W230)</f>
        <v>0.316</v>
      </c>
      <c r="Y230" s="61" t="str">
        <f aca="false">O230</f>
        <v>msi</v>
      </c>
      <c r="Z230" s="61" t="str">
        <f aca="false">_xlfn.xlookup(E230,Clients!B:B,Clients!Y:Y,FALSE())</f>
        <v>CAD</v>
      </c>
      <c r="AA230" s="61" t="str">
        <f aca="false">_xlfn.xlookup(B230,Spec!A:A,Spec!K:K,FALSE())</f>
        <v>Canada</v>
      </c>
      <c r="AB230" s="61" t="n">
        <f aca="false">_xlfn.xlookup(B230,Spec!A:A,Spec!L:L,FALSE())</f>
        <v>4811.41</v>
      </c>
    </row>
    <row r="231" customFormat="false" ht="14.25" hidden="false" customHeight="false" outlineLevel="0" collapsed="false">
      <c r="A231" s="1" t="n">
        <v>40250</v>
      </c>
      <c r="B231" s="1" t="n">
        <v>20024</v>
      </c>
      <c r="C231" s="61" t="str">
        <f aca="false">_xlfn.xlookup(B231,Spec!A:A,Spec!C:C)</f>
        <v>Jinda</v>
      </c>
      <c r="D231" s="69" t="str">
        <f aca="false">_xlfn.xlookup(B231,Spec!A:A,Spec!D:D)</f>
        <v>0410664</v>
      </c>
      <c r="E231" s="15" t="s">
        <v>296</v>
      </c>
      <c r="F231" s="15" t="str">
        <f aca="false">_xlfn.xlookup(E231,Clients!B:B,Clients!D:D,FALSE())</f>
        <v>F</v>
      </c>
      <c r="G231" s="42"/>
      <c r="H231" s="15" t="s">
        <v>669</v>
      </c>
      <c r="I231" s="61" t="str">
        <f aca="false">_xlfn.xlookup(B231,Spec!A:A,Spec!B:B)</f>
        <v>D11-3</v>
      </c>
      <c r="J231" s="61" t="str">
        <f aca="false">_xlfn.xlookup(B231,Spec!A:A,Spec!J:J)</f>
        <v>TC DT - Hotmelt Adhesive</v>
      </c>
      <c r="K231" s="61" t="str">
        <f aca="false">_xlfn.xlookup(B231,Spec!A:A,Spec!E:E)</f>
        <v>Self Adhesive Paper</v>
      </c>
      <c r="L231" s="61" t="str">
        <f aca="false">IF(F231="F","Larg: "&amp;P231&amp;"po   Long: "&amp;Q231&amp;"pi","W: "&amp;P231&amp;"in   L: "&amp;Q231&amp;"ft")</f>
        <v>Larg: 6.625po   Long: 10000pi</v>
      </c>
      <c r="N231" s="90" t="n">
        <v>0.472</v>
      </c>
      <c r="O231" s="43" t="s">
        <v>554</v>
      </c>
      <c r="P231" s="72" t="n">
        <v>6.625</v>
      </c>
      <c r="Q231" s="73" t="n">
        <v>10000</v>
      </c>
      <c r="R231" s="83" t="n">
        <f aca="false">P231*12*Q231/1000</f>
        <v>795</v>
      </c>
      <c r="S231" s="88" t="str">
        <f aca="false">_xlfn.xlookup(E231,Clients!B:B,Clients!D:D,FALSE())</f>
        <v>F</v>
      </c>
      <c r="T231" s="84" t="n">
        <f aca="false">IF(O231="msi",P231*12*Q231/1000*N231,IF(O231="sqm",P231/1000*Q231,N231))</f>
        <v>375.24</v>
      </c>
      <c r="U231" s="61" t="str">
        <f aca="false">IF(F231="F","roul.","roll")</f>
        <v>roul.</v>
      </c>
      <c r="V231" s="61" t="str">
        <f aca="false">_xlfn.xlookup(E231,Clients!B:B,Clients!X:X,FALSE())</f>
        <v>CAD</v>
      </c>
      <c r="X231" s="89" t="n">
        <f aca="false">IF(V231=Z231,N231,N231*W231)</f>
        <v>0.472</v>
      </c>
      <c r="Y231" s="61" t="str">
        <f aca="false">O231</f>
        <v>msi</v>
      </c>
      <c r="Z231" s="61" t="str">
        <f aca="false">_xlfn.xlookup(E231,Clients!B:B,Clients!Y:Y,FALSE())</f>
        <v>CAD</v>
      </c>
      <c r="AA231" s="61" t="str">
        <f aca="false">_xlfn.xlookup(B231,Spec!A:A,Spec!K:K,FALSE())</f>
        <v>Canada</v>
      </c>
      <c r="AB231" s="61" t="n">
        <f aca="false">_xlfn.xlookup(B231,Spec!A:A,Spec!L:L,FALSE())</f>
        <v>4811.41</v>
      </c>
    </row>
    <row r="232" customFormat="false" ht="14.25" hidden="false" customHeight="false" outlineLevel="0" collapsed="false">
      <c r="A232" s="1" t="n">
        <v>40251</v>
      </c>
      <c r="B232" s="1" t="n">
        <v>20024</v>
      </c>
      <c r="C232" s="61" t="str">
        <f aca="false">_xlfn.xlookup(B232,Spec!A:A,Spec!C:C)</f>
        <v>Jinda</v>
      </c>
      <c r="D232" s="69" t="str">
        <f aca="false">_xlfn.xlookup(B232,Spec!A:A,Spec!D:D)</f>
        <v>0410664</v>
      </c>
      <c r="E232" s="15" t="s">
        <v>296</v>
      </c>
      <c r="F232" s="15" t="str">
        <f aca="false">_xlfn.xlookup(E232,Clients!B:B,Clients!D:D,FALSE())</f>
        <v>F</v>
      </c>
      <c r="G232" s="42"/>
      <c r="H232" s="15" t="s">
        <v>669</v>
      </c>
      <c r="I232" s="61" t="str">
        <f aca="false">_xlfn.xlookup(B232,Spec!A:A,Spec!B:B)</f>
        <v>D11-3</v>
      </c>
      <c r="J232" s="61" t="str">
        <f aca="false">_xlfn.xlookup(B232,Spec!A:A,Spec!J:J)</f>
        <v>TC DT - Hotmelt Adhesive</v>
      </c>
      <c r="K232" s="61" t="str">
        <f aca="false">_xlfn.xlookup(B232,Spec!A:A,Spec!E:E)</f>
        <v>Self Adhesive Paper</v>
      </c>
      <c r="L232" s="61" t="str">
        <f aca="false">IF(F232="F","Larg: "&amp;P232&amp;"po   Long: "&amp;Q232&amp;"pi","W: "&amp;P232&amp;"in   L: "&amp;Q232&amp;"ft")</f>
        <v>Larg: 9.5po   Long: 10000pi</v>
      </c>
      <c r="N232" s="90" t="n">
        <v>0.472</v>
      </c>
      <c r="O232" s="43" t="s">
        <v>554</v>
      </c>
      <c r="P232" s="72" t="n">
        <v>9.5</v>
      </c>
      <c r="Q232" s="73" t="n">
        <v>10000</v>
      </c>
      <c r="R232" s="83" t="n">
        <f aca="false">P232*12*Q232/1000</f>
        <v>1140</v>
      </c>
      <c r="S232" s="88" t="str">
        <f aca="false">_xlfn.xlookup(E232,Clients!B:B,Clients!D:D,FALSE())</f>
        <v>F</v>
      </c>
      <c r="T232" s="84" t="n">
        <f aca="false">IF(O232="msi",P232*12*Q232/1000*N232,IF(O232="sqm",P232/1000*Q232,N232))</f>
        <v>538.08</v>
      </c>
      <c r="U232" s="61" t="str">
        <f aca="false">IF(F232="F","roul.","roll")</f>
        <v>roul.</v>
      </c>
      <c r="V232" s="61" t="str">
        <f aca="false">_xlfn.xlookup(E232,Clients!B:B,Clients!X:X,FALSE())</f>
        <v>CAD</v>
      </c>
      <c r="X232" s="89" t="n">
        <f aca="false">IF(V232=Z232,N232,N232*W232)</f>
        <v>0.472</v>
      </c>
      <c r="Y232" s="61" t="str">
        <f aca="false">O232</f>
        <v>msi</v>
      </c>
      <c r="Z232" s="61" t="str">
        <f aca="false">_xlfn.xlookup(E232,Clients!B:B,Clients!Y:Y,FALSE())</f>
        <v>CAD</v>
      </c>
      <c r="AA232" s="61" t="str">
        <f aca="false">_xlfn.xlookup(B232,Spec!A:A,Spec!K:K,FALSE())</f>
        <v>Canada</v>
      </c>
      <c r="AB232" s="61" t="n">
        <f aca="false">_xlfn.xlookup(B232,Spec!A:A,Spec!L:L,FALSE())</f>
        <v>4811.41</v>
      </c>
    </row>
    <row r="233" customFormat="false" ht="14.25" hidden="false" customHeight="false" outlineLevel="0" collapsed="false">
      <c r="A233" s="1" t="n">
        <v>40252</v>
      </c>
      <c r="B233" s="1" t="n">
        <v>20024</v>
      </c>
      <c r="C233" s="61" t="str">
        <f aca="false">_xlfn.xlookup(B233,Spec!A:A,Spec!C:C)</f>
        <v>Jinda</v>
      </c>
      <c r="D233" s="69" t="str">
        <f aca="false">_xlfn.xlookup(B233,Spec!A:A,Spec!D:D)</f>
        <v>0410664</v>
      </c>
      <c r="E233" s="15" t="s">
        <v>296</v>
      </c>
      <c r="F233" s="15" t="str">
        <f aca="false">_xlfn.xlookup(E233,Clients!B:B,Clients!D:D,FALSE())</f>
        <v>F</v>
      </c>
      <c r="G233" s="42"/>
      <c r="H233" s="15" t="s">
        <v>669</v>
      </c>
      <c r="I233" s="61" t="str">
        <f aca="false">_xlfn.xlookup(B233,Spec!A:A,Spec!B:B)</f>
        <v>D11-3</v>
      </c>
      <c r="J233" s="61" t="str">
        <f aca="false">_xlfn.xlookup(B233,Spec!A:A,Spec!J:J)</f>
        <v>TC DT - Hotmelt Adhesive</v>
      </c>
      <c r="K233" s="61" t="str">
        <f aca="false">_xlfn.xlookup(B233,Spec!A:A,Spec!E:E)</f>
        <v>Self Adhesive Paper</v>
      </c>
      <c r="L233" s="61" t="str">
        <f aca="false">IF(F233="F","Larg: "&amp;P233&amp;"po   Long: "&amp;Q233&amp;"pi","W: "&amp;P233&amp;"in   L: "&amp;Q233&amp;"ft")</f>
        <v>Larg: 2.125po   Long: 10000pi</v>
      </c>
      <c r="N233" s="90" t="n">
        <v>0.472</v>
      </c>
      <c r="O233" s="43" t="s">
        <v>554</v>
      </c>
      <c r="P233" s="72" t="n">
        <v>2.125</v>
      </c>
      <c r="Q233" s="73" t="n">
        <v>10000</v>
      </c>
      <c r="R233" s="83" t="n">
        <f aca="false">P233*12*Q233/1000</f>
        <v>255</v>
      </c>
      <c r="S233" s="88" t="str">
        <f aca="false">_xlfn.xlookup(E233,Clients!B:B,Clients!D:D,FALSE())</f>
        <v>F</v>
      </c>
      <c r="T233" s="84" t="n">
        <f aca="false">IF(O233="msi",P233*12*Q233/1000*N233,IF(O233="sqm",P233/1000*Q233,N233))</f>
        <v>120.36</v>
      </c>
      <c r="U233" s="61" t="str">
        <f aca="false">IF(F233="F","roul.","roll")</f>
        <v>roul.</v>
      </c>
      <c r="V233" s="61" t="str">
        <f aca="false">_xlfn.xlookup(E233,Clients!B:B,Clients!X:X,FALSE())</f>
        <v>CAD</v>
      </c>
      <c r="X233" s="89" t="n">
        <f aca="false">IF(V233=Z233,N233,N233*W233)</f>
        <v>0.472</v>
      </c>
      <c r="Y233" s="61" t="str">
        <f aca="false">O233</f>
        <v>msi</v>
      </c>
      <c r="Z233" s="61" t="str">
        <f aca="false">_xlfn.xlookup(E233,Clients!B:B,Clients!Y:Y,FALSE())</f>
        <v>CAD</v>
      </c>
      <c r="AA233" s="61" t="str">
        <f aca="false">_xlfn.xlookup(B233,Spec!A:A,Spec!K:K,FALSE())</f>
        <v>Canada</v>
      </c>
      <c r="AB233" s="61" t="n">
        <f aca="false">_xlfn.xlookup(B233,Spec!A:A,Spec!L:L,FALSE())</f>
        <v>4811.41</v>
      </c>
    </row>
    <row r="234" customFormat="false" ht="14.25" hidden="false" customHeight="false" outlineLevel="0" collapsed="false">
      <c r="A234" s="1" t="n">
        <v>40253</v>
      </c>
      <c r="B234" s="1" t="n">
        <v>20024</v>
      </c>
      <c r="C234" s="61" t="str">
        <f aca="false">_xlfn.xlookup(B234,Spec!A:A,Spec!C:C)</f>
        <v>Jinda</v>
      </c>
      <c r="D234" s="69" t="str">
        <f aca="false">_xlfn.xlookup(B234,Spec!A:A,Spec!D:D)</f>
        <v>0410664</v>
      </c>
      <c r="E234" s="15" t="s">
        <v>296</v>
      </c>
      <c r="F234" s="15" t="str">
        <f aca="false">_xlfn.xlookup(E234,Clients!B:B,Clients!D:D,FALSE())</f>
        <v>F</v>
      </c>
      <c r="G234" s="42"/>
      <c r="H234" s="15" t="s">
        <v>669</v>
      </c>
      <c r="I234" s="61" t="str">
        <f aca="false">_xlfn.xlookup(B234,Spec!A:A,Spec!B:B)</f>
        <v>D11-3</v>
      </c>
      <c r="J234" s="61" t="str">
        <f aca="false">_xlfn.xlookup(B234,Spec!A:A,Spec!J:J)</f>
        <v>TC DT - Hotmelt Adhesive</v>
      </c>
      <c r="K234" s="61" t="str">
        <f aca="false">_xlfn.xlookup(B234,Spec!A:A,Spec!E:E)</f>
        <v>Self Adhesive Paper</v>
      </c>
      <c r="L234" s="61" t="str">
        <f aca="false">IF(F234="F","Larg: "&amp;P234&amp;"po   Long: "&amp;Q234&amp;"pi","W: "&amp;P234&amp;"in   L: "&amp;Q234&amp;"ft")</f>
        <v>Larg: 9po   Long: 5000pi</v>
      </c>
      <c r="N234" s="90" t="n">
        <v>0.472</v>
      </c>
      <c r="O234" s="43" t="s">
        <v>554</v>
      </c>
      <c r="P234" s="72" t="n">
        <v>9</v>
      </c>
      <c r="Q234" s="73" t="n">
        <v>5000</v>
      </c>
      <c r="R234" s="83" t="n">
        <f aca="false">P234*12*Q234/1000</f>
        <v>540</v>
      </c>
      <c r="S234" s="88" t="str">
        <f aca="false">_xlfn.xlookup(E234,Clients!B:B,Clients!D:D,FALSE())</f>
        <v>F</v>
      </c>
      <c r="T234" s="84" t="n">
        <f aca="false">IF(O234="msi",P234*12*Q234/1000*N234,IF(O234="sqm",P234/1000*Q234,N234))</f>
        <v>254.88</v>
      </c>
      <c r="U234" s="61" t="str">
        <f aca="false">IF(F234="F","roul.","roll")</f>
        <v>roul.</v>
      </c>
      <c r="V234" s="61" t="str">
        <f aca="false">_xlfn.xlookup(E234,Clients!B:B,Clients!X:X,FALSE())</f>
        <v>CAD</v>
      </c>
      <c r="X234" s="89" t="n">
        <f aca="false">IF(V234=Z234,N234,N234*W234)</f>
        <v>0.472</v>
      </c>
      <c r="Y234" s="61" t="str">
        <f aca="false">O234</f>
        <v>msi</v>
      </c>
      <c r="Z234" s="61" t="str">
        <f aca="false">_xlfn.xlookup(E234,Clients!B:B,Clients!Y:Y,FALSE())</f>
        <v>CAD</v>
      </c>
      <c r="AA234" s="61" t="str">
        <f aca="false">_xlfn.xlookup(B234,Spec!A:A,Spec!K:K,FALSE())</f>
        <v>Canada</v>
      </c>
      <c r="AB234" s="61" t="n">
        <f aca="false">_xlfn.xlookup(B234,Spec!A:A,Spec!L:L,FALSE())</f>
        <v>4811.41</v>
      </c>
    </row>
    <row r="235" customFormat="false" ht="14.25" hidden="false" customHeight="false" outlineLevel="0" collapsed="false">
      <c r="A235" s="1" t="n">
        <v>40254</v>
      </c>
      <c r="B235" s="1" t="n">
        <v>20024</v>
      </c>
      <c r="C235" s="61" t="str">
        <f aca="false">_xlfn.xlookup(B235,Spec!A:A,Spec!C:C)</f>
        <v>Jinda</v>
      </c>
      <c r="D235" s="69" t="str">
        <f aca="false">_xlfn.xlookup(B235,Spec!A:A,Spec!D:D)</f>
        <v>0410664</v>
      </c>
      <c r="E235" s="15" t="s">
        <v>296</v>
      </c>
      <c r="F235" s="15" t="str">
        <f aca="false">_xlfn.xlookup(E235,Clients!B:B,Clients!D:D,FALSE())</f>
        <v>F</v>
      </c>
      <c r="G235" s="42"/>
      <c r="H235" s="15" t="s">
        <v>669</v>
      </c>
      <c r="I235" s="61" t="str">
        <f aca="false">_xlfn.xlookup(B235,Spec!A:A,Spec!B:B)</f>
        <v>D11-3</v>
      </c>
      <c r="J235" s="61" t="str">
        <f aca="false">_xlfn.xlookup(B235,Spec!A:A,Spec!J:J)</f>
        <v>TC DT - Hotmelt Adhesive</v>
      </c>
      <c r="K235" s="61" t="str">
        <f aca="false">_xlfn.xlookup(B235,Spec!A:A,Spec!E:E)</f>
        <v>Self Adhesive Paper</v>
      </c>
      <c r="L235" s="61" t="str">
        <f aca="false">IF(F235="F","Larg: "&amp;P235&amp;"po   Long: "&amp;Q235&amp;"pi","W: "&amp;P235&amp;"in   L: "&amp;Q235&amp;"ft")</f>
        <v>Larg: 5.25po   Long: 5000pi</v>
      </c>
      <c r="N235" s="90" t="n">
        <v>0.472</v>
      </c>
      <c r="O235" s="43" t="s">
        <v>554</v>
      </c>
      <c r="P235" s="72" t="n">
        <v>5.25</v>
      </c>
      <c r="Q235" s="73" t="n">
        <v>5000</v>
      </c>
      <c r="R235" s="83" t="n">
        <f aca="false">P235*12*Q235/1000</f>
        <v>315</v>
      </c>
      <c r="S235" s="88" t="str">
        <f aca="false">_xlfn.xlookup(E235,Clients!B:B,Clients!D:D,FALSE())</f>
        <v>F</v>
      </c>
      <c r="T235" s="84" t="n">
        <f aca="false">IF(O235="msi",P235*12*Q235/1000*N235,IF(O235="sqm",P235/1000*Q235,N235))</f>
        <v>148.68</v>
      </c>
      <c r="U235" s="61" t="str">
        <f aca="false">IF(F235="F","roul.","roll")</f>
        <v>roul.</v>
      </c>
      <c r="V235" s="61" t="str">
        <f aca="false">_xlfn.xlookup(E235,Clients!B:B,Clients!X:X,FALSE())</f>
        <v>CAD</v>
      </c>
      <c r="X235" s="89" t="n">
        <f aca="false">IF(V235=Z235,N235,N235*W235)</f>
        <v>0.472</v>
      </c>
      <c r="Y235" s="61" t="str">
        <f aca="false">O235</f>
        <v>msi</v>
      </c>
      <c r="Z235" s="61" t="str">
        <f aca="false">_xlfn.xlookup(E235,Clients!B:B,Clients!Y:Y,FALSE())</f>
        <v>CAD</v>
      </c>
      <c r="AA235" s="61" t="str">
        <f aca="false">_xlfn.xlookup(B235,Spec!A:A,Spec!K:K,FALSE())</f>
        <v>Canada</v>
      </c>
      <c r="AB235" s="61" t="n">
        <f aca="false">_xlfn.xlookup(B235,Spec!A:A,Spec!L:L,FALSE())</f>
        <v>4811.41</v>
      </c>
    </row>
    <row r="236" customFormat="false" ht="14.25" hidden="false" customHeight="false" outlineLevel="0" collapsed="false">
      <c r="A236" s="1" t="n">
        <v>40255</v>
      </c>
      <c r="B236" s="1" t="n">
        <v>20024</v>
      </c>
      <c r="C236" s="61" t="str">
        <f aca="false">_xlfn.xlookup(B236,Spec!A:A,Spec!C:C)</f>
        <v>Jinda</v>
      </c>
      <c r="D236" s="69" t="str">
        <f aca="false">_xlfn.xlookup(B236,Spec!A:A,Spec!D:D)</f>
        <v>0410664</v>
      </c>
      <c r="E236" s="15" t="s">
        <v>296</v>
      </c>
      <c r="F236" s="15" t="str">
        <f aca="false">_xlfn.xlookup(E236,Clients!B:B,Clients!D:D,FALSE())</f>
        <v>F</v>
      </c>
      <c r="G236" s="42"/>
      <c r="H236" s="15" t="s">
        <v>669</v>
      </c>
      <c r="I236" s="61" t="str">
        <f aca="false">_xlfn.xlookup(B236,Spec!A:A,Spec!B:B)</f>
        <v>D11-3</v>
      </c>
      <c r="J236" s="61" t="str">
        <f aca="false">_xlfn.xlookup(B236,Spec!A:A,Spec!J:J)</f>
        <v>TC DT - Hotmelt Adhesive</v>
      </c>
      <c r="K236" s="61" t="str">
        <f aca="false">_xlfn.xlookup(B236,Spec!A:A,Spec!E:E)</f>
        <v>Self Adhesive Paper</v>
      </c>
      <c r="L236" s="61" t="str">
        <f aca="false">IF(F236="F","Larg: "&amp;P236&amp;"po   Long: "&amp;Q236&amp;"pi","W: "&amp;P236&amp;"in   L: "&amp;Q236&amp;"ft")</f>
        <v>Larg: 2.5po   Long: 5000pi</v>
      </c>
      <c r="N236" s="90" t="n">
        <v>0.472</v>
      </c>
      <c r="O236" s="43" t="s">
        <v>554</v>
      </c>
      <c r="P236" s="72" t="n">
        <v>2.5</v>
      </c>
      <c r="Q236" s="73" t="n">
        <v>5000</v>
      </c>
      <c r="R236" s="83" t="n">
        <f aca="false">P236*12*Q236/1000</f>
        <v>150</v>
      </c>
      <c r="S236" s="88" t="str">
        <f aca="false">_xlfn.xlookup(E236,Clients!B:B,Clients!D:D,FALSE())</f>
        <v>F</v>
      </c>
      <c r="T236" s="84" t="n">
        <f aca="false">IF(O236="msi",P236*12*Q236/1000*N236,IF(O236="sqm",P236/1000*Q236,N236))</f>
        <v>70.8</v>
      </c>
      <c r="U236" s="61" t="str">
        <f aca="false">IF(F236="F","roul.","roll")</f>
        <v>roul.</v>
      </c>
      <c r="V236" s="61" t="str">
        <f aca="false">_xlfn.xlookup(E236,Clients!B:B,Clients!X:X,FALSE())</f>
        <v>CAD</v>
      </c>
      <c r="X236" s="89" t="n">
        <f aca="false">IF(V236=Z236,N236,N236*W236)</f>
        <v>0.472</v>
      </c>
      <c r="Y236" s="61" t="str">
        <f aca="false">O236</f>
        <v>msi</v>
      </c>
      <c r="Z236" s="61" t="str">
        <f aca="false">_xlfn.xlookup(E236,Clients!B:B,Clients!Y:Y,FALSE())</f>
        <v>CAD</v>
      </c>
      <c r="AA236" s="61" t="str">
        <f aca="false">_xlfn.xlookup(B236,Spec!A:A,Spec!K:K,FALSE())</f>
        <v>Canada</v>
      </c>
      <c r="AB236" s="61" t="n">
        <f aca="false">_xlfn.xlookup(B236,Spec!A:A,Spec!L:L,FALSE())</f>
        <v>4811.41</v>
      </c>
    </row>
    <row r="237" customFormat="false" ht="14.25" hidden="false" customHeight="false" outlineLevel="0" collapsed="false">
      <c r="A237" s="1" t="n">
        <v>40256</v>
      </c>
      <c r="B237" s="1" t="n">
        <v>20011</v>
      </c>
      <c r="C237" s="61" t="str">
        <f aca="false">_xlfn.xlookup(B237,Spec!A:A,Spec!C:C)</f>
        <v>AKO</v>
      </c>
      <c r="D237" s="69" t="str">
        <f aca="false">_xlfn.xlookup(B237,Spec!A:A,Spec!D:D)</f>
        <v>AP1019</v>
      </c>
      <c r="E237" s="15" t="s">
        <v>296</v>
      </c>
      <c r="F237" s="15" t="str">
        <f aca="false">_xlfn.xlookup(E237,Clients!B:B,Clients!D:D,FALSE())</f>
        <v>F</v>
      </c>
      <c r="G237" s="42"/>
      <c r="H237" s="15" t="s">
        <v>602</v>
      </c>
      <c r="I237" s="61" t="str">
        <f aca="false">_xlfn.xlookup(B237,Spec!A:A,Spec!B:B)</f>
        <v>S21-1</v>
      </c>
      <c r="J237" s="61" t="str">
        <f aca="false">_xlfn.xlookup(B237,Spec!A:A,Spec!J:J)</f>
        <v>SG - Hotmelt Adhesive</v>
      </c>
      <c r="K237" s="61" t="str">
        <f aca="false">_xlfn.xlookup(B237,Spec!A:A,Spec!E:E)</f>
        <v>Self Adhesive Paper</v>
      </c>
      <c r="L237" s="61" t="str">
        <f aca="false">IF(F237="F","Larg: "&amp;P237&amp;"po   Long: "&amp;Q237&amp;"pi","W: "&amp;P237&amp;"in   L: "&amp;Q237&amp;"ft")</f>
        <v>Larg: 6po   Long: 2500pi</v>
      </c>
      <c r="N237" s="43" t="n">
        <v>0</v>
      </c>
      <c r="O237" s="43" t="s">
        <v>554</v>
      </c>
      <c r="P237" s="72" t="n">
        <v>6</v>
      </c>
      <c r="Q237" s="73" t="n">
        <v>2500</v>
      </c>
      <c r="R237" s="83" t="n">
        <f aca="false">P237*12*Q237/1000</f>
        <v>180</v>
      </c>
      <c r="S237" s="88" t="str">
        <f aca="false">_xlfn.xlookup(E237,Clients!B:B,Clients!D:D,FALSE())</f>
        <v>F</v>
      </c>
      <c r="T237" s="84" t="n">
        <f aca="false">IF(O237="msi",P237*12*Q237/1000*N237,IF(O237="sqm",P237/1000*Q237,N237))</f>
        <v>0</v>
      </c>
      <c r="U237" s="61" t="str">
        <f aca="false">IF(F237="F","roul.","roll")</f>
        <v>roul.</v>
      </c>
      <c r="V237" s="61" t="str">
        <f aca="false">_xlfn.xlookup(E237,Clients!B:B,Clients!X:X,FALSE())</f>
        <v>CAD</v>
      </c>
      <c r="X237" s="89" t="n">
        <f aca="false">IF(V237=Z237,N237,N237*W237)</f>
        <v>0</v>
      </c>
      <c r="Y237" s="61" t="str">
        <f aca="false">O237</f>
        <v>msi</v>
      </c>
      <c r="Z237" s="61" t="str">
        <f aca="false">_xlfn.xlookup(E237,Clients!B:B,Clients!Y:Y,FALSE())</f>
        <v>CAD</v>
      </c>
      <c r="AA237" s="61" t="str">
        <f aca="false">_xlfn.xlookup(B237,Spec!A:A,Spec!K:K,FALSE())</f>
        <v>Canada</v>
      </c>
      <c r="AB237" s="61" t="n">
        <f aca="false">_xlfn.xlookup(B237,Spec!A:A,Spec!L:L,FALSE())</f>
        <v>4811.41</v>
      </c>
    </row>
    <row r="238" customFormat="false" ht="14.25" hidden="false" customHeight="false" outlineLevel="0" collapsed="false">
      <c r="A238" s="1" t="n">
        <v>40257</v>
      </c>
      <c r="B238" s="1" t="n">
        <v>20018</v>
      </c>
      <c r="C238" s="61" t="str">
        <f aca="false">_xlfn.xlookup(B238,Spec!A:A,Spec!C:C)</f>
        <v>AKO</v>
      </c>
      <c r="D238" s="69" t="str">
        <f aca="false">_xlfn.xlookup(B238,Spec!A:A,Spec!D:D)</f>
        <v>AH3010</v>
      </c>
      <c r="E238" s="15" t="s">
        <v>31</v>
      </c>
      <c r="F238" s="15" t="str">
        <f aca="false">_xlfn.xlookup(E238,Clients!B:B,Clients!D:D,FALSE())</f>
        <v>A</v>
      </c>
      <c r="G238" s="42" t="s">
        <v>611</v>
      </c>
      <c r="H238" s="15" t="s">
        <v>574</v>
      </c>
      <c r="I238" s="61" t="s">
        <v>371</v>
      </c>
      <c r="J238" s="61" t="str">
        <f aca="false">_xlfn.xlookup(B238,Spec!A:A,Spec!J:J)</f>
        <v>TC DT - Acrylic Adhesive</v>
      </c>
      <c r="K238" s="61" t="str">
        <f aca="false">_xlfn.xlookup(B238,Spec!A:A,Spec!E:E)</f>
        <v>Self Adhesive Paper</v>
      </c>
      <c r="L238" s="61" t="str">
        <f aca="false">IF(F238="F","Larg: "&amp;P238&amp;"po   Long: "&amp;Q238&amp;"pi","W: "&amp;P238&amp;"in   L: "&amp;Q238&amp;"ft")</f>
        <v>W: 9.5in   L: 5000ft</v>
      </c>
      <c r="N238" s="90" t="n">
        <v>0.31</v>
      </c>
      <c r="O238" s="43" t="s">
        <v>554</v>
      </c>
      <c r="P238" s="72" t="n">
        <v>9.5</v>
      </c>
      <c r="Q238" s="73" t="n">
        <v>5000</v>
      </c>
      <c r="R238" s="83" t="n">
        <f aca="false">P238*12*Q238/1000</f>
        <v>570</v>
      </c>
      <c r="S238" s="88" t="str">
        <f aca="false">_xlfn.xlookup(E238,Clients!B:B,Clients!D:D,FALSE())</f>
        <v>A</v>
      </c>
      <c r="T238" s="84" t="n">
        <f aca="false">IF(O238="msi",P238*12*Q238/1000*N238,IF(O238="sqm",P238/1000*Q238,N238))</f>
        <v>176.7</v>
      </c>
      <c r="U238" s="61" t="str">
        <f aca="false">IF(F238="F","roul.","roll")</f>
        <v>roll</v>
      </c>
      <c r="V238" s="61" t="str">
        <f aca="false">_xlfn.xlookup(E238,Clients!B:B,Clients!X:X,FALSE())</f>
        <v>USD</v>
      </c>
      <c r="X238" s="89" t="n">
        <f aca="false">IF(V238=Z238,N238,N238*W238)</f>
        <v>0.31</v>
      </c>
      <c r="Y238" s="61" t="str">
        <f aca="false">O238</f>
        <v>msi</v>
      </c>
      <c r="Z238" s="61" t="str">
        <f aca="false">_xlfn.xlookup(E238,Clients!B:B,Clients!Y:Y,FALSE())</f>
        <v>USD</v>
      </c>
      <c r="AA238" s="61" t="str">
        <f aca="false">_xlfn.xlookup(B238,Spec!A:A,Spec!K:K,FALSE())</f>
        <v>Canada</v>
      </c>
      <c r="AB238" s="61" t="n">
        <f aca="false">_xlfn.xlookup(B238,Spec!A:A,Spec!L:L,FALSE())</f>
        <v>4811.41</v>
      </c>
    </row>
    <row r="239" customFormat="false" ht="14.25" hidden="false" customHeight="false" outlineLevel="0" collapsed="false">
      <c r="A239" s="1" t="n">
        <v>40258</v>
      </c>
      <c r="B239" s="1" t="n">
        <v>20011</v>
      </c>
      <c r="C239" s="61" t="str">
        <f aca="false">_xlfn.xlookup(B239,Spec!A:A,Spec!C:C)</f>
        <v>AKO</v>
      </c>
      <c r="D239" s="69" t="str">
        <f aca="false">_xlfn.xlookup(B239,Spec!A:A,Spec!D:D)</f>
        <v>AP1019</v>
      </c>
      <c r="E239" s="15" t="s">
        <v>124</v>
      </c>
      <c r="F239" s="15" t="str">
        <f aca="false">_xlfn.xlookup(E239,Clients!B:B,Clients!D:D,FALSE())</f>
        <v>F</v>
      </c>
      <c r="G239" s="42" t="n">
        <v>2212</v>
      </c>
      <c r="H239" s="15" t="s">
        <v>602</v>
      </c>
      <c r="I239" s="61" t="str">
        <f aca="false">_xlfn.xlookup(B239,Spec!A:A,Spec!B:B)</f>
        <v>S21-1</v>
      </c>
      <c r="J239" s="61" t="str">
        <f aca="false">_xlfn.xlookup(B239,Spec!A:A,Spec!J:J)</f>
        <v>SG - Hotmelt Adhesive</v>
      </c>
      <c r="K239" s="61" t="str">
        <f aca="false">_xlfn.xlookup(B239,Spec!A:A,Spec!E:E)</f>
        <v>Self Adhesive Paper</v>
      </c>
      <c r="L239" s="61" t="str">
        <f aca="false">IF(F239="F","Larg: "&amp;P239&amp;"po   Long: "&amp;Q239&amp;"pi","W: "&amp;P239&amp;"in   L: "&amp;Q239&amp;"ft")</f>
        <v>Larg: 16po   Long: 5000pi</v>
      </c>
      <c r="N239" s="90" t="n">
        <v>0.27</v>
      </c>
      <c r="O239" s="43" t="s">
        <v>554</v>
      </c>
      <c r="P239" s="72" t="n">
        <v>16</v>
      </c>
      <c r="Q239" s="73" t="n">
        <v>5000</v>
      </c>
      <c r="R239" s="83" t="n">
        <f aca="false">P239*12*Q239/1000</f>
        <v>960</v>
      </c>
      <c r="S239" s="88" t="str">
        <f aca="false">_xlfn.xlookup(E239,Clients!B:B,Clients!D:D,FALSE())</f>
        <v>F</v>
      </c>
      <c r="T239" s="84" t="n">
        <f aca="false">IF(O239="msi",P239*12*Q239/1000*N239,IF(O239="sqm",P239/1000*Q239,N239))</f>
        <v>259.2</v>
      </c>
      <c r="U239" s="61" t="str">
        <f aca="false">IF(F239="F","roul.","roll")</f>
        <v>roul.</v>
      </c>
      <c r="V239" s="61" t="str">
        <f aca="false">_xlfn.xlookup(E239,Clients!B:B,Clients!X:X,FALSE())</f>
        <v>USD</v>
      </c>
      <c r="X239" s="89" t="n">
        <f aca="false">IF(V239=Z239,N239,N239*W239)</f>
        <v>0.27</v>
      </c>
      <c r="Y239" s="61" t="str">
        <f aca="false">O239</f>
        <v>msi</v>
      </c>
      <c r="Z239" s="61" t="str">
        <f aca="false">_xlfn.xlookup(E239,Clients!B:B,Clients!Y:Y,FALSE())</f>
        <v>USD</v>
      </c>
      <c r="AA239" s="61" t="str">
        <f aca="false">_xlfn.xlookup(B239,Spec!A:A,Spec!K:K,FALSE())</f>
        <v>Canada</v>
      </c>
      <c r="AB239" s="61" t="n">
        <f aca="false">_xlfn.xlookup(B239,Spec!A:A,Spec!L:L,FALSE())</f>
        <v>4811.41</v>
      </c>
    </row>
    <row r="240" customFormat="false" ht="14.25" hidden="false" customHeight="false" outlineLevel="0" collapsed="false">
      <c r="A240" s="1" t="n">
        <v>40259</v>
      </c>
      <c r="B240" s="1" t="n">
        <v>20011</v>
      </c>
      <c r="C240" s="61" t="str">
        <f aca="false">_xlfn.xlookup(B240,Spec!A:A,Spec!C:C)</f>
        <v>AKO</v>
      </c>
      <c r="D240" s="69" t="str">
        <f aca="false">_xlfn.xlookup(B240,Spec!A:A,Spec!D:D)</f>
        <v>AP1019</v>
      </c>
      <c r="E240" s="15" t="s">
        <v>124</v>
      </c>
      <c r="F240" s="15" t="str">
        <f aca="false">_xlfn.xlookup(E240,Clients!B:B,Clients!D:D,FALSE())</f>
        <v>F</v>
      </c>
      <c r="G240" s="42" t="n">
        <v>2212</v>
      </c>
      <c r="H240" s="15" t="s">
        <v>602</v>
      </c>
      <c r="I240" s="61" t="str">
        <f aca="false">_xlfn.xlookup(B240,Spec!A:A,Spec!B:B)</f>
        <v>S21-1</v>
      </c>
      <c r="J240" s="61" t="str">
        <f aca="false">_xlfn.xlookup(B240,Spec!A:A,Spec!J:J)</f>
        <v>SG - Hotmelt Adhesive</v>
      </c>
      <c r="K240" s="61" t="str">
        <f aca="false">_xlfn.xlookup(B240,Spec!A:A,Spec!E:E)</f>
        <v>Self Adhesive Paper</v>
      </c>
      <c r="L240" s="61" t="str">
        <f aca="false">IF(F240="F","Larg: "&amp;P240&amp;"po   Long: "&amp;Q240&amp;"pi","W: "&amp;P240&amp;"in   L: "&amp;Q240&amp;"ft")</f>
        <v>Larg: 5po   Long: 5000pi</v>
      </c>
      <c r="N240" s="90" t="n">
        <v>0.27</v>
      </c>
      <c r="O240" s="43" t="s">
        <v>554</v>
      </c>
      <c r="P240" s="72" t="n">
        <v>5</v>
      </c>
      <c r="Q240" s="73" t="n">
        <v>5000</v>
      </c>
      <c r="R240" s="83" t="n">
        <f aca="false">P240*12*Q240/1000</f>
        <v>300</v>
      </c>
      <c r="S240" s="88" t="str">
        <f aca="false">_xlfn.xlookup(E240,Clients!B:B,Clients!D:D,FALSE())</f>
        <v>F</v>
      </c>
      <c r="T240" s="84" t="n">
        <f aca="false">IF(O240="msi",P240*12*Q240/1000*N240,IF(O240="sqm",P240/1000*Q240,N240))</f>
        <v>81</v>
      </c>
      <c r="U240" s="61" t="str">
        <f aca="false">IF(F240="F","roul.","roll")</f>
        <v>roul.</v>
      </c>
      <c r="V240" s="61" t="str">
        <f aca="false">_xlfn.xlookup(E240,Clients!B:B,Clients!X:X,FALSE())</f>
        <v>USD</v>
      </c>
      <c r="X240" s="89" t="n">
        <f aca="false">IF(V240=Z240,N240,N240*W240)</f>
        <v>0.27</v>
      </c>
      <c r="Y240" s="61" t="str">
        <f aca="false">O240</f>
        <v>msi</v>
      </c>
      <c r="Z240" s="61" t="str">
        <f aca="false">_xlfn.xlookup(E240,Clients!B:B,Clients!Y:Y,FALSE())</f>
        <v>USD</v>
      </c>
      <c r="AA240" s="61" t="str">
        <f aca="false">_xlfn.xlookup(B240,Spec!A:A,Spec!K:K,FALSE())</f>
        <v>Canada</v>
      </c>
      <c r="AB240" s="61" t="n">
        <f aca="false">_xlfn.xlookup(B240,Spec!A:A,Spec!L:L,FALSE())</f>
        <v>4811.41</v>
      </c>
    </row>
    <row r="241" customFormat="false" ht="14.25" hidden="false" customHeight="false" outlineLevel="0" collapsed="false">
      <c r="A241" s="1" t="n">
        <v>40260</v>
      </c>
      <c r="B241" s="1" t="n">
        <v>20024</v>
      </c>
      <c r="C241" s="61" t="str">
        <f aca="false">_xlfn.xlookup(B241,Spec!A:A,Spec!C:C)</f>
        <v>Jinda</v>
      </c>
      <c r="D241" s="69" t="str">
        <f aca="false">_xlfn.xlookup(B241,Spec!A:A,Spec!D:D)</f>
        <v>0410664</v>
      </c>
      <c r="E241" s="15" t="s">
        <v>296</v>
      </c>
      <c r="F241" s="15" t="str">
        <f aca="false">_xlfn.xlookup(E241,Clients!B:B,Clients!D:D,FALSE())</f>
        <v>F</v>
      </c>
      <c r="G241" s="42"/>
      <c r="H241" s="15" t="s">
        <v>669</v>
      </c>
      <c r="I241" s="61" t="str">
        <f aca="false">_xlfn.xlookup(B241,Spec!A:A,Spec!B:B)</f>
        <v>D11-3</v>
      </c>
      <c r="J241" s="61" t="str">
        <f aca="false">_xlfn.xlookup(B241,Spec!A:A,Spec!J:J)</f>
        <v>TC DT - Hotmelt Adhesive</v>
      </c>
      <c r="K241" s="61" t="str">
        <f aca="false">_xlfn.xlookup(B241,Spec!A:A,Spec!E:E)</f>
        <v>Self Adhesive Paper</v>
      </c>
      <c r="L241" s="61" t="str">
        <f aca="false">IF(F241="F","Larg: "&amp;P241&amp;"po   Long: "&amp;Q241&amp;"pi","W: "&amp;P241&amp;"in   L: "&amp;Q241&amp;"ft")</f>
        <v>Larg: 9.5po   Long: 5000pi</v>
      </c>
      <c r="N241" s="90" t="n">
        <v>0.472</v>
      </c>
      <c r="O241" s="43" t="s">
        <v>554</v>
      </c>
      <c r="P241" s="72" t="n">
        <v>9.5</v>
      </c>
      <c r="Q241" s="73" t="n">
        <v>5000</v>
      </c>
      <c r="R241" s="83" t="n">
        <f aca="false">P241*12*Q241/1000</f>
        <v>570</v>
      </c>
      <c r="S241" s="88" t="str">
        <f aca="false">_xlfn.xlookup(E241,Clients!B:B,Clients!D:D,FALSE())</f>
        <v>F</v>
      </c>
      <c r="T241" s="84" t="n">
        <f aca="false">IF(O241="msi",P241*12*Q241/1000*N241,IF(O241="sqm",P241/1000*Q241,N241))</f>
        <v>269.04</v>
      </c>
      <c r="U241" s="61" t="str">
        <f aca="false">IF(F241="F","roul.","roll")</f>
        <v>roul.</v>
      </c>
      <c r="V241" s="61" t="str">
        <f aca="false">_xlfn.xlookup(E241,Clients!B:B,Clients!X:X,FALSE())</f>
        <v>CAD</v>
      </c>
      <c r="X241" s="89" t="n">
        <f aca="false">IF(V241=Z241,N241,N241*W241)</f>
        <v>0.472</v>
      </c>
      <c r="Y241" s="61" t="str">
        <f aca="false">O241</f>
        <v>msi</v>
      </c>
      <c r="Z241" s="61" t="str">
        <f aca="false">_xlfn.xlookup(E241,Clients!B:B,Clients!Y:Y,FALSE())</f>
        <v>CAD</v>
      </c>
      <c r="AA241" s="61" t="str">
        <f aca="false">_xlfn.xlookup(B241,Spec!A:A,Spec!K:K,FALSE())</f>
        <v>Canada</v>
      </c>
      <c r="AB241" s="61" t="n">
        <f aca="false">_xlfn.xlookup(B241,Spec!A:A,Spec!L:L,FALSE())</f>
        <v>4811.41</v>
      </c>
    </row>
    <row r="242" customFormat="false" ht="14.25" hidden="false" customHeight="false" outlineLevel="0" collapsed="false">
      <c r="A242" s="1" t="n">
        <v>40261</v>
      </c>
      <c r="C242" s="61" t="n">
        <f aca="false">_xlfn.xlookup(B242,Spec!A:A,Spec!C:C)</f>
        <v>0</v>
      </c>
      <c r="D242" s="69" t="n">
        <f aca="false">_xlfn.xlookup(B242,Spec!A:A,Spec!D:D)</f>
        <v>0</v>
      </c>
      <c r="E242" s="15"/>
      <c r="F242" s="15" t="n">
        <f aca="false">_xlfn.xlookup(E242,Clients!B:B,Clients!D:D,FALSE())</f>
        <v>0</v>
      </c>
      <c r="G242" s="42"/>
      <c r="I242" s="61" t="n">
        <f aca="false">_xlfn.xlookup(B242,Spec!A:A,Spec!B:B)</f>
        <v>0</v>
      </c>
      <c r="J242" s="61" t="n">
        <f aca="false">_xlfn.xlookup(B242,Spec!A:A,Spec!J:J)</f>
        <v>0</v>
      </c>
      <c r="K242" s="61" t="n">
        <f aca="false">_xlfn.xlookup(B242,Spec!A:A,Spec!E:E)</f>
        <v>0</v>
      </c>
      <c r="L242" s="61" t="str">
        <f aca="false">IF(F242="F","Larg: "&amp;P242&amp;"po   Long: "&amp;Q242&amp;"pi","W: "&amp;P242&amp;"in   L: "&amp;Q242&amp;"ft")</f>
        <v>W: in   L: ft</v>
      </c>
      <c r="N242" s="43"/>
      <c r="O242" s="43" t="s">
        <v>554</v>
      </c>
      <c r="P242" s="72"/>
      <c r="Q242" s="73"/>
      <c r="R242" s="83" t="n">
        <f aca="false">P242*12*Q242/1000</f>
        <v>0</v>
      </c>
      <c r="S242" s="88" t="n">
        <f aca="false">_xlfn.xlookup(E242,Clients!B:B,Clients!D:D,FALSE())</f>
        <v>0</v>
      </c>
      <c r="T242" s="84" t="n">
        <f aca="false">IF(O242="msi",P242*12*Q242/1000*N242,IF(O242="sqm",P242/1000*Q242,N242))</f>
        <v>0</v>
      </c>
      <c r="U242" s="61" t="str">
        <f aca="false">IF(F242="F","roul.","roll")</f>
        <v>roll</v>
      </c>
      <c r="V242" s="61" t="n">
        <f aca="false">_xlfn.xlookup(E242,Clients!B:B,Clients!X:X,FALSE())</f>
        <v>0</v>
      </c>
      <c r="X242" s="89" t="n">
        <f aca="false">IF(V242=Z242,N242,N242*W242)</f>
        <v>0</v>
      </c>
      <c r="Y242" s="61" t="str">
        <f aca="false">O242</f>
        <v>msi</v>
      </c>
      <c r="Z242" s="61" t="n">
        <f aca="false">_xlfn.xlookup(E242,Clients!B:B,Clients!Y:Y,FALSE())</f>
        <v>0</v>
      </c>
      <c r="AA242" s="61" t="n">
        <f aca="false">_xlfn.xlookup(B242,Spec!A:A,Spec!K:K,FALSE())</f>
        <v>0</v>
      </c>
      <c r="AB242" s="61" t="n">
        <f aca="false">_xlfn.xlookup(B242,Spec!A:A,Spec!L:L,FALSE())</f>
        <v>0</v>
      </c>
    </row>
    <row r="243" customFormat="false" ht="14.25" hidden="false" customHeight="false" outlineLevel="0" collapsed="false">
      <c r="A243" s="1" t="n">
        <v>40262</v>
      </c>
      <c r="C243" s="61" t="n">
        <f aca="false">_xlfn.xlookup(B243,Spec!A:A,Spec!C:C)</f>
        <v>0</v>
      </c>
      <c r="D243" s="69" t="n">
        <f aca="false">_xlfn.xlookup(B243,Spec!A:A,Spec!D:D)</f>
        <v>0</v>
      </c>
      <c r="E243" s="15"/>
      <c r="F243" s="15" t="n">
        <f aca="false">_xlfn.xlookup(E243,Clients!B:B,Clients!D:D,FALSE())</f>
        <v>0</v>
      </c>
      <c r="G243" s="42"/>
      <c r="I243" s="61" t="n">
        <f aca="false">_xlfn.xlookup(B243,Spec!A:A,Spec!B:B)</f>
        <v>0</v>
      </c>
      <c r="J243" s="61" t="n">
        <f aca="false">_xlfn.xlookup(B243,Spec!A:A,Spec!J:J)</f>
        <v>0</v>
      </c>
      <c r="K243" s="61" t="n">
        <f aca="false">_xlfn.xlookup(B243,Spec!A:A,Spec!E:E)</f>
        <v>0</v>
      </c>
      <c r="L243" s="61" t="str">
        <f aca="false">IF(F243="F","Larg: "&amp;P243&amp;"po   Long: "&amp;Q243&amp;"pi","W: "&amp;P243&amp;"in   L: "&amp;Q243&amp;"ft")</f>
        <v>W: in   L: ft</v>
      </c>
      <c r="N243" s="43"/>
      <c r="O243" s="43" t="s">
        <v>554</v>
      </c>
      <c r="P243" s="72"/>
      <c r="Q243" s="73"/>
      <c r="R243" s="83" t="n">
        <f aca="false">P243*12*Q243/1000</f>
        <v>0</v>
      </c>
      <c r="S243" s="88" t="n">
        <f aca="false">_xlfn.xlookup(E243,Clients!B:B,Clients!D:D,FALSE())</f>
        <v>0</v>
      </c>
      <c r="T243" s="84" t="n">
        <f aca="false">IF(O243="msi",P243*12*Q243/1000*N243,IF(O243="sqm",P243/1000*Q243,N243))</f>
        <v>0</v>
      </c>
      <c r="U243" s="61" t="str">
        <f aca="false">IF(F243="F","roul.","roll")</f>
        <v>roll</v>
      </c>
      <c r="V243" s="61" t="n">
        <f aca="false">_xlfn.xlookup(E243,Clients!B:B,Clients!X:X,FALSE())</f>
        <v>0</v>
      </c>
      <c r="X243" s="89" t="n">
        <f aca="false">IF(V243=Z243,N243,N243*W243)</f>
        <v>0</v>
      </c>
      <c r="Y243" s="61" t="str">
        <f aca="false">O243</f>
        <v>msi</v>
      </c>
      <c r="Z243" s="61" t="n">
        <f aca="false">_xlfn.xlookup(E243,Clients!B:B,Clients!Y:Y,FALSE())</f>
        <v>0</v>
      </c>
      <c r="AA243" s="61" t="n">
        <f aca="false">_xlfn.xlookup(B243,Spec!A:A,Spec!K:K,FALSE())</f>
        <v>0</v>
      </c>
      <c r="AB243" s="61" t="n">
        <f aca="false">_xlfn.xlookup(B243,Spec!A:A,Spec!L:L,FALSE())</f>
        <v>0</v>
      </c>
    </row>
    <row r="244" customFormat="false" ht="14.25" hidden="false" customHeight="false" outlineLevel="0" collapsed="false">
      <c r="A244" s="1" t="n">
        <v>40263</v>
      </c>
      <c r="C244" s="61" t="n">
        <f aca="false">_xlfn.xlookup(B244,Spec!A:A,Spec!C:C)</f>
        <v>0</v>
      </c>
      <c r="D244" s="69" t="n">
        <f aca="false">_xlfn.xlookup(B244,Spec!A:A,Spec!D:D)</f>
        <v>0</v>
      </c>
      <c r="E244" s="15"/>
      <c r="F244" s="15" t="n">
        <f aca="false">_xlfn.xlookup(E244,Clients!B:B,Clients!D:D,FALSE())</f>
        <v>0</v>
      </c>
      <c r="G244" s="42"/>
      <c r="I244" s="61" t="n">
        <f aca="false">_xlfn.xlookup(B244,Spec!A:A,Spec!B:B)</f>
        <v>0</v>
      </c>
      <c r="J244" s="61" t="n">
        <f aca="false">_xlfn.xlookup(B244,Spec!A:A,Spec!J:J)</f>
        <v>0</v>
      </c>
      <c r="K244" s="61" t="n">
        <f aca="false">_xlfn.xlookup(B244,Spec!A:A,Spec!E:E)</f>
        <v>0</v>
      </c>
      <c r="L244" s="61" t="str">
        <f aca="false">IF(F244="F","Larg: "&amp;P244&amp;"po   Long: "&amp;Q244&amp;"pi","W: "&amp;P244&amp;"in   L: "&amp;Q244&amp;"ft")</f>
        <v>W: in   L: ft</v>
      </c>
      <c r="N244" s="43"/>
      <c r="O244" s="43" t="s">
        <v>554</v>
      </c>
      <c r="P244" s="72"/>
      <c r="Q244" s="73"/>
      <c r="R244" s="83" t="n">
        <f aca="false">P244*12*Q244/1000</f>
        <v>0</v>
      </c>
      <c r="S244" s="88" t="n">
        <f aca="false">_xlfn.xlookup(E244,Clients!B:B,Clients!D:D,FALSE())</f>
        <v>0</v>
      </c>
      <c r="T244" s="84" t="n">
        <f aca="false">IF(O244="msi",P244*12*Q244/1000*N244,IF(O244="sqm",P244/1000*Q244,N244))</f>
        <v>0</v>
      </c>
      <c r="U244" s="61" t="str">
        <f aca="false">IF(F244="F","roul.","roll")</f>
        <v>roll</v>
      </c>
      <c r="V244" s="61" t="n">
        <f aca="false">_xlfn.xlookup(E244,Clients!B:B,Clients!X:X,FALSE())</f>
        <v>0</v>
      </c>
      <c r="X244" s="89" t="n">
        <f aca="false">IF(V244=Z244,N244,N244*W244)</f>
        <v>0</v>
      </c>
      <c r="Y244" s="61" t="str">
        <f aca="false">O244</f>
        <v>msi</v>
      </c>
      <c r="Z244" s="61" t="n">
        <f aca="false">_xlfn.xlookup(E244,Clients!B:B,Clients!Y:Y,FALSE())</f>
        <v>0</v>
      </c>
      <c r="AA244" s="61" t="n">
        <f aca="false">_xlfn.xlookup(B244,Spec!A:A,Spec!K:K,FALSE())</f>
        <v>0</v>
      </c>
      <c r="AB244" s="61" t="n">
        <f aca="false">_xlfn.xlookup(B244,Spec!A:A,Spec!L:L,FALSE())</f>
        <v>0</v>
      </c>
    </row>
  </sheetData>
  <conditionalFormatting sqref="W3:W244">
    <cfRule type="expression" priority="2" aboveAverage="0" equalAverage="0" bottom="0" percent="0" rank="0" text="" dxfId="14">
      <formula>$V3&lt;&gt;$Z3</formula>
    </cfRule>
  </conditionalFormatting>
  <dataValidations count="2">
    <dataValidation allowBlank="true" errorStyle="stop" operator="between" showDropDown="false" showErrorMessage="true" showInputMessage="true" sqref="E82:E83" type="list">
      <formula1>Clients!$B$2:$B$19</formula1>
      <formula2>0</formula2>
    </dataValidation>
    <dataValidation allowBlank="true" errorStyle="stop" operator="between" showDropDown="false" showErrorMessage="true" showInputMessage="true" sqref="E3 E5:E15 E17:E22 E35 E49 E53:E55 E58:E61 E66:E74 E79:E81 E84:E112 E117:E118 E123:E244" type="list">
      <formula1>Clients!$B:$B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  <tableParts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B203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pane xSplit="5" ySplit="1" topLeftCell="L137" activePane="bottomRight" state="frozen"/>
      <selection pane="topLeft" activeCell="A1" activeCellId="0" sqref="A1"/>
      <selection pane="topRight" activeCell="L1" activeCellId="0" sqref="L1"/>
      <selection pane="bottomLeft" activeCell="A137" activeCellId="0" sqref="A137"/>
      <selection pane="bottomRight" activeCell="Q148" activeCellId="0" sqref="Q148"/>
    </sheetView>
  </sheetViews>
  <sheetFormatPr defaultColWidth="9.3046875" defaultRowHeight="14.25" zeroHeight="false" outlineLevelRow="0" outlineLevelCol="0"/>
  <cols>
    <col collapsed="false" customWidth="true" hidden="false" outlineLevel="0" max="1" min="1" style="9" width="9"/>
    <col collapsed="false" customWidth="true" hidden="false" outlineLevel="0" max="2" min="2" style="9" width="9.8"/>
    <col collapsed="false" customWidth="true" hidden="false" outlineLevel="0" max="3" min="3" style="92" width="30"/>
    <col collapsed="false" customWidth="true" hidden="false" outlineLevel="0" max="4" min="4" style="92" width="24.15"/>
    <col collapsed="false" customWidth="true" hidden="false" outlineLevel="0" max="5" min="5" style="92" width="12.53"/>
    <col collapsed="false" customWidth="true" hidden="false" outlineLevel="0" max="6" min="6" style="92" width="16.53"/>
    <col collapsed="false" customWidth="true" hidden="false" outlineLevel="0" max="7" min="7" style="92" width="17.69"/>
    <col collapsed="false" customWidth="true" hidden="false" outlineLevel="0" max="8" min="8" style="92" width="16.15"/>
    <col collapsed="false" customWidth="true" hidden="false" outlineLevel="0" max="9" min="9" style="92" width="16.84"/>
    <col collapsed="false" customWidth="true" hidden="false" outlineLevel="0" max="10" min="10" style="92" width="11.15"/>
    <col collapsed="false" customWidth="true" hidden="false" outlineLevel="0" max="11" min="11" style="92" width="15.69"/>
    <col collapsed="false" customWidth="true" hidden="false" outlineLevel="0" max="12" min="12" style="93" width="14.69"/>
    <col collapsed="false" customWidth="true" hidden="false" outlineLevel="0" max="13" min="13" style="93" width="8.53"/>
    <col collapsed="false" customWidth="true" hidden="false" outlineLevel="0" max="14" min="14" style="93" width="10.53"/>
    <col collapsed="false" customWidth="true" hidden="false" outlineLevel="0" max="15" min="15" style="93" width="9.69"/>
    <col collapsed="false" customWidth="true" hidden="false" outlineLevel="0" max="16" min="16" style="93" width="11.38"/>
    <col collapsed="false" customWidth="true" hidden="false" outlineLevel="0" max="17" min="17" style="93" width="9.69"/>
    <col collapsed="false" customWidth="true" hidden="false" outlineLevel="0" max="18" min="18" style="93" width="8.53"/>
    <col collapsed="false" customWidth="true" hidden="false" outlineLevel="0" max="19" min="19" style="93" width="9.69"/>
    <col collapsed="false" customWidth="true" hidden="false" outlineLevel="0" max="20" min="20" style="93" width="9.84"/>
    <col collapsed="false" customWidth="true" hidden="false" outlineLevel="0" max="21" min="21" style="93" width="9.69"/>
    <col collapsed="false" customWidth="true" hidden="false" outlineLevel="0" max="22" min="22" style="93" width="8.84"/>
    <col collapsed="false" customWidth="true" hidden="false" outlineLevel="0" max="23" min="23" style="93" width="9.69"/>
    <col collapsed="false" customWidth="true" hidden="false" outlineLevel="0" max="24" min="24" style="93" width="10.38"/>
    <col collapsed="false" customWidth="true" hidden="false" outlineLevel="0" max="25" min="25" style="93" width="9.69"/>
    <col collapsed="false" customWidth="true" hidden="false" outlineLevel="0" max="26" min="26" style="93" width="8.53"/>
    <col collapsed="false" customWidth="true" hidden="false" outlineLevel="0" max="27" min="27" style="93" width="9.69"/>
    <col collapsed="false" customWidth="true" hidden="false" outlineLevel="0" max="28" min="28" style="93" width="8.53"/>
    <col collapsed="false" customWidth="true" hidden="false" outlineLevel="0" max="29" min="29" style="93" width="9.69"/>
    <col collapsed="false" customWidth="true" hidden="false" outlineLevel="0" max="30" min="30" style="93" width="8.84"/>
    <col collapsed="false" customWidth="true" hidden="false" outlineLevel="0" max="31" min="31" style="93" width="9.69"/>
    <col collapsed="false" customWidth="true" hidden="false" outlineLevel="0" max="32" min="32" style="93" width="10.38"/>
    <col collapsed="false" customWidth="true" hidden="false" outlineLevel="0" max="33" min="33" style="93" width="9.69"/>
    <col collapsed="false" customWidth="true" hidden="false" outlineLevel="0" max="34" min="34" style="93" width="8.53"/>
    <col collapsed="false" customWidth="true" hidden="false" outlineLevel="0" max="35" min="35" style="93" width="9.69"/>
    <col collapsed="false" customWidth="true" hidden="false" outlineLevel="0" max="36" min="36" style="93" width="8.53"/>
    <col collapsed="false" customWidth="true" hidden="false" outlineLevel="0" max="37" min="37" style="93" width="9.69"/>
    <col collapsed="false" customWidth="true" hidden="false" outlineLevel="0" max="38" min="38" style="93" width="8.84"/>
    <col collapsed="false" customWidth="true" hidden="false" outlineLevel="0" max="39" min="39" style="93" width="9.69"/>
    <col collapsed="false" customWidth="true" hidden="false" outlineLevel="0" max="40" min="40" style="93" width="10.38"/>
    <col collapsed="false" customWidth="true" hidden="false" outlineLevel="0" max="41" min="41" style="93" width="9.69"/>
    <col collapsed="false" customWidth="true" hidden="false" outlineLevel="0" max="42" min="42" style="93" width="8.53"/>
    <col collapsed="false" customWidth="true" hidden="false" outlineLevel="0" max="43" min="43" style="93" width="9.69"/>
    <col collapsed="false" customWidth="true" hidden="false" outlineLevel="0" max="44" min="44" style="93" width="8.53"/>
    <col collapsed="false" customWidth="true" hidden="false" outlineLevel="0" max="45" min="45" style="93" width="9.69"/>
    <col collapsed="false" customWidth="true" hidden="false" outlineLevel="0" max="46" min="46" style="93" width="8.84"/>
    <col collapsed="false" customWidth="true" hidden="false" outlineLevel="0" max="47" min="47" style="93" width="9.69"/>
    <col collapsed="false" customWidth="true" hidden="false" outlineLevel="0" max="48" min="48" style="93" width="10.38"/>
    <col collapsed="false" customWidth="true" hidden="false" outlineLevel="0" max="49" min="49" style="93" width="9.69"/>
    <col collapsed="false" customWidth="true" hidden="false" outlineLevel="0" max="50" min="50" style="93" width="8.53"/>
    <col collapsed="false" customWidth="true" hidden="false" outlineLevel="0" max="51" min="51" style="93" width="9.69"/>
    <col collapsed="false" customWidth="true" hidden="false" outlineLevel="0" max="52" min="52" style="93" width="8.53"/>
    <col collapsed="false" customWidth="true" hidden="false" outlineLevel="0" max="53" min="53" style="93" width="9.69"/>
    <col collapsed="false" customWidth="true" hidden="false" outlineLevel="0" max="54" min="54" style="93" width="8.84"/>
    <col collapsed="false" customWidth="false" hidden="false" outlineLevel="0" max="16384" min="55" style="92" width="9.3"/>
  </cols>
  <sheetData>
    <row r="1" customFormat="false" ht="46.25" hidden="false" customHeight="false" outlineLevel="0" collapsed="false">
      <c r="A1" s="94" t="s">
        <v>699</v>
      </c>
      <c r="B1" s="94" t="s">
        <v>700</v>
      </c>
      <c r="C1" s="95" t="s">
        <v>701</v>
      </c>
      <c r="D1" s="95" t="s">
        <v>702</v>
      </c>
      <c r="E1" s="95" t="s">
        <v>703</v>
      </c>
      <c r="F1" s="95" t="s">
        <v>704</v>
      </c>
      <c r="G1" s="95" t="s">
        <v>705</v>
      </c>
      <c r="H1" s="95" t="s">
        <v>706</v>
      </c>
      <c r="I1" s="95" t="s">
        <v>707</v>
      </c>
      <c r="J1" s="95" t="s">
        <v>708</v>
      </c>
      <c r="K1" s="95" t="s">
        <v>709</v>
      </c>
      <c r="L1" s="96" t="s">
        <v>710</v>
      </c>
      <c r="M1" s="96" t="s">
        <v>711</v>
      </c>
      <c r="N1" s="96" t="s">
        <v>544</v>
      </c>
      <c r="O1" s="97" t="s">
        <v>712</v>
      </c>
      <c r="P1" s="97" t="s">
        <v>713</v>
      </c>
      <c r="Q1" s="97" t="s">
        <v>714</v>
      </c>
      <c r="R1" s="97" t="s">
        <v>715</v>
      </c>
      <c r="S1" s="96" t="s">
        <v>716</v>
      </c>
      <c r="T1" s="96" t="s">
        <v>717</v>
      </c>
      <c r="U1" s="96" t="s">
        <v>718</v>
      </c>
      <c r="V1" s="96" t="s">
        <v>719</v>
      </c>
      <c r="W1" s="97" t="s">
        <v>720</v>
      </c>
      <c r="X1" s="97" t="s">
        <v>721</v>
      </c>
      <c r="Y1" s="97" t="s">
        <v>722</v>
      </c>
      <c r="Z1" s="97" t="s">
        <v>723</v>
      </c>
      <c r="AA1" s="96" t="s">
        <v>724</v>
      </c>
      <c r="AB1" s="96" t="s">
        <v>725</v>
      </c>
      <c r="AC1" s="96" t="s">
        <v>726</v>
      </c>
      <c r="AD1" s="96" t="s">
        <v>727</v>
      </c>
      <c r="AE1" s="97" t="s">
        <v>728</v>
      </c>
      <c r="AF1" s="97" t="s">
        <v>729</v>
      </c>
      <c r="AG1" s="97" t="s">
        <v>730</v>
      </c>
      <c r="AH1" s="97" t="s">
        <v>731</v>
      </c>
      <c r="AI1" s="96" t="s">
        <v>732</v>
      </c>
      <c r="AJ1" s="96" t="s">
        <v>733</v>
      </c>
      <c r="AK1" s="96" t="s">
        <v>734</v>
      </c>
      <c r="AL1" s="96" t="s">
        <v>735</v>
      </c>
      <c r="AM1" s="97" t="s">
        <v>736</v>
      </c>
      <c r="AN1" s="97" t="s">
        <v>737</v>
      </c>
      <c r="AO1" s="97" t="s">
        <v>738</v>
      </c>
      <c r="AP1" s="97" t="s">
        <v>739</v>
      </c>
      <c r="AQ1" s="96" t="s">
        <v>740</v>
      </c>
      <c r="AR1" s="96" t="s">
        <v>741</v>
      </c>
      <c r="AS1" s="96" t="s">
        <v>742</v>
      </c>
      <c r="AT1" s="96" t="s">
        <v>743</v>
      </c>
      <c r="AU1" s="97" t="s">
        <v>744</v>
      </c>
      <c r="AV1" s="97" t="s">
        <v>745</v>
      </c>
      <c r="AW1" s="97" t="s">
        <v>746</v>
      </c>
      <c r="AX1" s="97" t="s">
        <v>747</v>
      </c>
      <c r="AY1" s="96" t="s">
        <v>748</v>
      </c>
      <c r="AZ1" s="96" t="s">
        <v>749</v>
      </c>
      <c r="BA1" s="96" t="s">
        <v>750</v>
      </c>
      <c r="BB1" s="96" t="s">
        <v>751</v>
      </c>
    </row>
    <row r="2" customFormat="false" ht="14.25" hidden="false" customHeight="false" outlineLevel="0" collapsed="false">
      <c r="A2" s="98" t="n">
        <v>150</v>
      </c>
      <c r="B2" s="98"/>
      <c r="C2" s="11" t="s">
        <v>66</v>
      </c>
      <c r="D2" s="11" t="s">
        <v>66</v>
      </c>
      <c r="E2" s="99" t="n">
        <v>45261</v>
      </c>
      <c r="F2" s="11" t="s">
        <v>752</v>
      </c>
      <c r="G2" s="11" t="s">
        <v>753</v>
      </c>
      <c r="H2" s="11"/>
      <c r="I2" s="100"/>
      <c r="J2" s="100" t="str">
        <f aca="false">_xlfn.xlookup(C2,Clients!$B$1:$B$1001,Clients!$M$1:$M$1001,FALSE())</f>
        <v>Net 30 days</v>
      </c>
      <c r="K2" s="100" t="s">
        <v>73</v>
      </c>
      <c r="L2" s="101"/>
      <c r="M2" s="98"/>
      <c r="N2" s="98"/>
      <c r="O2" s="102" t="n">
        <v>40021</v>
      </c>
      <c r="P2" s="102"/>
      <c r="Q2" s="102" t="n">
        <v>24</v>
      </c>
      <c r="R2" s="102"/>
      <c r="S2" s="103"/>
      <c r="T2" s="103"/>
      <c r="U2" s="103"/>
      <c r="V2" s="103"/>
      <c r="W2" s="102"/>
      <c r="X2" s="102"/>
      <c r="Y2" s="102"/>
      <c r="Z2" s="102"/>
      <c r="AA2" s="9"/>
      <c r="AB2" s="9"/>
      <c r="AC2" s="9"/>
      <c r="AD2" s="103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</row>
    <row r="3" customFormat="false" ht="14.25" hidden="false" customHeight="false" outlineLevel="0" collapsed="false">
      <c r="A3" s="98" t="n">
        <v>151</v>
      </c>
      <c r="B3" s="98"/>
      <c r="C3" s="11" t="s">
        <v>31</v>
      </c>
      <c r="D3" s="11" t="s">
        <v>31</v>
      </c>
      <c r="E3" s="99" t="n">
        <v>45288</v>
      </c>
      <c r="F3" s="11" t="n">
        <v>50007541</v>
      </c>
      <c r="G3" s="11" t="s">
        <v>754</v>
      </c>
      <c r="H3" s="11"/>
      <c r="I3" s="100"/>
      <c r="J3" s="100" t="str">
        <f aca="false">_xlfn.xlookup(C3,Clients!$B$1:$B$1001,Clients!$M$1:$M$1001,FALSE())</f>
        <v>Net 30 days</v>
      </c>
      <c r="K3" s="100" t="s">
        <v>47</v>
      </c>
      <c r="L3" s="101"/>
      <c r="M3" s="98"/>
      <c r="N3" s="98"/>
      <c r="O3" s="102" t="n">
        <v>40020</v>
      </c>
      <c r="P3" s="102"/>
      <c r="Q3" s="102" t="n">
        <v>12</v>
      </c>
      <c r="R3" s="102"/>
      <c r="S3" s="103"/>
      <c r="T3" s="103"/>
      <c r="U3" s="103"/>
      <c r="V3" s="103"/>
      <c r="W3" s="102"/>
      <c r="X3" s="102"/>
      <c r="Y3" s="102"/>
      <c r="Z3" s="102"/>
      <c r="AA3" s="103"/>
      <c r="AB3" s="103"/>
      <c r="AC3" s="103"/>
      <c r="AD3" s="103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05"/>
    </row>
    <row r="4" customFormat="false" ht="14.25" hidden="false" customHeight="false" outlineLevel="0" collapsed="false">
      <c r="A4" s="98" t="n">
        <v>152</v>
      </c>
      <c r="B4" s="98"/>
      <c r="C4" s="11" t="s">
        <v>31</v>
      </c>
      <c r="D4" s="11" t="s">
        <v>31</v>
      </c>
      <c r="E4" s="99" t="n">
        <v>45292</v>
      </c>
      <c r="F4" s="11" t="s">
        <v>755</v>
      </c>
      <c r="G4" s="11"/>
      <c r="H4" s="11"/>
      <c r="I4" s="98"/>
      <c r="J4" s="100"/>
      <c r="K4" s="100" t="s">
        <v>756</v>
      </c>
      <c r="L4" s="101"/>
      <c r="M4" s="98"/>
      <c r="N4" s="98"/>
      <c r="O4" s="102" t="n">
        <v>40010</v>
      </c>
      <c r="P4" s="102"/>
      <c r="Q4" s="102" t="n">
        <v>1</v>
      </c>
      <c r="R4" s="102"/>
      <c r="S4" s="103"/>
      <c r="T4" s="103"/>
      <c r="U4" s="103"/>
      <c r="V4" s="103"/>
      <c r="W4" s="102"/>
      <c r="X4" s="102"/>
      <c r="Y4" s="102"/>
      <c r="Z4" s="102"/>
      <c r="AA4" s="103"/>
      <c r="AB4" s="103"/>
      <c r="AC4" s="103"/>
      <c r="AD4" s="103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05"/>
    </row>
    <row r="5" customFormat="false" ht="14.25" hidden="false" customHeight="false" outlineLevel="0" collapsed="false">
      <c r="A5" s="98" t="n">
        <v>153</v>
      </c>
      <c r="B5" s="98"/>
      <c r="C5" s="11" t="s">
        <v>51</v>
      </c>
      <c r="D5" s="11" t="s">
        <v>51</v>
      </c>
      <c r="E5" s="99" t="n">
        <v>45292</v>
      </c>
      <c r="F5" s="11" t="s">
        <v>757</v>
      </c>
      <c r="G5" s="11"/>
      <c r="H5" s="11"/>
      <c r="I5" s="100"/>
      <c r="J5" s="100"/>
      <c r="K5" s="100" t="s">
        <v>64</v>
      </c>
      <c r="L5" s="101"/>
      <c r="M5" s="98"/>
      <c r="N5" s="98"/>
      <c r="O5" s="102" t="n">
        <v>40011</v>
      </c>
      <c r="P5" s="102"/>
      <c r="Q5" s="102" t="n">
        <v>1</v>
      </c>
      <c r="R5" s="102"/>
      <c r="S5" s="103"/>
      <c r="T5" s="103"/>
      <c r="U5" s="103"/>
      <c r="V5" s="103"/>
      <c r="W5" s="102"/>
      <c r="X5" s="102"/>
      <c r="Y5" s="102"/>
      <c r="Z5" s="102"/>
      <c r="AA5" s="103"/>
      <c r="AB5" s="103"/>
      <c r="AC5" s="103"/>
      <c r="AD5" s="103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  <c r="AP5" s="105"/>
      <c r="AQ5" s="105"/>
      <c r="AR5" s="105"/>
      <c r="AS5" s="105"/>
      <c r="AT5" s="105"/>
      <c r="AU5" s="105"/>
      <c r="AV5" s="105"/>
      <c r="AW5" s="105"/>
      <c r="AX5" s="105"/>
      <c r="AY5" s="105"/>
      <c r="AZ5" s="105"/>
      <c r="BA5" s="105"/>
      <c r="BB5" s="105"/>
    </row>
    <row r="6" customFormat="false" ht="14.25" hidden="false" customHeight="false" outlineLevel="0" collapsed="false">
      <c r="A6" s="98" t="n">
        <v>154</v>
      </c>
      <c r="B6" s="98"/>
      <c r="C6" s="11" t="s">
        <v>66</v>
      </c>
      <c r="D6" s="11" t="s">
        <v>66</v>
      </c>
      <c r="E6" s="99" t="n">
        <v>45275</v>
      </c>
      <c r="F6" s="11" t="n">
        <v>113350</v>
      </c>
      <c r="G6" s="11" t="s">
        <v>753</v>
      </c>
      <c r="H6" s="11"/>
      <c r="I6" s="100"/>
      <c r="J6" s="100" t="str">
        <f aca="false">_xlfn.xlookup(C6,Clients!$B$1:$B$1001,Clients!$M$1:$M$1001,FALSE())</f>
        <v>Net 30 days</v>
      </c>
      <c r="K6" s="100" t="s">
        <v>73</v>
      </c>
      <c r="L6" s="101"/>
      <c r="M6" s="98"/>
      <c r="N6" s="98"/>
      <c r="O6" s="102" t="n">
        <v>40022</v>
      </c>
      <c r="P6" s="102"/>
      <c r="Q6" s="102" t="n">
        <v>105</v>
      </c>
      <c r="R6" s="102"/>
      <c r="S6" s="103" t="n">
        <v>40023</v>
      </c>
      <c r="T6" s="103"/>
      <c r="U6" s="103" t="n">
        <v>35</v>
      </c>
      <c r="V6" s="103"/>
      <c r="W6" s="102"/>
      <c r="X6" s="102"/>
      <c r="Y6" s="102"/>
      <c r="Z6" s="102"/>
      <c r="AA6" s="103"/>
      <c r="AB6" s="103"/>
      <c r="AC6" s="103"/>
      <c r="AD6" s="103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5"/>
      <c r="AZ6" s="105"/>
      <c r="BA6" s="105"/>
      <c r="BB6" s="105"/>
    </row>
    <row r="7" customFormat="false" ht="14.25" hidden="false" customHeight="false" outlineLevel="0" collapsed="false">
      <c r="A7" s="98" t="n">
        <v>155</v>
      </c>
      <c r="B7" s="98"/>
      <c r="C7" s="11" t="s">
        <v>66</v>
      </c>
      <c r="D7" s="11" t="s">
        <v>66</v>
      </c>
      <c r="E7" s="99" t="n">
        <v>45295</v>
      </c>
      <c r="F7" s="11" t="n">
        <v>113350</v>
      </c>
      <c r="G7" s="11" t="s">
        <v>753</v>
      </c>
      <c r="H7" s="11"/>
      <c r="I7" s="100"/>
      <c r="J7" s="100" t="str">
        <f aca="false">_xlfn.xlookup(C7,Clients!$B$1:$B$1001,Clients!$M$1:$M$1001,FALSE())</f>
        <v>Net 30 days</v>
      </c>
      <c r="K7" s="100" t="s">
        <v>73</v>
      </c>
      <c r="L7" s="101" t="n">
        <v>45380</v>
      </c>
      <c r="M7" s="98"/>
      <c r="N7" s="98"/>
      <c r="O7" s="102" t="n">
        <v>40024</v>
      </c>
      <c r="P7" s="102"/>
      <c r="Q7" s="102" t="n">
        <v>105</v>
      </c>
      <c r="R7" s="102"/>
      <c r="S7" s="103" t="n">
        <v>40025</v>
      </c>
      <c r="T7" s="103"/>
      <c r="U7" s="103" t="n">
        <v>35</v>
      </c>
      <c r="V7" s="103"/>
      <c r="W7" s="102"/>
      <c r="X7" s="102"/>
      <c r="Y7" s="102"/>
      <c r="Z7" s="102"/>
      <c r="AA7" s="103"/>
      <c r="AB7" s="103"/>
      <c r="AC7" s="103"/>
      <c r="AD7" s="103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5"/>
      <c r="AZ7" s="105"/>
      <c r="BA7" s="105"/>
      <c r="BB7" s="105"/>
    </row>
    <row r="8" customFormat="false" ht="14.25" hidden="false" customHeight="false" outlineLevel="0" collapsed="false">
      <c r="A8" s="98" t="n">
        <v>156</v>
      </c>
      <c r="B8" s="98"/>
      <c r="C8" s="11" t="s">
        <v>74</v>
      </c>
      <c r="D8" s="11" t="s">
        <v>74</v>
      </c>
      <c r="E8" s="99" t="n">
        <v>45405</v>
      </c>
      <c r="F8" s="12" t="s">
        <v>758</v>
      </c>
      <c r="G8" s="11" t="s">
        <v>759</v>
      </c>
      <c r="H8" s="11"/>
      <c r="I8" s="100"/>
      <c r="J8" s="100" t="str">
        <f aca="false">_xlfn.xlookup(C8,Clients!$B$1:$B$1001,Clients!$M$1:$M$1001,FALSE())</f>
        <v>Net 30 jours</v>
      </c>
      <c r="K8" s="100" t="s">
        <v>760</v>
      </c>
      <c r="L8" s="101"/>
      <c r="M8" s="98"/>
      <c r="N8" s="98"/>
      <c r="O8" s="102" t="n">
        <v>40029</v>
      </c>
      <c r="P8" s="102"/>
      <c r="Q8" s="102" t="n">
        <v>1</v>
      </c>
      <c r="R8" s="102"/>
      <c r="S8" s="103" t="n">
        <v>40030</v>
      </c>
      <c r="T8" s="103"/>
      <c r="U8" s="103" t="n">
        <v>1</v>
      </c>
      <c r="V8" s="103"/>
      <c r="W8" s="102"/>
      <c r="X8" s="102"/>
      <c r="Y8" s="102"/>
      <c r="Z8" s="102"/>
      <c r="AA8" s="103"/>
      <c r="AB8" s="103"/>
      <c r="AC8" s="103"/>
      <c r="AD8" s="103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</row>
    <row r="9" customFormat="false" ht="14.25" hidden="false" customHeight="false" outlineLevel="0" collapsed="false">
      <c r="A9" s="98" t="n">
        <v>157</v>
      </c>
      <c r="B9" s="98"/>
      <c r="C9" s="11" t="s">
        <v>31</v>
      </c>
      <c r="D9" s="11" t="s">
        <v>31</v>
      </c>
      <c r="E9" s="99" t="n">
        <v>45405</v>
      </c>
      <c r="F9" s="11" t="n">
        <v>50007975</v>
      </c>
      <c r="G9" s="11" t="s">
        <v>761</v>
      </c>
      <c r="H9" s="11"/>
      <c r="I9" s="100"/>
      <c r="J9" s="100" t="str">
        <f aca="false">_xlfn.xlookup(C9,Clients!$B$1:$B$1001,Clients!$M$1:$M$1001,FALSE())</f>
        <v>Net 30 days</v>
      </c>
      <c r="K9" s="100" t="s">
        <v>47</v>
      </c>
      <c r="L9" s="101" t="n">
        <v>45412</v>
      </c>
      <c r="M9" s="98" t="s">
        <v>50</v>
      </c>
      <c r="N9" s="98" t="s">
        <v>50</v>
      </c>
      <c r="O9" s="102" t="n">
        <v>40032</v>
      </c>
      <c r="P9" s="102"/>
      <c r="Q9" s="102" t="n">
        <v>72</v>
      </c>
      <c r="R9" s="102"/>
      <c r="S9" s="103"/>
      <c r="T9" s="103"/>
      <c r="U9" s="103"/>
      <c r="V9" s="103"/>
      <c r="W9" s="102"/>
      <c r="X9" s="102"/>
      <c r="Y9" s="102"/>
      <c r="Z9" s="102"/>
      <c r="AA9" s="103"/>
      <c r="AB9" s="103"/>
      <c r="AC9" s="103"/>
      <c r="AD9" s="103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</row>
    <row r="10" customFormat="false" ht="14.25" hidden="false" customHeight="false" outlineLevel="0" collapsed="false">
      <c r="A10" s="98" t="n">
        <v>158</v>
      </c>
      <c r="B10" s="98"/>
      <c r="C10" s="11" t="s">
        <v>82</v>
      </c>
      <c r="D10" s="11" t="s">
        <v>82</v>
      </c>
      <c r="E10" s="99" t="n">
        <v>45406</v>
      </c>
      <c r="F10" s="11" t="s">
        <v>762</v>
      </c>
      <c r="G10" s="11" t="s">
        <v>763</v>
      </c>
      <c r="H10" s="11"/>
      <c r="I10" s="100"/>
      <c r="J10" s="100"/>
      <c r="K10" s="100" t="s">
        <v>64</v>
      </c>
      <c r="L10" s="101"/>
      <c r="M10" s="98"/>
      <c r="N10" s="98"/>
      <c r="O10" s="102" t="n">
        <v>40031</v>
      </c>
      <c r="P10" s="102"/>
      <c r="Q10" s="102" t="n">
        <v>1</v>
      </c>
      <c r="R10" s="102"/>
      <c r="S10" s="103"/>
      <c r="T10" s="103"/>
      <c r="U10" s="103"/>
      <c r="V10" s="103"/>
      <c r="W10" s="102"/>
      <c r="X10" s="102"/>
      <c r="Y10" s="102"/>
      <c r="Z10" s="102"/>
      <c r="AA10" s="103"/>
      <c r="AB10" s="103"/>
      <c r="AC10" s="103"/>
      <c r="AD10" s="103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</row>
    <row r="11" customFormat="false" ht="14.25" hidden="false" customHeight="false" outlineLevel="0" collapsed="false">
      <c r="A11" s="98" t="n">
        <v>159</v>
      </c>
      <c r="B11" s="98"/>
      <c r="C11" s="11" t="s">
        <v>91</v>
      </c>
      <c r="D11" s="11" t="s">
        <v>91</v>
      </c>
      <c r="E11" s="99" t="n">
        <v>45406</v>
      </c>
      <c r="F11" s="11" t="s">
        <v>764</v>
      </c>
      <c r="G11" s="11"/>
      <c r="H11" s="11"/>
      <c r="I11" s="100"/>
      <c r="J11" s="100"/>
      <c r="K11" s="100"/>
      <c r="L11" s="101"/>
      <c r="M11" s="98"/>
      <c r="N11" s="98"/>
      <c r="O11" s="102" t="n">
        <v>40034</v>
      </c>
      <c r="P11" s="102"/>
      <c r="Q11" s="102" t="n">
        <v>40</v>
      </c>
      <c r="R11" s="102"/>
      <c r="S11" s="103" t="n">
        <v>40035</v>
      </c>
      <c r="T11" s="103"/>
      <c r="U11" s="103" t="n">
        <v>1</v>
      </c>
      <c r="V11" s="103"/>
      <c r="W11" s="102"/>
      <c r="X11" s="102"/>
      <c r="Y11" s="102"/>
      <c r="Z11" s="102"/>
      <c r="AA11" s="103"/>
      <c r="AB11" s="103"/>
      <c r="AC11" s="103"/>
      <c r="AD11" s="103"/>
      <c r="AE11" s="105"/>
      <c r="AF11" s="105"/>
      <c r="AG11" s="105"/>
      <c r="AH11" s="105"/>
      <c r="AI11" s="105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5"/>
      <c r="AZ11" s="105"/>
      <c r="BA11" s="105"/>
      <c r="BB11" s="105"/>
    </row>
    <row r="12" customFormat="false" ht="14.25" hidden="false" customHeight="false" outlineLevel="0" collapsed="false">
      <c r="A12" s="98" t="n">
        <v>160</v>
      </c>
      <c r="B12" s="98"/>
      <c r="C12" s="11" t="s">
        <v>66</v>
      </c>
      <c r="D12" s="11" t="s">
        <v>66</v>
      </c>
      <c r="E12" s="99" t="n">
        <v>45425</v>
      </c>
      <c r="F12" s="11" t="s">
        <v>765</v>
      </c>
      <c r="G12" s="11" t="s">
        <v>753</v>
      </c>
      <c r="H12" s="11"/>
      <c r="I12" s="100"/>
      <c r="J12" s="100" t="str">
        <f aca="false">_xlfn.xlookup(C12,Clients!$B$1:$B$1001,Clients!$M$1:$M$1001,FALSE())</f>
        <v>Net 30 days</v>
      </c>
      <c r="K12" s="100" t="s">
        <v>73</v>
      </c>
      <c r="L12" s="101"/>
      <c r="M12" s="98"/>
      <c r="N12" s="98"/>
      <c r="O12" s="102" t="n">
        <v>40036</v>
      </c>
      <c r="P12" s="102"/>
      <c r="Q12" s="102" t="n">
        <v>2</v>
      </c>
      <c r="R12" s="102"/>
      <c r="S12" s="103" t="n">
        <v>40037</v>
      </c>
      <c r="T12" s="103"/>
      <c r="U12" s="103" t="n">
        <v>2</v>
      </c>
      <c r="V12" s="103"/>
      <c r="W12" s="102"/>
      <c r="X12" s="102"/>
      <c r="Y12" s="102"/>
      <c r="Z12" s="102"/>
      <c r="AA12" s="103"/>
      <c r="AB12" s="103"/>
      <c r="AC12" s="103"/>
      <c r="AD12" s="103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5"/>
      <c r="AZ12" s="105"/>
      <c r="BA12" s="105"/>
      <c r="BB12" s="105"/>
    </row>
    <row r="13" customFormat="false" ht="14.25" hidden="false" customHeight="false" outlineLevel="0" collapsed="false">
      <c r="A13" s="98" t="n">
        <v>161</v>
      </c>
      <c r="B13" s="98"/>
      <c r="C13" s="11" t="s">
        <v>82</v>
      </c>
      <c r="D13" s="11" t="s">
        <v>82</v>
      </c>
      <c r="E13" s="99" t="n">
        <v>45428</v>
      </c>
      <c r="F13" s="11" t="s">
        <v>766</v>
      </c>
      <c r="G13" s="11" t="s">
        <v>763</v>
      </c>
      <c r="H13" s="11"/>
      <c r="I13" s="100"/>
      <c r="J13" s="100"/>
      <c r="K13" s="100" t="s">
        <v>64</v>
      </c>
      <c r="L13" s="103"/>
      <c r="M13" s="98"/>
      <c r="N13" s="98"/>
      <c r="O13" s="102" t="n">
        <v>40038</v>
      </c>
      <c r="P13" s="102"/>
      <c r="Q13" s="102" t="n">
        <v>1</v>
      </c>
      <c r="R13" s="102"/>
      <c r="S13" s="103"/>
      <c r="T13" s="103"/>
      <c r="U13" s="103"/>
      <c r="V13" s="103"/>
      <c r="W13" s="102"/>
      <c r="X13" s="102"/>
      <c r="Y13" s="102"/>
      <c r="Z13" s="102"/>
      <c r="AA13" s="103"/>
      <c r="AB13" s="103"/>
      <c r="AC13" s="103"/>
      <c r="AD13" s="103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</row>
    <row r="14" customFormat="false" ht="14.25" hidden="false" customHeight="false" outlineLevel="0" collapsed="false">
      <c r="A14" s="98" t="n">
        <v>162</v>
      </c>
      <c r="B14" s="98"/>
      <c r="C14" s="11" t="s">
        <v>100</v>
      </c>
      <c r="D14" s="11" t="s">
        <v>100</v>
      </c>
      <c r="E14" s="99" t="n">
        <v>45436</v>
      </c>
      <c r="F14" s="11" t="n">
        <v>240524</v>
      </c>
      <c r="G14" s="11" t="s">
        <v>767</v>
      </c>
      <c r="H14" s="11" t="s">
        <v>768</v>
      </c>
      <c r="I14" s="100"/>
      <c r="J14" s="100" t="str">
        <f aca="false">_xlfn.xlookup(C14,Clients!$B$1:$B$1001,Clients!$M$1:$M$1001,FALSE())</f>
        <v>Net 30 jours</v>
      </c>
      <c r="K14" s="100" t="s">
        <v>47</v>
      </c>
      <c r="L14" s="101" t="n">
        <v>45440</v>
      </c>
      <c r="M14" s="98" t="s">
        <v>50</v>
      </c>
      <c r="N14" s="98" t="s">
        <v>65</v>
      </c>
      <c r="O14" s="102" t="n">
        <v>40039</v>
      </c>
      <c r="P14" s="102"/>
      <c r="Q14" s="102" t="n">
        <v>7</v>
      </c>
      <c r="R14" s="106"/>
      <c r="S14" s="103"/>
      <c r="T14" s="103"/>
      <c r="U14" s="103"/>
      <c r="V14" s="103"/>
      <c r="W14" s="102"/>
      <c r="X14" s="102"/>
      <c r="Y14" s="102"/>
      <c r="Z14" s="102"/>
      <c r="AA14" s="103"/>
      <c r="AB14" s="103"/>
      <c r="AC14" s="103"/>
      <c r="AD14" s="103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</row>
    <row r="15" customFormat="false" ht="14.25" hidden="false" customHeight="false" outlineLevel="0" collapsed="false">
      <c r="A15" s="98" t="n">
        <v>163</v>
      </c>
      <c r="B15" s="98"/>
      <c r="C15" s="11" t="s">
        <v>100</v>
      </c>
      <c r="D15" s="11" t="s">
        <v>100</v>
      </c>
      <c r="E15" s="99" t="n">
        <v>45440</v>
      </c>
      <c r="F15" s="11" t="n">
        <v>270524</v>
      </c>
      <c r="G15" s="11" t="s">
        <v>767</v>
      </c>
      <c r="H15" s="11" t="s">
        <v>768</v>
      </c>
      <c r="I15" s="100"/>
      <c r="J15" s="100" t="str">
        <f aca="false">_xlfn.xlookup(C15,Clients!$B$1:$B$1001,Clients!$M$1:$M$1001,FALSE())</f>
        <v>Net 30 jours</v>
      </c>
      <c r="K15" s="100" t="s">
        <v>47</v>
      </c>
      <c r="L15" s="101" t="n">
        <v>45443</v>
      </c>
      <c r="M15" s="98" t="s">
        <v>50</v>
      </c>
      <c r="N15" s="98" t="str">
        <f aca="false">_xlfn.xlookup(C15,Clients!B:B,Clients!Y:Y,FALSE())</f>
        <v>CAD</v>
      </c>
      <c r="O15" s="102" t="n">
        <v>40044</v>
      </c>
      <c r="P15" s="102"/>
      <c r="Q15" s="102" t="n">
        <v>7</v>
      </c>
      <c r="R15" s="102"/>
      <c r="S15" s="103"/>
      <c r="T15" s="103"/>
      <c r="U15" s="103"/>
      <c r="V15" s="103"/>
      <c r="W15" s="102"/>
      <c r="X15" s="102"/>
      <c r="Y15" s="102"/>
      <c r="Z15" s="102"/>
      <c r="AA15" s="103"/>
      <c r="AB15" s="103"/>
      <c r="AC15" s="103"/>
      <c r="AD15" s="103"/>
      <c r="AE15" s="105"/>
      <c r="AF15" s="105"/>
      <c r="AG15" s="105"/>
      <c r="AH15" s="105"/>
      <c r="AI15" s="105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5"/>
      <c r="AZ15" s="105"/>
      <c r="BA15" s="105"/>
      <c r="BB15" s="105"/>
    </row>
    <row r="16" customFormat="false" ht="14.25" hidden="false" customHeight="false" outlineLevel="0" collapsed="false">
      <c r="A16" s="98" t="n">
        <v>164</v>
      </c>
      <c r="B16" s="98"/>
      <c r="C16" s="11" t="s">
        <v>110</v>
      </c>
      <c r="D16" s="11" t="s">
        <v>110</v>
      </c>
      <c r="E16" s="99" t="n">
        <v>45440</v>
      </c>
      <c r="F16" s="11" t="n">
        <v>30552</v>
      </c>
      <c r="G16" s="11" t="s">
        <v>769</v>
      </c>
      <c r="H16" s="11"/>
      <c r="I16" s="100"/>
      <c r="J16" s="100" t="str">
        <f aca="false">_xlfn.xlookup(C16,Clients!$B$1:$B$1001,Clients!$M$1:$M$1001,FALSE())</f>
        <v>Net 30 jours</v>
      </c>
      <c r="K16" s="100" t="s">
        <v>47</v>
      </c>
      <c r="L16" s="101" t="n">
        <v>45442</v>
      </c>
      <c r="M16" s="98" t="s">
        <v>50</v>
      </c>
      <c r="N16" s="98" t="str">
        <f aca="false">_xlfn.xlookup(C16,Clients!B:B,Clients!Y:Y,FALSE())</f>
        <v>USD</v>
      </c>
      <c r="O16" s="102" t="n">
        <v>40045</v>
      </c>
      <c r="P16" s="102"/>
      <c r="Q16" s="102" t="n">
        <v>4</v>
      </c>
      <c r="R16" s="102"/>
      <c r="S16" s="103" t="n">
        <v>40046</v>
      </c>
      <c r="T16" s="103"/>
      <c r="U16" s="103" t="n">
        <v>-2</v>
      </c>
      <c r="V16" s="103"/>
      <c r="W16" s="102"/>
      <c r="X16" s="102"/>
      <c r="Y16" s="102"/>
      <c r="Z16" s="102"/>
      <c r="AA16" s="103"/>
      <c r="AB16" s="103"/>
      <c r="AC16" s="103"/>
      <c r="AD16" s="103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</row>
    <row r="17" customFormat="false" ht="14.25" hidden="false" customHeight="false" outlineLevel="0" collapsed="false">
      <c r="A17" s="98" t="n">
        <v>165</v>
      </c>
      <c r="B17" s="98"/>
      <c r="C17" s="11" t="s">
        <v>31</v>
      </c>
      <c r="D17" s="11" t="s">
        <v>31</v>
      </c>
      <c r="E17" s="99" t="n">
        <v>45443</v>
      </c>
      <c r="F17" s="11" t="n">
        <v>50008126</v>
      </c>
      <c r="G17" s="11" t="s">
        <v>761</v>
      </c>
      <c r="H17" s="11"/>
      <c r="I17" s="100"/>
      <c r="J17" s="100" t="str">
        <f aca="false">_xlfn.xlookup(C17,Clients!$B$1:$B$1001,Clients!$M$1:$M$1001,FALSE())</f>
        <v>Net 30 days</v>
      </c>
      <c r="K17" s="100" t="s">
        <v>47</v>
      </c>
      <c r="L17" s="101" t="n">
        <v>45449</v>
      </c>
      <c r="M17" s="98" t="s">
        <v>50</v>
      </c>
      <c r="N17" s="98" t="str">
        <f aca="false">_xlfn.xlookup(C17,Clients!B:B,Clients!Y:Y,FALSE())</f>
        <v>USD</v>
      </c>
      <c r="O17" s="102" t="n">
        <v>40032</v>
      </c>
      <c r="P17" s="102"/>
      <c r="Q17" s="102" t="n">
        <v>72</v>
      </c>
      <c r="R17" s="102"/>
      <c r="S17" s="103"/>
      <c r="T17" s="103"/>
      <c r="U17" s="103"/>
      <c r="V17" s="103"/>
      <c r="W17" s="102"/>
      <c r="X17" s="102"/>
      <c r="Y17" s="102"/>
      <c r="Z17" s="102"/>
      <c r="AA17" s="103"/>
      <c r="AB17" s="103"/>
      <c r="AC17" s="103"/>
      <c r="AD17" s="103"/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</row>
    <row r="18" customFormat="false" ht="14.25" hidden="false" customHeight="false" outlineLevel="0" collapsed="false">
      <c r="A18" s="98" t="n">
        <v>166</v>
      </c>
      <c r="B18" s="98"/>
      <c r="C18" s="11" t="s">
        <v>100</v>
      </c>
      <c r="D18" s="11" t="s">
        <v>100</v>
      </c>
      <c r="E18" s="99" t="n">
        <v>45443</v>
      </c>
      <c r="F18" s="11" t="n">
        <v>310524</v>
      </c>
      <c r="G18" s="11" t="s">
        <v>767</v>
      </c>
      <c r="H18" s="11" t="s">
        <v>768</v>
      </c>
      <c r="I18" s="100"/>
      <c r="J18" s="100" t="str">
        <f aca="false">_xlfn.xlookup(C18,Clients!$B$1:$B$1001,Clients!$M$1:$M$1001,FALSE())</f>
        <v>Net 30 jours</v>
      </c>
      <c r="K18" s="100" t="s">
        <v>47</v>
      </c>
      <c r="L18" s="101" t="n">
        <v>45448</v>
      </c>
      <c r="M18" s="98" t="s">
        <v>65</v>
      </c>
      <c r="N18" s="98" t="str">
        <f aca="false">_xlfn.xlookup(C18,Clients!B:B,Clients!Y:Y,FALSE())</f>
        <v>CAD</v>
      </c>
      <c r="O18" s="102" t="n">
        <v>40039</v>
      </c>
      <c r="P18" s="102"/>
      <c r="Q18" s="102" t="n">
        <v>14</v>
      </c>
      <c r="R18" s="102"/>
      <c r="S18" s="103"/>
      <c r="T18" s="103"/>
      <c r="U18" s="103"/>
      <c r="V18" s="103"/>
      <c r="W18" s="102"/>
      <c r="X18" s="102"/>
      <c r="Y18" s="102"/>
      <c r="Z18" s="102"/>
      <c r="AA18" s="103"/>
      <c r="AB18" s="103"/>
      <c r="AC18" s="103"/>
      <c r="AD18" s="103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</row>
    <row r="19" customFormat="false" ht="14.25" hidden="false" customHeight="false" outlineLevel="0" collapsed="false">
      <c r="A19" s="98" t="n">
        <v>167</v>
      </c>
      <c r="B19" s="98"/>
      <c r="C19" s="11" t="s">
        <v>118</v>
      </c>
      <c r="D19" s="11" t="s">
        <v>118</v>
      </c>
      <c r="E19" s="99" t="n">
        <v>45453</v>
      </c>
      <c r="F19" s="11" t="s">
        <v>629</v>
      </c>
      <c r="G19" s="11" t="s">
        <v>770</v>
      </c>
      <c r="H19" s="11"/>
      <c r="I19" s="100"/>
      <c r="J19" s="100"/>
      <c r="K19" s="100" t="s">
        <v>64</v>
      </c>
      <c r="L19" s="101" t="n">
        <v>45453</v>
      </c>
      <c r="M19" s="98"/>
      <c r="N19" s="98" t="str">
        <f aca="false">_xlfn.xlookup(C19,Clients!B:B,Clients!Y:Y,FALSE())</f>
        <v>CAD</v>
      </c>
      <c r="O19" s="102" t="n">
        <v>40047</v>
      </c>
      <c r="P19" s="102"/>
      <c r="Q19" s="102" t="n">
        <v>1</v>
      </c>
      <c r="R19" s="102"/>
      <c r="S19" s="103"/>
      <c r="T19" s="103"/>
      <c r="U19" s="103"/>
      <c r="V19" s="103"/>
      <c r="W19" s="102"/>
      <c r="X19" s="102"/>
      <c r="Y19" s="102"/>
      <c r="Z19" s="102"/>
      <c r="AA19" s="103"/>
      <c r="AB19" s="103"/>
      <c r="AC19" s="103"/>
      <c r="AD19" s="103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</row>
    <row r="20" customFormat="false" ht="14.25" hidden="false" customHeight="false" outlineLevel="0" collapsed="false">
      <c r="A20" s="98" t="n">
        <v>168</v>
      </c>
      <c r="B20" s="98"/>
      <c r="C20" s="11" t="s">
        <v>124</v>
      </c>
      <c r="D20" s="11" t="s">
        <v>124</v>
      </c>
      <c r="E20" s="99" t="n">
        <v>45457</v>
      </c>
      <c r="F20" s="11" t="s">
        <v>629</v>
      </c>
      <c r="G20" s="11" t="s">
        <v>771</v>
      </c>
      <c r="H20" s="11"/>
      <c r="I20" s="100"/>
      <c r="J20" s="100"/>
      <c r="K20" s="100" t="s">
        <v>64</v>
      </c>
      <c r="L20" s="101" t="n">
        <v>45461</v>
      </c>
      <c r="M20" s="98"/>
      <c r="N20" s="98" t="str">
        <f aca="false">_xlfn.xlookup(C20,Clients!B:B,Clients!Y:Y,FALSE())</f>
        <v>USD</v>
      </c>
      <c r="O20" s="102" t="n">
        <v>40048</v>
      </c>
      <c r="P20" s="102"/>
      <c r="Q20" s="102" t="n">
        <v>1</v>
      </c>
      <c r="R20" s="102"/>
      <c r="S20" s="103"/>
      <c r="T20" s="103"/>
      <c r="U20" s="103"/>
      <c r="V20" s="103"/>
      <c r="W20" s="102"/>
      <c r="X20" s="102"/>
      <c r="Y20" s="102"/>
      <c r="Z20" s="102"/>
      <c r="AA20" s="103"/>
      <c r="AB20" s="103"/>
      <c r="AC20" s="103"/>
      <c r="AD20" s="103"/>
      <c r="AE20" s="105"/>
      <c r="AF20" s="105"/>
      <c r="AG20" s="105"/>
      <c r="AH20" s="105"/>
      <c r="AI20" s="105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</row>
    <row r="21" customFormat="false" ht="14.25" hidden="false" customHeight="false" outlineLevel="0" collapsed="false">
      <c r="A21" s="98" t="n">
        <v>169</v>
      </c>
      <c r="B21" s="98"/>
      <c r="C21" s="11" t="s">
        <v>134</v>
      </c>
      <c r="D21" s="11" t="s">
        <v>134</v>
      </c>
      <c r="E21" s="99" t="n">
        <v>45461</v>
      </c>
      <c r="F21" s="11" t="s">
        <v>629</v>
      </c>
      <c r="G21" s="11" t="s">
        <v>772</v>
      </c>
      <c r="H21" s="11"/>
      <c r="I21" s="100"/>
      <c r="J21" s="100" t="str">
        <f aca="false">_xlfn.xlookup(C21,Clients!$B$1:$B$1001,Clients!$M$1:$M$1001,FALSE())</f>
        <v>Net 30 jours</v>
      </c>
      <c r="K21" s="100" t="s">
        <v>64</v>
      </c>
      <c r="L21" s="101" t="n">
        <v>45463</v>
      </c>
      <c r="M21" s="98"/>
      <c r="N21" s="98" t="str">
        <f aca="false">_xlfn.xlookup(C21,Clients!B:B,Clients!Y:Y,FALSE())</f>
        <v>CAD</v>
      </c>
      <c r="O21" s="102" t="n">
        <v>40049</v>
      </c>
      <c r="P21" s="102"/>
      <c r="Q21" s="102" t="n">
        <v>1</v>
      </c>
      <c r="R21" s="102"/>
      <c r="S21" s="103"/>
      <c r="T21" s="103"/>
      <c r="U21" s="103"/>
      <c r="V21" s="103"/>
      <c r="W21" s="102"/>
      <c r="X21" s="102"/>
      <c r="Y21" s="102"/>
      <c r="Z21" s="102"/>
      <c r="AA21" s="103"/>
      <c r="AB21" s="103"/>
      <c r="AC21" s="103"/>
      <c r="AD21" s="103"/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</row>
    <row r="22" customFormat="false" ht="14.25" hidden="false" customHeight="false" outlineLevel="0" collapsed="false">
      <c r="A22" s="98" t="n">
        <v>170</v>
      </c>
      <c r="B22" s="98"/>
      <c r="C22" s="11" t="s">
        <v>110</v>
      </c>
      <c r="D22" s="11" t="s">
        <v>110</v>
      </c>
      <c r="E22" s="99" t="n">
        <v>45468</v>
      </c>
      <c r="F22" s="11" t="n">
        <v>30878</v>
      </c>
      <c r="G22" s="11" t="s">
        <v>769</v>
      </c>
      <c r="H22" s="11" t="s">
        <v>117</v>
      </c>
      <c r="I22" s="100"/>
      <c r="J22" s="100" t="str">
        <f aca="false">_xlfn.xlookup(C22,Clients!$B$1:$B$1001,Clients!$M$1:$M$1001,FALSE())</f>
        <v>Net 30 jours</v>
      </c>
      <c r="K22" s="100" t="s">
        <v>47</v>
      </c>
      <c r="L22" s="101" t="n">
        <v>45475</v>
      </c>
      <c r="M22" s="98"/>
      <c r="N22" s="98" t="str">
        <f aca="false">_xlfn.xlookup(C22,Clients!B:B,Clients!Y:Y,FALSE())</f>
        <v>USD</v>
      </c>
      <c r="O22" s="102" t="n">
        <v>40050</v>
      </c>
      <c r="P22" s="102"/>
      <c r="Q22" s="102" t="n">
        <v>4</v>
      </c>
      <c r="R22" s="102"/>
      <c r="S22" s="103"/>
      <c r="T22" s="103"/>
      <c r="U22" s="103"/>
      <c r="V22" s="103"/>
      <c r="W22" s="102"/>
      <c r="X22" s="102"/>
      <c r="Y22" s="102"/>
      <c r="Z22" s="102"/>
      <c r="AA22" s="103"/>
      <c r="AB22" s="103"/>
      <c r="AC22" s="103"/>
      <c r="AD22" s="103"/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</row>
    <row r="23" customFormat="false" ht="14.25" hidden="false" customHeight="false" outlineLevel="0" collapsed="false">
      <c r="A23" s="98" t="n">
        <v>171</v>
      </c>
      <c r="B23" s="98"/>
      <c r="C23" s="11" t="s">
        <v>31</v>
      </c>
      <c r="D23" s="11" t="s">
        <v>31</v>
      </c>
      <c r="E23" s="99" t="n">
        <v>45474</v>
      </c>
      <c r="F23" s="11" t="n">
        <v>50008251</v>
      </c>
      <c r="G23" s="11" t="s">
        <v>761</v>
      </c>
      <c r="H23" s="11"/>
      <c r="I23" s="100"/>
      <c r="J23" s="100" t="str">
        <f aca="false">_xlfn.xlookup(C23,Clients!$B$1:$B$1001,Clients!$M$1:$M$1001,FALSE())</f>
        <v>Net 30 days</v>
      </c>
      <c r="K23" s="100" t="s">
        <v>47</v>
      </c>
      <c r="L23" s="101" t="n">
        <v>45481</v>
      </c>
      <c r="M23" s="98" t="s">
        <v>50</v>
      </c>
      <c r="N23" s="98" t="str">
        <f aca="false">_xlfn.xlookup(C23,Clients!B:B,Clients!Y:Y,FALSE())</f>
        <v>USD</v>
      </c>
      <c r="O23" s="102" t="n">
        <v>40033</v>
      </c>
      <c r="P23" s="102"/>
      <c r="Q23" s="102" t="n">
        <v>78</v>
      </c>
      <c r="R23" s="102"/>
      <c r="S23" s="103"/>
      <c r="T23" s="103"/>
      <c r="U23" s="103"/>
      <c r="V23" s="103"/>
      <c r="W23" s="102"/>
      <c r="X23" s="102"/>
      <c r="Y23" s="102"/>
      <c r="Z23" s="102"/>
      <c r="AA23" s="103"/>
      <c r="AB23" s="103"/>
      <c r="AC23" s="103"/>
      <c r="AD23" s="103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</row>
    <row r="24" customFormat="false" ht="14.25" hidden="false" customHeight="false" outlineLevel="0" collapsed="false">
      <c r="A24" s="98" t="n">
        <v>172</v>
      </c>
      <c r="B24" s="98"/>
      <c r="C24" s="11" t="s">
        <v>110</v>
      </c>
      <c r="D24" s="11" t="s">
        <v>110</v>
      </c>
      <c r="E24" s="99" t="n">
        <v>45475</v>
      </c>
      <c r="F24" s="11" t="n">
        <v>30954</v>
      </c>
      <c r="G24" s="11" t="s">
        <v>769</v>
      </c>
      <c r="H24" s="11" t="s">
        <v>117</v>
      </c>
      <c r="I24" s="100"/>
      <c r="J24" s="100" t="str">
        <f aca="false">_xlfn.xlookup(C24,Clients!$B$1:$B$1001,Clients!$M$1:$M$1001,FALSE())</f>
        <v>Net 30 jours</v>
      </c>
      <c r="K24" s="100" t="s">
        <v>47</v>
      </c>
      <c r="L24" s="101" t="n">
        <v>45481</v>
      </c>
      <c r="M24" s="98" t="s">
        <v>50</v>
      </c>
      <c r="N24" s="98" t="str">
        <f aca="false">_xlfn.xlookup(C24,Clients!B:B,Clients!Y:Y,FALSE())</f>
        <v>USD</v>
      </c>
      <c r="O24" s="102" t="n">
        <v>40051</v>
      </c>
      <c r="P24" s="102"/>
      <c r="Q24" s="102" t="n">
        <v>4</v>
      </c>
      <c r="R24" s="102"/>
      <c r="S24" s="103"/>
      <c r="T24" s="103"/>
      <c r="U24" s="103"/>
      <c r="V24" s="103"/>
      <c r="W24" s="102"/>
      <c r="X24" s="102"/>
      <c r="Y24" s="102"/>
      <c r="Z24" s="102"/>
      <c r="AA24" s="103"/>
      <c r="AB24" s="103"/>
      <c r="AC24" s="103"/>
      <c r="AD24" s="103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</row>
    <row r="25" customFormat="false" ht="14.25" hidden="false" customHeight="false" outlineLevel="0" collapsed="false">
      <c r="A25" s="98" t="n">
        <v>173</v>
      </c>
      <c r="B25" s="98"/>
      <c r="C25" s="11" t="s">
        <v>124</v>
      </c>
      <c r="D25" s="11" t="s">
        <v>124</v>
      </c>
      <c r="E25" s="99" t="n">
        <v>45481</v>
      </c>
      <c r="F25" s="11" t="n">
        <v>102088</v>
      </c>
      <c r="G25" s="11" t="s">
        <v>771</v>
      </c>
      <c r="H25" s="11"/>
      <c r="I25" s="100"/>
      <c r="J25" s="100" t="str">
        <f aca="false">_xlfn.xlookup(C25,Clients!$B$1:$B$1001,Clients!$M$1:$M$1001,FALSE())</f>
        <v>Net 30 jours</v>
      </c>
      <c r="K25" s="100" t="s">
        <v>47</v>
      </c>
      <c r="L25" s="101" t="n">
        <v>45488</v>
      </c>
      <c r="M25" s="98" t="s">
        <v>50</v>
      </c>
      <c r="N25" s="98" t="str">
        <f aca="false">_xlfn.xlookup(C25,Clients!B:B,Clients!Y:Y,FALSE())</f>
        <v>USD</v>
      </c>
      <c r="O25" s="102" t="n">
        <v>40048</v>
      </c>
      <c r="P25" s="102"/>
      <c r="Q25" s="102" t="n">
        <v>5</v>
      </c>
      <c r="R25" s="102"/>
      <c r="S25" s="103" t="n">
        <v>40052</v>
      </c>
      <c r="T25" s="103"/>
      <c r="U25" s="103" t="n">
        <v>1</v>
      </c>
      <c r="V25" s="103"/>
      <c r="W25" s="102" t="n">
        <v>40053</v>
      </c>
      <c r="X25" s="102"/>
      <c r="Y25" s="102" t="n">
        <v>1</v>
      </c>
      <c r="Z25" s="102"/>
      <c r="AA25" s="103"/>
      <c r="AB25" s="103"/>
      <c r="AC25" s="103"/>
      <c r="AD25" s="103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</row>
    <row r="26" customFormat="false" ht="14.25" hidden="false" customHeight="false" outlineLevel="0" collapsed="false">
      <c r="A26" s="98" t="n">
        <v>174</v>
      </c>
      <c r="B26" s="98"/>
      <c r="C26" s="11" t="s">
        <v>124</v>
      </c>
      <c r="D26" s="11" t="s">
        <v>124</v>
      </c>
      <c r="E26" s="99" t="n">
        <v>45481</v>
      </c>
      <c r="F26" s="11" t="s">
        <v>762</v>
      </c>
      <c r="G26" s="11" t="s">
        <v>771</v>
      </c>
      <c r="H26" s="11"/>
      <c r="I26" s="100"/>
      <c r="J26" s="100" t="str">
        <f aca="false">_xlfn.xlookup(C26,Clients!$B$1:$B$1001,Clients!$M$1:$M$1001,FALSE())</f>
        <v>Net 30 jours</v>
      </c>
      <c r="K26" s="100"/>
      <c r="L26" s="101" t="n">
        <v>45488</v>
      </c>
      <c r="M26" s="98" t="s">
        <v>50</v>
      </c>
      <c r="N26" s="98" t="str">
        <f aca="false">_xlfn.xlookup(C26,Clients!B:B,Clients!Y:Y,FALSE())</f>
        <v>USD</v>
      </c>
      <c r="O26" s="102" t="n">
        <v>40052</v>
      </c>
      <c r="P26" s="102"/>
      <c r="Q26" s="102" t="n">
        <v>1</v>
      </c>
      <c r="R26" s="102"/>
      <c r="S26" s="103"/>
      <c r="T26" s="103"/>
      <c r="U26" s="103"/>
      <c r="V26" s="103"/>
      <c r="W26" s="102"/>
      <c r="X26" s="102"/>
      <c r="Y26" s="102"/>
      <c r="Z26" s="102"/>
      <c r="AA26" s="103"/>
      <c r="AB26" s="103"/>
      <c r="AC26" s="103"/>
      <c r="AD26" s="103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</row>
    <row r="27" customFormat="false" ht="14.25" hidden="false" customHeight="false" outlineLevel="0" collapsed="false">
      <c r="A27" s="98" t="n">
        <v>175</v>
      </c>
      <c r="B27" s="98"/>
      <c r="C27" s="11" t="s">
        <v>124</v>
      </c>
      <c r="D27" s="11" t="s">
        <v>124</v>
      </c>
      <c r="E27" s="99" t="n">
        <v>45481</v>
      </c>
      <c r="F27" s="11" t="s">
        <v>766</v>
      </c>
      <c r="G27" s="11" t="s">
        <v>771</v>
      </c>
      <c r="H27" s="11"/>
      <c r="I27" s="100"/>
      <c r="J27" s="100" t="str">
        <f aca="false">_xlfn.xlookup(C27,Clients!$B$1:$B$1001,Clients!$M$1:$M$1001,FALSE())</f>
        <v>Net 30 jours</v>
      </c>
      <c r="K27" s="100"/>
      <c r="L27" s="101" t="n">
        <v>45488</v>
      </c>
      <c r="M27" s="98" t="s">
        <v>50</v>
      </c>
      <c r="N27" s="98" t="str">
        <f aca="false">_xlfn.xlookup(C27,Clients!B:B,Clients!Y:Y,FALSE())</f>
        <v>USD</v>
      </c>
      <c r="O27" s="102" t="n">
        <v>40053</v>
      </c>
      <c r="P27" s="102"/>
      <c r="Q27" s="102" t="n">
        <v>1</v>
      </c>
      <c r="R27" s="102"/>
      <c r="S27" s="103"/>
      <c r="T27" s="103"/>
      <c r="U27" s="103"/>
      <c r="V27" s="103"/>
      <c r="W27" s="102"/>
      <c r="X27" s="102"/>
      <c r="Y27" s="102"/>
      <c r="Z27" s="102"/>
      <c r="AA27" s="103"/>
      <c r="AB27" s="103"/>
      <c r="AC27" s="103"/>
      <c r="AD27" s="103"/>
      <c r="AE27" s="105"/>
      <c r="AF27" s="105"/>
      <c r="AG27" s="105"/>
      <c r="AH27" s="105"/>
      <c r="AI27" s="105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5"/>
      <c r="AZ27" s="105"/>
      <c r="BA27" s="105"/>
      <c r="BB27" s="105"/>
    </row>
    <row r="28" customFormat="false" ht="14.25" hidden="false" customHeight="false" outlineLevel="0" collapsed="false">
      <c r="A28" s="98" t="n">
        <v>176</v>
      </c>
      <c r="B28" s="98"/>
      <c r="C28" s="11" t="s">
        <v>31</v>
      </c>
      <c r="D28" s="11" t="s">
        <v>31</v>
      </c>
      <c r="E28" s="99" t="n">
        <v>45482</v>
      </c>
      <c r="F28" s="11" t="n">
        <v>50008290</v>
      </c>
      <c r="G28" s="11" t="s">
        <v>754</v>
      </c>
      <c r="H28" s="11"/>
      <c r="I28" s="100"/>
      <c r="J28" s="100" t="str">
        <f aca="false">_xlfn.xlookup(C28,Clients!B:B,Clients!M:M,FALSE())</f>
        <v>Net 30 days</v>
      </c>
      <c r="K28" s="100" t="str">
        <f aca="false">_xlfn.xlookup(C28,Clients!B:B,Clients!R:R,FALSE())</f>
        <v>EXW Boucherville</v>
      </c>
      <c r="L28" s="101" t="n">
        <v>45492</v>
      </c>
      <c r="M28" s="98" t="s">
        <v>50</v>
      </c>
      <c r="N28" s="98" t="str">
        <f aca="false">_xlfn.xlookup(C28,Clients!B:B,Clients!Y:Y,FALSE())</f>
        <v>USD</v>
      </c>
      <c r="O28" s="102" t="n">
        <v>40054</v>
      </c>
      <c r="P28" s="102"/>
      <c r="Q28" s="102" t="n">
        <v>34</v>
      </c>
      <c r="R28" s="102"/>
      <c r="S28" s="103"/>
      <c r="T28" s="103"/>
      <c r="U28" s="103"/>
      <c r="V28" s="103"/>
      <c r="W28" s="102"/>
      <c r="X28" s="102"/>
      <c r="Y28" s="102"/>
      <c r="Z28" s="102"/>
      <c r="AA28" s="103"/>
      <c r="AB28" s="103"/>
      <c r="AC28" s="103"/>
      <c r="AD28" s="103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</row>
    <row r="29" customFormat="false" ht="14.25" hidden="false" customHeight="false" outlineLevel="0" collapsed="false">
      <c r="A29" s="98" t="n">
        <v>177</v>
      </c>
      <c r="B29" s="98"/>
      <c r="C29" s="11" t="s">
        <v>134</v>
      </c>
      <c r="D29" s="11" t="s">
        <v>134</v>
      </c>
      <c r="E29" s="99" t="n">
        <v>45484</v>
      </c>
      <c r="F29" s="11" t="n">
        <v>1898</v>
      </c>
      <c r="G29" s="11" t="s">
        <v>773</v>
      </c>
      <c r="H29" s="11" t="s">
        <v>774</v>
      </c>
      <c r="I29" s="100"/>
      <c r="J29" s="100" t="str">
        <f aca="false">_xlfn.xlookup(C29,Clients!B:B,Clients!M:M,FALSE())</f>
        <v>Net 30 jours</v>
      </c>
      <c r="K29" s="100" t="str">
        <f aca="false">_xlfn.xlookup(C29,Clients!B:B,Clients!R:R,FALSE())</f>
        <v>EXW Boucherville</v>
      </c>
      <c r="L29" s="101" t="n">
        <v>45491</v>
      </c>
      <c r="M29" s="98" t="s">
        <v>65</v>
      </c>
      <c r="N29" s="98" t="str">
        <f aca="false">_xlfn.xlookup(C29,Clients!B:B,Clients!Y:Y,FALSE())</f>
        <v>CAD</v>
      </c>
      <c r="O29" s="102" t="n">
        <v>40060</v>
      </c>
      <c r="P29" s="102"/>
      <c r="Q29" s="102" t="n">
        <v>24</v>
      </c>
      <c r="R29" s="102" t="n">
        <v>25200</v>
      </c>
      <c r="S29" s="103" t="n">
        <v>40061</v>
      </c>
      <c r="T29" s="103"/>
      <c r="U29" s="103" t="n">
        <v>4</v>
      </c>
      <c r="V29" s="103" t="n">
        <f aca="false">4*7.5*12*10</f>
        <v>3600</v>
      </c>
      <c r="W29" s="102" t="n">
        <v>40056</v>
      </c>
      <c r="X29" s="102"/>
      <c r="Y29" s="102" t="n">
        <v>5</v>
      </c>
      <c r="Z29" s="102" t="n">
        <v>7200</v>
      </c>
      <c r="AA29" s="103" t="n">
        <v>40055</v>
      </c>
      <c r="AB29" s="103"/>
      <c r="AC29" s="103" t="n">
        <v>5</v>
      </c>
      <c r="AD29" s="103" t="n">
        <v>3600</v>
      </c>
      <c r="AE29" s="105"/>
      <c r="AF29" s="105"/>
      <c r="AG29" s="105"/>
      <c r="AH29" s="105"/>
      <c r="AI29" s="105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</row>
    <row r="30" customFormat="false" ht="14.25" hidden="false" customHeight="false" outlineLevel="0" collapsed="false">
      <c r="A30" s="98" t="n">
        <v>178</v>
      </c>
      <c r="B30" s="98"/>
      <c r="C30" s="11" t="s">
        <v>100</v>
      </c>
      <c r="D30" s="11" t="s">
        <v>100</v>
      </c>
      <c r="E30" s="99" t="n">
        <v>45483</v>
      </c>
      <c r="F30" s="11" t="s">
        <v>775</v>
      </c>
      <c r="G30" s="11"/>
      <c r="H30" s="11" t="s">
        <v>776</v>
      </c>
      <c r="I30" s="100" t="n">
        <f aca="false">_xlfn.xlookup(C30,Clients!B:B,Clients!W:W,FALSE())</f>
        <v>0</v>
      </c>
      <c r="J30" s="100" t="str">
        <f aca="false">_xlfn.xlookup(C30,Clients!B:B,Clients!M:M,FALSE())</f>
        <v>Net 30 jours</v>
      </c>
      <c r="K30" s="100" t="str">
        <f aca="false">_xlfn.xlookup(C30,Clients!B:B,Clients!R:R,FALSE())</f>
        <v>Livraison incluse</v>
      </c>
      <c r="L30" s="101" t="n">
        <v>45484</v>
      </c>
      <c r="M30" s="98" t="s">
        <v>50</v>
      </c>
      <c r="N30" s="98" t="str">
        <f aca="false">_xlfn.xlookup(C30,Clients!B:B,Clients!Y:Y,FALSE())</f>
        <v>CAD</v>
      </c>
      <c r="O30" s="102" t="n">
        <v>40058</v>
      </c>
      <c r="P30" s="102"/>
      <c r="Q30" s="102" t="n">
        <v>10</v>
      </c>
      <c r="R30" s="102"/>
      <c r="S30" s="103" t="n">
        <v>40059</v>
      </c>
      <c r="T30" s="103"/>
      <c r="U30" s="103" t="n">
        <v>2</v>
      </c>
      <c r="V30" s="103"/>
      <c r="W30" s="102"/>
      <c r="X30" s="102"/>
      <c r="Y30" s="102"/>
      <c r="Z30" s="102"/>
      <c r="AA30" s="103"/>
      <c r="AB30" s="103"/>
      <c r="AC30" s="103"/>
      <c r="AD30" s="103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</row>
    <row r="31" customFormat="false" ht="14.25" hidden="false" customHeight="false" outlineLevel="0" collapsed="false">
      <c r="A31" s="98" t="n">
        <v>179</v>
      </c>
      <c r="B31" s="98"/>
      <c r="C31" s="11" t="s">
        <v>110</v>
      </c>
      <c r="D31" s="11" t="s">
        <v>110</v>
      </c>
      <c r="E31" s="99" t="n">
        <v>45488</v>
      </c>
      <c r="F31" s="11" t="n">
        <v>31017</v>
      </c>
      <c r="G31" s="11" t="s">
        <v>769</v>
      </c>
      <c r="H31" s="11"/>
      <c r="I31" s="100" t="str">
        <f aca="false">_xlfn.xlookup(C31,Clients!B:B,Clients!W:W,FALSE())</f>
        <v>Pickup par Produlith camion</v>
      </c>
      <c r="J31" s="100" t="str">
        <f aca="false">_xlfn.xlookup(C31,Clients!B:B,Clients!M:M,FALSE())</f>
        <v>Net 30 jours</v>
      </c>
      <c r="K31" s="100" t="str">
        <f aca="false">_xlfn.xlookup(C31,Clients!B:B,Clients!R:R,FALSE())</f>
        <v>EXW Boucherville</v>
      </c>
      <c r="L31" s="101" t="n">
        <v>45491</v>
      </c>
      <c r="M31" s="98" t="str">
        <f aca="false">_xlfn.xlookup(C31,Clients!B:B,Clients!X:X,FALSE())</f>
        <v>USD</v>
      </c>
      <c r="N31" s="98" t="str">
        <f aca="false">_xlfn.xlookup(C31,Clients!B:B,Clients!Y:Y,FALSE())</f>
        <v>USD</v>
      </c>
      <c r="O31" s="102" t="n">
        <v>40062</v>
      </c>
      <c r="P31" s="102"/>
      <c r="Q31" s="102" t="n">
        <v>3</v>
      </c>
      <c r="R31" s="102" t="n">
        <v>2214</v>
      </c>
      <c r="S31" s="103"/>
      <c r="T31" s="103"/>
      <c r="U31" s="103"/>
      <c r="V31" s="103"/>
      <c r="W31" s="102"/>
      <c r="X31" s="102"/>
      <c r="Y31" s="102"/>
      <c r="Z31" s="102"/>
      <c r="AA31" s="103"/>
      <c r="AB31" s="103"/>
      <c r="AC31" s="103"/>
      <c r="AD31" s="103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5"/>
      <c r="AZ31" s="105"/>
      <c r="BA31" s="105"/>
      <c r="BB31" s="105"/>
    </row>
    <row r="32" customFormat="false" ht="14.25" hidden="false" customHeight="false" outlineLevel="0" collapsed="false">
      <c r="A32" s="98" t="n">
        <v>180</v>
      </c>
      <c r="B32" s="98"/>
      <c r="C32" s="11" t="s">
        <v>777</v>
      </c>
      <c r="D32" s="11" t="s">
        <v>777</v>
      </c>
      <c r="E32" s="99" t="n">
        <v>45509</v>
      </c>
      <c r="F32" s="11" t="s">
        <v>778</v>
      </c>
      <c r="G32" s="11"/>
      <c r="H32" s="11"/>
      <c r="I32" s="100" t="n">
        <f aca="false">_xlfn.xlookup(C32,Clients!B:B,Clients!W:W,FALSE())</f>
        <v>0</v>
      </c>
      <c r="J32" s="100" t="str">
        <f aca="false">_xlfn.xlookup(C32,Clients!B:B,Clients!M:M,FALSE())</f>
        <v>Net 30 jours</v>
      </c>
      <c r="K32" s="100" t="str">
        <f aca="false">_xlfn.xlookup(C32,Clients!B:B,Clients!R:R,FALSE())</f>
        <v>Livraison incluse</v>
      </c>
      <c r="L32" s="101" t="n">
        <v>45513</v>
      </c>
      <c r="M32" s="98" t="str">
        <f aca="false">_xlfn.xlookup(C32,Clients!B:B,Clients!X:X,FALSE())</f>
        <v>CAD</v>
      </c>
      <c r="N32" s="98" t="str">
        <f aca="false">_xlfn.xlookup(C32,Clients!B:B,Clients!Y:Y,FALSE())</f>
        <v>CAD</v>
      </c>
      <c r="O32" s="102"/>
      <c r="P32" s="102"/>
      <c r="Q32" s="102"/>
      <c r="R32" s="102"/>
      <c r="S32" s="103"/>
      <c r="T32" s="103"/>
      <c r="U32" s="103"/>
      <c r="V32" s="103"/>
      <c r="W32" s="102"/>
      <c r="X32" s="102"/>
      <c r="Y32" s="102"/>
      <c r="Z32" s="102"/>
      <c r="AA32" s="103"/>
      <c r="AB32" s="103"/>
      <c r="AC32" s="103"/>
      <c r="AD32" s="103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</row>
    <row r="33" customFormat="false" ht="14.25" hidden="false" customHeight="false" outlineLevel="0" collapsed="false">
      <c r="A33" s="98" t="n">
        <v>181</v>
      </c>
      <c r="B33" s="98"/>
      <c r="C33" s="11" t="s">
        <v>124</v>
      </c>
      <c r="D33" s="11" t="s">
        <v>124</v>
      </c>
      <c r="E33" s="99" t="n">
        <v>45490</v>
      </c>
      <c r="F33" s="11" t="n">
        <v>102376</v>
      </c>
      <c r="G33" s="11" t="s">
        <v>771</v>
      </c>
      <c r="H33" s="11" t="s">
        <v>779</v>
      </c>
      <c r="I33" s="100" t="n">
        <f aca="false">_xlfn.xlookup(C33,Clients!B:B,Clients!W:W,FALSE())</f>
        <v>0</v>
      </c>
      <c r="J33" s="100" t="str">
        <f aca="false">_xlfn.xlookup(C33,Clients!B:B,Clients!M:M,FALSE())</f>
        <v>Net 30 jours</v>
      </c>
      <c r="K33" s="100" t="str">
        <f aca="false">_xlfn.xlookup(C33,Clients!B:B,Clients!R:R,FALSE())</f>
        <v>EXW Boucherville</v>
      </c>
      <c r="L33" s="101" t="n">
        <v>45491</v>
      </c>
      <c r="M33" s="98" t="str">
        <f aca="false">_xlfn.xlookup(C33,Clients!B:B,Clients!X:X,FALSE())</f>
        <v>USD</v>
      </c>
      <c r="N33" s="98" t="str">
        <f aca="false">_xlfn.xlookup(C33,Clients!B:B,Clients!Y:Y,FALSE())</f>
        <v>USD</v>
      </c>
      <c r="O33" s="102" t="n">
        <v>40067</v>
      </c>
      <c r="P33" s="102"/>
      <c r="Q33" s="102" t="n">
        <v>5</v>
      </c>
      <c r="R33" s="102" t="n">
        <f aca="false">12*12*5*5</f>
        <v>3600</v>
      </c>
      <c r="S33" s="103"/>
      <c r="T33" s="103"/>
      <c r="U33" s="103"/>
      <c r="V33" s="103"/>
      <c r="W33" s="102"/>
      <c r="X33" s="102"/>
      <c r="Y33" s="102"/>
      <c r="Z33" s="102"/>
      <c r="AA33" s="103"/>
      <c r="AB33" s="103"/>
      <c r="AC33" s="103"/>
      <c r="AD33" s="103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</row>
    <row r="34" customFormat="false" ht="14.25" hidden="false" customHeight="false" outlineLevel="0" collapsed="false">
      <c r="A34" s="107" t="n">
        <v>182</v>
      </c>
      <c r="B34" s="107"/>
      <c r="C34" s="11" t="s">
        <v>110</v>
      </c>
      <c r="D34" s="11" t="s">
        <v>110</v>
      </c>
      <c r="E34" s="99" t="n">
        <v>45498</v>
      </c>
      <c r="F34" s="11" t="n">
        <v>31105</v>
      </c>
      <c r="G34" s="11" t="s">
        <v>769</v>
      </c>
      <c r="H34" s="108"/>
      <c r="I34" s="100" t="str">
        <f aca="false">_xlfn.xlookup(C34,Clients!B:B,Clients!W:W,FALSE())</f>
        <v>Pickup par Produlith camion</v>
      </c>
      <c r="J34" s="100" t="str">
        <f aca="false">_xlfn.xlookup(C34,Clients!B:B,Clients!M:M,FALSE())</f>
        <v>Net 30 jours</v>
      </c>
      <c r="K34" s="100" t="str">
        <f aca="false">_xlfn.xlookup(C34,Clients!B:B,Clients!R:R,FALSE())</f>
        <v>EXW Boucherville</v>
      </c>
      <c r="L34" s="109" t="n">
        <v>45505</v>
      </c>
      <c r="M34" s="98" t="str">
        <f aca="false">_xlfn.xlookup(C34,Clients!B:B,Clients!X:X,FALSE())</f>
        <v>USD</v>
      </c>
      <c r="N34" s="98" t="str">
        <f aca="false">_xlfn.xlookup(C34,Clients!B:B,Clients!Y:Y,FALSE())</f>
        <v>USD</v>
      </c>
      <c r="O34" s="110" t="n">
        <v>40051</v>
      </c>
      <c r="P34" s="110"/>
      <c r="Q34" s="110" t="n">
        <v>4</v>
      </c>
      <c r="R34" s="110" t="n">
        <f aca="false">4*15*2.5*12</f>
        <v>1800</v>
      </c>
      <c r="S34" s="111"/>
      <c r="T34" s="103"/>
      <c r="U34" s="103"/>
      <c r="V34" s="103"/>
      <c r="W34" s="110"/>
      <c r="X34" s="110"/>
      <c r="Y34" s="110"/>
      <c r="Z34" s="110"/>
      <c r="AA34" s="103"/>
      <c r="AB34" s="103"/>
      <c r="AC34" s="103"/>
      <c r="AD34" s="103"/>
      <c r="AE34" s="112"/>
      <c r="AF34" s="112"/>
      <c r="AG34" s="112"/>
      <c r="AH34" s="112"/>
      <c r="AI34" s="105"/>
      <c r="AJ34" s="105"/>
      <c r="AK34" s="105"/>
      <c r="AL34" s="105"/>
      <c r="AM34" s="112"/>
      <c r="AN34" s="112"/>
      <c r="AO34" s="112"/>
      <c r="AP34" s="112"/>
      <c r="AQ34" s="105"/>
      <c r="AR34" s="105"/>
      <c r="AS34" s="105"/>
      <c r="AT34" s="105"/>
      <c r="AU34" s="112"/>
      <c r="AV34" s="112"/>
      <c r="AW34" s="112"/>
      <c r="AX34" s="112"/>
      <c r="AY34" s="105"/>
      <c r="AZ34" s="105"/>
      <c r="BA34" s="105"/>
      <c r="BB34" s="105"/>
    </row>
    <row r="35" customFormat="false" ht="14.25" hidden="false" customHeight="false" outlineLevel="0" collapsed="false">
      <c r="A35" s="107" t="n">
        <v>183</v>
      </c>
      <c r="B35" s="107"/>
      <c r="C35" s="11" t="s">
        <v>777</v>
      </c>
      <c r="D35" s="11" t="s">
        <v>777</v>
      </c>
      <c r="E35" s="113" t="n">
        <v>45510</v>
      </c>
      <c r="F35" s="108" t="s">
        <v>780</v>
      </c>
      <c r="G35" s="108"/>
      <c r="H35" s="108"/>
      <c r="I35" s="100" t="n">
        <f aca="false">_xlfn.xlookup(C35,Clients!B:B,Clients!W:W,FALSE())</f>
        <v>0</v>
      </c>
      <c r="J35" s="100" t="str">
        <f aca="false">_xlfn.xlookup(C35,Clients!$B$1:$B$1001,Clients!$M$1:$M$1001,FALSE())</f>
        <v>Net 30 jours</v>
      </c>
      <c r="K35" s="100" t="str">
        <f aca="false">_xlfn.xlookup(C35,Clients!B:B,Clients!R:R,FALSE())</f>
        <v>Livraison incluse</v>
      </c>
      <c r="L35" s="109" t="n">
        <v>45511</v>
      </c>
      <c r="M35" s="98" t="str">
        <f aca="false">_xlfn.xlookup(C35,Clients!B:B,Clients!X:X,FALSE())</f>
        <v>CAD</v>
      </c>
      <c r="N35" s="98" t="str">
        <f aca="false">_xlfn.xlookup(C35,Clients!B:B,Clients!Y:Y,FALSE())</f>
        <v>CAD</v>
      </c>
      <c r="O35" s="110" t="n">
        <v>40063</v>
      </c>
      <c r="P35" s="110"/>
      <c r="Q35" s="110" t="n">
        <v>1</v>
      </c>
      <c r="R35" s="110" t="n">
        <f aca="false">10*12*2.5</f>
        <v>300</v>
      </c>
      <c r="S35" s="111" t="n">
        <v>40064</v>
      </c>
      <c r="T35" s="103"/>
      <c r="U35" s="103" t="n">
        <v>1</v>
      </c>
      <c r="V35" s="103" t="n">
        <f aca="false">13*12*2.5</f>
        <v>390</v>
      </c>
      <c r="W35" s="110" t="n">
        <v>40065</v>
      </c>
      <c r="X35" s="110"/>
      <c r="Y35" s="110" t="n">
        <v>1</v>
      </c>
      <c r="Z35" s="110" t="n">
        <f aca="false">10*12*2.5</f>
        <v>300</v>
      </c>
      <c r="AA35" s="103" t="n">
        <v>40066</v>
      </c>
      <c r="AB35" s="103"/>
      <c r="AC35" s="103" t="n">
        <v>1</v>
      </c>
      <c r="AD35" s="103" t="n">
        <f aca="false">13*12*2.5</f>
        <v>390</v>
      </c>
      <c r="AE35" s="112"/>
      <c r="AF35" s="112"/>
      <c r="AG35" s="112"/>
      <c r="AH35" s="112"/>
      <c r="AI35" s="105"/>
      <c r="AJ35" s="105"/>
      <c r="AK35" s="105"/>
      <c r="AL35" s="105"/>
      <c r="AM35" s="112"/>
      <c r="AN35" s="112"/>
      <c r="AO35" s="112"/>
      <c r="AP35" s="112"/>
      <c r="AQ35" s="105"/>
      <c r="AR35" s="105"/>
      <c r="AS35" s="105"/>
      <c r="AT35" s="105"/>
      <c r="AU35" s="112"/>
      <c r="AV35" s="112"/>
      <c r="AW35" s="112"/>
      <c r="AX35" s="112"/>
      <c r="AY35" s="105"/>
      <c r="AZ35" s="105"/>
      <c r="BA35" s="105"/>
      <c r="BB35" s="105"/>
    </row>
    <row r="36" customFormat="false" ht="14.25" hidden="false" customHeight="false" outlineLevel="0" collapsed="false">
      <c r="A36" s="107" t="n">
        <v>184</v>
      </c>
      <c r="B36" s="107"/>
      <c r="C36" s="11" t="s">
        <v>151</v>
      </c>
      <c r="D36" s="11" t="s">
        <v>151</v>
      </c>
      <c r="E36" s="113" t="n">
        <v>45512</v>
      </c>
      <c r="F36" s="108" t="s">
        <v>781</v>
      </c>
      <c r="G36" s="108"/>
      <c r="H36" s="108"/>
      <c r="I36" s="100" t="n">
        <f aca="false">_xlfn.xlookup(C36,Clients!B:B,Clients!W:W,FALSE())</f>
        <v>0</v>
      </c>
      <c r="J36" s="100" t="str">
        <f aca="false">_xlfn.xlookup(C36,Clients!$B$1:$B$1001,Clients!$M$1:$M$1001,FALSE())</f>
        <v>Net 30 jours</v>
      </c>
      <c r="K36" s="100" t="str">
        <f aca="false">_xlfn.xlookup(C36,Clients!B:B,Clients!R:R,FALSE())</f>
        <v>Livraison incluse</v>
      </c>
      <c r="L36" s="109" t="n">
        <v>45513</v>
      </c>
      <c r="M36" s="98" t="str">
        <f aca="false">_xlfn.xlookup(C36,Clients!B:B,Clients!X:X,FALSE())</f>
        <v>CAD</v>
      </c>
      <c r="N36" s="98" t="str">
        <f aca="false">_xlfn.xlookup(C36,Clients!B:B,Clients!Y:Y,FALSE())</f>
        <v>CAD</v>
      </c>
      <c r="O36" s="110" t="n">
        <v>40068</v>
      </c>
      <c r="P36" s="110"/>
      <c r="Q36" s="110" t="n">
        <v>1</v>
      </c>
      <c r="R36" s="110" t="n">
        <v>675</v>
      </c>
      <c r="S36" s="111"/>
      <c r="T36" s="103"/>
      <c r="U36" s="103"/>
      <c r="V36" s="103"/>
      <c r="W36" s="110"/>
      <c r="X36" s="110"/>
      <c r="Y36" s="110"/>
      <c r="Z36" s="110"/>
      <c r="AA36" s="103"/>
      <c r="AB36" s="103"/>
      <c r="AC36" s="103"/>
      <c r="AD36" s="103"/>
      <c r="AE36" s="112"/>
      <c r="AF36" s="112"/>
      <c r="AG36" s="112"/>
      <c r="AH36" s="112"/>
      <c r="AI36" s="105"/>
      <c r="AJ36" s="105"/>
      <c r="AK36" s="105"/>
      <c r="AL36" s="105"/>
      <c r="AM36" s="112"/>
      <c r="AN36" s="112"/>
      <c r="AO36" s="112"/>
      <c r="AP36" s="112"/>
      <c r="AQ36" s="105"/>
      <c r="AR36" s="105"/>
      <c r="AS36" s="105"/>
      <c r="AT36" s="105"/>
      <c r="AU36" s="112"/>
      <c r="AV36" s="112"/>
      <c r="AW36" s="112"/>
      <c r="AX36" s="112"/>
      <c r="AY36" s="105"/>
      <c r="AZ36" s="105"/>
      <c r="BA36" s="105"/>
      <c r="BB36" s="105"/>
    </row>
    <row r="37" customFormat="false" ht="14.25" hidden="false" customHeight="false" outlineLevel="0" collapsed="false">
      <c r="A37" s="107" t="n">
        <v>185</v>
      </c>
      <c r="B37" s="107"/>
      <c r="C37" s="11" t="s">
        <v>124</v>
      </c>
      <c r="D37" s="11" t="s">
        <v>124</v>
      </c>
      <c r="E37" s="113" t="n">
        <v>45512</v>
      </c>
      <c r="F37" s="108" t="n">
        <v>102985</v>
      </c>
      <c r="G37" s="108" t="s">
        <v>782</v>
      </c>
      <c r="H37" s="11" t="s">
        <v>779</v>
      </c>
      <c r="I37" s="100" t="n">
        <f aca="false">_xlfn.xlookup(C37,Clients!B:B,Clients!W:W,FALSE())</f>
        <v>0</v>
      </c>
      <c r="J37" s="100" t="str">
        <f aca="false">_xlfn.xlookup(C37,Clients!$B$1:$B$1001,Clients!$M$1:$M$1001,FALSE())</f>
        <v>Net 30 jours</v>
      </c>
      <c r="K37" s="100" t="str">
        <f aca="false">_xlfn.xlookup(C37,Clients!B:B,Clients!R:R,FALSE())</f>
        <v>EXW Boucherville</v>
      </c>
      <c r="L37" s="109" t="n">
        <v>45518</v>
      </c>
      <c r="M37" s="98" t="str">
        <f aca="false">_xlfn.xlookup(C37,Clients!B:B,Clients!X:X,FALSE())</f>
        <v>USD</v>
      </c>
      <c r="N37" s="98" t="str">
        <f aca="false">_xlfn.xlookup(C37,Clients!B:B,Clients!Y:Y,FALSE())</f>
        <v>USD</v>
      </c>
      <c r="O37" s="110" t="n">
        <v>40069</v>
      </c>
      <c r="P37" s="110"/>
      <c r="Q37" s="110" t="n">
        <v>5</v>
      </c>
      <c r="R37" s="110" t="n">
        <f aca="false">5*10.375*12*5</f>
        <v>3112.5</v>
      </c>
      <c r="S37" s="111" t="n">
        <v>40070</v>
      </c>
      <c r="T37" s="103"/>
      <c r="U37" s="103" t="n">
        <v>1</v>
      </c>
      <c r="V37" s="103" t="n">
        <f aca="false">8.125*12*5</f>
        <v>487.5</v>
      </c>
      <c r="W37" s="110"/>
      <c r="X37" s="110"/>
      <c r="Y37" s="110"/>
      <c r="Z37" s="110"/>
      <c r="AA37" s="103"/>
      <c r="AB37" s="103"/>
      <c r="AC37" s="103"/>
      <c r="AD37" s="103"/>
      <c r="AE37" s="112"/>
      <c r="AF37" s="112"/>
      <c r="AG37" s="112"/>
      <c r="AH37" s="112"/>
      <c r="AI37" s="105"/>
      <c r="AJ37" s="105"/>
      <c r="AK37" s="105"/>
      <c r="AL37" s="105"/>
      <c r="AM37" s="112"/>
      <c r="AN37" s="112"/>
      <c r="AO37" s="112"/>
      <c r="AP37" s="112"/>
      <c r="AQ37" s="105"/>
      <c r="AR37" s="105"/>
      <c r="AS37" s="105"/>
      <c r="AT37" s="105"/>
      <c r="AU37" s="112"/>
      <c r="AV37" s="112"/>
      <c r="AW37" s="112"/>
      <c r="AX37" s="112"/>
      <c r="AY37" s="105"/>
      <c r="AZ37" s="105"/>
      <c r="BA37" s="105"/>
      <c r="BB37" s="105"/>
    </row>
    <row r="38" customFormat="false" ht="14.25" hidden="false" customHeight="false" outlineLevel="0" collapsed="false">
      <c r="A38" s="107" t="n">
        <v>186</v>
      </c>
      <c r="B38" s="107"/>
      <c r="C38" s="11" t="s">
        <v>124</v>
      </c>
      <c r="D38" s="11" t="s">
        <v>124</v>
      </c>
      <c r="E38" s="113" t="n">
        <v>45513</v>
      </c>
      <c r="F38" s="108" t="n">
        <v>103001</v>
      </c>
      <c r="G38" s="108" t="s">
        <v>782</v>
      </c>
      <c r="H38" s="11" t="s">
        <v>779</v>
      </c>
      <c r="I38" s="100" t="n">
        <f aca="false">_xlfn.xlookup(C38,Clients!B:B,Clients!W:W,FALSE())</f>
        <v>0</v>
      </c>
      <c r="J38" s="100" t="str">
        <f aca="false">_xlfn.xlookup(C38,Clients!$B$1:$B$1001,Clients!$M$1:$M$1001,FALSE())</f>
        <v>Net 30 jours</v>
      </c>
      <c r="K38" s="100" t="str">
        <f aca="false">_xlfn.xlookup(C38,Clients!B:B,Clients!R:R,FALSE())</f>
        <v>EXW Boucherville</v>
      </c>
      <c r="L38" s="109" t="n">
        <v>45518</v>
      </c>
      <c r="M38" s="98" t="str">
        <f aca="false">_xlfn.xlookup(C38,Clients!B:B,Clients!X:X,FALSE())</f>
        <v>USD</v>
      </c>
      <c r="N38" s="98" t="str">
        <f aca="false">_xlfn.xlookup(C38,Clients!B:B,Clients!Y:Y,FALSE())</f>
        <v>USD</v>
      </c>
      <c r="O38" s="110" t="n">
        <v>40067</v>
      </c>
      <c r="P38" s="110"/>
      <c r="Q38" s="110" t="n">
        <v>5</v>
      </c>
      <c r="R38" s="110" t="n">
        <f aca="false">5*12*12*5</f>
        <v>3600</v>
      </c>
      <c r="S38" s="111"/>
      <c r="T38" s="103"/>
      <c r="U38" s="103"/>
      <c r="V38" s="103"/>
      <c r="W38" s="110"/>
      <c r="X38" s="110"/>
      <c r="Y38" s="110"/>
      <c r="Z38" s="110"/>
      <c r="AA38" s="103"/>
      <c r="AB38" s="103"/>
      <c r="AC38" s="103"/>
      <c r="AD38" s="103"/>
      <c r="AE38" s="112"/>
      <c r="AF38" s="112"/>
      <c r="AG38" s="112"/>
      <c r="AH38" s="112"/>
      <c r="AI38" s="105"/>
      <c r="AJ38" s="105"/>
      <c r="AK38" s="105"/>
      <c r="AL38" s="105"/>
      <c r="AM38" s="112"/>
      <c r="AN38" s="112"/>
      <c r="AO38" s="112"/>
      <c r="AP38" s="112"/>
      <c r="AQ38" s="105"/>
      <c r="AR38" s="105"/>
      <c r="AS38" s="105"/>
      <c r="AT38" s="105"/>
      <c r="AU38" s="112"/>
      <c r="AV38" s="112"/>
      <c r="AW38" s="112"/>
      <c r="AX38" s="112"/>
      <c r="AY38" s="105"/>
      <c r="AZ38" s="105"/>
      <c r="BA38" s="105"/>
      <c r="BB38" s="105"/>
    </row>
    <row r="39" customFormat="false" ht="14.25" hidden="false" customHeight="false" outlineLevel="0" collapsed="false">
      <c r="A39" s="107" t="n">
        <v>187</v>
      </c>
      <c r="B39" s="107"/>
      <c r="C39" s="11" t="s">
        <v>134</v>
      </c>
      <c r="D39" s="11" t="s">
        <v>134</v>
      </c>
      <c r="E39" s="113" t="n">
        <v>45516</v>
      </c>
      <c r="F39" s="108" t="s">
        <v>783</v>
      </c>
      <c r="G39" s="108"/>
      <c r="H39" s="108"/>
      <c r="I39" s="100" t="n">
        <f aca="false">_xlfn.xlookup(C39,Clients!B:B,Clients!W:W,FALSE())</f>
        <v>0</v>
      </c>
      <c r="J39" s="100" t="str">
        <f aca="false">_xlfn.xlookup(C39,Clients!$B$1:$B$1001,Clients!$M$1:$M$1001,FALSE())</f>
        <v>Net 30 jours</v>
      </c>
      <c r="K39" s="100" t="str">
        <f aca="false">_xlfn.xlookup(C39,Clients!B:B,Clients!R:R,FALSE())</f>
        <v>EXW Boucherville</v>
      </c>
      <c r="L39" s="109" t="n">
        <v>45517</v>
      </c>
      <c r="M39" s="98" t="str">
        <f aca="false">_xlfn.xlookup(C39,Clients!B:B,Clients!X:X,FALSE())</f>
        <v>CAD</v>
      </c>
      <c r="N39" s="98" t="str">
        <f aca="false">_xlfn.xlookup(C39,Clients!B:B,Clients!Y:Y,FALSE())</f>
        <v>CAD</v>
      </c>
      <c r="O39" s="110" t="n">
        <v>40071</v>
      </c>
      <c r="P39" s="110"/>
      <c r="Q39" s="110" t="n">
        <v>1</v>
      </c>
      <c r="R39" s="110" t="n">
        <f aca="false">8.6*12*4.315</f>
        <v>445.308</v>
      </c>
      <c r="S39" s="111"/>
      <c r="T39" s="103"/>
      <c r="U39" s="103"/>
      <c r="V39" s="103"/>
      <c r="W39" s="110"/>
      <c r="X39" s="110"/>
      <c r="Y39" s="110"/>
      <c r="Z39" s="110"/>
      <c r="AA39" s="103"/>
      <c r="AB39" s="103"/>
      <c r="AC39" s="103"/>
      <c r="AD39" s="103"/>
      <c r="AE39" s="112"/>
      <c r="AF39" s="112"/>
      <c r="AG39" s="112"/>
      <c r="AH39" s="112"/>
      <c r="AI39" s="105"/>
      <c r="AJ39" s="105"/>
      <c r="AK39" s="105"/>
      <c r="AL39" s="105"/>
      <c r="AM39" s="112"/>
      <c r="AN39" s="112"/>
      <c r="AO39" s="112"/>
      <c r="AP39" s="112"/>
      <c r="AQ39" s="105"/>
      <c r="AR39" s="105"/>
      <c r="AS39" s="105"/>
      <c r="AT39" s="105"/>
      <c r="AU39" s="112"/>
      <c r="AV39" s="112"/>
      <c r="AW39" s="112"/>
      <c r="AX39" s="112"/>
      <c r="AY39" s="105"/>
      <c r="AZ39" s="105"/>
      <c r="BA39" s="105"/>
      <c r="BB39" s="105"/>
    </row>
    <row r="40" customFormat="false" ht="14.25" hidden="false" customHeight="false" outlineLevel="0" collapsed="false">
      <c r="A40" s="107" t="n">
        <v>188</v>
      </c>
      <c r="B40" s="107"/>
      <c r="C40" s="11" t="s">
        <v>31</v>
      </c>
      <c r="D40" s="11" t="s">
        <v>31</v>
      </c>
      <c r="E40" s="99" t="n">
        <v>45518</v>
      </c>
      <c r="F40" s="11" t="n">
        <v>50008425</v>
      </c>
      <c r="G40" s="11" t="s">
        <v>754</v>
      </c>
      <c r="H40" s="11"/>
      <c r="I40" s="100" t="n">
        <f aca="false">_xlfn.xlookup(C40,Clients!B:B,Clients!W:W,FALSE())</f>
        <v>0</v>
      </c>
      <c r="J40" s="100" t="str">
        <f aca="false">_xlfn.xlookup(C40,Clients!$B$1:$B$1001,Clients!$M$1:$M$1001,FALSE())</f>
        <v>Net 30 days</v>
      </c>
      <c r="K40" s="100" t="str">
        <f aca="false">_xlfn.xlookup(C40,Clients!B:B,Clients!R:R,FALSE())</f>
        <v>EXW Boucherville</v>
      </c>
      <c r="L40" s="109" t="n">
        <v>45527</v>
      </c>
      <c r="M40" s="98" t="str">
        <f aca="false">_xlfn.xlookup(C40,Clients!B:B,Clients!X:X,FALSE())</f>
        <v>USD</v>
      </c>
      <c r="N40" s="98" t="str">
        <f aca="false">_xlfn.xlookup(C40,Clients!B:B,Clients!Y:Y,FALSE())</f>
        <v>USD</v>
      </c>
      <c r="O40" s="102" t="n">
        <v>40033</v>
      </c>
      <c r="P40" s="102"/>
      <c r="Q40" s="102" t="n">
        <v>60</v>
      </c>
      <c r="R40" s="102" t="n">
        <f aca="false">60*10*12*5</f>
        <v>36000</v>
      </c>
      <c r="S40" s="103"/>
      <c r="T40" s="103"/>
      <c r="U40" s="103"/>
      <c r="V40" s="103"/>
      <c r="W40" s="102"/>
      <c r="X40" s="102"/>
      <c r="Y40" s="102"/>
      <c r="Z40" s="102"/>
      <c r="AA40" s="103"/>
      <c r="AB40" s="103"/>
      <c r="AC40" s="103"/>
      <c r="AD40" s="103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</row>
    <row r="41" customFormat="false" ht="14.25" hidden="false" customHeight="false" outlineLevel="0" collapsed="false">
      <c r="A41" s="107" t="n">
        <v>189</v>
      </c>
      <c r="B41" s="107"/>
      <c r="C41" s="11" t="s">
        <v>118</v>
      </c>
      <c r="D41" s="11" t="s">
        <v>118</v>
      </c>
      <c r="E41" s="114" t="n">
        <v>45518</v>
      </c>
      <c r="F41" s="115" t="s">
        <v>784</v>
      </c>
      <c r="G41" s="115" t="s">
        <v>785</v>
      </c>
      <c r="H41" s="115"/>
      <c r="I41" s="116"/>
      <c r="J41" s="116" t="str">
        <f aca="false">_xlfn.xlookup(C41,Clients!$B$1:$B$1001,Clients!$M$1:$M$1001,FALSE())</f>
        <v>Net 30 jours</v>
      </c>
      <c r="K41" s="100" t="str">
        <f aca="false">_xlfn.xlookup(C41,Clients!B:B,Clients!R:R,FALSE())</f>
        <v>Livraison incluse</v>
      </c>
      <c r="L41" s="117" t="n">
        <v>45525</v>
      </c>
      <c r="M41" s="98" t="str">
        <f aca="false">_xlfn.xlookup(C41,Clients!B:B,Clients!X:X,FALSE())</f>
        <v>CAD</v>
      </c>
      <c r="N41" s="98" t="str">
        <f aca="false">_xlfn.xlookup(C41,Clients!B:B,Clients!Y:Y,FALSE())</f>
        <v>CAD</v>
      </c>
      <c r="O41" s="106" t="n">
        <v>40072</v>
      </c>
      <c r="P41" s="106"/>
      <c r="Q41" s="106" t="n">
        <v>1</v>
      </c>
      <c r="R41" s="106" t="n">
        <f aca="false">Q41*_xlfn.xlookup(O41,'Prix vente'!A:A,'Prix vente'!R:R)</f>
        <v>600</v>
      </c>
      <c r="S41" s="118"/>
      <c r="T41" s="118"/>
      <c r="U41" s="118"/>
      <c r="V41" s="118"/>
      <c r="W41" s="106"/>
      <c r="X41" s="106"/>
      <c r="Y41" s="106"/>
      <c r="Z41" s="106"/>
      <c r="AA41" s="118"/>
      <c r="AB41" s="118"/>
      <c r="AC41" s="118"/>
      <c r="AD41" s="118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AZ41" s="119"/>
      <c r="BA41" s="119"/>
      <c r="BB41" s="119"/>
    </row>
    <row r="42" customFormat="false" ht="14.25" hidden="false" customHeight="false" outlineLevel="0" collapsed="false">
      <c r="A42" s="107" t="n">
        <v>190</v>
      </c>
      <c r="B42" s="107"/>
      <c r="C42" s="11" t="s">
        <v>134</v>
      </c>
      <c r="D42" s="11" t="s">
        <v>134</v>
      </c>
      <c r="E42" s="114" t="n">
        <v>45518</v>
      </c>
      <c r="F42" s="115" t="s">
        <v>784</v>
      </c>
      <c r="G42" s="115"/>
      <c r="H42" s="115"/>
      <c r="I42" s="116"/>
      <c r="J42" s="116" t="str">
        <f aca="false">_xlfn.xlookup(C42,Clients!$B$1:$B$1001,Clients!$M$1:$M$1001,FALSE())</f>
        <v>Net 30 jours</v>
      </c>
      <c r="K42" s="100" t="str">
        <f aca="false">_xlfn.xlookup(C42,Clients!B:B,Clients!R:R,FALSE())</f>
        <v>EXW Boucherville</v>
      </c>
      <c r="L42" s="117" t="n">
        <v>45525</v>
      </c>
      <c r="M42" s="98" t="str">
        <f aca="false">_xlfn.xlookup(C42,Clients!B:B,Clients!X:X,FALSE())</f>
        <v>CAD</v>
      </c>
      <c r="N42" s="98" t="str">
        <f aca="false">_xlfn.xlookup(C42,Clients!B:B,Clients!Y:Y,FALSE())</f>
        <v>CAD</v>
      </c>
      <c r="O42" s="106" t="n">
        <v>40073</v>
      </c>
      <c r="P42" s="106"/>
      <c r="Q42" s="106" t="n">
        <v>1</v>
      </c>
      <c r="R42" s="106" t="n">
        <f aca="false">Q42*_xlfn.xlookup(O42,'Prix vente'!A:A,'Prix vente'!R:R)</f>
        <v>285</v>
      </c>
      <c r="S42" s="118"/>
      <c r="T42" s="118"/>
      <c r="U42" s="118"/>
      <c r="V42" s="118"/>
      <c r="W42" s="106"/>
      <c r="X42" s="106"/>
      <c r="Y42" s="106"/>
      <c r="Z42" s="106"/>
      <c r="AA42" s="118"/>
      <c r="AB42" s="118"/>
      <c r="AC42" s="118"/>
      <c r="AD42" s="118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</row>
    <row r="43" customFormat="false" ht="14.25" hidden="false" customHeight="false" outlineLevel="0" collapsed="false">
      <c r="A43" s="107" t="n">
        <v>191</v>
      </c>
      <c r="B43" s="107"/>
      <c r="C43" s="11" t="s">
        <v>160</v>
      </c>
      <c r="D43" s="11" t="s">
        <v>160</v>
      </c>
      <c r="E43" s="114" t="n">
        <v>45518</v>
      </c>
      <c r="F43" s="108" t="s">
        <v>783</v>
      </c>
      <c r="G43" s="115" t="s">
        <v>786</v>
      </c>
      <c r="H43" s="115"/>
      <c r="I43" s="116"/>
      <c r="J43" s="116" t="str">
        <f aca="false">_xlfn.xlookup(C43,Clients!$B$1:$B$1001,Clients!$M$1:$M$1001,FALSE())</f>
        <v>Net 30 jours</v>
      </c>
      <c r="K43" s="100" t="str">
        <f aca="false">_xlfn.xlookup(C43,Clients!B:B,Clients!R:R,FALSE())</f>
        <v>Livraison incluse</v>
      </c>
      <c r="L43" s="117" t="n">
        <v>45525</v>
      </c>
      <c r="M43" s="98" t="str">
        <f aca="false">_xlfn.xlookup(C43,Clients!B:B,Clients!X:X,FALSE())</f>
        <v>CAD</v>
      </c>
      <c r="N43" s="98" t="str">
        <f aca="false">_xlfn.xlookup(C43,Clients!B:B,Clients!Y:Y,FALSE())</f>
        <v>CAD</v>
      </c>
      <c r="O43" s="106" t="n">
        <v>40074</v>
      </c>
      <c r="P43" s="106"/>
      <c r="Q43" s="106" t="n">
        <v>1</v>
      </c>
      <c r="R43" s="106" t="n">
        <f aca="false">Q43*_xlfn.xlookup(O43,'Prix vente'!A:A,'Prix vente'!R:R)</f>
        <v>451.5</v>
      </c>
      <c r="S43" s="118"/>
      <c r="T43" s="118"/>
      <c r="U43" s="118"/>
      <c r="V43" s="118"/>
      <c r="W43" s="106"/>
      <c r="X43" s="106"/>
      <c r="Y43" s="106"/>
      <c r="Z43" s="106"/>
      <c r="AA43" s="118"/>
      <c r="AB43" s="118"/>
      <c r="AC43" s="118"/>
      <c r="AD43" s="118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</row>
    <row r="44" customFormat="false" ht="14.25" hidden="false" customHeight="false" outlineLevel="0" collapsed="false">
      <c r="A44" s="107" t="n">
        <v>192</v>
      </c>
      <c r="B44" s="107"/>
      <c r="C44" s="11" t="s">
        <v>777</v>
      </c>
      <c r="D44" s="11" t="s">
        <v>777</v>
      </c>
      <c r="E44" s="114" t="n">
        <v>45520</v>
      </c>
      <c r="F44" s="115" t="s">
        <v>787</v>
      </c>
      <c r="G44" s="115"/>
      <c r="H44" s="115"/>
      <c r="I44" s="116"/>
      <c r="J44" s="116" t="str">
        <f aca="false">_xlfn.xlookup(C44,Clients!$B$1:$B$1001,Clients!$M$1:$M$1001,FALSE())</f>
        <v>Net 30 jours</v>
      </c>
      <c r="K44" s="100" t="str">
        <f aca="false">_xlfn.xlookup(C44,Clients!B:B,Clients!R:R,FALSE())</f>
        <v>Livraison incluse</v>
      </c>
      <c r="L44" s="117" t="n">
        <v>45526</v>
      </c>
      <c r="M44" s="98" t="str">
        <f aca="false">_xlfn.xlookup(C44,Clients!B:B,Clients!X:X,FALSE())</f>
        <v>CAD</v>
      </c>
      <c r="N44" s="98" t="str">
        <f aca="false">_xlfn.xlookup(C44,Clients!B:B,Clients!Y:Y,FALSE())</f>
        <v>CAD</v>
      </c>
      <c r="O44" s="106" t="n">
        <v>40075</v>
      </c>
      <c r="P44" s="106"/>
      <c r="Q44" s="106" t="n">
        <v>1</v>
      </c>
      <c r="R44" s="106" t="n">
        <f aca="false">Q44*_xlfn.xlookup(O44,'Prix vente'!A:A,'Prix vente'!R:R)</f>
        <v>444</v>
      </c>
      <c r="S44" s="118" t="n">
        <v>40076</v>
      </c>
      <c r="T44" s="118"/>
      <c r="U44" s="118" t="n">
        <v>1</v>
      </c>
      <c r="V44" s="118" t="n">
        <f aca="false">U44*_xlfn.xlookup(S44,'Prix vente'!A:A,'Prix vente'!R:R)</f>
        <v>577.2</v>
      </c>
      <c r="W44" s="106"/>
      <c r="X44" s="106"/>
      <c r="Y44" s="106"/>
      <c r="Z44" s="106"/>
      <c r="AA44" s="118"/>
      <c r="AB44" s="118"/>
      <c r="AC44" s="118"/>
      <c r="AD44" s="118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</row>
    <row r="45" customFormat="false" ht="14.25" hidden="false" customHeight="false" outlineLevel="0" collapsed="false">
      <c r="A45" s="107" t="n">
        <v>193</v>
      </c>
      <c r="B45" s="107"/>
      <c r="C45" s="11" t="s">
        <v>31</v>
      </c>
      <c r="D45" s="11" t="s">
        <v>31</v>
      </c>
      <c r="E45" s="114" t="n">
        <v>45523</v>
      </c>
      <c r="F45" s="115" t="n">
        <v>50008448</v>
      </c>
      <c r="G45" s="115"/>
      <c r="H45" s="115"/>
      <c r="I45" s="116"/>
      <c r="J45" s="116" t="str">
        <f aca="false">_xlfn.xlookup(C45,Clients!$B$1:$B$1001,Clients!$M$1:$M$1001,FALSE())</f>
        <v>Net 30 days</v>
      </c>
      <c r="K45" s="100" t="str">
        <f aca="false">_xlfn.xlookup(C45,Clients!B:B,Clients!R:R,FALSE())</f>
        <v>EXW Boucherville</v>
      </c>
      <c r="L45" s="117" t="n">
        <v>45527</v>
      </c>
      <c r="M45" s="98" t="str">
        <f aca="false">_xlfn.xlookup(C45,Clients!B:B,Clients!X:X,FALSE())</f>
        <v>USD</v>
      </c>
      <c r="N45" s="98" t="str">
        <f aca="false">_xlfn.xlookup(C45,Clients!B:B,Clients!Y:Y,FALSE())</f>
        <v>USD</v>
      </c>
      <c r="O45" s="106" t="n">
        <v>40054</v>
      </c>
      <c r="P45" s="106"/>
      <c r="Q45" s="106" t="n">
        <v>24</v>
      </c>
      <c r="R45" s="106" t="n">
        <f aca="false">Q45*_xlfn.xlookup(O45,'Prix vente'!A:A,'Prix vente'!R:R)</f>
        <v>12960</v>
      </c>
      <c r="S45" s="118"/>
      <c r="T45" s="118"/>
      <c r="U45" s="118"/>
      <c r="V45" s="118"/>
      <c r="W45" s="106"/>
      <c r="X45" s="106"/>
      <c r="Y45" s="106"/>
      <c r="Z45" s="106"/>
      <c r="AA45" s="118"/>
      <c r="AB45" s="118"/>
      <c r="AC45" s="118"/>
      <c r="AD45" s="118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</row>
    <row r="46" customFormat="false" ht="14.25" hidden="false" customHeight="false" outlineLevel="0" collapsed="false">
      <c r="A46" s="107" t="n">
        <v>194</v>
      </c>
      <c r="B46" s="107"/>
      <c r="C46" s="11" t="s">
        <v>134</v>
      </c>
      <c r="D46" s="11" t="s">
        <v>134</v>
      </c>
      <c r="E46" s="114" t="n">
        <v>45525</v>
      </c>
      <c r="F46" s="115" t="n">
        <v>1910</v>
      </c>
      <c r="G46" s="115" t="s">
        <v>773</v>
      </c>
      <c r="H46" s="115"/>
      <c r="I46" s="116"/>
      <c r="J46" s="116" t="str">
        <f aca="false">_xlfn.xlookup(C46,Clients!$B$1:$B$1001,Clients!$M$1:$M$1001,FALSE())</f>
        <v>Net 30 jours</v>
      </c>
      <c r="K46" s="100" t="str">
        <f aca="false">_xlfn.xlookup(C46,Clients!B:B,Clients!R:R,FALSE())</f>
        <v>EXW Boucherville</v>
      </c>
      <c r="L46" s="117" t="n">
        <v>45530</v>
      </c>
      <c r="M46" s="98" t="str">
        <f aca="false">_xlfn.xlookup(C46,Clients!B:B,Clients!X:X,FALSE())</f>
        <v>CAD</v>
      </c>
      <c r="N46" s="98" t="str">
        <f aca="false">_xlfn.xlookup(C46,Clients!B:B,Clients!Y:Y,FALSE())</f>
        <v>CAD</v>
      </c>
      <c r="O46" s="106" t="n">
        <v>40060</v>
      </c>
      <c r="P46" s="106"/>
      <c r="Q46" s="106" t="n">
        <v>6</v>
      </c>
      <c r="R46" s="106" t="n">
        <f aca="false">Q46*_xlfn.xlookup(O46,'Prix vente'!A:A,'Prix vente'!R:R)</f>
        <v>6300</v>
      </c>
      <c r="S46" s="118" t="n">
        <v>40061</v>
      </c>
      <c r="T46" s="118"/>
      <c r="U46" s="118" t="n">
        <v>1</v>
      </c>
      <c r="V46" s="118" t="n">
        <f aca="false">U46*_xlfn.xlookup(S46,'Prix vente'!A:A,'Prix vente'!R:R)</f>
        <v>900</v>
      </c>
      <c r="W46" s="106"/>
      <c r="X46" s="106"/>
      <c r="Y46" s="106"/>
      <c r="Z46" s="106"/>
      <c r="AA46" s="118"/>
      <c r="AB46" s="118"/>
      <c r="AC46" s="118"/>
      <c r="AD46" s="118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19"/>
      <c r="BA46" s="119"/>
      <c r="BB46" s="119"/>
    </row>
    <row r="47" customFormat="false" ht="14.25" hidden="false" customHeight="false" outlineLevel="0" collapsed="false">
      <c r="A47" s="107" t="n">
        <v>195</v>
      </c>
      <c r="B47" s="107"/>
      <c r="C47" s="11" t="s">
        <v>124</v>
      </c>
      <c r="D47" s="11" t="s">
        <v>124</v>
      </c>
      <c r="E47" s="114" t="n">
        <v>45526</v>
      </c>
      <c r="F47" s="115" t="n">
        <v>103322</v>
      </c>
      <c r="G47" s="115" t="s">
        <v>788</v>
      </c>
      <c r="H47" s="11" t="s">
        <v>789</v>
      </c>
      <c r="I47" s="116"/>
      <c r="J47" s="116" t="str">
        <f aca="false">_xlfn.xlookup(C47,Clients!$B$1:$B$1001,Clients!$M$1:$M$1001,FALSE())</f>
        <v>Net 30 jours</v>
      </c>
      <c r="K47" s="100" t="str">
        <f aca="false">_xlfn.xlookup(C47,Clients!B:B,Clients!R:R,FALSE())</f>
        <v>EXW Boucherville</v>
      </c>
      <c r="L47" s="117" t="n">
        <v>45532</v>
      </c>
      <c r="M47" s="98" t="str">
        <f aca="false">_xlfn.xlookup(C47,Clients!B:B,Clients!X:X,FALSE())</f>
        <v>USD</v>
      </c>
      <c r="N47" s="98" t="str">
        <f aca="false">_xlfn.xlookup(C47,Clients!B:B,Clients!Y:Y,FALSE())</f>
        <v>USD</v>
      </c>
      <c r="O47" s="106" t="n">
        <v>40048</v>
      </c>
      <c r="P47" s="106"/>
      <c r="Q47" s="106" t="n">
        <v>10</v>
      </c>
      <c r="R47" s="106" t="n">
        <f aca="false">Q47*_xlfn.xlookup(O47,'Prix vente'!A:A,'Prix vente'!R:R)</f>
        <v>7200</v>
      </c>
      <c r="S47" s="118"/>
      <c r="T47" s="118"/>
      <c r="U47" s="118"/>
      <c r="V47" s="118"/>
      <c r="W47" s="106"/>
      <c r="X47" s="106"/>
      <c r="Y47" s="106"/>
      <c r="Z47" s="106"/>
      <c r="AA47" s="118"/>
      <c r="AB47" s="118"/>
      <c r="AC47" s="118"/>
      <c r="AD47" s="118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</row>
    <row r="48" customFormat="false" ht="14.25" hidden="false" customHeight="false" outlineLevel="0" collapsed="false">
      <c r="A48" s="107" t="n">
        <v>196</v>
      </c>
      <c r="B48" s="107"/>
      <c r="C48" s="11" t="s">
        <v>178</v>
      </c>
      <c r="D48" s="11" t="s">
        <v>178</v>
      </c>
      <c r="E48" s="114" t="n">
        <v>45527</v>
      </c>
      <c r="F48" s="115" t="s">
        <v>790</v>
      </c>
      <c r="G48" s="115" t="s">
        <v>791</v>
      </c>
      <c r="H48" s="115"/>
      <c r="I48" s="116"/>
      <c r="J48" s="116" t="str">
        <f aca="false">_xlfn.xlookup(C48,Clients!$B$1:$B$1001,Clients!$M$1:$M$1001,FALSE())</f>
        <v>Net 30 jours</v>
      </c>
      <c r="K48" s="100" t="str">
        <f aca="false">_xlfn.xlookup(C48,Clients!B:B,Clients!R:R,FALSE())</f>
        <v>Delivery Included</v>
      </c>
      <c r="L48" s="117" t="n">
        <v>45532</v>
      </c>
      <c r="M48" s="98" t="str">
        <f aca="false">_xlfn.xlookup(C48,Clients!B:B,Clients!X:X,FALSE())</f>
        <v>CAD</v>
      </c>
      <c r="N48" s="98" t="str">
        <f aca="false">_xlfn.xlookup(C48,Clients!B:B,Clients!Y:Y,FALSE())</f>
        <v>CAD</v>
      </c>
      <c r="O48" s="106" t="n">
        <v>40077</v>
      </c>
      <c r="P48" s="106"/>
      <c r="Q48" s="106" t="n">
        <v>1</v>
      </c>
      <c r="R48" s="106" t="n">
        <f aca="false">Q48*_xlfn.xlookup(O48,'Prix vente'!A:A,'Prix vente'!R:R)</f>
        <v>645</v>
      </c>
      <c r="S48" s="118" t="n">
        <v>40078</v>
      </c>
      <c r="T48" s="118"/>
      <c r="U48" s="118" t="n">
        <v>1</v>
      </c>
      <c r="V48" s="118" t="n">
        <f aca="false">U48*_xlfn.xlookup(S48,'Prix vente'!A:A,'Prix vente'!R:R)</f>
        <v>540</v>
      </c>
      <c r="W48" s="106"/>
      <c r="X48" s="106"/>
      <c r="Y48" s="106"/>
      <c r="Z48" s="106"/>
      <c r="AA48" s="118"/>
      <c r="AB48" s="118"/>
      <c r="AC48" s="118"/>
      <c r="AD48" s="118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  <c r="AZ48" s="119"/>
      <c r="BA48" s="119"/>
      <c r="BB48" s="119"/>
    </row>
    <row r="49" customFormat="false" ht="14.25" hidden="false" customHeight="false" outlineLevel="0" collapsed="false">
      <c r="A49" s="107" t="n">
        <v>197</v>
      </c>
      <c r="B49" s="107"/>
      <c r="C49" s="11" t="s">
        <v>31</v>
      </c>
      <c r="D49" s="11" t="s">
        <v>31</v>
      </c>
      <c r="E49" s="114" t="n">
        <v>45530</v>
      </c>
      <c r="F49" s="115" t="n">
        <v>50008482</v>
      </c>
      <c r="G49" s="115"/>
      <c r="H49" s="115"/>
      <c r="I49" s="116"/>
      <c r="J49" s="116" t="str">
        <f aca="false">_xlfn.xlookup(C49,Clients!$B$1:$B$1001,Clients!$M$1:$M$1001,FALSE())</f>
        <v>Net 30 days</v>
      </c>
      <c r="K49" s="100" t="str">
        <f aca="false">_xlfn.xlookup(C49,Clients!B:B,Clients!R:R,FALSE())</f>
        <v>EXW Boucherville</v>
      </c>
      <c r="L49" s="117" t="n">
        <v>45541</v>
      </c>
      <c r="M49" s="98" t="str">
        <f aca="false">_xlfn.xlookup(C49,Clients!B:B,Clients!X:X,FALSE())</f>
        <v>USD</v>
      </c>
      <c r="N49" s="98" t="str">
        <f aca="false">_xlfn.xlookup(C49,Clients!B:B,Clients!Y:Y,FALSE())</f>
        <v>USD</v>
      </c>
      <c r="O49" s="106" t="n">
        <v>40033</v>
      </c>
      <c r="P49" s="106"/>
      <c r="Q49" s="106" t="n">
        <v>28</v>
      </c>
      <c r="R49" s="106" t="n">
        <f aca="false">Q49*_xlfn.xlookup(O49,'Prix vente'!A:A,'Prix vente'!R:R)</f>
        <v>16800</v>
      </c>
      <c r="S49" s="118" t="n">
        <v>40079</v>
      </c>
      <c r="T49" s="118"/>
      <c r="U49" s="118" t="n">
        <v>1</v>
      </c>
      <c r="V49" s="118" t="n">
        <v>1</v>
      </c>
      <c r="W49" s="106"/>
      <c r="X49" s="106"/>
      <c r="Y49" s="106"/>
      <c r="Z49" s="106"/>
      <c r="AA49" s="118"/>
      <c r="AB49" s="118"/>
      <c r="AC49" s="118"/>
      <c r="AD49" s="118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19"/>
      <c r="BA49" s="119"/>
      <c r="BB49" s="119"/>
    </row>
    <row r="50" customFormat="false" ht="14.25" hidden="false" customHeight="false" outlineLevel="0" collapsed="false">
      <c r="A50" s="107" t="n">
        <v>198</v>
      </c>
      <c r="B50" s="107"/>
      <c r="C50" s="11" t="s">
        <v>134</v>
      </c>
      <c r="D50" s="11" t="s">
        <v>134</v>
      </c>
      <c r="E50" s="114" t="n">
        <v>45530</v>
      </c>
      <c r="F50" s="115" t="n">
        <v>1911</v>
      </c>
      <c r="G50" s="115" t="s">
        <v>773</v>
      </c>
      <c r="H50" s="115"/>
      <c r="I50" s="116"/>
      <c r="J50" s="116" t="str">
        <f aca="false">_xlfn.xlookup(C50,Clients!$B$1:$B$1001,Clients!$M$1:$M$1001,FALSE())</f>
        <v>Net 30 jours</v>
      </c>
      <c r="K50" s="100" t="str">
        <f aca="false">_xlfn.xlookup(C50,Clients!B:B,Clients!R:R,FALSE())</f>
        <v>EXW Boucherville</v>
      </c>
      <c r="L50" s="117" t="n">
        <v>45532</v>
      </c>
      <c r="M50" s="98" t="str">
        <f aca="false">_xlfn.xlookup(C50,Clients!B:B,Clients!X:X,FALSE())</f>
        <v>CAD</v>
      </c>
      <c r="N50" s="98" t="str">
        <f aca="false">_xlfn.xlookup(C50,Clients!B:B,Clients!Y:Y,FALSE())</f>
        <v>CAD</v>
      </c>
      <c r="O50" s="106" t="n">
        <v>40060</v>
      </c>
      <c r="P50" s="106"/>
      <c r="Q50" s="106" t="n">
        <v>12</v>
      </c>
      <c r="R50" s="106" t="n">
        <f aca="false">Q50*_xlfn.xlookup(O50,'Prix vente'!A:A,'Prix vente'!R:R)</f>
        <v>12600</v>
      </c>
      <c r="S50" s="118" t="n">
        <v>40061</v>
      </c>
      <c r="T50" s="118"/>
      <c r="U50" s="118" t="n">
        <v>2</v>
      </c>
      <c r="V50" s="118" t="n">
        <f aca="false">U50*_xlfn.xlookup(S50,'Prix vente'!A:A,'Prix vente'!R:R)</f>
        <v>1800</v>
      </c>
      <c r="W50" s="106"/>
      <c r="X50" s="106"/>
      <c r="Y50" s="106"/>
      <c r="Z50" s="106"/>
      <c r="AA50" s="118"/>
      <c r="AB50" s="118"/>
      <c r="AC50" s="118"/>
      <c r="AD50" s="118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119"/>
      <c r="BB50" s="119"/>
    </row>
    <row r="51" customFormat="false" ht="14.25" hidden="false" customHeight="false" outlineLevel="0" collapsed="false">
      <c r="A51" s="107" t="n">
        <v>199</v>
      </c>
      <c r="B51" s="107"/>
      <c r="C51" s="11" t="s">
        <v>134</v>
      </c>
      <c r="D51" s="11" t="s">
        <v>134</v>
      </c>
      <c r="E51" s="114" t="n">
        <v>45538</v>
      </c>
      <c r="F51" s="115" t="n">
        <v>1915</v>
      </c>
      <c r="G51" s="115" t="s">
        <v>773</v>
      </c>
      <c r="H51" s="115"/>
      <c r="I51" s="116"/>
      <c r="J51" s="116" t="str">
        <f aca="false">_xlfn.xlookup(C51,Clients!$B$1:$B$1001,Clients!$M$1:$M$1001,FALSE())</f>
        <v>Net 30 jours</v>
      </c>
      <c r="K51" s="100" t="str">
        <f aca="false">_xlfn.xlookup(C51,Clients!B:B,Clients!R:R,FALSE())</f>
        <v>EXW Boucherville</v>
      </c>
      <c r="L51" s="117" t="n">
        <v>45541</v>
      </c>
      <c r="M51" s="98" t="str">
        <f aca="false">_xlfn.xlookup(C51,Clients!B:B,Clients!X:X,FALSE())</f>
        <v>CAD</v>
      </c>
      <c r="N51" s="98" t="str">
        <f aca="false">_xlfn.xlookup(C51,Clients!B:B,Clients!Y:Y,FALSE())</f>
        <v>CAD</v>
      </c>
      <c r="O51" s="106" t="n">
        <v>40080</v>
      </c>
      <c r="P51" s="106"/>
      <c r="Q51" s="106" t="n">
        <v>13</v>
      </c>
      <c r="R51" s="106" t="n">
        <f aca="false">Q51*_xlfn.xlookup(O51,'Prix vente'!A:A,'Prix vente'!R:R)</f>
        <v>7199.9928</v>
      </c>
      <c r="S51" s="118"/>
      <c r="T51" s="118"/>
      <c r="U51" s="118"/>
      <c r="V51" s="118"/>
      <c r="W51" s="106"/>
      <c r="X51" s="106"/>
      <c r="Y51" s="106"/>
      <c r="Z51" s="106"/>
      <c r="AA51" s="118"/>
      <c r="AB51" s="118"/>
      <c r="AC51" s="118"/>
      <c r="AD51" s="118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  <c r="AZ51" s="119"/>
      <c r="BA51" s="119"/>
      <c r="BB51" s="119"/>
    </row>
    <row r="52" customFormat="false" ht="14.25" hidden="false" customHeight="false" outlineLevel="0" collapsed="false">
      <c r="A52" s="107" t="n">
        <v>200</v>
      </c>
      <c r="B52" s="107"/>
      <c r="C52" s="11" t="s">
        <v>124</v>
      </c>
      <c r="D52" s="11" t="s">
        <v>124</v>
      </c>
      <c r="E52" s="114" t="n">
        <v>45539</v>
      </c>
      <c r="F52" s="115" t="n">
        <v>103562</v>
      </c>
      <c r="G52" s="11" t="s">
        <v>771</v>
      </c>
      <c r="H52" s="11" t="s">
        <v>792</v>
      </c>
      <c r="I52" s="116"/>
      <c r="J52" s="116" t="str">
        <f aca="false">_xlfn.xlookup(C52,Clients!$B$1:$B$1001,Clients!$M$1:$M$1001,FALSE())</f>
        <v>Net 30 jours</v>
      </c>
      <c r="K52" s="100" t="str">
        <f aca="false">_xlfn.xlookup(C52,Clients!B:B,Clients!R:R,FALSE())</f>
        <v>EXW Boucherville</v>
      </c>
      <c r="L52" s="117" t="n">
        <v>45541</v>
      </c>
      <c r="M52" s="98" t="str">
        <f aca="false">_xlfn.xlookup(C52,Clients!B:B,Clients!X:X,FALSE())</f>
        <v>USD</v>
      </c>
      <c r="N52" s="98" t="str">
        <f aca="false">_xlfn.xlookup(C52,Clients!B:B,Clients!Y:Y,FALSE())</f>
        <v>USD</v>
      </c>
      <c r="O52" s="106" t="n">
        <v>40081</v>
      </c>
      <c r="P52" s="106"/>
      <c r="Q52" s="106" t="n">
        <v>6</v>
      </c>
      <c r="R52" s="106" t="n">
        <f aca="false">Q52*_xlfn.xlookup(O52,'Prix vente'!$A:$A,'Prix vente'!$R:$R)</f>
        <v>3600</v>
      </c>
      <c r="S52" s="118" t="n">
        <v>40082</v>
      </c>
      <c r="T52" s="118"/>
      <c r="U52" s="118" t="n">
        <v>3</v>
      </c>
      <c r="V52" s="118" t="n">
        <f aca="false">U52*_xlfn.xlookup(S52,'Prix vente'!$A:$A,'Prix vente'!$R:$R)</f>
        <v>2340</v>
      </c>
      <c r="W52" s="106" t="n">
        <v>40083</v>
      </c>
      <c r="X52" s="106"/>
      <c r="Y52" s="106" t="n">
        <v>2</v>
      </c>
      <c r="Z52" s="106" t="n">
        <f aca="false">Y52*_xlfn.xlookup(W52,'Prix vente'!$A:$A,'Prix vente'!$R:$R)</f>
        <v>1260</v>
      </c>
      <c r="AA52" s="118"/>
      <c r="AB52" s="118"/>
      <c r="AC52" s="118"/>
      <c r="AD52" s="118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119"/>
      <c r="BB52" s="119"/>
    </row>
    <row r="53" customFormat="false" ht="14.25" hidden="false" customHeight="false" outlineLevel="0" collapsed="false">
      <c r="A53" s="107" t="n">
        <v>201</v>
      </c>
      <c r="B53" s="107"/>
      <c r="C53" s="11" t="s">
        <v>124</v>
      </c>
      <c r="D53" s="11" t="s">
        <v>124</v>
      </c>
      <c r="E53" s="114" t="n">
        <v>45539</v>
      </c>
      <c r="F53" s="115" t="n">
        <v>103563</v>
      </c>
      <c r="G53" s="11" t="s">
        <v>771</v>
      </c>
      <c r="H53" s="11" t="s">
        <v>793</v>
      </c>
      <c r="I53" s="116"/>
      <c r="J53" s="116" t="str">
        <f aca="false">_xlfn.xlookup(C53,Clients!$B$1:$B$1001,Clients!$M$1:$M$1001,FALSE())</f>
        <v>Net 30 jours</v>
      </c>
      <c r="K53" s="100" t="str">
        <f aca="false">_xlfn.xlookup(C53,Clients!B:B,Clients!R:R,FALSE())</f>
        <v>EXW Boucherville</v>
      </c>
      <c r="L53" s="117" t="n">
        <v>45541</v>
      </c>
      <c r="M53" s="98" t="str">
        <f aca="false">_xlfn.xlookup(C53,Clients!B:B,Clients!X:X,FALSE())</f>
        <v>USD</v>
      </c>
      <c r="N53" s="98" t="str">
        <f aca="false">_xlfn.xlookup(C53,Clients!B:B,Clients!Y:Y,FALSE())</f>
        <v>USD</v>
      </c>
      <c r="O53" s="106" t="n">
        <v>40067</v>
      </c>
      <c r="P53" s="106"/>
      <c r="Q53" s="106" t="n">
        <v>5</v>
      </c>
      <c r="R53" s="106" t="n">
        <f aca="false">Q53*_xlfn.xlookup(O53,'Prix vente'!A:A,'Prix vente'!R:R)</f>
        <v>3600</v>
      </c>
      <c r="S53" s="118"/>
      <c r="T53" s="118"/>
      <c r="U53" s="118"/>
      <c r="V53" s="118"/>
      <c r="W53" s="106"/>
      <c r="X53" s="106"/>
      <c r="Y53" s="106"/>
      <c r="Z53" s="106"/>
      <c r="AA53" s="118"/>
      <c r="AB53" s="118"/>
      <c r="AC53" s="118"/>
      <c r="AD53" s="118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</row>
    <row r="54" customFormat="false" ht="14.25" hidden="false" customHeight="false" outlineLevel="0" collapsed="false">
      <c r="A54" s="107" t="n">
        <v>202</v>
      </c>
      <c r="B54" s="107"/>
      <c r="C54" s="11" t="s">
        <v>124</v>
      </c>
      <c r="D54" s="11" t="s">
        <v>124</v>
      </c>
      <c r="E54" s="114" t="n">
        <v>45539</v>
      </c>
      <c r="F54" s="115" t="n">
        <v>103564</v>
      </c>
      <c r="G54" s="11" t="s">
        <v>771</v>
      </c>
      <c r="H54" s="11" t="s">
        <v>794</v>
      </c>
      <c r="I54" s="116"/>
      <c r="J54" s="116" t="str">
        <f aca="false">_xlfn.xlookup(C54,Clients!$B$1:$B$1001,Clients!$M$1:$M$1001,FALSE())</f>
        <v>Net 30 jours</v>
      </c>
      <c r="K54" s="100" t="str">
        <f aca="false">_xlfn.xlookup(C54,Clients!B:B,Clients!R:R,FALSE())</f>
        <v>EXW Boucherville</v>
      </c>
      <c r="L54" s="117" t="n">
        <v>45541</v>
      </c>
      <c r="M54" s="98" t="str">
        <f aca="false">_xlfn.xlookup(C54,Clients!B:B,Clients!X:X,FALSE())</f>
        <v>USD</v>
      </c>
      <c r="N54" s="98" t="str">
        <f aca="false">_xlfn.xlookup(C54,Clients!B:B,Clients!Y:Y,FALSE())</f>
        <v>USD</v>
      </c>
      <c r="O54" s="106" t="n">
        <v>40084</v>
      </c>
      <c r="P54" s="106"/>
      <c r="Q54" s="106" t="n">
        <v>1</v>
      </c>
      <c r="R54" s="106" t="n">
        <f aca="false">Q54*_xlfn.xlookup(O54,'Prix vente'!A:A,'Prix vente'!R:R)</f>
        <v>720</v>
      </c>
      <c r="S54" s="118"/>
      <c r="T54" s="118"/>
      <c r="U54" s="118"/>
      <c r="V54" s="118"/>
      <c r="W54" s="106"/>
      <c r="X54" s="106"/>
      <c r="Y54" s="106"/>
      <c r="Z54" s="106"/>
      <c r="AA54" s="118"/>
      <c r="AB54" s="118"/>
      <c r="AC54" s="118"/>
      <c r="AD54" s="118"/>
      <c r="AE54" s="119"/>
      <c r="AF54" s="119"/>
      <c r="AG54" s="119"/>
      <c r="AH54" s="119"/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119"/>
      <c r="BB54" s="119"/>
    </row>
    <row r="55" customFormat="false" ht="14.25" hidden="false" customHeight="false" outlineLevel="0" collapsed="false">
      <c r="A55" s="107" t="n">
        <v>203</v>
      </c>
      <c r="B55" s="107"/>
      <c r="C55" s="11" t="s">
        <v>134</v>
      </c>
      <c r="D55" s="11" t="s">
        <v>134</v>
      </c>
      <c r="E55" s="114" t="n">
        <v>45540</v>
      </c>
      <c r="F55" s="115" t="n">
        <v>1916</v>
      </c>
      <c r="G55" s="115" t="s">
        <v>773</v>
      </c>
      <c r="H55" s="115"/>
      <c r="I55" s="116"/>
      <c r="J55" s="116" t="str">
        <f aca="false">_xlfn.xlookup(C55,Clients!$B$1:$B$1001,Clients!$M$1:$M$1001,FALSE())</f>
        <v>Net 30 jours</v>
      </c>
      <c r="K55" s="100" t="str">
        <f aca="false">_xlfn.xlookup(C55,Clients!B:B,Clients!R:R,FALSE())</f>
        <v>EXW Boucherville</v>
      </c>
      <c r="L55" s="117" t="n">
        <v>45546</v>
      </c>
      <c r="M55" s="98" t="str">
        <f aca="false">_xlfn.xlookup(C55,Clients!B:B,Clients!X:X,FALSE())</f>
        <v>CAD</v>
      </c>
      <c r="N55" s="98" t="str">
        <f aca="false">_xlfn.xlookup(C55,Clients!B:B,Clients!Y:Y,FALSE())</f>
        <v>CAD</v>
      </c>
      <c r="O55" s="106" t="n">
        <v>40085</v>
      </c>
      <c r="P55" s="106"/>
      <c r="Q55" s="106" t="n">
        <v>9</v>
      </c>
      <c r="R55" s="106" t="n">
        <f aca="false">Q55*_xlfn.xlookup(O55,'Prix vente'!A:A,'Prix vente'!R:R)</f>
        <v>12150</v>
      </c>
      <c r="S55" s="118" t="n">
        <v>40060</v>
      </c>
      <c r="T55" s="118"/>
      <c r="U55" s="118" t="n">
        <v>9</v>
      </c>
      <c r="V55" s="118" t="n">
        <f aca="false">U55*_xlfn.xlookup(S55,'Prix vente'!$A:$A,'Prix vente'!$R:$R)</f>
        <v>9450</v>
      </c>
      <c r="W55" s="106"/>
      <c r="X55" s="106"/>
      <c r="Y55" s="106"/>
      <c r="Z55" s="106"/>
      <c r="AA55" s="118"/>
      <c r="AB55" s="118"/>
      <c r="AC55" s="118"/>
      <c r="AD55" s="118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</row>
    <row r="56" customFormat="false" ht="14.25" hidden="false" customHeight="false" outlineLevel="0" collapsed="false">
      <c r="A56" s="107" t="n">
        <v>204</v>
      </c>
      <c r="B56" s="107"/>
      <c r="C56" s="11" t="s">
        <v>189</v>
      </c>
      <c r="D56" s="11" t="s">
        <v>189</v>
      </c>
      <c r="E56" s="114" t="n">
        <v>45541</v>
      </c>
      <c r="F56" s="115" t="s">
        <v>795</v>
      </c>
      <c r="G56" s="115"/>
      <c r="H56" s="115"/>
      <c r="I56" s="116"/>
      <c r="J56" s="116" t="str">
        <f aca="false">_xlfn.xlookup(C56,Clients!$B$1:$B$1001,Clients!$M$1:$M$1001,FALSE())</f>
        <v>Net 30 jours</v>
      </c>
      <c r="K56" s="100" t="str">
        <f aca="false">_xlfn.xlookup(C56,Clients!B:B,Clients!R:R,FALSE())</f>
        <v>Livraison incluse</v>
      </c>
      <c r="L56" s="117" t="n">
        <v>45546</v>
      </c>
      <c r="M56" s="98" t="str">
        <f aca="false">_xlfn.xlookup(C56,Clients!B:B,Clients!X:X,FALSE())</f>
        <v>CAD</v>
      </c>
      <c r="N56" s="98" t="str">
        <f aca="false">_xlfn.xlookup(C56,Clients!B:B,Clients!Y:Y,FALSE())</f>
        <v>CAD</v>
      </c>
      <c r="O56" s="106" t="n">
        <v>40086</v>
      </c>
      <c r="P56" s="106"/>
      <c r="Q56" s="106" t="n">
        <v>1</v>
      </c>
      <c r="R56" s="106" t="n">
        <f aca="false">Q56*_xlfn.xlookup(O56,'Prix vente'!A:A,'Prix vente'!R:R)</f>
        <v>780</v>
      </c>
      <c r="S56" s="118" t="n">
        <v>40087</v>
      </c>
      <c r="T56" s="118"/>
      <c r="U56" s="118" t="n">
        <v>1</v>
      </c>
      <c r="V56" s="118" t="n">
        <f aca="false">U56*_xlfn.xlookup(S56,'Prix vente'!$A:$A,'Prix vente'!$R:$R)</f>
        <v>780</v>
      </c>
      <c r="W56" s="106"/>
      <c r="X56" s="106"/>
      <c r="Y56" s="106"/>
      <c r="Z56" s="106"/>
      <c r="AA56" s="118"/>
      <c r="AB56" s="118"/>
      <c r="AC56" s="118"/>
      <c r="AD56" s="118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</row>
    <row r="57" customFormat="false" ht="14.25" hidden="false" customHeight="false" outlineLevel="0" collapsed="false">
      <c r="A57" s="107" t="n">
        <v>205</v>
      </c>
      <c r="B57" s="107"/>
      <c r="C57" s="11" t="s">
        <v>124</v>
      </c>
      <c r="D57" s="11" t="s">
        <v>124</v>
      </c>
      <c r="E57" s="114" t="n">
        <v>45541</v>
      </c>
      <c r="F57" s="115" t="n">
        <v>103653</v>
      </c>
      <c r="G57" s="11" t="s">
        <v>771</v>
      </c>
      <c r="H57" s="11" t="s">
        <v>793</v>
      </c>
      <c r="I57" s="116"/>
      <c r="J57" s="116" t="str">
        <f aca="false">_xlfn.xlookup(C57,Clients!$B$1:$B$1001,Clients!$M$1:$M$1001,FALSE())</f>
        <v>Net 30 jours</v>
      </c>
      <c r="K57" s="100" t="str">
        <f aca="false">_xlfn.xlookup(C57,Clients!B:B,Clients!R:R,FALSE())</f>
        <v>EXW Boucherville</v>
      </c>
      <c r="L57" s="117" t="n">
        <v>45546</v>
      </c>
      <c r="M57" s="98" t="str">
        <f aca="false">_xlfn.xlookup(C57,Clients!B:B,Clients!X:X,FALSE())</f>
        <v>USD</v>
      </c>
      <c r="N57" s="98" t="str">
        <f aca="false">_xlfn.xlookup(C57,Clients!B:B,Clients!Y:Y,FALSE())</f>
        <v>USD</v>
      </c>
      <c r="O57" s="106" t="n">
        <v>40088</v>
      </c>
      <c r="P57" s="106"/>
      <c r="Q57" s="106" t="n">
        <v>3</v>
      </c>
      <c r="R57" s="106" t="n">
        <f aca="false">Q57*_xlfn.xlookup(O57,'Prix vente'!A:A,'Prix vente'!R:R)</f>
        <v>3600</v>
      </c>
      <c r="S57" s="118"/>
      <c r="T57" s="118"/>
      <c r="U57" s="118"/>
      <c r="V57" s="118"/>
      <c r="W57" s="106"/>
      <c r="X57" s="106"/>
      <c r="Y57" s="106"/>
      <c r="Z57" s="106"/>
      <c r="AA57" s="118"/>
      <c r="AB57" s="118"/>
      <c r="AC57" s="118"/>
      <c r="AD57" s="118"/>
      <c r="AE57" s="119"/>
      <c r="AF57" s="119"/>
      <c r="AG57" s="119"/>
      <c r="AH57" s="119"/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19"/>
      <c r="BB57" s="119"/>
    </row>
    <row r="58" customFormat="false" ht="14.25" hidden="false" customHeight="false" outlineLevel="0" collapsed="false">
      <c r="A58" s="107" t="n">
        <v>206</v>
      </c>
      <c r="B58" s="107"/>
      <c r="C58" s="11" t="s">
        <v>110</v>
      </c>
      <c r="D58" s="11" t="s">
        <v>110</v>
      </c>
      <c r="E58" s="114" t="n">
        <v>45544</v>
      </c>
      <c r="F58" s="115" t="n">
        <v>31469</v>
      </c>
      <c r="G58" s="115" t="s">
        <v>769</v>
      </c>
      <c r="H58" s="115"/>
      <c r="I58" s="100" t="str">
        <f aca="false">_xlfn.xlookup(C58,Clients!B:B,Clients!W:W,FALSE())</f>
        <v>Pickup par Produlith camion</v>
      </c>
      <c r="J58" s="116" t="str">
        <f aca="false">_xlfn.xlookup(C58,Clients!$B$1:$B$1001,Clients!$M$1:$M$1001,FALSE())</f>
        <v>Net 30 jours</v>
      </c>
      <c r="K58" s="100" t="str">
        <f aca="false">_xlfn.xlookup(C58,Clients!B:B,Clients!R:R,FALSE())</f>
        <v>EXW Boucherville</v>
      </c>
      <c r="L58" s="117" t="n">
        <v>45547</v>
      </c>
      <c r="M58" s="98" t="str">
        <f aca="false">_xlfn.xlookup(C58,Clients!B:B,Clients!X:X,FALSE())</f>
        <v>USD</v>
      </c>
      <c r="N58" s="98" t="str">
        <f aca="false">_xlfn.xlookup(C58,Clients!B:B,Clients!Y:Y,FALSE())</f>
        <v>USD</v>
      </c>
      <c r="O58" s="106" t="n">
        <v>40089</v>
      </c>
      <c r="P58" s="106"/>
      <c r="Q58" s="106" t="n">
        <v>4</v>
      </c>
      <c r="R58" s="106" t="n">
        <f aca="false">Q58*_xlfn.xlookup(O58,'Prix vente'!A:A,'Prix vente'!R:R)</f>
        <v>3600</v>
      </c>
      <c r="S58" s="118"/>
      <c r="T58" s="118"/>
      <c r="U58" s="118"/>
      <c r="V58" s="118"/>
      <c r="W58" s="106"/>
      <c r="X58" s="106"/>
      <c r="Y58" s="106"/>
      <c r="Z58" s="106"/>
      <c r="AA58" s="118"/>
      <c r="AB58" s="118"/>
      <c r="AC58" s="118"/>
      <c r="AD58" s="118"/>
      <c r="AE58" s="119"/>
      <c r="AF58" s="119"/>
      <c r="AG58" s="119"/>
      <c r="AH58" s="119"/>
      <c r="AI58" s="119"/>
      <c r="AJ58" s="119"/>
      <c r="AK58" s="119"/>
      <c r="AL58" s="119"/>
      <c r="AM58" s="119"/>
      <c r="AN58" s="119"/>
      <c r="AO58" s="119"/>
      <c r="AP58" s="119"/>
      <c r="AQ58" s="119"/>
      <c r="AR58" s="119"/>
      <c r="AS58" s="119"/>
      <c r="AT58" s="119"/>
      <c r="AU58" s="119"/>
      <c r="AV58" s="119"/>
      <c r="AW58" s="119"/>
      <c r="AX58" s="119"/>
      <c r="AY58" s="119"/>
      <c r="AZ58" s="119"/>
      <c r="BA58" s="119"/>
      <c r="BB58" s="119"/>
    </row>
    <row r="59" customFormat="false" ht="14.25" hidden="false" customHeight="false" outlineLevel="0" collapsed="false">
      <c r="A59" s="107" t="n">
        <v>207</v>
      </c>
      <c r="B59" s="107"/>
      <c r="C59" s="11" t="s">
        <v>151</v>
      </c>
      <c r="D59" s="11" t="s">
        <v>151</v>
      </c>
      <c r="E59" s="114" t="n">
        <v>45546</v>
      </c>
      <c r="F59" s="115" t="s">
        <v>796</v>
      </c>
      <c r="G59" s="115" t="s">
        <v>797</v>
      </c>
      <c r="H59" s="115"/>
      <c r="I59" s="100" t="n">
        <f aca="false">_xlfn.xlookup(C59,Clients!B:B,Clients!W:W,FALSE())</f>
        <v>0</v>
      </c>
      <c r="J59" s="116" t="str">
        <f aca="false">_xlfn.xlookup(C59,Clients!$B$1:$B$1001,Clients!$M$1:$M$1001,FALSE())</f>
        <v>Net 30 jours</v>
      </c>
      <c r="K59" s="100" t="str">
        <f aca="false">_xlfn.xlookup(C59,Clients!B:B,Clients!R:R,FALSE())</f>
        <v>Livraison incluse</v>
      </c>
      <c r="L59" s="117" t="n">
        <v>45551</v>
      </c>
      <c r="M59" s="98" t="str">
        <f aca="false">_xlfn.xlookup(C59,Clients!B:B,Clients!X:X,FALSE())</f>
        <v>CAD</v>
      </c>
      <c r="N59" s="98" t="str">
        <f aca="false">_xlfn.xlookup(C59,Clients!B:B,Clients!Y:Y,FALSE())</f>
        <v>CAD</v>
      </c>
      <c r="O59" s="106" t="n">
        <v>40090</v>
      </c>
      <c r="P59" s="106"/>
      <c r="Q59" s="106" t="n">
        <v>2</v>
      </c>
      <c r="R59" s="106" t="n">
        <f aca="false">Q59*_xlfn.xlookup(O59,'Prix vente'!A:A,'Prix vente'!R:R)</f>
        <v>2040</v>
      </c>
      <c r="S59" s="118" t="n">
        <v>40091</v>
      </c>
      <c r="T59" s="118"/>
      <c r="U59" s="118" t="n">
        <v>6</v>
      </c>
      <c r="V59" s="118" t="n">
        <f aca="false">U59*_xlfn.xlookup(S59,'Prix vente'!$A:$A,'Prix vente'!$R:$R)</f>
        <v>4680</v>
      </c>
      <c r="W59" s="106" t="n">
        <v>40092</v>
      </c>
      <c r="X59" s="106"/>
      <c r="Y59" s="106" t="n">
        <v>1</v>
      </c>
      <c r="Z59" s="106" t="n">
        <f aca="false">Y59*_xlfn.xlookup(W59,'Prix vente'!$A:$A,'Prix vente'!$R:$R)</f>
        <v>480</v>
      </c>
      <c r="AA59" s="118"/>
      <c r="AB59" s="118"/>
      <c r="AC59" s="118"/>
      <c r="AD59" s="118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119"/>
      <c r="BB59" s="119"/>
    </row>
    <row r="60" customFormat="false" ht="14.25" hidden="false" customHeight="false" outlineLevel="0" collapsed="false">
      <c r="A60" s="107" t="n">
        <v>208</v>
      </c>
      <c r="B60" s="107"/>
      <c r="C60" s="11" t="s">
        <v>199</v>
      </c>
      <c r="D60" s="11" t="s">
        <v>199</v>
      </c>
      <c r="E60" s="114" t="n">
        <v>45553</v>
      </c>
      <c r="F60" s="115" t="s">
        <v>798</v>
      </c>
      <c r="G60" s="115"/>
      <c r="H60" s="115"/>
      <c r="I60" s="100" t="n">
        <f aca="false">_xlfn.xlookup(C60,Clients!B:B,Clients!W:W,FALSE())</f>
        <v>0</v>
      </c>
      <c r="J60" s="116" t="str">
        <f aca="false">_xlfn.xlookup(C60,Clients!$B$1:$B$1001,Clients!$M$1:$M$1001,FALSE())</f>
        <v>Net 30 jours</v>
      </c>
      <c r="K60" s="100" t="str">
        <f aca="false">_xlfn.xlookup(C60,Clients!B:B,Clients!R:R,FALSE())</f>
        <v>NA</v>
      </c>
      <c r="L60" s="117" t="n">
        <v>45553</v>
      </c>
      <c r="M60" s="98" t="str">
        <f aca="false">_xlfn.xlookup(C60,Clients!B:B,Clients!X:X,FALSE())</f>
        <v>CAD</v>
      </c>
      <c r="N60" s="98" t="str">
        <f aca="false">_xlfn.xlookup(C60,Clients!B:B,Clients!Y:Y,FALSE())</f>
        <v>CAD</v>
      </c>
      <c r="O60" s="106" t="n">
        <v>40093</v>
      </c>
      <c r="P60" s="106"/>
      <c r="Q60" s="106" t="n">
        <v>3</v>
      </c>
      <c r="R60" s="106" t="n">
        <f aca="false">Q60*_xlfn.xlookup(O60,'Prix vente'!A:A,'Prix vente'!R:R)</f>
        <v>5904</v>
      </c>
      <c r="S60" s="118"/>
      <c r="T60" s="118"/>
      <c r="U60" s="118"/>
      <c r="V60" s="118"/>
      <c r="W60" s="106"/>
      <c r="X60" s="106"/>
      <c r="Y60" s="106"/>
      <c r="Z60" s="106"/>
      <c r="AA60" s="118"/>
      <c r="AB60" s="118"/>
      <c r="AC60" s="118"/>
      <c r="AD60" s="118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  <c r="AY60" s="119"/>
      <c r="AZ60" s="119"/>
      <c r="BA60" s="119"/>
      <c r="BB60" s="119"/>
    </row>
    <row r="61" customFormat="false" ht="14.25" hidden="false" customHeight="false" outlineLevel="0" collapsed="false">
      <c r="A61" s="107" t="n">
        <v>209</v>
      </c>
      <c r="B61" s="107"/>
      <c r="C61" s="11" t="s">
        <v>141</v>
      </c>
      <c r="D61" s="11" t="s">
        <v>141</v>
      </c>
      <c r="E61" s="114" t="n">
        <v>45554</v>
      </c>
      <c r="F61" s="115" t="n">
        <v>9710</v>
      </c>
      <c r="G61" s="115" t="s">
        <v>799</v>
      </c>
      <c r="H61" s="115"/>
      <c r="I61" s="100" t="n">
        <f aca="false">_xlfn.xlookup(C61,Clients!B:B,Clients!W:W,FALSE())</f>
        <v>0</v>
      </c>
      <c r="J61" s="116" t="str">
        <f aca="false">_xlfn.xlookup(C61,Clients!$B$1:$B$1001,Clients!$M$1:$M$1001,FALSE())</f>
        <v>Net 30 jours</v>
      </c>
      <c r="K61" s="100" t="str">
        <f aca="false">_xlfn.xlookup(C61,Clients!B:B,Clients!R:R,FALSE())</f>
        <v>Livraison incluse</v>
      </c>
      <c r="L61" s="117" t="n">
        <v>45554</v>
      </c>
      <c r="M61" s="98" t="str">
        <f aca="false">_xlfn.xlookup(C61,Clients!B:B,Clients!X:X,FALSE())</f>
        <v>CAD</v>
      </c>
      <c r="N61" s="98" t="str">
        <f aca="false">_xlfn.xlookup(C61,Clients!B:B,Clients!Y:Y,FALSE())</f>
        <v>CAD</v>
      </c>
      <c r="O61" s="106" t="n">
        <v>40094</v>
      </c>
      <c r="P61" s="106"/>
      <c r="Q61" s="106" t="n">
        <v>4</v>
      </c>
      <c r="R61" s="106" t="n">
        <f aca="false">Q61*_xlfn.xlookup(O61,'Prix vente'!A:A,'Prix vente'!R:R)</f>
        <v>3120</v>
      </c>
      <c r="S61" s="118" t="n">
        <v>40095</v>
      </c>
      <c r="T61" s="118"/>
      <c r="U61" s="118" t="n">
        <v>1</v>
      </c>
      <c r="V61" s="118" t="n">
        <f aca="false">U61*_xlfn.xlookup(S61,'Prix vente'!$A:$A,'Prix vente'!$R:$R)</f>
        <v>480</v>
      </c>
      <c r="W61" s="106" t="n">
        <v>40096</v>
      </c>
      <c r="X61" s="106"/>
      <c r="Y61" s="106" t="n">
        <v>8</v>
      </c>
      <c r="Z61" s="106" t="n">
        <f aca="false">Y61*_xlfn.xlookup(W61,'Prix vente'!$A:$A,'Prix vente'!$R:$R)</f>
        <v>6240</v>
      </c>
      <c r="AA61" s="118" t="n">
        <v>40097</v>
      </c>
      <c r="AB61" s="118"/>
      <c r="AC61" s="118" t="n">
        <v>2</v>
      </c>
      <c r="AD61" s="118" t="n">
        <f aca="false">AC61*_xlfn.xlookup(AA61,'Prix vente'!$A:$A,'Prix vente'!$R:$R)</f>
        <v>960</v>
      </c>
      <c r="AE61" s="119"/>
      <c r="AF61" s="119"/>
      <c r="AG61" s="119"/>
      <c r="AH61" s="119"/>
      <c r="AI61" s="119"/>
      <c r="AJ61" s="119"/>
      <c r="AK61" s="119"/>
      <c r="AL61" s="119"/>
      <c r="AM61" s="119"/>
      <c r="AN61" s="119"/>
      <c r="AO61" s="119"/>
      <c r="AP61" s="119"/>
      <c r="AQ61" s="119"/>
      <c r="AR61" s="119"/>
      <c r="AS61" s="119"/>
      <c r="AT61" s="119"/>
      <c r="AU61" s="119"/>
      <c r="AV61" s="119"/>
      <c r="AW61" s="119"/>
      <c r="AX61" s="119"/>
      <c r="AY61" s="119"/>
      <c r="AZ61" s="119"/>
      <c r="BA61" s="119"/>
      <c r="BB61" s="119"/>
    </row>
    <row r="62" customFormat="false" ht="14.25" hidden="false" customHeight="false" outlineLevel="0" collapsed="false">
      <c r="A62" s="107" t="n">
        <v>210</v>
      </c>
      <c r="B62" s="107"/>
      <c r="C62" s="11" t="s">
        <v>134</v>
      </c>
      <c r="D62" s="11" t="s">
        <v>134</v>
      </c>
      <c r="E62" s="114" t="n">
        <v>45559</v>
      </c>
      <c r="F62" s="115" t="n">
        <v>1924</v>
      </c>
      <c r="G62" s="115" t="s">
        <v>773</v>
      </c>
      <c r="H62" s="115"/>
      <c r="I62" s="100" t="n">
        <f aca="false">_xlfn.xlookup(C62,Clients!B:B,Clients!W:W,FALSE())</f>
        <v>0</v>
      </c>
      <c r="J62" s="116" t="str">
        <f aca="false">_xlfn.xlookup(C62,Clients!$B$1:$B$1001,Clients!$M$1:$M$1001,FALSE())</f>
        <v>Net 30 jours</v>
      </c>
      <c r="K62" s="100" t="str">
        <f aca="false">_xlfn.xlookup(C62,Clients!B:B,Clients!R:R,FALSE())</f>
        <v>EXW Boucherville</v>
      </c>
      <c r="L62" s="117" t="n">
        <v>45565</v>
      </c>
      <c r="M62" s="98" t="str">
        <f aca="false">_xlfn.xlookup(C62,Clients!B:B,Clients!X:X,FALSE())</f>
        <v>CAD</v>
      </c>
      <c r="N62" s="98" t="str">
        <f aca="false">_xlfn.xlookup(C62,Clients!B:B,Clients!Y:Y,FALSE())</f>
        <v>CAD</v>
      </c>
      <c r="O62" s="106" t="n">
        <v>40098</v>
      </c>
      <c r="P62" s="106"/>
      <c r="Q62" s="106" t="n">
        <v>14</v>
      </c>
      <c r="R62" s="106" t="n">
        <f aca="false">Q62*_xlfn.xlookup(O62,'Prix vente'!A:A,'Prix vente'!R:R)</f>
        <v>14397.6</v>
      </c>
      <c r="S62" s="118" t="n">
        <v>40099</v>
      </c>
      <c r="T62" s="118" t="str">
        <f aca="false">_xlfn.xlookup(S62,'Prix vente'!$A:$A,'Prix vente'!$H:$H)&amp;"/"&amp;_xlfn.xlookup(S62,'Prix vente'!A:A,'Prix vente'!P:P)</f>
        <v>B25/8.57</v>
      </c>
      <c r="U62" s="118" t="n">
        <v>7</v>
      </c>
      <c r="V62" s="118" t="n">
        <f aca="false">U62*_xlfn.xlookup(S62,'Prix vente'!$A:$A,'Prix vente'!$R:$R)</f>
        <v>1799.7</v>
      </c>
      <c r="W62" s="106"/>
      <c r="X62" s="106"/>
      <c r="Y62" s="106"/>
      <c r="Z62" s="106"/>
      <c r="AA62" s="118"/>
      <c r="AB62" s="118"/>
      <c r="AC62" s="118"/>
      <c r="AD62" s="118"/>
      <c r="AE62" s="119"/>
      <c r="AF62" s="119"/>
      <c r="AG62" s="119"/>
      <c r="AH62" s="119"/>
      <c r="AI62" s="119"/>
      <c r="AJ62" s="119"/>
      <c r="AK62" s="119"/>
      <c r="AL62" s="119"/>
      <c r="AM62" s="119"/>
      <c r="AN62" s="119"/>
      <c r="AO62" s="119"/>
      <c r="AP62" s="119"/>
      <c r="AQ62" s="119"/>
      <c r="AR62" s="119"/>
      <c r="AS62" s="119"/>
      <c r="AT62" s="119"/>
      <c r="AU62" s="119"/>
      <c r="AV62" s="119"/>
      <c r="AW62" s="119"/>
      <c r="AX62" s="119"/>
      <c r="AY62" s="119"/>
      <c r="AZ62" s="119"/>
      <c r="BA62" s="119"/>
      <c r="BB62" s="119"/>
    </row>
    <row r="63" customFormat="false" ht="14.25" hidden="false" customHeight="false" outlineLevel="0" collapsed="false">
      <c r="A63" s="107" t="n">
        <v>211</v>
      </c>
      <c r="B63" s="107"/>
      <c r="C63" s="11" t="s">
        <v>134</v>
      </c>
      <c r="D63" s="11" t="s">
        <v>134</v>
      </c>
      <c r="E63" s="114" t="n">
        <v>45559</v>
      </c>
      <c r="F63" s="115" t="n">
        <v>1925</v>
      </c>
      <c r="G63" s="115" t="s">
        <v>773</v>
      </c>
      <c r="H63" s="115"/>
      <c r="I63" s="100" t="n">
        <f aca="false">_xlfn.xlookup(C63,Clients!B:B,Clients!W:W,FALSE())</f>
        <v>0</v>
      </c>
      <c r="J63" s="116" t="str">
        <f aca="false">_xlfn.xlookup(C63,Clients!$B$1:$B$1001,Clients!$M$1:$M$1001,FALSE())</f>
        <v>Net 30 jours</v>
      </c>
      <c r="K63" s="100" t="str">
        <f aca="false">_xlfn.xlookup(C63,Clients!B:B,Clients!R:R,FALSE())</f>
        <v>EXW Boucherville</v>
      </c>
      <c r="L63" s="117" t="n">
        <v>45565</v>
      </c>
      <c r="M63" s="98" t="str">
        <f aca="false">_xlfn.xlookup(C63,Clients!B:B,Clients!X:X,FALSE())</f>
        <v>CAD</v>
      </c>
      <c r="N63" s="98" t="str">
        <f aca="false">_xlfn.xlookup(C63,Clients!B:B,Clients!Y:Y,FALSE())</f>
        <v>CAD</v>
      </c>
      <c r="O63" s="106" t="n">
        <v>40100</v>
      </c>
      <c r="P63" s="106"/>
      <c r="Q63" s="106" t="n">
        <v>14</v>
      </c>
      <c r="R63" s="106" t="n">
        <f aca="false">Q63*_xlfn.xlookup(O63,'Prix vente'!A:A,'Prix vente'!R:R)</f>
        <v>14397.6</v>
      </c>
      <c r="S63" s="118"/>
      <c r="T63" s="118"/>
      <c r="U63" s="118"/>
      <c r="V63" s="118"/>
      <c r="W63" s="106"/>
      <c r="X63" s="106"/>
      <c r="Y63" s="106"/>
      <c r="Z63" s="106"/>
      <c r="AA63" s="118"/>
      <c r="AB63" s="118"/>
      <c r="AC63" s="118"/>
      <c r="AD63" s="118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19"/>
      <c r="AS63" s="119"/>
      <c r="AT63" s="119"/>
      <c r="AU63" s="119"/>
      <c r="AV63" s="119"/>
      <c r="AW63" s="119"/>
      <c r="AX63" s="119"/>
      <c r="AY63" s="119"/>
      <c r="AZ63" s="119"/>
      <c r="BA63" s="119"/>
      <c r="BB63" s="119"/>
    </row>
    <row r="64" customFormat="false" ht="14.25" hidden="false" customHeight="false" outlineLevel="0" collapsed="false">
      <c r="A64" s="107" t="n">
        <v>212</v>
      </c>
      <c r="B64" s="107"/>
      <c r="C64" s="11" t="s">
        <v>100</v>
      </c>
      <c r="D64" s="11" t="s">
        <v>100</v>
      </c>
      <c r="E64" s="114" t="n">
        <v>45559</v>
      </c>
      <c r="F64" s="115" t="n">
        <v>240924</v>
      </c>
      <c r="G64" s="11" t="s">
        <v>767</v>
      </c>
      <c r="H64" s="115"/>
      <c r="I64" s="100" t="n">
        <f aca="false">_xlfn.xlookup(C64,Clients!B:B,Clients!W:W,FALSE())</f>
        <v>0</v>
      </c>
      <c r="J64" s="116" t="str">
        <f aca="false">_xlfn.xlookup(C64,Clients!$B$1:$B$1001,Clients!$M$1:$M$1001,FALSE())</f>
        <v>Net 30 jours</v>
      </c>
      <c r="K64" s="100" t="str">
        <f aca="false">_xlfn.xlookup(C64,Clients!B:B,Clients!R:R,FALSE())</f>
        <v>Livraison incluse</v>
      </c>
      <c r="L64" s="117" t="n">
        <v>45565</v>
      </c>
      <c r="M64" s="98" t="str">
        <f aca="false">_xlfn.xlookup(C64,Clients!B:B,Clients!X:X,FALSE())</f>
        <v>CAD</v>
      </c>
      <c r="N64" s="98" t="str">
        <f aca="false">_xlfn.xlookup(C64,Clients!B:B,Clients!Y:Y,FALSE())</f>
        <v>CAD</v>
      </c>
      <c r="O64" s="106" t="n">
        <v>40101</v>
      </c>
      <c r="P64" s="106" t="str">
        <f aca="false">_xlfn.xlookup(O64,'Prix vente'!A:A,'Prix vente'!H:H)&amp;"/"&amp;_xlfn.xlookup(O64,'Prix vente'!A:A,'Prix vente'!P:P)</f>
        <v>B25/8.6</v>
      </c>
      <c r="Q64" s="106" t="n">
        <v>7</v>
      </c>
      <c r="R64" s="106" t="n">
        <f aca="false">Q64*_xlfn.xlookup(O64,'Prix vente'!A:A,'Prix vente'!R:R)</f>
        <v>5056.8</v>
      </c>
      <c r="S64" s="118" t="n">
        <v>40102</v>
      </c>
      <c r="T64" s="118" t="str">
        <f aca="false">_xlfn.xlookup(S64,'Prix vente'!$A:$A,'Prix vente'!$H:$H)&amp;"/"&amp;_xlfn.xlookup(S64,'Prix vente'!A:A,'Prix vente'!P:P)</f>
        <v>B25/9.5</v>
      </c>
      <c r="U64" s="118" t="n">
        <v>1</v>
      </c>
      <c r="V64" s="118" t="n">
        <f aca="false">U64*_xlfn.xlookup(S64,'Prix vente'!$A:$A,'Prix vente'!$R:$R)</f>
        <v>552.9</v>
      </c>
      <c r="W64" s="106"/>
      <c r="X64" s="106"/>
      <c r="Y64" s="106"/>
      <c r="Z64" s="106"/>
      <c r="AA64" s="118"/>
      <c r="AB64" s="118"/>
      <c r="AC64" s="118"/>
      <c r="AD64" s="118"/>
      <c r="AE64" s="119"/>
      <c r="AF64" s="119"/>
      <c r="AG64" s="119"/>
      <c r="AH64" s="119"/>
      <c r="AI64" s="119"/>
      <c r="AJ64" s="119"/>
      <c r="AK64" s="119"/>
      <c r="AL64" s="119"/>
      <c r="AM64" s="119"/>
      <c r="AN64" s="119"/>
      <c r="AO64" s="119"/>
      <c r="AP64" s="119"/>
      <c r="AQ64" s="119"/>
      <c r="AR64" s="119"/>
      <c r="AS64" s="119"/>
      <c r="AT64" s="119"/>
      <c r="AU64" s="119"/>
      <c r="AV64" s="119"/>
      <c r="AW64" s="119"/>
      <c r="AX64" s="119"/>
      <c r="AY64" s="119"/>
      <c r="AZ64" s="119"/>
      <c r="BA64" s="119"/>
      <c r="BB64" s="119"/>
    </row>
    <row r="65" customFormat="false" ht="14.25" hidden="false" customHeight="false" outlineLevel="0" collapsed="false">
      <c r="A65" s="98" t="n">
        <v>213</v>
      </c>
      <c r="B65" s="98"/>
      <c r="C65" s="11" t="s">
        <v>31</v>
      </c>
      <c r="D65" s="11" t="s">
        <v>31</v>
      </c>
      <c r="E65" s="114" t="n">
        <v>45560</v>
      </c>
      <c r="F65" s="115" t="n">
        <v>50008607</v>
      </c>
      <c r="G65" s="115" t="s">
        <v>761</v>
      </c>
      <c r="H65" s="115"/>
      <c r="I65" s="100" t="n">
        <f aca="false">_xlfn.xlookup(C65,Clients!B:B,Clients!W:W,FALSE())</f>
        <v>0</v>
      </c>
      <c r="J65" s="116" t="str">
        <f aca="false">_xlfn.xlookup(C65,Clients!$B$1:$B$1001,Clients!$M$1:$M$1001,FALSE())</f>
        <v>Net 30 days</v>
      </c>
      <c r="K65" s="100" t="str">
        <f aca="false">_xlfn.xlookup(C65,Clients!B:B,Clients!R:R,FALSE())</f>
        <v>EXW Boucherville</v>
      </c>
      <c r="L65" s="117" t="n">
        <v>45573</v>
      </c>
      <c r="M65" s="98" t="str">
        <f aca="false">_xlfn.xlookup(C65,Clients!B:B,Clients!X:X,FALSE())</f>
        <v>USD</v>
      </c>
      <c r="N65" s="98" t="str">
        <f aca="false">_xlfn.xlookup(C65,Clients!B:B,Clients!Y:Y,FALSE())</f>
        <v>USD</v>
      </c>
      <c r="O65" s="106" t="n">
        <v>40103</v>
      </c>
      <c r="P65" s="106" t="str">
        <f aca="false">_xlfn.xlookup(O65,'Prix vente'!A:A,'Prix vente'!H:H)&amp;"/"&amp;_xlfn.xlookup(O65,'Prix vente'!A:A,'Prix vente'!P:P)</f>
        <v>D16/10</v>
      </c>
      <c r="Q65" s="106" t="n">
        <v>60</v>
      </c>
      <c r="R65" s="106" t="n">
        <f aca="false">Q65*_xlfn.xlookup(O65,'Prix vente'!A:A,'Prix vente'!R:R)</f>
        <v>36000</v>
      </c>
      <c r="S65" s="118" t="n">
        <v>40079</v>
      </c>
      <c r="T65" s="118" t="str">
        <f aca="false">_xlfn.xlookup(S65,'Prix vente'!$A:$A,'Prix vente'!$H:$H)&amp;"/"&amp;_xlfn.xlookup(S65,'Prix vente'!A:A,'Prix vente'!P:P)</f>
        <v>REPAIR/</v>
      </c>
      <c r="U65" s="118" t="n">
        <v>1</v>
      </c>
      <c r="V65" s="118" t="n">
        <v>1</v>
      </c>
      <c r="W65" s="106"/>
      <c r="X65" s="106"/>
      <c r="Y65" s="106"/>
      <c r="Z65" s="106"/>
      <c r="AA65" s="118"/>
      <c r="AB65" s="118"/>
      <c r="AC65" s="118"/>
      <c r="AD65" s="118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</row>
    <row r="66" customFormat="false" ht="14.25" hidden="false" customHeight="false" outlineLevel="0" collapsed="false">
      <c r="A66" s="107" t="n">
        <v>214</v>
      </c>
      <c r="B66" s="107"/>
      <c r="C66" s="11" t="s">
        <v>212</v>
      </c>
      <c r="D66" s="11" t="s">
        <v>212</v>
      </c>
      <c r="E66" s="114" t="n">
        <v>45566</v>
      </c>
      <c r="F66" s="115" t="s">
        <v>783</v>
      </c>
      <c r="G66" s="115" t="s">
        <v>800</v>
      </c>
      <c r="H66" s="115"/>
      <c r="I66" s="100" t="n">
        <f aca="false">_xlfn.xlookup(C66,Clients!B:B,Clients!W:W,FALSE())</f>
        <v>0</v>
      </c>
      <c r="J66" s="116" t="str">
        <f aca="false">_xlfn.xlookup(C66,Clients!$B$1:$B$1001,Clients!$M$1:$M$1001,FALSE())</f>
        <v>Net 30 jours</v>
      </c>
      <c r="K66" s="100" t="str">
        <f aca="false">_xlfn.xlookup(C66,Clients!B:B,Clients!R:R,FALSE())</f>
        <v>Livraison incluse</v>
      </c>
      <c r="L66" s="117" t="n">
        <v>45573</v>
      </c>
      <c r="M66" s="98" t="str">
        <f aca="false">_xlfn.xlookup(C66,Clients!B:B,Clients!X:X,FALSE())</f>
        <v>CAD</v>
      </c>
      <c r="N66" s="98" t="str">
        <f aca="false">_xlfn.xlookup(C66,Clients!B:B,Clients!Y:Y,FALSE())</f>
        <v>CAD</v>
      </c>
      <c r="O66" s="106" t="n">
        <v>40104</v>
      </c>
      <c r="P66" s="106" t="str">
        <f aca="false">_xlfn.xlookup(O66,'Prix vente'!A:A,'Prix vente'!H:H)&amp;"/"&amp;_xlfn.xlookup(O66,'Prix vente'!A:A,'Prix vente'!P:P)</f>
        <v>D21/7.625</v>
      </c>
      <c r="Q66" s="106" t="n">
        <v>1</v>
      </c>
      <c r="R66" s="106" t="n">
        <f aca="false">Q66*_xlfn.xlookup(O66,'Prix vente'!A:A,'Prix vente'!R:R)</f>
        <v>393.45</v>
      </c>
      <c r="S66" s="118"/>
      <c r="T66" s="118"/>
      <c r="U66" s="118"/>
      <c r="V66" s="118"/>
      <c r="W66" s="106"/>
      <c r="X66" s="106"/>
      <c r="Y66" s="106"/>
      <c r="Z66" s="106"/>
      <c r="AA66" s="118"/>
      <c r="AB66" s="118"/>
      <c r="AC66" s="118"/>
      <c r="AD66" s="118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</row>
    <row r="67" customFormat="false" ht="14.25" hidden="false" customHeight="false" outlineLevel="0" collapsed="false">
      <c r="A67" s="107" t="n">
        <v>215</v>
      </c>
      <c r="B67" s="107"/>
      <c r="C67" s="11" t="s">
        <v>134</v>
      </c>
      <c r="D67" s="11" t="s">
        <v>134</v>
      </c>
      <c r="E67" s="114" t="n">
        <v>45568</v>
      </c>
      <c r="F67" s="115" t="s">
        <v>801</v>
      </c>
      <c r="G67" s="115" t="s">
        <v>772</v>
      </c>
      <c r="H67" s="115"/>
      <c r="I67" s="100" t="n">
        <f aca="false">_xlfn.xlookup(C67,Clients!B:B,Clients!W:W,FALSE())</f>
        <v>0</v>
      </c>
      <c r="J67" s="116" t="str">
        <f aca="false">_xlfn.xlookup(C67,Clients!$B$1:$B$1001,Clients!$M$1:$M$1001,FALSE())</f>
        <v>Net 30 jours</v>
      </c>
      <c r="K67" s="100" t="str">
        <f aca="false">_xlfn.xlookup(C67,Clients!B:B,Clients!R:R,FALSE())</f>
        <v>EXW Boucherville</v>
      </c>
      <c r="L67" s="117" t="n">
        <v>45573</v>
      </c>
      <c r="M67" s="98" t="str">
        <f aca="false">_xlfn.xlookup(C67,Clients!B:B,Clients!X:X,FALSE())</f>
        <v>CAD</v>
      </c>
      <c r="N67" s="98" t="str">
        <f aca="false">_xlfn.xlookup(C67,Clients!B:B,Clients!Y:Y,FALSE())</f>
        <v>CAD</v>
      </c>
      <c r="O67" s="106" t="n">
        <v>40105</v>
      </c>
      <c r="P67" s="106" t="str">
        <f aca="false">_xlfn.xlookup(O67,'Prix vente'!A:A,'Prix vente'!H:H)&amp;"/"&amp;_xlfn.xlookup(O67,'Prix vente'!A:A,'Prix vente'!P:P)</f>
        <v>T11/12.875</v>
      </c>
      <c r="Q67" s="106" t="n">
        <v>1</v>
      </c>
      <c r="R67" s="106" t="n">
        <f aca="false">Q67*_xlfn.xlookup(O67,'Prix vente'!A:A,'Prix vente'!R:R)</f>
        <v>370.8</v>
      </c>
      <c r="S67" s="118"/>
      <c r="T67" s="118"/>
      <c r="U67" s="118"/>
      <c r="V67" s="118"/>
      <c r="W67" s="106"/>
      <c r="X67" s="106"/>
      <c r="Y67" s="106"/>
      <c r="Z67" s="106"/>
      <c r="AA67" s="118"/>
      <c r="AB67" s="118"/>
      <c r="AC67" s="118"/>
      <c r="AD67" s="118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</row>
    <row r="68" customFormat="false" ht="14.25" hidden="false" customHeight="false" outlineLevel="0" collapsed="false">
      <c r="A68" s="98" t="n">
        <v>216</v>
      </c>
      <c r="B68" s="98"/>
      <c r="C68" s="11" t="s">
        <v>218</v>
      </c>
      <c r="D68" s="11" t="s">
        <v>218</v>
      </c>
      <c r="E68" s="114" t="n">
        <v>45568</v>
      </c>
      <c r="F68" s="115" t="s">
        <v>802</v>
      </c>
      <c r="G68" s="115" t="s">
        <v>803</v>
      </c>
      <c r="H68" s="115"/>
      <c r="I68" s="100" t="n">
        <f aca="false">_xlfn.xlookup(C68,Clients!B:B,Clients!W:W,FALSE())</f>
        <v>0</v>
      </c>
      <c r="J68" s="116" t="str">
        <f aca="false">_xlfn.xlookup(C68,Clients!$B$1:$B$1001,Clients!$M$1:$M$1001,FALSE())</f>
        <v>Net 30 jours</v>
      </c>
      <c r="K68" s="100" t="n">
        <f aca="false">_xlfn.xlookup(C68,Clients!B:B,Clients!R:R,FALSE())</f>
        <v>0</v>
      </c>
      <c r="L68" s="117" t="n">
        <v>45573</v>
      </c>
      <c r="M68" s="98" t="str">
        <f aca="false">_xlfn.xlookup(C68,Clients!B:B,Clients!X:X,FALSE())</f>
        <v>CAD</v>
      </c>
      <c r="N68" s="98" t="str">
        <f aca="false">_xlfn.xlookup(C68,Clients!B:B,Clients!Y:Y,FALSE())</f>
        <v>CAD</v>
      </c>
      <c r="O68" s="106" t="n">
        <v>40106</v>
      </c>
      <c r="P68" s="106" t="str">
        <f aca="false">_xlfn.xlookup(O68,'Prix vente'!A:A,'Prix vente'!H:H)&amp;"/"&amp;_xlfn.xlookup(O68,'Prix vente'!A:A,'Prix vente'!P:P)</f>
        <v>S31/12</v>
      </c>
      <c r="Q68" s="106"/>
      <c r="R68" s="106" t="n">
        <f aca="false">Q68*_xlfn.xlookup(O68,'Prix vente'!A:A,'Prix vente'!R:R)</f>
        <v>0</v>
      </c>
      <c r="S68" s="118"/>
      <c r="T68" s="118"/>
      <c r="U68" s="118"/>
      <c r="V68" s="118"/>
      <c r="W68" s="106"/>
      <c r="X68" s="106"/>
      <c r="Y68" s="106"/>
      <c r="Z68" s="106"/>
      <c r="AA68" s="118"/>
      <c r="AB68" s="118"/>
      <c r="AC68" s="118"/>
      <c r="AD68" s="118"/>
      <c r="AE68" s="119"/>
      <c r="AF68" s="119"/>
      <c r="AG68" s="119"/>
      <c r="AH68" s="119"/>
      <c r="AI68" s="119"/>
      <c r="AJ68" s="119"/>
      <c r="AK68" s="119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/>
      <c r="AV68" s="119"/>
      <c r="AW68" s="119"/>
      <c r="AX68" s="119"/>
      <c r="AY68" s="119"/>
      <c r="AZ68" s="119"/>
      <c r="BA68" s="119"/>
      <c r="BB68" s="119"/>
    </row>
    <row r="69" customFormat="false" ht="14.25" hidden="false" customHeight="false" outlineLevel="0" collapsed="false">
      <c r="A69" s="107" t="n">
        <v>217</v>
      </c>
      <c r="B69" s="107"/>
      <c r="C69" s="11" t="s">
        <v>212</v>
      </c>
      <c r="D69" s="11" t="s">
        <v>212</v>
      </c>
      <c r="E69" s="114" t="n">
        <v>45568</v>
      </c>
      <c r="F69" s="115" t="s">
        <v>804</v>
      </c>
      <c r="G69" s="115"/>
      <c r="H69" s="115"/>
      <c r="I69" s="100" t="n">
        <f aca="false">_xlfn.xlookup(C69,Clients!B:B,Clients!W:W,FALSE())</f>
        <v>0</v>
      </c>
      <c r="J69" s="116" t="str">
        <f aca="false">_xlfn.xlookup(C69,Clients!$B$1:$B$1001,Clients!$M$1:$M$1001,FALSE())</f>
        <v>Net 30 jours</v>
      </c>
      <c r="K69" s="100" t="str">
        <f aca="false">_xlfn.xlookup(C69,Clients!B:B,Clients!R:R,FALSE())</f>
        <v>Livraison incluse</v>
      </c>
      <c r="L69" s="117" t="n">
        <v>45573</v>
      </c>
      <c r="M69" s="98" t="str">
        <f aca="false">_xlfn.xlookup(C69,Clients!B:B,Clients!X:X,FALSE())</f>
        <v>CAD</v>
      </c>
      <c r="N69" s="98" t="str">
        <f aca="false">_xlfn.xlookup(C69,Clients!B:B,Clients!Y:Y,FALSE())</f>
        <v>CAD</v>
      </c>
      <c r="O69" s="106" t="n">
        <v>40107</v>
      </c>
      <c r="P69" s="106" t="str">
        <f aca="false">_xlfn.xlookup(O69,'Prix vente'!A:A,'Prix vente'!H:H)&amp;"/"&amp;_xlfn.xlookup(O69,'Prix vente'!A:A,'Prix vente'!P:P)</f>
        <v>S21/6.75</v>
      </c>
      <c r="Q69" s="106" t="n">
        <v>1</v>
      </c>
      <c r="R69" s="106" t="n">
        <f aca="false">Q69*_xlfn.xlookup(O69,'Prix vente'!A:A,'Prix vente'!R:R)</f>
        <v>194.4</v>
      </c>
      <c r="S69" s="118" t="n">
        <v>40108</v>
      </c>
      <c r="T69" s="118" t="str">
        <f aca="false">_xlfn.xlookup(S69,'Prix vente'!$A:$A,'Prix vente'!$H:$H)&amp;"/"&amp;_xlfn.xlookup(S69,'Prix vente'!A:A,'Prix vente'!P:P)</f>
        <v>S15/6.75</v>
      </c>
      <c r="U69" s="118" t="n">
        <v>1</v>
      </c>
      <c r="V69" s="118" t="n">
        <f aca="false">U69*_xlfn.xlookup(S69,'Prix vente'!$A:$A,'Prix vente'!$R:$R)</f>
        <v>194.4</v>
      </c>
      <c r="W69" s="106" t="n">
        <v>40109</v>
      </c>
      <c r="X69" s="106" t="str">
        <f aca="false">_xlfn.xlookup(W69,'Prix vente'!$A:$A,'Prix vente'!$H:$H)&amp;"/"&amp;_xlfn.xlookup(W69,'Prix vente'!A:A,'Prix vente'!P:P)</f>
        <v>B15/9.75</v>
      </c>
      <c r="Y69" s="106" t="n">
        <v>1</v>
      </c>
      <c r="Z69" s="106" t="n">
        <f aca="false">Y69*_xlfn.xlookup(W69,'Prix vente'!$A:$A,'Prix vente'!$R:$R)</f>
        <v>280.8</v>
      </c>
      <c r="AA69" s="118" t="n">
        <v>40110</v>
      </c>
      <c r="AB69" s="118" t="str">
        <f aca="false">_xlfn.xlookup(AA69,'Prix vente'!$A:$A,'Prix vente'!$H:$H)&amp;"/"&amp;_xlfn.xlookup(AA69,'Prix vente'!A:A,'Prix vente'!P:P)</f>
        <v>B25/8.675</v>
      </c>
      <c r="AC69" s="118" t="n">
        <v>1</v>
      </c>
      <c r="AD69" s="118" t="n">
        <f aca="false">AC69*_xlfn.xlookup(AA69,'Prix vente'!$A:$A,'Prix vente'!$R:$R)</f>
        <v>249.84</v>
      </c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</row>
    <row r="70" customFormat="false" ht="14.25" hidden="false" customHeight="false" outlineLevel="0" collapsed="false">
      <c r="A70" s="107" t="n">
        <v>218</v>
      </c>
      <c r="B70" s="107"/>
      <c r="C70" s="11" t="s">
        <v>151</v>
      </c>
      <c r="D70" s="11" t="s">
        <v>151</v>
      </c>
      <c r="E70" s="114" t="n">
        <v>45568</v>
      </c>
      <c r="F70" s="115" t="s">
        <v>805</v>
      </c>
      <c r="G70" s="115" t="s">
        <v>806</v>
      </c>
      <c r="H70" s="115"/>
      <c r="I70" s="100" t="n">
        <f aca="false">_xlfn.xlookup(C70,Clients!B:B,Clients!W:W,FALSE())</f>
        <v>0</v>
      </c>
      <c r="J70" s="116" t="str">
        <f aca="false">_xlfn.xlookup(C70,Clients!$B$1:$B$1001,Clients!$M$1:$M$1001,FALSE())</f>
        <v>Net 30 jours</v>
      </c>
      <c r="K70" s="100" t="str">
        <f aca="false">_xlfn.xlookup(C70,Clients!B:B,Clients!R:R,FALSE())</f>
        <v>Livraison incluse</v>
      </c>
      <c r="L70" s="117" t="n">
        <v>45574</v>
      </c>
      <c r="M70" s="98" t="str">
        <f aca="false">_xlfn.xlookup(C70,Clients!B:B,Clients!X:X,FALSE())</f>
        <v>CAD</v>
      </c>
      <c r="N70" s="98" t="str">
        <f aca="false">_xlfn.xlookup(C70,Clients!B:B,Clients!Y:Y,FALSE())</f>
        <v>CAD</v>
      </c>
      <c r="O70" s="106" t="n">
        <v>40111</v>
      </c>
      <c r="P70" s="106" t="str">
        <f aca="false">_xlfn.xlookup(O70,'Prix vente'!A:A,'Prix vente'!H:H)&amp;"/"&amp;_xlfn.xlookup(O70,'Prix vente'!A:A,'Prix vente'!P:P)</f>
        <v>T11/13</v>
      </c>
      <c r="Q70" s="106" t="n">
        <v>1</v>
      </c>
      <c r="R70" s="106" t="n">
        <f aca="false">Q70*_xlfn.xlookup(O70,'Prix vente'!A:A,'Prix vente'!R:R)</f>
        <v>374.4</v>
      </c>
      <c r="S70" s="118"/>
      <c r="T70" s="118"/>
      <c r="U70" s="118"/>
      <c r="V70" s="118"/>
      <c r="W70" s="106"/>
      <c r="X70" s="106"/>
      <c r="Y70" s="106"/>
      <c r="Z70" s="106"/>
      <c r="AA70" s="118"/>
      <c r="AB70" s="118"/>
      <c r="AC70" s="118"/>
      <c r="AD70" s="118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</row>
    <row r="71" customFormat="false" ht="14.25" hidden="false" customHeight="false" outlineLevel="0" collapsed="false">
      <c r="A71" s="98" t="n">
        <v>219</v>
      </c>
      <c r="B71" s="98"/>
      <c r="C71" s="11" t="s">
        <v>160</v>
      </c>
      <c r="D71" s="11" t="s">
        <v>160</v>
      </c>
      <c r="E71" s="114" t="n">
        <v>45568</v>
      </c>
      <c r="F71" s="115" t="s">
        <v>805</v>
      </c>
      <c r="G71" s="115" t="s">
        <v>786</v>
      </c>
      <c r="H71" s="115"/>
      <c r="I71" s="100" t="n">
        <f aca="false">_xlfn.xlookup(C71,Clients!B:B,Clients!W:W,FALSE())</f>
        <v>0</v>
      </c>
      <c r="J71" s="116" t="str">
        <f aca="false">_xlfn.xlookup(C71,Clients!$B$1:$B$1001,Clients!$M$1:$M$1001,FALSE())</f>
        <v>Net 30 jours</v>
      </c>
      <c r="K71" s="100" t="str">
        <f aca="false">_xlfn.xlookup(C71,Clients!B:B,Clients!R:R,FALSE())</f>
        <v>Livraison incluse</v>
      </c>
      <c r="L71" s="117" t="n">
        <v>45574</v>
      </c>
      <c r="M71" s="98" t="str">
        <f aca="false">_xlfn.xlookup(C71,Clients!B:B,Clients!X:X,FALSE())</f>
        <v>CAD</v>
      </c>
      <c r="N71" s="98" t="str">
        <f aca="false">_xlfn.xlookup(C71,Clients!B:B,Clients!Y:Y,FALSE())</f>
        <v>CAD</v>
      </c>
      <c r="O71" s="106" t="n">
        <v>40112</v>
      </c>
      <c r="P71" s="106" t="str">
        <f aca="false">_xlfn.xlookup(O71,'Prix vente'!A:A,'Prix vente'!H:H)&amp;"/"&amp;_xlfn.xlookup(O71,'Prix vente'!A:A,'Prix vente'!P:P)</f>
        <v>T11/8.75</v>
      </c>
      <c r="Q71" s="106" t="n">
        <v>1</v>
      </c>
      <c r="R71" s="106" t="n">
        <f aca="false">Q71*_xlfn.xlookup(O71,'Prix vente'!A:A,'Prix vente'!R:R)</f>
        <v>252</v>
      </c>
      <c r="S71" s="118"/>
      <c r="T71" s="118"/>
      <c r="U71" s="118"/>
      <c r="V71" s="118"/>
      <c r="W71" s="106"/>
      <c r="X71" s="106"/>
      <c r="Y71" s="106"/>
      <c r="Z71" s="106"/>
      <c r="AA71" s="118"/>
      <c r="AB71" s="118"/>
      <c r="AC71" s="118"/>
      <c r="AD71" s="118"/>
      <c r="AE71" s="119"/>
      <c r="AF71" s="119"/>
      <c r="AG71" s="119"/>
      <c r="AH71" s="119"/>
      <c r="AI71" s="119"/>
      <c r="AJ71" s="119"/>
      <c r="AK71" s="119"/>
      <c r="AL71" s="119"/>
      <c r="AM71" s="119"/>
      <c r="AN71" s="119"/>
      <c r="AO71" s="119"/>
      <c r="AP71" s="119"/>
      <c r="AQ71" s="119"/>
      <c r="AR71" s="119"/>
      <c r="AS71" s="119"/>
      <c r="AT71" s="119"/>
      <c r="AU71" s="119"/>
      <c r="AV71" s="119"/>
      <c r="AW71" s="119"/>
      <c r="AX71" s="119"/>
      <c r="AY71" s="119"/>
      <c r="AZ71" s="119"/>
      <c r="BA71" s="119"/>
      <c r="BB71" s="119"/>
    </row>
    <row r="72" customFormat="false" ht="14.25" hidden="false" customHeight="false" outlineLevel="0" collapsed="false">
      <c r="A72" s="107" t="n">
        <v>220</v>
      </c>
      <c r="B72" s="107"/>
      <c r="C72" s="11" t="s">
        <v>241</v>
      </c>
      <c r="D72" s="11" t="s">
        <v>241</v>
      </c>
      <c r="E72" s="114" t="n">
        <v>45568</v>
      </c>
      <c r="F72" s="115" t="s">
        <v>778</v>
      </c>
      <c r="G72" s="115" t="s">
        <v>807</v>
      </c>
      <c r="H72" s="115"/>
      <c r="I72" s="100" t="n">
        <f aca="false">_xlfn.xlookup(C72,Clients!B:B,Clients!W:W,FALSE())</f>
        <v>0</v>
      </c>
      <c r="J72" s="116" t="str">
        <f aca="false">_xlfn.xlookup(C72,Clients!$B$1:$B$1001,Clients!$M$1:$M$1001,FALSE())</f>
        <v>Net 30 jours</v>
      </c>
      <c r="K72" s="100" t="str">
        <f aca="false">_xlfn.xlookup(C72,Clients!B:B,Clients!R:R,FALSE())</f>
        <v>Livraison incluse</v>
      </c>
      <c r="L72" s="117" t="n">
        <v>45574</v>
      </c>
      <c r="M72" s="98" t="str">
        <f aca="false">_xlfn.xlookup(C72,Clients!B:B,Clients!X:X,FALSE())</f>
        <v>CAD</v>
      </c>
      <c r="N72" s="98" t="str">
        <f aca="false">_xlfn.xlookup(C72,Clients!B:B,Clients!Y:Y,FALSE())</f>
        <v>CAD</v>
      </c>
      <c r="O72" s="106" t="n">
        <v>40114</v>
      </c>
      <c r="P72" s="106" t="str">
        <f aca="false">_xlfn.xlookup(O72,'Prix vente'!A:A,'Prix vente'!H:H)&amp;"/"&amp;_xlfn.xlookup(O72,'Prix vente'!A:A,'Prix vente'!P:P)</f>
        <v>D11/9.4</v>
      </c>
      <c r="Q72" s="106" t="n">
        <v>1</v>
      </c>
      <c r="R72" s="106" t="n">
        <f aca="false">Q72*_xlfn.xlookup(O72,'Prix vente'!A:A,'Prix vente'!R:R)</f>
        <v>270.72</v>
      </c>
      <c r="S72" s="118"/>
      <c r="T72" s="118"/>
      <c r="U72" s="118"/>
      <c r="V72" s="118"/>
      <c r="W72" s="106"/>
      <c r="X72" s="106"/>
      <c r="Y72" s="106"/>
      <c r="Z72" s="106"/>
      <c r="AA72" s="118"/>
      <c r="AB72" s="118"/>
      <c r="AC72" s="118"/>
      <c r="AD72" s="118"/>
      <c r="AE72" s="119"/>
      <c r="AF72" s="119"/>
      <c r="AG72" s="119"/>
      <c r="AH72" s="119"/>
      <c r="AI72" s="119"/>
      <c r="AJ72" s="119"/>
      <c r="AK72" s="119"/>
      <c r="AL72" s="119"/>
      <c r="AM72" s="119"/>
      <c r="AN72" s="119"/>
      <c r="AO72" s="119"/>
      <c r="AP72" s="119"/>
      <c r="AQ72" s="119"/>
      <c r="AR72" s="119"/>
      <c r="AS72" s="119"/>
      <c r="AT72" s="119"/>
      <c r="AU72" s="119"/>
      <c r="AV72" s="119"/>
      <c r="AW72" s="119"/>
      <c r="AX72" s="119"/>
      <c r="AY72" s="119"/>
      <c r="AZ72" s="119"/>
      <c r="BA72" s="119"/>
      <c r="BB72" s="119"/>
    </row>
    <row r="73" customFormat="false" ht="14.25" hidden="false" customHeight="false" outlineLevel="0" collapsed="false">
      <c r="A73" s="107" t="n">
        <v>221</v>
      </c>
      <c r="B73" s="107"/>
      <c r="C73" s="11" t="s">
        <v>124</v>
      </c>
      <c r="D73" s="11" t="s">
        <v>124</v>
      </c>
      <c r="E73" s="114" t="n">
        <v>45569</v>
      </c>
      <c r="F73" s="115" t="n">
        <v>104428</v>
      </c>
      <c r="G73" s="115" t="s">
        <v>782</v>
      </c>
      <c r="H73" s="115"/>
      <c r="I73" s="100" t="n">
        <f aca="false">_xlfn.xlookup(C73,Clients!B:B,Clients!W:W,FALSE())</f>
        <v>0</v>
      </c>
      <c r="J73" s="116" t="str">
        <f aca="false">_xlfn.xlookup(C73,Clients!$B$1:$B$1001,Clients!$M$1:$M$1001,FALSE())</f>
        <v>Net 30 jours</v>
      </c>
      <c r="K73" s="100" t="str">
        <f aca="false">_xlfn.xlookup(C73,Clients!B:B,Clients!R:R,FALSE())</f>
        <v>EXW Boucherville</v>
      </c>
      <c r="L73" s="117" t="n">
        <v>45574</v>
      </c>
      <c r="M73" s="98" t="str">
        <f aca="false">_xlfn.xlookup(C73,Clients!B:B,Clients!X:X,FALSE())</f>
        <v>USD</v>
      </c>
      <c r="N73" s="98" t="str">
        <f aca="false">_xlfn.xlookup(C73,Clients!B:B,Clients!Y:Y,FALSE())</f>
        <v>USD</v>
      </c>
      <c r="O73" s="106" t="n">
        <v>40118</v>
      </c>
      <c r="P73" s="106" t="str">
        <f aca="false">_xlfn.xlookup(O73,'Prix vente'!A:A,'Prix vente'!H:H)&amp;"/"&amp;_xlfn.xlookup(O73,'Prix vente'!A:A,'Prix vente'!P:P)</f>
        <v>S15/6</v>
      </c>
      <c r="Q73" s="106" t="n">
        <v>3</v>
      </c>
      <c r="R73" s="106" t="n">
        <f aca="false">Q73*_xlfn.xlookup(O73,'Prix vente'!A:A,'Prix vente'!R:R)</f>
        <v>1080</v>
      </c>
      <c r="S73" s="118" t="n">
        <v>40067</v>
      </c>
      <c r="T73" s="118" t="str">
        <f aca="false">_xlfn.xlookup(S73,'Prix vente'!$A:$A,'Prix vente'!$H:$H)&amp;"/"&amp;_xlfn.xlookup(S73,'Prix vente'!A:A,'Prix vente'!P:P)</f>
        <v>S15/12</v>
      </c>
      <c r="U73" s="118" t="n">
        <v>1</v>
      </c>
      <c r="V73" s="118" t="n">
        <f aca="false">U73*_xlfn.xlookup(S73,'Prix vente'!$A:$A,'Prix vente'!$R:$R)</f>
        <v>720</v>
      </c>
      <c r="W73" s="106" t="n">
        <v>40117</v>
      </c>
      <c r="X73" s="106" t="str">
        <f aca="false">_xlfn.xlookup(W73,'Prix vente'!$A:$A,'Prix vente'!$H:$H)&amp;"/"&amp;_xlfn.xlookup(W73,'Prix vente'!A:A,'Prix vente'!P:P)</f>
        <v>S15/10</v>
      </c>
      <c r="Y73" s="106" t="n">
        <v>3</v>
      </c>
      <c r="Z73" s="106" t="n">
        <f aca="false">Y73*_xlfn.xlookup(W73,'Prix vente'!$A:$A,'Prix vente'!$R:$R)</f>
        <v>1800</v>
      </c>
      <c r="AA73" s="118"/>
      <c r="AB73" s="118"/>
      <c r="AC73" s="118"/>
      <c r="AD73" s="118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</row>
    <row r="74" customFormat="false" ht="14.25" hidden="false" customHeight="false" outlineLevel="0" collapsed="false">
      <c r="A74" s="98" t="n">
        <v>222</v>
      </c>
      <c r="B74" s="98"/>
      <c r="C74" s="11" t="s">
        <v>124</v>
      </c>
      <c r="D74" s="11" t="s">
        <v>124</v>
      </c>
      <c r="E74" s="114" t="n">
        <v>45569</v>
      </c>
      <c r="F74" s="115" t="n">
        <v>104106</v>
      </c>
      <c r="G74" s="115" t="s">
        <v>771</v>
      </c>
      <c r="H74" s="115"/>
      <c r="I74" s="100"/>
      <c r="J74" s="116" t="str">
        <f aca="false">_xlfn.xlookup(C74,Clients!$B$1:$B$1001,Clients!$M$1:$M$1001,FALSE())</f>
        <v>Net 30 jours</v>
      </c>
      <c r="K74" s="100" t="str">
        <f aca="false">_xlfn.xlookup(C74,Clients!B:B,Clients!R:R,FALSE())</f>
        <v>EXW Boucherville</v>
      </c>
      <c r="L74" s="117" t="n">
        <v>45604</v>
      </c>
      <c r="M74" s="98" t="str">
        <f aca="false">_xlfn.xlookup(C74,Clients!B:B,Clients!X:X,FALSE())</f>
        <v>USD</v>
      </c>
      <c r="N74" s="98" t="str">
        <f aca="false">_xlfn.xlookup(C74,Clients!B:B,Clients!Y:Y,FALSE())</f>
        <v>USD</v>
      </c>
      <c r="O74" s="106" t="n">
        <v>40150</v>
      </c>
      <c r="P74" s="106" t="str">
        <f aca="false">_xlfn.xlookup(O74,'Prix vente'!A:A,'Prix vente'!H:H)&amp;"/"&amp;_xlfn.xlookup(O74,'Prix vente'!A:A,'Prix vente'!P:P)</f>
        <v>B25/10</v>
      </c>
      <c r="Q74" s="106" t="n">
        <v>12</v>
      </c>
      <c r="R74" s="106" t="n">
        <f aca="false">Q74*_xlfn.xlookup(O74,'Prix vente'!A:A,'Prix vente'!R:R)</f>
        <v>7200</v>
      </c>
      <c r="S74" s="118" t="n">
        <v>40084</v>
      </c>
      <c r="T74" s="118" t="str">
        <f aca="false">_xlfn.xlookup(S74,'Prix vente'!$A:$A,'Prix vente'!$H:$H)&amp;"/"&amp;_xlfn.xlookup(S74,'Prix vente'!A:A,'Prix vente'!P:P)</f>
        <v>B25/12</v>
      </c>
      <c r="U74" s="118" t="n">
        <v>5</v>
      </c>
      <c r="V74" s="118" t="n">
        <f aca="false">U74*_xlfn.xlookup(S74,'Prix vente'!$A:$A,'Prix vente'!$R:$R)</f>
        <v>3600</v>
      </c>
      <c r="W74" s="106"/>
      <c r="X74" s="106"/>
      <c r="Y74" s="106"/>
      <c r="Z74" s="106"/>
      <c r="AA74" s="118"/>
      <c r="AB74" s="118"/>
      <c r="AC74" s="118"/>
      <c r="AD74" s="118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</row>
    <row r="75" customFormat="false" ht="14.25" hidden="false" customHeight="false" outlineLevel="0" collapsed="false">
      <c r="A75" s="107" t="n">
        <v>223</v>
      </c>
      <c r="B75" s="107"/>
      <c r="C75" s="11" t="s">
        <v>100</v>
      </c>
      <c r="D75" s="11" t="s">
        <v>100</v>
      </c>
      <c r="E75" s="114" t="n">
        <v>45574</v>
      </c>
      <c r="F75" s="115" t="s">
        <v>808</v>
      </c>
      <c r="G75" s="11" t="s">
        <v>767</v>
      </c>
      <c r="H75" s="115"/>
      <c r="I75" s="100" t="n">
        <f aca="false">_xlfn.xlookup(C75,Clients!B:B,Clients!W:W,FALSE())</f>
        <v>0</v>
      </c>
      <c r="J75" s="116" t="str">
        <f aca="false">_xlfn.xlookup(C75,Clients!$B$1:$B$1001,Clients!$M$1:$M$1001,FALSE())</f>
        <v>Net 30 jours</v>
      </c>
      <c r="K75" s="100" t="str">
        <f aca="false">_xlfn.xlookup(C75,Clients!B:B,Clients!R:R,FALSE())</f>
        <v>Livraison incluse</v>
      </c>
      <c r="L75" s="117" t="n">
        <v>45581</v>
      </c>
      <c r="M75" s="98" t="str">
        <f aca="false">_xlfn.xlookup(C75,Clients!B:B,Clients!X:X,FALSE())</f>
        <v>CAD</v>
      </c>
      <c r="N75" s="98" t="str">
        <f aca="false">_xlfn.xlookup(C75,Clients!B:B,Clients!Y:Y,FALSE())</f>
        <v>CAD</v>
      </c>
      <c r="O75" s="106" t="n">
        <v>40120</v>
      </c>
      <c r="P75" s="106" t="str">
        <f aca="false">_xlfn.xlookup(O75,'Prix vente'!A:A,'Prix vente'!H:H)&amp;"/"&amp;_xlfn.xlookup(O75,'Prix vente'!A:A,'Prix vente'!P:P)</f>
        <v>D21/8.75</v>
      </c>
      <c r="Q75" s="106" t="n">
        <v>18</v>
      </c>
      <c r="R75" s="106" t="n">
        <f aca="false">Q75*_xlfn.xlookup(O75,'Prix vente'!A:A,'Prix vente'!R:R)</f>
        <v>9450</v>
      </c>
      <c r="S75" s="118"/>
      <c r="T75" s="118"/>
      <c r="U75" s="118"/>
      <c r="V75" s="118"/>
      <c r="W75" s="106"/>
      <c r="X75" s="106"/>
      <c r="Y75" s="106"/>
      <c r="Z75" s="106"/>
      <c r="AA75" s="118"/>
      <c r="AB75" s="118"/>
      <c r="AC75" s="118"/>
      <c r="AD75" s="118"/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  <c r="AT75" s="119"/>
      <c r="AU75" s="119"/>
      <c r="AV75" s="119"/>
      <c r="AW75" s="119"/>
      <c r="AX75" s="119"/>
      <c r="AY75" s="119"/>
      <c r="AZ75" s="119"/>
      <c r="BA75" s="119"/>
      <c r="BB75" s="119"/>
    </row>
    <row r="76" customFormat="false" ht="14.25" hidden="false" customHeight="false" outlineLevel="0" collapsed="false">
      <c r="A76" s="98" t="n">
        <v>224</v>
      </c>
      <c r="B76" s="98"/>
      <c r="C76" s="11" t="s">
        <v>100</v>
      </c>
      <c r="D76" s="11" t="s">
        <v>100</v>
      </c>
      <c r="E76" s="114" t="n">
        <v>45574</v>
      </c>
      <c r="F76" s="115" t="s">
        <v>809</v>
      </c>
      <c r="G76" s="11" t="s">
        <v>767</v>
      </c>
      <c r="H76" s="115"/>
      <c r="I76" s="100" t="n">
        <f aca="false">_xlfn.xlookup(C76,Clients!B:B,Clients!W:W,FALSE())</f>
        <v>0</v>
      </c>
      <c r="J76" s="116" t="str">
        <f aca="false">_xlfn.xlookup(C76,Clients!$B$1:$B$1001,Clients!$M$1:$M$1001,FALSE())</f>
        <v>Net 30 jours</v>
      </c>
      <c r="K76" s="100" t="str">
        <f aca="false">_xlfn.xlookup(C76,Clients!B:B,Clients!R:R,FALSE())</f>
        <v>Livraison incluse</v>
      </c>
      <c r="L76" s="117" t="n">
        <v>45575</v>
      </c>
      <c r="M76" s="98" t="str">
        <f aca="false">_xlfn.xlookup(C76,Clients!B:B,Clients!X:X,FALSE())</f>
        <v>CAD</v>
      </c>
      <c r="N76" s="98" t="str">
        <f aca="false">_xlfn.xlookup(C76,Clients!B:B,Clients!Y:Y,FALSE())</f>
        <v>CAD</v>
      </c>
      <c r="O76" s="106" t="n">
        <v>40121</v>
      </c>
      <c r="P76" s="106" t="str">
        <f aca="false">_xlfn.xlookup(O76,'Prix vente'!A:A,'Prix vente'!H:H)&amp;"/"&amp;_xlfn.xlookup(O76,'Prix vente'!A:A,'Prix vente'!P:P)</f>
        <v>B15/8.75</v>
      </c>
      <c r="Q76" s="106" t="n">
        <v>6</v>
      </c>
      <c r="R76" s="106" t="n">
        <f aca="false">Q76*_xlfn.xlookup(O76,'Prix vente'!A:A,'Prix vente'!R:R)</f>
        <v>3150</v>
      </c>
      <c r="S76" s="118" t="n">
        <v>40122</v>
      </c>
      <c r="T76" s="118" t="str">
        <f aca="false">_xlfn.xlookup(S76,'Prix vente'!$A:$A,'Prix vente'!$H:$H)&amp;"/"&amp;_xlfn.xlookup(S76,'Prix vente'!A:A,'Prix vente'!P:P)</f>
        <v>B15/8.75</v>
      </c>
      <c r="U76" s="118" t="n">
        <v>5</v>
      </c>
      <c r="V76" s="118" t="n">
        <f aca="false">U76*_xlfn.xlookup(S76,'Prix vente'!$A:$A,'Prix vente'!$R:$R)</f>
        <v>1207.5</v>
      </c>
      <c r="W76" s="106" t="n">
        <v>40123</v>
      </c>
      <c r="X76" s="106" t="str">
        <f aca="false">_xlfn.xlookup(W76,'Prix vente'!$A:$A,'Prix vente'!$H:$H)&amp;"/"&amp;_xlfn.xlookup(W76,'Prix vente'!A:A,'Prix vente'!P:P)</f>
        <v>B15/7.5</v>
      </c>
      <c r="Y76" s="106" t="n">
        <v>1</v>
      </c>
      <c r="Z76" s="106" t="n">
        <f aca="false">Y76*_xlfn.xlookup(W76,'Prix vente'!$A:$A,'Prix vente'!$R:$R)</f>
        <v>450</v>
      </c>
      <c r="AA76" s="118" t="n">
        <v>40124</v>
      </c>
      <c r="AB76" s="118" t="str">
        <f aca="false">_xlfn.xlookup(AA76,'Prix vente'!$A:$A,'Prix vente'!$H:$H)&amp;"/"&amp;_xlfn.xlookup(AA76,'Prix vente'!A:A,'Prix vente'!P:P)</f>
        <v>B15/6.75</v>
      </c>
      <c r="AC76" s="118" t="n">
        <v>1</v>
      </c>
      <c r="AD76" s="118" t="n">
        <f aca="false">AC76*_xlfn.xlookup(AA76,'Prix vente'!$A:$A,'Prix vente'!$R:$R)</f>
        <v>186.3</v>
      </c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</row>
    <row r="77" customFormat="false" ht="14.25" hidden="false" customHeight="false" outlineLevel="0" collapsed="false">
      <c r="A77" s="107" t="n">
        <v>225</v>
      </c>
      <c r="B77" s="107"/>
      <c r="C77" s="11" t="s">
        <v>124</v>
      </c>
      <c r="D77" s="11" t="s">
        <v>124</v>
      </c>
      <c r="E77" s="114" t="n">
        <v>45574</v>
      </c>
      <c r="F77" s="115" t="n">
        <v>104575</v>
      </c>
      <c r="G77" s="115" t="s">
        <v>788</v>
      </c>
      <c r="H77" s="115"/>
      <c r="I77" s="100" t="n">
        <f aca="false">_xlfn.xlookup(C77,Clients!B:B,Clients!W:W,FALSE())</f>
        <v>0</v>
      </c>
      <c r="J77" s="116" t="str">
        <f aca="false">_xlfn.xlookup(C77,Clients!$B$1:$B$1001,Clients!$M$1:$M$1001,FALSE())</f>
        <v>Net 30 jours</v>
      </c>
      <c r="K77" s="100" t="str">
        <f aca="false">_xlfn.xlookup(C77,Clients!B:B,Clients!R:R,FALSE())</f>
        <v>EXW Boucherville</v>
      </c>
      <c r="L77" s="117" t="n">
        <v>45580</v>
      </c>
      <c r="M77" s="98" t="str">
        <f aca="false">_xlfn.xlookup(C77,Clients!B:B,Clients!X:X,FALSE())</f>
        <v>USD</v>
      </c>
      <c r="N77" s="98" t="str">
        <f aca="false">_xlfn.xlookup(C77,Clients!B:B,Clients!Y:Y,FALSE())</f>
        <v>USD</v>
      </c>
      <c r="O77" s="106" t="n">
        <v>40118</v>
      </c>
      <c r="P77" s="106" t="str">
        <f aca="false">_xlfn.xlookup(O77,'Prix vente'!A:A,'Prix vente'!H:H)&amp;"/"&amp;_xlfn.xlookup(O77,'Prix vente'!A:A,'Prix vente'!P:P)</f>
        <v>S15/6</v>
      </c>
      <c r="Q77" s="106" t="n">
        <v>1</v>
      </c>
      <c r="R77" s="106" t="n">
        <f aca="false">Q77*_xlfn.xlookup(O77,'Prix vente'!A:A,'Prix vente'!R:R)</f>
        <v>360</v>
      </c>
      <c r="S77" s="118" t="n">
        <v>40117</v>
      </c>
      <c r="T77" s="118" t="str">
        <f aca="false">_xlfn.xlookup(S77,'Prix vente'!$A:$A,'Prix vente'!$H:$H)&amp;"/"&amp;_xlfn.xlookup(S77,'Prix vente'!A:A,'Prix vente'!P:P)</f>
        <v>S15/10</v>
      </c>
      <c r="U77" s="118" t="n">
        <v>1</v>
      </c>
      <c r="V77" s="118" t="n">
        <f aca="false">U77*_xlfn.xlookup(S77,'Prix vente'!$A:$A,'Prix vente'!$R:$R)</f>
        <v>600</v>
      </c>
      <c r="W77" s="106" t="n">
        <v>40067</v>
      </c>
      <c r="X77" s="106" t="str">
        <f aca="false">_xlfn.xlookup(W77,'Prix vente'!$A:$A,'Prix vente'!$H:$H)&amp;"/"&amp;_xlfn.xlookup(W77,'Prix vente'!A:A,'Prix vente'!P:P)</f>
        <v>S15/12</v>
      </c>
      <c r="Y77" s="106" t="n">
        <v>2</v>
      </c>
      <c r="Z77" s="106" t="n">
        <f aca="false">Y77*_xlfn.xlookup(W77,'Prix vente'!$A:$A,'Prix vente'!$R:$R)</f>
        <v>1440</v>
      </c>
      <c r="AA77" s="118" t="n">
        <v>40125</v>
      </c>
      <c r="AB77" s="118" t="str">
        <f aca="false">_xlfn.xlookup(AA77,'Prix vente'!$A:$A,'Prix vente'!$H:$H)&amp;"/"&amp;_xlfn.xlookup(AA77,'Prix vente'!A:A,'Prix vente'!P:P)</f>
        <v>S15/20</v>
      </c>
      <c r="AC77" s="118" t="n">
        <v>1</v>
      </c>
      <c r="AD77" s="118" t="n">
        <f aca="false">AC77*_xlfn.xlookup(AA77,'Prix vente'!$A:$A,'Prix vente'!$R:$R)</f>
        <v>1200</v>
      </c>
      <c r="AE77" s="119"/>
      <c r="AF77" s="119"/>
      <c r="AG77" s="119"/>
      <c r="AH77" s="119"/>
      <c r="AI77" s="119"/>
      <c r="AJ77" s="119"/>
      <c r="AK77" s="119"/>
      <c r="AL77" s="119"/>
      <c r="AM77" s="119"/>
      <c r="AN77" s="119"/>
      <c r="AO77" s="119"/>
      <c r="AP77" s="119"/>
      <c r="AQ77" s="119"/>
      <c r="AR77" s="119"/>
      <c r="AS77" s="119"/>
      <c r="AT77" s="119"/>
      <c r="AU77" s="119"/>
      <c r="AV77" s="119"/>
      <c r="AW77" s="119"/>
      <c r="AX77" s="119"/>
      <c r="AY77" s="119"/>
      <c r="AZ77" s="119"/>
      <c r="BA77" s="119"/>
      <c r="BB77" s="119"/>
    </row>
    <row r="78" customFormat="false" ht="14.25" hidden="false" customHeight="false" outlineLevel="0" collapsed="false">
      <c r="A78" s="98" t="n">
        <v>226</v>
      </c>
      <c r="B78" s="98"/>
      <c r="C78" s="11" t="s">
        <v>178</v>
      </c>
      <c r="D78" s="11" t="s">
        <v>178</v>
      </c>
      <c r="E78" s="114" t="n">
        <v>45575</v>
      </c>
      <c r="F78" s="115" t="n">
        <v>14258</v>
      </c>
      <c r="G78" s="115" t="s">
        <v>791</v>
      </c>
      <c r="H78" s="115"/>
      <c r="I78" s="100" t="n">
        <f aca="false">_xlfn.xlookup(C78,Clients!B:B,Clients!W:W,FALSE())</f>
        <v>0</v>
      </c>
      <c r="J78" s="116" t="str">
        <f aca="false">_xlfn.xlookup(C78,Clients!$B$1:$B$1001,Clients!$M$1:$M$1001,FALSE())</f>
        <v>Net 30 jours</v>
      </c>
      <c r="K78" s="100" t="str">
        <f aca="false">_xlfn.xlookup(C78,Clients!B:B,Clients!R:R,FALSE())</f>
        <v>Delivery Included</v>
      </c>
      <c r="L78" s="117" t="n">
        <v>45582</v>
      </c>
      <c r="M78" s="98" t="str">
        <f aca="false">_xlfn.xlookup(C78,Clients!B:B,Clients!X:X,FALSE())</f>
        <v>CAD</v>
      </c>
      <c r="N78" s="98" t="str">
        <f aca="false">_xlfn.xlookup(C78,Clients!B:B,Clients!Y:Y,FALSE())</f>
        <v>CAD</v>
      </c>
      <c r="O78" s="106" t="n">
        <v>40126</v>
      </c>
      <c r="P78" s="106" t="str">
        <f aca="false">_xlfn.xlookup(O78,'Prix vente'!A:A,'Prix vente'!H:H)&amp;"/"&amp;_xlfn.xlookup(O78,'Prix vente'!A:A,'Prix vente'!P:P)</f>
        <v>S15/12</v>
      </c>
      <c r="Q78" s="106" t="n">
        <v>15</v>
      </c>
      <c r="R78" s="106" t="n">
        <f aca="false">Q78*_xlfn.xlookup(O78,'Prix vente'!A:A,'Prix vente'!R:R)</f>
        <v>21600</v>
      </c>
      <c r="S78" s="118" t="n">
        <v>40126</v>
      </c>
      <c r="T78" s="118" t="str">
        <f aca="false">_xlfn.xlookup(S78,'Prix vente'!$A:$A,'Prix vente'!$H:$H)&amp;"/"&amp;_xlfn.xlookup(S78,'Prix vente'!A:A,'Prix vente'!P:P)</f>
        <v>S15/12</v>
      </c>
      <c r="U78" s="118" t="n">
        <v>-1</v>
      </c>
      <c r="V78" s="118" t="n">
        <f aca="false">U78*_xlfn.xlookup(S78,'Prix vente'!$A:$A,'Prix vente'!$R:$R)</f>
        <v>-1440</v>
      </c>
      <c r="W78" s="106"/>
      <c r="X78" s="106"/>
      <c r="Y78" s="106"/>
      <c r="Z78" s="106"/>
      <c r="AA78" s="118"/>
      <c r="AB78" s="118"/>
      <c r="AC78" s="118"/>
      <c r="AD78" s="118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</row>
    <row r="79" customFormat="false" ht="14.25" hidden="false" customHeight="false" outlineLevel="0" collapsed="false">
      <c r="A79" s="107" t="n">
        <v>227</v>
      </c>
      <c r="B79" s="107"/>
      <c r="C79" s="11" t="s">
        <v>124</v>
      </c>
      <c r="D79" s="11" t="s">
        <v>124</v>
      </c>
      <c r="E79" s="114" t="n">
        <v>45575</v>
      </c>
      <c r="F79" s="115" t="n">
        <v>104618</v>
      </c>
      <c r="G79" s="115" t="s">
        <v>788</v>
      </c>
      <c r="H79" s="115"/>
      <c r="I79" s="100" t="n">
        <f aca="false">_xlfn.xlookup(C79,Clients!B:B,Clients!W:W,FALSE())</f>
        <v>0</v>
      </c>
      <c r="J79" s="116" t="str">
        <f aca="false">_xlfn.xlookup(C79,Clients!$B$1:$B$1001,Clients!$M$1:$M$1001,FALSE())</f>
        <v>Net 30 jours</v>
      </c>
      <c r="K79" s="100" t="str">
        <f aca="false">_xlfn.xlookup(C79,Clients!B:B,Clients!R:R,FALSE())</f>
        <v>EXW Boucherville</v>
      </c>
      <c r="L79" s="117" t="n">
        <v>45582</v>
      </c>
      <c r="M79" s="98" t="str">
        <f aca="false">_xlfn.xlookup(C79,Clients!B:B,Clients!X:X,FALSE())</f>
        <v>USD</v>
      </c>
      <c r="N79" s="98" t="str">
        <f aca="false">_xlfn.xlookup(C79,Clients!B:B,Clients!Y:Y,FALSE())</f>
        <v>USD</v>
      </c>
      <c r="O79" s="106" t="n">
        <v>40127</v>
      </c>
      <c r="P79" s="106" t="str">
        <f aca="false">_xlfn.xlookup(O79,'Prix vente'!A:A,'Prix vente'!H:H)&amp;"/"&amp;_xlfn.xlookup(O79,'Prix vente'!A:A,'Prix vente'!P:P)</f>
        <v>S21/6</v>
      </c>
      <c r="Q79" s="106" t="n">
        <v>1</v>
      </c>
      <c r="R79" s="106" t="n">
        <f aca="false">Q79*_xlfn.xlookup(O79,'Prix vente'!A:A,'Prix vente'!R:R)</f>
        <v>360</v>
      </c>
      <c r="S79" s="118" t="n">
        <v>40081</v>
      </c>
      <c r="T79" s="118" t="str">
        <f aca="false">_xlfn.xlookup(S79,'Prix vente'!$A:$A,'Prix vente'!$H:$H)&amp;"/"&amp;_xlfn.xlookup(S79,'Prix vente'!A:A,'Prix vente'!P:P)</f>
        <v>S21/10</v>
      </c>
      <c r="U79" s="118" t="n">
        <v>3</v>
      </c>
      <c r="V79" s="118" t="n">
        <f aca="false">U79*_xlfn.xlookup(S79,'Prix vente'!$A:$A,'Prix vente'!$R:$R)</f>
        <v>1800</v>
      </c>
      <c r="W79" s="106" t="n">
        <v>40048</v>
      </c>
      <c r="X79" s="106" t="str">
        <f aca="false">_xlfn.xlookup(W79,'Prix vente'!$A:$A,'Prix vente'!$H:$H)&amp;"/"&amp;_xlfn.xlookup(W79,'Prix vente'!A:A,'Prix vente'!P:P)</f>
        <v>S21/12</v>
      </c>
      <c r="Y79" s="106" t="n">
        <v>2</v>
      </c>
      <c r="Z79" s="106" t="n">
        <f aca="false">Y79*_xlfn.xlookup(W79,'Prix vente'!$A:$A,'Prix vente'!$R:$R)</f>
        <v>1440</v>
      </c>
      <c r="AA79" s="118"/>
      <c r="AB79" s="118"/>
      <c r="AC79" s="118"/>
      <c r="AD79" s="118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19"/>
      <c r="AR79" s="119"/>
      <c r="AS79" s="119"/>
      <c r="AT79" s="119"/>
      <c r="AU79" s="119"/>
      <c r="AV79" s="119"/>
      <c r="AW79" s="119"/>
      <c r="AX79" s="119"/>
      <c r="AY79" s="119"/>
      <c r="AZ79" s="119"/>
      <c r="BA79" s="119"/>
      <c r="BB79" s="119"/>
    </row>
    <row r="80" customFormat="false" ht="14.25" hidden="false" customHeight="false" outlineLevel="0" collapsed="false">
      <c r="A80" s="98" t="n">
        <v>228</v>
      </c>
      <c r="B80" s="98"/>
      <c r="C80" s="11" t="s">
        <v>51</v>
      </c>
      <c r="D80" s="11" t="s">
        <v>51</v>
      </c>
      <c r="E80" s="114" t="n">
        <v>45575</v>
      </c>
      <c r="F80" s="115" t="s">
        <v>810</v>
      </c>
      <c r="G80" s="115" t="s">
        <v>811</v>
      </c>
      <c r="H80" s="115"/>
      <c r="I80" s="100" t="n">
        <f aca="false">_xlfn.xlookup(C80,Clients!B:B,Clients!W:W,FALSE())</f>
        <v>0</v>
      </c>
      <c r="J80" s="116" t="str">
        <f aca="false">_xlfn.xlookup(C80,Clients!$B$1:$B$1001,Clients!$M$1:$M$1001,FALSE())</f>
        <v>Net 30 jours</v>
      </c>
      <c r="K80" s="100" t="str">
        <f aca="false">_xlfn.xlookup(C80,Clients!B:B,Clients!R:R,FALSE())</f>
        <v>Livraison incluse</v>
      </c>
      <c r="L80" s="117" t="n">
        <v>45583</v>
      </c>
      <c r="M80" s="98" t="str">
        <f aca="false">_xlfn.xlookup(C80,Clients!B:B,Clients!X:X,FALSE())</f>
        <v>CAD</v>
      </c>
      <c r="N80" s="98" t="str">
        <f aca="false">_xlfn.xlookup(C80,Clients!B:B,Clients!Y:Y,FALSE())</f>
        <v>CAD</v>
      </c>
      <c r="O80" s="106" t="n">
        <v>40128</v>
      </c>
      <c r="P80" s="106" t="str">
        <f aca="false">_xlfn.xlookup(O80,'Prix vente'!A:A,'Prix vente'!H:H)&amp;"/"&amp;_xlfn.xlookup(O80,'Prix vente'!A:A,'Prix vente'!P:P)</f>
        <v>S21/13</v>
      </c>
      <c r="Q80" s="106" t="n">
        <v>1</v>
      </c>
      <c r="R80" s="106" t="n">
        <f aca="false">Q80*_xlfn.xlookup(O80,'Prix vente'!A:A,'Prix vente'!R:R)</f>
        <v>390</v>
      </c>
      <c r="S80" s="118" t="n">
        <v>40129</v>
      </c>
      <c r="T80" s="118" t="str">
        <f aca="false">_xlfn.xlookup(S80,'Prix vente'!$A:$A,'Prix vente'!$H:$H)&amp;"/"&amp;_xlfn.xlookup(S80,'Prix vente'!A:A,'Prix vente'!P:P)</f>
        <v>S15/13</v>
      </c>
      <c r="U80" s="118" t="n">
        <v>1</v>
      </c>
      <c r="V80" s="118" t="n">
        <f aca="false">U80*_xlfn.xlookup(S80,'Prix vente'!$A:$A,'Prix vente'!$R:$R)</f>
        <v>390</v>
      </c>
      <c r="W80" s="106" t="n">
        <v>40130</v>
      </c>
      <c r="X80" s="106" t="str">
        <f aca="false">_xlfn.xlookup(W80,'Prix vente'!$A:$A,'Prix vente'!$H:$H)&amp;"/"&amp;_xlfn.xlookup(W80,'Prix vente'!A:A,'Prix vente'!P:P)</f>
        <v>B15/13</v>
      </c>
      <c r="Y80" s="106" t="n">
        <v>1</v>
      </c>
      <c r="Z80" s="106" t="n">
        <f aca="false">Y80*_xlfn.xlookup(W80,'Prix vente'!$A:$A,'Prix vente'!$R:$R)</f>
        <v>390</v>
      </c>
      <c r="AA80" s="118"/>
      <c r="AB80" s="118"/>
      <c r="AC80" s="118"/>
      <c r="AD80" s="118"/>
      <c r="AE80" s="119"/>
      <c r="AF80" s="119"/>
      <c r="AG80" s="119"/>
      <c r="AH80" s="119"/>
      <c r="AI80" s="119"/>
      <c r="AJ80" s="119"/>
      <c r="AK80" s="119"/>
      <c r="AL80" s="119"/>
      <c r="AM80" s="119"/>
      <c r="AN80" s="119"/>
      <c r="AO80" s="119"/>
      <c r="AP80" s="119"/>
      <c r="AQ80" s="119"/>
      <c r="AR80" s="119"/>
      <c r="AS80" s="119"/>
      <c r="AT80" s="119"/>
      <c r="AU80" s="119"/>
      <c r="AV80" s="119"/>
      <c r="AW80" s="119"/>
      <c r="AX80" s="119"/>
      <c r="AY80" s="119"/>
      <c r="AZ80" s="119"/>
      <c r="BA80" s="119"/>
      <c r="BB80" s="119"/>
    </row>
    <row r="81" customFormat="false" ht="14.25" hidden="false" customHeight="false" outlineLevel="0" collapsed="false">
      <c r="A81" s="107" t="n">
        <v>229</v>
      </c>
      <c r="B81" s="107"/>
      <c r="C81" s="11" t="s">
        <v>243</v>
      </c>
      <c r="D81" s="11" t="s">
        <v>243</v>
      </c>
      <c r="E81" s="114" t="n">
        <v>45586</v>
      </c>
      <c r="F81" s="115" t="s">
        <v>812</v>
      </c>
      <c r="G81" s="115" t="s">
        <v>813</v>
      </c>
      <c r="H81" s="115"/>
      <c r="I81" s="100" t="n">
        <f aca="false">_xlfn.xlookup(C81,Clients!B:B,Clients!W:W,FALSE())</f>
        <v>0</v>
      </c>
      <c r="J81" s="116" t="str">
        <f aca="false">_xlfn.xlookup(C81,Clients!$B$1:$B$1001,Clients!$M$1:$M$1001,FALSE())</f>
        <v>Net 30 days</v>
      </c>
      <c r="K81" s="100" t="n">
        <f aca="false">_xlfn.xlookup(C81,Clients!B:B,Clients!R:R,FALSE())</f>
        <v>0</v>
      </c>
      <c r="L81" s="117" t="n">
        <v>45583</v>
      </c>
      <c r="M81" s="98" t="str">
        <f aca="false">_xlfn.xlookup(C81,Clients!B:B,Clients!X:X,FALSE())</f>
        <v>USD</v>
      </c>
      <c r="N81" s="98" t="str">
        <f aca="false">_xlfn.xlookup(C81,Clients!B:B,Clients!Y:Y,FALSE())</f>
        <v>USD</v>
      </c>
      <c r="O81" s="106" t="n">
        <v>40135</v>
      </c>
      <c r="P81" s="106" t="str">
        <f aca="false">_xlfn.xlookup(O81,'Prix vente'!A:A,'Prix vente'!H:H)&amp;"/"&amp;_xlfn.xlookup(O81,'Prix vente'!A:A,'Prix vente'!P:P)</f>
        <v>D11/21</v>
      </c>
      <c r="Q81" s="106" t="n">
        <v>1</v>
      </c>
      <c r="R81" s="106" t="n">
        <f aca="false">Q81*_xlfn.xlookup(O81,'Prix vente'!A:A,'Prix vente'!R:R)</f>
        <v>1260</v>
      </c>
      <c r="S81" s="118" t="n">
        <v>40139</v>
      </c>
      <c r="T81" s="118" t="str">
        <f aca="false">_xlfn.xlookup(S81,'Prix vente'!$A:$A,'Prix vente'!$H:$H)&amp;"/"&amp;_xlfn.xlookup(S81,'Prix vente'!A:A,'Prix vente'!P:P)</f>
        <v>D21/17.5</v>
      </c>
      <c r="U81" s="118" t="n">
        <v>1</v>
      </c>
      <c r="V81" s="118" t="n">
        <f aca="false">U81*_xlfn.xlookup(S81,'Prix vente'!$A:$A,'Prix vente'!$R:$R)</f>
        <v>1050</v>
      </c>
      <c r="W81" s="106" t="n">
        <v>40133</v>
      </c>
      <c r="X81" s="106" t="str">
        <f aca="false">_xlfn.xlookup(W81,'Prix vente'!$A:$A,'Prix vente'!$H:$H)&amp;"/"&amp;_xlfn.xlookup(W81,'Prix vente'!A:A,'Prix vente'!P:P)</f>
        <v>T11/17.5</v>
      </c>
      <c r="Y81" s="106" t="n">
        <v>1</v>
      </c>
      <c r="Z81" s="106" t="n">
        <f aca="false">Y81*_xlfn.xlookup(W81,'Prix vente'!$A:$A,'Prix vente'!$R:$R)</f>
        <v>1050</v>
      </c>
      <c r="AA81" s="118"/>
      <c r="AB81" s="118"/>
      <c r="AC81" s="118"/>
      <c r="AD81" s="118"/>
      <c r="AE81" s="119"/>
      <c r="AF81" s="119"/>
      <c r="AG81" s="119"/>
      <c r="AH81" s="119"/>
      <c r="AI81" s="119"/>
      <c r="AJ81" s="119"/>
      <c r="AK81" s="119"/>
      <c r="AL81" s="119"/>
      <c r="AM81" s="119"/>
      <c r="AN81" s="119"/>
      <c r="AO81" s="119"/>
      <c r="AP81" s="119"/>
      <c r="AQ81" s="119"/>
      <c r="AR81" s="119"/>
      <c r="AS81" s="119"/>
      <c r="AT81" s="119"/>
      <c r="AU81" s="119"/>
      <c r="AV81" s="119"/>
      <c r="AW81" s="119"/>
      <c r="AX81" s="119"/>
      <c r="AY81" s="119"/>
      <c r="AZ81" s="119"/>
      <c r="BA81" s="119"/>
      <c r="BB81" s="119"/>
    </row>
    <row r="82" customFormat="false" ht="14.25" hidden="false" customHeight="false" outlineLevel="0" collapsed="false">
      <c r="A82" s="98" t="n">
        <v>230</v>
      </c>
      <c r="B82" s="98"/>
      <c r="C82" s="11" t="s">
        <v>31</v>
      </c>
      <c r="D82" s="11" t="s">
        <v>31</v>
      </c>
      <c r="E82" s="114" t="n">
        <v>45579</v>
      </c>
      <c r="F82" s="115" t="n">
        <v>50008700</v>
      </c>
      <c r="G82" s="115" t="s">
        <v>754</v>
      </c>
      <c r="H82" s="115"/>
      <c r="I82" s="100" t="n">
        <f aca="false">_xlfn.xlookup(C82,Clients!B:B,Clients!W:W,FALSE())</f>
        <v>0</v>
      </c>
      <c r="J82" s="116" t="str">
        <f aca="false">_xlfn.xlookup(C82,Clients!$B$1:$B$1001,Clients!$M$1:$M$1001,FALSE())</f>
        <v>Net 30 days</v>
      </c>
      <c r="K82" s="100" t="str">
        <f aca="false">_xlfn.xlookup(C82,Clients!B:B,Clients!R:R,FALSE())</f>
        <v>EXW Boucherville</v>
      </c>
      <c r="L82" s="117" t="n">
        <v>45590</v>
      </c>
      <c r="M82" s="98" t="str">
        <f aca="false">_xlfn.xlookup(C82,Clients!B:B,Clients!X:X,FALSE())</f>
        <v>USD</v>
      </c>
      <c r="N82" s="98" t="str">
        <f aca="false">_xlfn.xlookup(C82,Clients!B:B,Clients!Y:Y,FALSE())</f>
        <v>USD</v>
      </c>
      <c r="O82" s="106" t="n">
        <v>40103</v>
      </c>
      <c r="P82" s="106" t="str">
        <f aca="false">_xlfn.xlookup(O82,'Prix vente'!A:A,'Prix vente'!H:H)&amp;"/"&amp;_xlfn.xlookup(O82,'Prix vente'!A:A,'Prix vente'!P:P)</f>
        <v>D16/10</v>
      </c>
      <c r="Q82" s="106" t="n">
        <v>72</v>
      </c>
      <c r="R82" s="106" t="n">
        <f aca="false">Q82*_xlfn.xlookup(O82,'Prix vente'!A:A,'Prix vente'!R:R)</f>
        <v>43200</v>
      </c>
      <c r="S82" s="118"/>
      <c r="T82" s="118"/>
      <c r="U82" s="118"/>
      <c r="V82" s="118"/>
      <c r="W82" s="106"/>
      <c r="X82" s="106"/>
      <c r="Y82" s="106"/>
      <c r="Z82" s="106"/>
      <c r="AA82" s="118"/>
      <c r="AB82" s="118"/>
      <c r="AC82" s="118"/>
      <c r="AD82" s="118"/>
      <c r="AE82" s="119"/>
      <c r="AF82" s="119"/>
      <c r="AG82" s="119"/>
      <c r="AH82" s="119"/>
      <c r="AI82" s="119"/>
      <c r="AJ82" s="119"/>
      <c r="AK82" s="119"/>
      <c r="AL82" s="119"/>
      <c r="AM82" s="119"/>
      <c r="AN82" s="119"/>
      <c r="AO82" s="119"/>
      <c r="AP82" s="119"/>
      <c r="AQ82" s="119"/>
      <c r="AR82" s="119"/>
      <c r="AS82" s="119"/>
      <c r="AT82" s="119"/>
      <c r="AU82" s="119"/>
      <c r="AV82" s="119"/>
      <c r="AW82" s="119"/>
      <c r="AX82" s="119"/>
      <c r="AY82" s="119"/>
      <c r="AZ82" s="119"/>
      <c r="BA82" s="119"/>
      <c r="BB82" s="119"/>
    </row>
    <row r="83" customFormat="false" ht="14.25" hidden="false" customHeight="false" outlineLevel="0" collapsed="false">
      <c r="A83" s="107" t="n">
        <v>231</v>
      </c>
      <c r="B83" s="107"/>
      <c r="C83" s="11" t="s">
        <v>134</v>
      </c>
      <c r="D83" s="11" t="s">
        <v>134</v>
      </c>
      <c r="E83" s="114" t="n">
        <v>45580</v>
      </c>
      <c r="F83" s="115" t="s">
        <v>814</v>
      </c>
      <c r="G83" s="115" t="s">
        <v>772</v>
      </c>
      <c r="H83" s="115"/>
      <c r="I83" s="100" t="n">
        <f aca="false">_xlfn.xlookup(C83,Clients!B:B,Clients!W:W,FALSE())</f>
        <v>0</v>
      </c>
      <c r="J83" s="116" t="str">
        <f aca="false">_xlfn.xlookup(C83,Clients!$B$1:$B$1001,Clients!$M$1:$M$1001,FALSE())</f>
        <v>Net 30 jours</v>
      </c>
      <c r="K83" s="100" t="str">
        <f aca="false">_xlfn.xlookup(C83,Clients!B:B,Clients!R:R,FALSE())</f>
        <v>EXW Boucherville</v>
      </c>
      <c r="L83" s="117" t="n">
        <v>45580</v>
      </c>
      <c r="M83" s="98" t="str">
        <f aca="false">_xlfn.xlookup(C83,Clients!B:B,Clients!X:X,FALSE())</f>
        <v>CAD</v>
      </c>
      <c r="N83" s="98" t="str">
        <f aca="false">_xlfn.xlookup(C83,Clients!B:B,Clients!Y:Y,FALSE())</f>
        <v>CAD</v>
      </c>
      <c r="O83" s="106" t="n">
        <v>40136</v>
      </c>
      <c r="P83" s="106" t="str">
        <f aca="false">_xlfn.xlookup(O83,'Prix vente'!A:A,'Prix vente'!H:H)&amp;"/"&amp;_xlfn.xlookup(O83,'Prix vente'!A:A,'Prix vente'!P:P)</f>
        <v>4 x 6/4</v>
      </c>
      <c r="Q83" s="106" t="n">
        <v>0</v>
      </c>
      <c r="R83" s="106" t="n">
        <v>110</v>
      </c>
      <c r="S83" s="118"/>
      <c r="T83" s="118"/>
      <c r="U83" s="118"/>
      <c r="V83" s="118"/>
      <c r="W83" s="106"/>
      <c r="X83" s="106"/>
      <c r="Y83" s="106"/>
      <c r="Z83" s="106"/>
      <c r="AA83" s="118"/>
      <c r="AB83" s="118"/>
      <c r="AC83" s="118"/>
      <c r="AD83" s="118"/>
      <c r="AE83" s="119"/>
      <c r="AF83" s="119"/>
      <c r="AG83" s="119"/>
      <c r="AH83" s="119"/>
      <c r="AI83" s="119"/>
      <c r="AJ83" s="119"/>
      <c r="AK83" s="119"/>
      <c r="AL83" s="119"/>
      <c r="AM83" s="119"/>
      <c r="AN83" s="119"/>
      <c r="AO83" s="119"/>
      <c r="AP83" s="119"/>
      <c r="AQ83" s="119"/>
      <c r="AR83" s="119"/>
      <c r="AS83" s="119"/>
      <c r="AT83" s="119"/>
      <c r="AU83" s="119"/>
      <c r="AV83" s="119"/>
      <c r="AW83" s="119"/>
      <c r="AX83" s="119"/>
      <c r="AY83" s="119"/>
      <c r="AZ83" s="119"/>
      <c r="BA83" s="119"/>
      <c r="BB83" s="119"/>
    </row>
    <row r="84" customFormat="false" ht="14.25" hidden="false" customHeight="false" outlineLevel="0" collapsed="false">
      <c r="A84" s="98" t="n">
        <v>232</v>
      </c>
      <c r="B84" s="98"/>
      <c r="C84" s="11" t="s">
        <v>134</v>
      </c>
      <c r="D84" s="11" t="s">
        <v>134</v>
      </c>
      <c r="E84" s="114" t="n">
        <v>45582</v>
      </c>
      <c r="F84" s="115" t="n">
        <v>1931</v>
      </c>
      <c r="G84" s="115" t="s">
        <v>773</v>
      </c>
      <c r="H84" s="115"/>
      <c r="I84" s="100" t="n">
        <f aca="false">_xlfn.xlookup(C84,Clients!B:B,Clients!W:W,FALSE())</f>
        <v>0</v>
      </c>
      <c r="J84" s="116" t="str">
        <f aca="false">_xlfn.xlookup(C84,Clients!$B$1:$B$1001,Clients!$M$1:$M$1001,FALSE())</f>
        <v>Net 30 jours</v>
      </c>
      <c r="K84" s="100" t="str">
        <f aca="false">_xlfn.xlookup(C84,Clients!B:B,Clients!R:R,FALSE())</f>
        <v>EXW Boucherville</v>
      </c>
      <c r="L84" s="117" t="n">
        <v>45586</v>
      </c>
      <c r="M84" s="98" t="str">
        <f aca="false">_xlfn.xlookup(C84,Clients!B:B,Clients!X:X,FALSE())</f>
        <v>CAD</v>
      </c>
      <c r="N84" s="98" t="str">
        <f aca="false">_xlfn.xlookup(C84,Clients!B:B,Clients!Y:Y,FALSE())</f>
        <v>CAD</v>
      </c>
      <c r="O84" s="106" t="n">
        <v>40137</v>
      </c>
      <c r="P84" s="106" t="str">
        <f aca="false">_xlfn.xlookup(O84,'Prix vente'!A:A,'Prix vente'!H:H)&amp;"/"&amp;_xlfn.xlookup(O84,'Prix vente'!A:A,'Prix vente'!P:P)</f>
        <v>T11/12.875</v>
      </c>
      <c r="Q84" s="106" t="n">
        <v>16</v>
      </c>
      <c r="R84" s="106" t="n">
        <f aca="false">Q84*_xlfn.xlookup(O84,'Prix vente'!A:A,'Prix vente'!R:R)</f>
        <v>24720</v>
      </c>
      <c r="S84" s="118"/>
      <c r="T84" s="118"/>
      <c r="U84" s="118"/>
      <c r="V84" s="118"/>
      <c r="W84" s="106"/>
      <c r="X84" s="106"/>
      <c r="Y84" s="106"/>
      <c r="Z84" s="106"/>
      <c r="AA84" s="118"/>
      <c r="AB84" s="118"/>
      <c r="AC84" s="118"/>
      <c r="AD84" s="118"/>
      <c r="AE84" s="119"/>
      <c r="AF84" s="119"/>
      <c r="AG84" s="119"/>
      <c r="AH84" s="119"/>
      <c r="AI84" s="119"/>
      <c r="AJ84" s="119"/>
      <c r="AK84" s="119"/>
      <c r="AL84" s="119"/>
      <c r="AM84" s="119"/>
      <c r="AN84" s="119"/>
      <c r="AO84" s="119"/>
      <c r="AP84" s="119"/>
      <c r="AQ84" s="119"/>
      <c r="AR84" s="119"/>
      <c r="AS84" s="119"/>
      <c r="AT84" s="119"/>
      <c r="AU84" s="119"/>
      <c r="AV84" s="119"/>
      <c r="AW84" s="119"/>
      <c r="AX84" s="119"/>
      <c r="AY84" s="119"/>
      <c r="AZ84" s="119"/>
      <c r="BA84" s="119"/>
      <c r="BB84" s="119"/>
    </row>
    <row r="85" customFormat="false" ht="14.25" hidden="false" customHeight="false" outlineLevel="0" collapsed="false">
      <c r="A85" s="107" t="n">
        <v>233</v>
      </c>
      <c r="B85" s="107"/>
      <c r="C85" s="11" t="s">
        <v>243</v>
      </c>
      <c r="D85" s="11" t="s">
        <v>243</v>
      </c>
      <c r="E85" s="114" t="n">
        <v>45586</v>
      </c>
      <c r="F85" s="115" t="s">
        <v>815</v>
      </c>
      <c r="G85" s="115" t="s">
        <v>813</v>
      </c>
      <c r="H85" s="115"/>
      <c r="I85" s="100" t="n">
        <f aca="false">_xlfn.xlookup(C85,Clients!B:B,Clients!W:W,FALSE())</f>
        <v>0</v>
      </c>
      <c r="J85" s="116" t="str">
        <f aca="false">_xlfn.xlookup(C85,Clients!$B$1:$B$1001,Clients!$M$1:$M$1001,FALSE())</f>
        <v>Net 30 days</v>
      </c>
      <c r="K85" s="100" t="n">
        <f aca="false">_xlfn.xlookup(C85,Clients!B:B,Clients!R:R,FALSE())</f>
        <v>0</v>
      </c>
      <c r="L85" s="117" t="n">
        <v>45586</v>
      </c>
      <c r="M85" s="98" t="str">
        <f aca="false">_xlfn.xlookup(C85,Clients!B:B,Clients!X:X,FALSE())</f>
        <v>USD</v>
      </c>
      <c r="N85" s="98" t="str">
        <f aca="false">_xlfn.xlookup(C85,Clients!B:B,Clients!Y:Y,FALSE())</f>
        <v>USD</v>
      </c>
      <c r="O85" s="106" t="n">
        <v>40134</v>
      </c>
      <c r="P85" s="106" t="str">
        <f aca="false">_xlfn.xlookup(O85,'Prix vente'!A:A,'Prix vente'!H:H)&amp;"/"&amp;_xlfn.xlookup(O85,'Prix vente'!A:A,'Prix vente'!P:P)</f>
        <v>D11/13</v>
      </c>
      <c r="Q85" s="106" t="n">
        <v>1</v>
      </c>
      <c r="R85" s="106" t="n">
        <f aca="false">Q85*_xlfn.xlookup(O85,'Prix vente'!A:A,'Prix vente'!R:R)</f>
        <v>780</v>
      </c>
      <c r="S85" s="118" t="n">
        <v>40138</v>
      </c>
      <c r="T85" s="118" t="str">
        <f aca="false">_xlfn.xlookup(S85,'Prix vente'!$A:$A,'Prix vente'!$H:$H)&amp;"/"&amp;_xlfn.xlookup(S85,'Prix vente'!A:A,'Prix vente'!P:P)</f>
        <v>D21/13</v>
      </c>
      <c r="U85" s="118" t="n">
        <v>1</v>
      </c>
      <c r="V85" s="118" t="n">
        <f aca="false">U85*_xlfn.xlookup(S85,'Prix vente'!$A:$A,'Prix vente'!$R:$R)</f>
        <v>780</v>
      </c>
      <c r="W85" s="106" t="n">
        <v>40140</v>
      </c>
      <c r="X85" s="106" t="str">
        <f aca="false">_xlfn.xlookup(W85,'Prix vente'!$A:$A,'Prix vente'!$H:$H)&amp;"/"&amp;_xlfn.xlookup(W85,'Prix vente'!A:A,'Prix vente'!P:P)</f>
        <v>S21/13</v>
      </c>
      <c r="Y85" s="106" t="n">
        <v>1</v>
      </c>
      <c r="Z85" s="106" t="n">
        <f aca="false">Y85*_xlfn.xlookup(W85,'Prix vente'!$A:$A,'Prix vente'!$R:$R)</f>
        <v>780</v>
      </c>
      <c r="AA85" s="118" t="n">
        <v>40132</v>
      </c>
      <c r="AB85" s="118" t="str">
        <f aca="false">_xlfn.xlookup(AA85,'Prix vente'!$A:$A,'Prix vente'!$H:$H)&amp;"/"&amp;_xlfn.xlookup(AA85,'Prix vente'!A:A,'Prix vente'!P:P)</f>
        <v>T11/13</v>
      </c>
      <c r="AC85" s="118" t="n">
        <v>1</v>
      </c>
      <c r="AD85" s="118" t="n">
        <f aca="false">AC85*_xlfn.xlookup(AA85,'Prix vente'!$A:$A,'Prix vente'!$R:$R)</f>
        <v>780</v>
      </c>
      <c r="AE85" s="119"/>
      <c r="AF85" s="119"/>
      <c r="AG85" s="119"/>
      <c r="AH85" s="119"/>
      <c r="AI85" s="119"/>
      <c r="AJ85" s="119"/>
      <c r="AK85" s="119"/>
      <c r="AL85" s="119"/>
      <c r="AM85" s="119"/>
      <c r="AN85" s="119"/>
      <c r="AO85" s="119"/>
      <c r="AP85" s="119"/>
      <c r="AQ85" s="119"/>
      <c r="AR85" s="119"/>
      <c r="AS85" s="119"/>
      <c r="AT85" s="119"/>
      <c r="AU85" s="119"/>
      <c r="AV85" s="119"/>
      <c r="AW85" s="119"/>
      <c r="AX85" s="119"/>
      <c r="AY85" s="119"/>
      <c r="AZ85" s="119"/>
      <c r="BA85" s="119"/>
      <c r="BB85" s="119"/>
    </row>
    <row r="86" customFormat="false" ht="14.25" hidden="false" customHeight="false" outlineLevel="0" collapsed="false">
      <c r="A86" s="98" t="n">
        <v>234</v>
      </c>
      <c r="B86" s="98"/>
      <c r="C86" s="92" t="s">
        <v>250</v>
      </c>
      <c r="D86" s="92" t="s">
        <v>250</v>
      </c>
      <c r="E86" s="114" t="n">
        <v>45586</v>
      </c>
      <c r="F86" s="115" t="s">
        <v>816</v>
      </c>
      <c r="G86" s="115" t="s">
        <v>817</v>
      </c>
      <c r="H86" s="115"/>
      <c r="I86" s="100" t="n">
        <f aca="false">_xlfn.xlookup(C86,Clients!B:B,Clients!W:W,FALSE())</f>
        <v>0</v>
      </c>
      <c r="J86" s="116" t="str">
        <f aca="false">_xlfn.xlookup(C86,Clients!$B$1:$B$1001,Clients!$M$1:$M$1001,FALSE())</f>
        <v>Net 30 jours</v>
      </c>
      <c r="K86" s="100" t="str">
        <f aca="false">_xlfn.xlookup(C86,Clients!B:B,Clients!R:R,FALSE())</f>
        <v>Livraison incluse</v>
      </c>
      <c r="L86" s="117" t="n">
        <v>45586</v>
      </c>
      <c r="M86" s="98" t="str">
        <f aca="false">_xlfn.xlookup(C86,Clients!B:B,Clients!X:X,FALSE())</f>
        <v>CAD</v>
      </c>
      <c r="N86" s="98" t="str">
        <f aca="false">_xlfn.xlookup(C86,Clients!B:B,Clients!Y:Y,FALSE())</f>
        <v>CAD</v>
      </c>
      <c r="O86" s="106" t="n">
        <v>40142</v>
      </c>
      <c r="P86" s="106" t="str">
        <f aca="false">_xlfn.xlookup(O86,'Prix vente'!A:A,'Prix vente'!H:H)&amp;"/"&amp;_xlfn.xlookup(O86,'Prix vente'!A:A,'Prix vente'!P:P)</f>
        <v>T11/12.75</v>
      </c>
      <c r="Q86" s="106" t="n">
        <v>1</v>
      </c>
      <c r="R86" s="106" t="n">
        <f aca="false">Q86*_xlfn.xlookup(O86,'Prix vente'!A:A,'Prix vente'!R:R)</f>
        <v>382.5</v>
      </c>
      <c r="S86" s="118" t="n">
        <v>40141</v>
      </c>
      <c r="T86" s="118" t="str">
        <f aca="false">_xlfn.xlookup(S86,'Prix vente'!$A:$A,'Prix vente'!$H:$H)&amp;"/"&amp;_xlfn.xlookup(S86,'Prix vente'!A:A,'Prix vente'!P:P)</f>
        <v>D21/12.75</v>
      </c>
      <c r="U86" s="118" t="n">
        <v>1</v>
      </c>
      <c r="V86" s="118" t="n">
        <f aca="false">U86*_xlfn.xlookup(S86,'Prix vente'!$A:$A,'Prix vente'!$R:$R)</f>
        <v>382.5</v>
      </c>
      <c r="W86" s="106"/>
      <c r="X86" s="106"/>
      <c r="Y86" s="106"/>
      <c r="Z86" s="106"/>
      <c r="AA86" s="118"/>
      <c r="AB86" s="118"/>
      <c r="AC86" s="118"/>
      <c r="AD86" s="118"/>
      <c r="AE86" s="119"/>
      <c r="AF86" s="119"/>
      <c r="AG86" s="119"/>
      <c r="AH86" s="119"/>
      <c r="AI86" s="119"/>
      <c r="AJ86" s="119"/>
      <c r="AK86" s="119"/>
      <c r="AL86" s="119"/>
      <c r="AM86" s="119"/>
      <c r="AN86" s="119"/>
      <c r="AO86" s="119"/>
      <c r="AP86" s="119"/>
      <c r="AQ86" s="119"/>
      <c r="AR86" s="119"/>
      <c r="AS86" s="119"/>
      <c r="AT86" s="119"/>
      <c r="AU86" s="119"/>
      <c r="AV86" s="119"/>
      <c r="AW86" s="119"/>
      <c r="AX86" s="119"/>
      <c r="AY86" s="119"/>
      <c r="AZ86" s="119"/>
      <c r="BA86" s="119"/>
      <c r="BB86" s="119"/>
    </row>
    <row r="87" customFormat="false" ht="14.25" hidden="false" customHeight="false" outlineLevel="0" collapsed="false">
      <c r="A87" s="107" t="n">
        <v>235</v>
      </c>
      <c r="B87" s="107"/>
      <c r="C87" s="11" t="s">
        <v>212</v>
      </c>
      <c r="D87" s="11" t="s">
        <v>212</v>
      </c>
      <c r="E87" s="114" t="n">
        <v>45586</v>
      </c>
      <c r="F87" s="115" t="s">
        <v>818</v>
      </c>
      <c r="G87" s="115" t="s">
        <v>800</v>
      </c>
      <c r="H87" s="115"/>
      <c r="I87" s="100" t="n">
        <f aca="false">_xlfn.xlookup(C87,Clients!B:B,Clients!W:W,FALSE())</f>
        <v>0</v>
      </c>
      <c r="J87" s="116" t="str">
        <f aca="false">_xlfn.xlookup(C87,Clients!$B$1:$B$1001,Clients!$M$1:$M$1001,FALSE())</f>
        <v>Net 30 jours</v>
      </c>
      <c r="K87" s="100" t="str">
        <f aca="false">_xlfn.xlookup(C87,Clients!B:B,Clients!R:R,FALSE())</f>
        <v>Livraison incluse</v>
      </c>
      <c r="L87" s="117" t="n">
        <v>45586</v>
      </c>
      <c r="M87" s="98" t="str">
        <f aca="false">_xlfn.xlookup(C87,Clients!B:B,Clients!X:X,FALSE())</f>
        <v>CAD</v>
      </c>
      <c r="N87" s="98" t="str">
        <f aca="false">_xlfn.xlookup(C87,Clients!B:B,Clients!Y:Y,FALSE())</f>
        <v>CAD</v>
      </c>
      <c r="O87" s="106" t="n">
        <v>40143</v>
      </c>
      <c r="P87" s="106" t="str">
        <f aca="false">_xlfn.xlookup(O87,'Prix vente'!A:A,'Prix vente'!H:H)&amp;"/"&amp;_xlfn.xlookup(O87,'Prix vente'!A:A,'Prix vente'!P:P)</f>
        <v>T11/8.625</v>
      </c>
      <c r="Q87" s="106" t="n">
        <v>1</v>
      </c>
      <c r="R87" s="106" t="n">
        <f aca="false">Q87*_xlfn.xlookup(O87,'Prix vente'!A:A,'Prix vente'!R:R)</f>
        <v>207</v>
      </c>
      <c r="S87" s="118"/>
      <c r="T87" s="118"/>
      <c r="U87" s="118"/>
      <c r="V87" s="118"/>
      <c r="W87" s="106"/>
      <c r="X87" s="106"/>
      <c r="Y87" s="106"/>
      <c r="Z87" s="106"/>
      <c r="AA87" s="118"/>
      <c r="AB87" s="118"/>
      <c r="AC87" s="118"/>
      <c r="AD87" s="118"/>
      <c r="AE87" s="119"/>
      <c r="AF87" s="119"/>
      <c r="AG87" s="119"/>
      <c r="AH87" s="119"/>
      <c r="AI87" s="119"/>
      <c r="AJ87" s="119"/>
      <c r="AK87" s="119"/>
      <c r="AL87" s="119"/>
      <c r="AM87" s="119"/>
      <c r="AN87" s="119"/>
      <c r="AO87" s="119"/>
      <c r="AP87" s="119"/>
      <c r="AQ87" s="119"/>
      <c r="AR87" s="119"/>
      <c r="AS87" s="119"/>
      <c r="AT87" s="119"/>
      <c r="AU87" s="119"/>
      <c r="AV87" s="119"/>
      <c r="AW87" s="119"/>
      <c r="AX87" s="119"/>
      <c r="AY87" s="119"/>
      <c r="AZ87" s="119"/>
      <c r="BA87" s="119"/>
      <c r="BB87" s="119"/>
    </row>
    <row r="88" customFormat="false" ht="14.25" hidden="false" customHeight="false" outlineLevel="0" collapsed="false">
      <c r="A88" s="98" t="n">
        <v>236</v>
      </c>
      <c r="B88" s="98"/>
      <c r="C88" s="11" t="s">
        <v>241</v>
      </c>
      <c r="D88" s="11" t="s">
        <v>230</v>
      </c>
      <c r="E88" s="114" t="n">
        <v>45587</v>
      </c>
      <c r="F88" s="115" t="s">
        <v>819</v>
      </c>
      <c r="G88" s="115" t="s">
        <v>807</v>
      </c>
      <c r="H88" s="115"/>
      <c r="I88" s="100" t="n">
        <f aca="false">_xlfn.xlookup(C88,Clients!B:B,Clients!W:W,FALSE())</f>
        <v>0</v>
      </c>
      <c r="J88" s="116" t="str">
        <f aca="false">_xlfn.xlookup(C88,Clients!$B$1:$B$1001,Clients!$M$1:$M$1001,FALSE())</f>
        <v>Net 30 jours</v>
      </c>
      <c r="K88" s="100" t="str">
        <f aca="false">_xlfn.xlookup(C88,Clients!B:B,Clients!R:R,FALSE())</f>
        <v>Livraison incluse</v>
      </c>
      <c r="L88" s="117" t="n">
        <v>45594</v>
      </c>
      <c r="M88" s="98" t="str">
        <f aca="false">_xlfn.xlookup(C88,Clients!B:B,Clients!X:X,FALSE())</f>
        <v>CAD</v>
      </c>
      <c r="N88" s="98" t="str">
        <f aca="false">_xlfn.xlookup(C88,Clients!B:B,Clients!Y:Y,FALSE())</f>
        <v>CAD</v>
      </c>
      <c r="O88" s="106" t="n">
        <v>40144</v>
      </c>
      <c r="P88" s="106" t="str">
        <f aca="false">_xlfn.xlookup(O88,'Prix vente'!A:A,'Prix vente'!H:H)&amp;"/"&amp;_xlfn.xlookup(O88,'Prix vente'!A:A,'Prix vente'!P:P)</f>
        <v>D11/9</v>
      </c>
      <c r="Q88" s="106" t="n">
        <v>6</v>
      </c>
      <c r="R88" s="106" t="n">
        <f aca="false">Q88*_xlfn.xlookup(O88,'Prix vente'!A:A,'Prix vente'!R:R)</f>
        <v>3240</v>
      </c>
      <c r="S88" s="118" t="n">
        <v>40145</v>
      </c>
      <c r="T88" s="118" t="str">
        <f aca="false">_xlfn.xlookup(S88,'Prix vente'!$A:$A,'Prix vente'!$H:$H)&amp;"/"&amp;_xlfn.xlookup(S88,'Prix vente'!A:A,'Prix vente'!P:P)</f>
        <v>D11/9.5</v>
      </c>
      <c r="U88" s="118" t="n">
        <v>6</v>
      </c>
      <c r="V88" s="118" t="n">
        <f aca="false">U88*_xlfn.xlookup(S88,'Prix vente'!$A:$A,'Prix vente'!$R:$R)</f>
        <v>3420</v>
      </c>
      <c r="W88" s="106" t="n">
        <v>40146</v>
      </c>
      <c r="X88" s="106" t="str">
        <f aca="false">_xlfn.xlookup(W88,'Prix vente'!$A:$A,'Prix vente'!$H:$H)&amp;"/"&amp;_xlfn.xlookup(W88,'Prix vente'!A:A,'Prix vente'!P:P)</f>
        <v>D11/4.5</v>
      </c>
      <c r="Y88" s="106" t="n">
        <v>2</v>
      </c>
      <c r="Z88" s="106" t="n">
        <f aca="false">Y88*_xlfn.xlookup(W88,'Prix vente'!$A:$A,'Prix vente'!$R:$R)</f>
        <v>540</v>
      </c>
      <c r="AA88" s="118"/>
      <c r="AB88" s="118"/>
      <c r="AC88" s="118"/>
      <c r="AD88" s="118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19"/>
      <c r="AP88" s="119"/>
      <c r="AQ88" s="119"/>
      <c r="AR88" s="119"/>
      <c r="AS88" s="119"/>
      <c r="AT88" s="119"/>
      <c r="AU88" s="119"/>
      <c r="AV88" s="119"/>
      <c r="AW88" s="119"/>
      <c r="AX88" s="119"/>
      <c r="AY88" s="119"/>
      <c r="AZ88" s="119"/>
      <c r="BA88" s="119"/>
      <c r="BB88" s="119"/>
    </row>
    <row r="89" customFormat="false" ht="14.25" hidden="false" customHeight="false" outlineLevel="0" collapsed="false">
      <c r="A89" s="107" t="n">
        <v>237</v>
      </c>
      <c r="B89" s="107"/>
      <c r="C89" s="11" t="s">
        <v>241</v>
      </c>
      <c r="D89" s="11" t="s">
        <v>230</v>
      </c>
      <c r="E89" s="114" t="n">
        <v>45587</v>
      </c>
      <c r="F89" s="115" t="s">
        <v>820</v>
      </c>
      <c r="G89" s="115" t="s">
        <v>807</v>
      </c>
      <c r="H89" s="115"/>
      <c r="I89" s="100" t="n">
        <f aca="false">_xlfn.xlookup(C89,Clients!B:B,Clients!W:W,FALSE())</f>
        <v>0</v>
      </c>
      <c r="J89" s="116" t="str">
        <f aca="false">_xlfn.xlookup(C89,Clients!$B$1:$B$1001,Clients!$M$1:$M$1001,FALSE())</f>
        <v>Net 30 jours</v>
      </c>
      <c r="K89" s="100" t="str">
        <f aca="false">_xlfn.xlookup(C89,Clients!B:B,Clients!R:R,FALSE())</f>
        <v>Livraison incluse</v>
      </c>
      <c r="L89" s="117" t="n">
        <v>45602</v>
      </c>
      <c r="M89" s="98" t="str">
        <f aca="false">_xlfn.xlookup(C89,Clients!B:B,Clients!X:X,FALSE())</f>
        <v>CAD</v>
      </c>
      <c r="N89" s="98" t="str">
        <f aca="false">_xlfn.xlookup(C89,Clients!B:B,Clients!Y:Y,FALSE())</f>
        <v>CAD</v>
      </c>
      <c r="O89" s="106" t="n">
        <v>40147</v>
      </c>
      <c r="P89" s="106" t="str">
        <f aca="false">_xlfn.xlookup(O89,'Prix vente'!A:A,'Prix vente'!H:H)&amp;"/"&amp;_xlfn.xlookup(O89,'Prix vente'!A:A,'Prix vente'!P:P)</f>
        <v>T11/6.5625</v>
      </c>
      <c r="Q89" s="106" t="n">
        <v>15</v>
      </c>
      <c r="R89" s="106" t="n">
        <f aca="false">Q89*_xlfn.xlookup(O89,'Prix vente'!A:A,'Prix vente'!R:R)</f>
        <v>11812.5</v>
      </c>
      <c r="S89" s="118" t="n">
        <v>40148</v>
      </c>
      <c r="T89" s="118" t="str">
        <f aca="false">_xlfn.xlookup(S89,'Prix vente'!$A:$A,'Prix vente'!$H:$H)&amp;"/"&amp;_xlfn.xlookup(S89,'Prix vente'!A:A,'Prix vente'!P:P)</f>
        <v>T11/9.0625</v>
      </c>
      <c r="U89" s="118" t="n">
        <v>9</v>
      </c>
      <c r="V89" s="118" t="n">
        <f aca="false">U89*_xlfn.xlookup(S89,'Prix vente'!$A:$A,'Prix vente'!$R:$R)</f>
        <v>9787.5</v>
      </c>
      <c r="W89" s="106"/>
      <c r="X89" s="106"/>
      <c r="Y89" s="106"/>
      <c r="Z89" s="106"/>
      <c r="AA89" s="118"/>
      <c r="AB89" s="118"/>
      <c r="AC89" s="118"/>
      <c r="AD89" s="118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19"/>
      <c r="AR89" s="119"/>
      <c r="AS89" s="119"/>
      <c r="AT89" s="119"/>
      <c r="AU89" s="119"/>
      <c r="AV89" s="119"/>
      <c r="AW89" s="119"/>
      <c r="AX89" s="119"/>
      <c r="AY89" s="119"/>
      <c r="AZ89" s="119"/>
      <c r="BA89" s="119"/>
      <c r="BB89" s="119"/>
    </row>
    <row r="90" customFormat="false" ht="14.25" hidden="false" customHeight="false" outlineLevel="0" collapsed="false">
      <c r="A90" s="98" t="n">
        <v>238</v>
      </c>
      <c r="B90" s="98"/>
      <c r="C90" s="11" t="s">
        <v>31</v>
      </c>
      <c r="D90" s="11" t="s">
        <v>31</v>
      </c>
      <c r="E90" s="114" t="n">
        <v>45587</v>
      </c>
      <c r="F90" s="115" t="n">
        <v>50008739</v>
      </c>
      <c r="G90" s="115" t="s">
        <v>754</v>
      </c>
      <c r="H90" s="115"/>
      <c r="I90" s="100" t="n">
        <f aca="false">_xlfn.xlookup(C90,Clients!B:B,Clients!W:W,FALSE())</f>
        <v>0</v>
      </c>
      <c r="J90" s="116" t="str">
        <f aca="false">_xlfn.xlookup(C90,Clients!$B$1:$B$1001,Clients!$M$1:$M$1001,FALSE())</f>
        <v>Net 30 days</v>
      </c>
      <c r="K90" s="100" t="str">
        <f aca="false">_xlfn.xlookup(C90,Clients!B:B,Clients!R:R,FALSE())</f>
        <v>EXW Boucherville</v>
      </c>
      <c r="L90" s="117" t="n">
        <v>45600</v>
      </c>
      <c r="M90" s="98" t="str">
        <f aca="false">_xlfn.xlookup(C90,Clients!B:B,Clients!X:X,FALSE())</f>
        <v>USD</v>
      </c>
      <c r="N90" s="98" t="str">
        <f aca="false">_xlfn.xlookup(C90,Clients!B:B,Clients!Y:Y,FALSE())</f>
        <v>USD</v>
      </c>
      <c r="O90" s="106" t="n">
        <v>40103</v>
      </c>
      <c r="P90" s="106" t="str">
        <f aca="false">_xlfn.xlookup(O90,'Prix vente'!A:A,'Prix vente'!H:H)&amp;"/"&amp;_xlfn.xlookup(O90,'Prix vente'!A:A,'Prix vente'!P:P)</f>
        <v>D16/10</v>
      </c>
      <c r="Q90" s="106" t="n">
        <v>72</v>
      </c>
      <c r="R90" s="106" t="n">
        <f aca="false">Q90*_xlfn.xlookup(O90,'Prix vente'!A:A,'Prix vente'!R:R)</f>
        <v>43200</v>
      </c>
      <c r="S90" s="118"/>
      <c r="T90" s="118"/>
      <c r="U90" s="118"/>
      <c r="V90" s="118"/>
      <c r="W90" s="106"/>
      <c r="X90" s="106"/>
      <c r="Y90" s="106"/>
      <c r="Z90" s="106"/>
      <c r="AA90" s="118"/>
      <c r="AB90" s="118"/>
      <c r="AC90" s="118"/>
      <c r="AD90" s="118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</row>
    <row r="91" customFormat="false" ht="14.25" hidden="false" customHeight="false" outlineLevel="0" collapsed="false">
      <c r="A91" s="107" t="n">
        <v>239</v>
      </c>
      <c r="B91" s="107"/>
      <c r="C91" s="11" t="s">
        <v>212</v>
      </c>
      <c r="D91" s="11" t="s">
        <v>212</v>
      </c>
      <c r="E91" s="114" t="n">
        <v>45589</v>
      </c>
      <c r="F91" s="115" t="s">
        <v>821</v>
      </c>
      <c r="G91" s="115" t="s">
        <v>800</v>
      </c>
      <c r="H91" s="115"/>
      <c r="I91" s="100" t="n">
        <f aca="false">_xlfn.xlookup(C91,Clients!B:B,Clients!W:W,FALSE())</f>
        <v>0</v>
      </c>
      <c r="J91" s="116" t="str">
        <f aca="false">_xlfn.xlookup(C91,Clients!$B$1:$B$1001,Clients!$M$1:$M$1001,FALSE())</f>
        <v>Net 30 jours</v>
      </c>
      <c r="K91" s="100" t="str">
        <f aca="false">_xlfn.xlookup(C91,Clients!B:B,Clients!R:R,FALSE())</f>
        <v>Livraison incluse</v>
      </c>
      <c r="L91" s="117" t="n">
        <v>45590</v>
      </c>
      <c r="M91" s="98" t="str">
        <f aca="false">_xlfn.xlookup(C91,Clients!B:B,Clients!X:X,FALSE())</f>
        <v>CAD</v>
      </c>
      <c r="N91" s="98" t="str">
        <f aca="false">_xlfn.xlookup(C91,Clients!B:B,Clients!Y:Y,FALSE())</f>
        <v>CAD</v>
      </c>
      <c r="O91" s="106" t="n">
        <v>40149</v>
      </c>
      <c r="P91" s="106" t="str">
        <f aca="false">_xlfn.xlookup(O91,'Prix vente'!A:A,'Prix vente'!H:H)&amp;"/"&amp;_xlfn.xlookup(O91,'Prix vente'!A:A,'Prix vente'!P:P)</f>
        <v>D11/9.4</v>
      </c>
      <c r="Q91" s="106" t="n">
        <v>1</v>
      </c>
      <c r="R91" s="106" t="n">
        <f aca="false">Q91*_xlfn.xlookup(O91,'Prix vente'!A:A,'Prix vente'!R:R)</f>
        <v>225.6</v>
      </c>
      <c r="S91" s="118"/>
      <c r="T91" s="118"/>
      <c r="U91" s="118"/>
      <c r="V91" s="118"/>
      <c r="W91" s="106"/>
      <c r="X91" s="106"/>
      <c r="Y91" s="106"/>
      <c r="Z91" s="106"/>
      <c r="AA91" s="118"/>
      <c r="AB91" s="118"/>
      <c r="AC91" s="118"/>
      <c r="AD91" s="118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</row>
    <row r="92" customFormat="false" ht="14.25" hidden="false" customHeight="false" outlineLevel="0" collapsed="false">
      <c r="A92" s="107" t="n">
        <v>240</v>
      </c>
      <c r="B92" s="107"/>
      <c r="C92" s="11" t="s">
        <v>124</v>
      </c>
      <c r="D92" s="11" t="s">
        <v>124</v>
      </c>
      <c r="E92" s="114" t="n">
        <v>45593</v>
      </c>
      <c r="F92" s="115" t="n">
        <v>104997</v>
      </c>
      <c r="G92" s="115" t="s">
        <v>788</v>
      </c>
      <c r="H92" s="115"/>
      <c r="I92" s="100" t="n">
        <f aca="false">_xlfn.xlookup(C92,Clients!B:B,Clients!W:W,FALSE())</f>
        <v>0</v>
      </c>
      <c r="J92" s="116" t="str">
        <f aca="false">_xlfn.xlookup(C92,Clients!$B$1:$B$1001,Clients!$M$1:$M$1001,FALSE())</f>
        <v>Net 30 jours</v>
      </c>
      <c r="K92" s="100" t="str">
        <f aca="false">_xlfn.xlookup(C92,Clients!B:B,Clients!R:R,FALSE())</f>
        <v>EXW Boucherville</v>
      </c>
      <c r="L92" s="117" t="n">
        <v>45600</v>
      </c>
      <c r="M92" s="98" t="str">
        <f aca="false">_xlfn.xlookup(C92,Clients!B:B,Clients!X:X,FALSE())</f>
        <v>USD</v>
      </c>
      <c r="N92" s="98" t="str">
        <f aca="false">_xlfn.xlookup(C92,Clients!B:B,Clients!Y:Y,FALSE())</f>
        <v>USD</v>
      </c>
      <c r="O92" s="106" t="n">
        <v>40117</v>
      </c>
      <c r="P92" s="106" t="str">
        <f aca="false">_xlfn.xlookup(O92,'Prix vente'!A:A,'Prix vente'!H:H)&amp;"/"&amp;_xlfn.xlookup(O92,'Prix vente'!A:A,'Prix vente'!P:P)</f>
        <v>S15/10</v>
      </c>
      <c r="Q92" s="106" t="n">
        <v>3</v>
      </c>
      <c r="R92" s="106" t="n">
        <f aca="false">Q92*_xlfn.xlookup(O92,'Prix vente'!A:A,'Prix vente'!R:R)</f>
        <v>1800</v>
      </c>
      <c r="S92" s="118" t="n">
        <v>40067</v>
      </c>
      <c r="T92" s="118" t="str">
        <f aca="false">_xlfn.xlookup(S92,'Prix vente'!$A:$A,'Prix vente'!$H:$H)&amp;"/"&amp;_xlfn.xlookup(S92,'Prix vente'!A:A,'Prix vente'!P:P)</f>
        <v>S15/12</v>
      </c>
      <c r="U92" s="118" t="n">
        <v>2</v>
      </c>
      <c r="V92" s="118" t="n">
        <f aca="false">U92*_xlfn.xlookup(S92,'Prix vente'!$A:$A,'Prix vente'!$R:$R)</f>
        <v>1440</v>
      </c>
      <c r="W92" s="106" t="n">
        <v>40118</v>
      </c>
      <c r="X92" s="106" t="str">
        <f aca="false">_xlfn.xlookup(W92,'Prix vente'!$A:$A,'Prix vente'!$H:$H)&amp;"/"&amp;_xlfn.xlookup(W92,'Prix vente'!A:A,'Prix vente'!P:P)</f>
        <v>S15/6</v>
      </c>
      <c r="Y92" s="106" t="n">
        <v>1</v>
      </c>
      <c r="Z92" s="106" t="n">
        <f aca="false">Y92*_xlfn.xlookup(W92,'Prix vente'!$A:$A,'Prix vente'!$R:$R)</f>
        <v>360</v>
      </c>
      <c r="AA92" s="118"/>
      <c r="AB92" s="118"/>
      <c r="AC92" s="118"/>
      <c r="AD92" s="118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19"/>
      <c r="AP92" s="119"/>
      <c r="AQ92" s="119"/>
      <c r="AR92" s="119"/>
      <c r="AS92" s="119"/>
      <c r="AT92" s="119"/>
      <c r="AU92" s="119"/>
      <c r="AV92" s="119"/>
      <c r="AW92" s="119"/>
      <c r="AX92" s="119"/>
      <c r="AY92" s="119"/>
      <c r="AZ92" s="119"/>
      <c r="BA92" s="119"/>
      <c r="BB92" s="119"/>
    </row>
    <row r="93" customFormat="false" ht="14.25" hidden="false" customHeight="false" outlineLevel="0" collapsed="false">
      <c r="A93" s="98" t="n">
        <v>241</v>
      </c>
      <c r="B93" s="98"/>
      <c r="C93" s="11" t="s">
        <v>31</v>
      </c>
      <c r="D93" s="11" t="s">
        <v>31</v>
      </c>
      <c r="E93" s="114" t="n">
        <v>45596</v>
      </c>
      <c r="F93" s="115" t="n">
        <v>50008774</v>
      </c>
      <c r="G93" s="115" t="s">
        <v>754</v>
      </c>
      <c r="H93" s="115"/>
      <c r="I93" s="11" t="n">
        <f aca="false">_xlfn.xlookup(C93,Clients!B:B,Clients!W:W,FALSE())</f>
        <v>0</v>
      </c>
      <c r="J93" s="115" t="str">
        <f aca="false">_xlfn.xlookup(C93,Clients!$B$1:$B$1001,Clients!$M$1:$M$1001,FALSE())</f>
        <v>Net 30 days</v>
      </c>
      <c r="K93" s="11" t="str">
        <f aca="false">_xlfn.xlookup(C93,Clients!B:B,Clients!R:R,FALSE())</f>
        <v>EXW Boucherville</v>
      </c>
      <c r="L93" s="117" t="n">
        <v>45609</v>
      </c>
      <c r="M93" s="98" t="str">
        <f aca="false">_xlfn.xlookup(C93,Clients!B:B,Clients!X:X,FALSE())</f>
        <v>USD</v>
      </c>
      <c r="N93" s="98" t="str">
        <f aca="false">_xlfn.xlookup(C93,Clients!B:B,Clients!Y:Y,FALSE())</f>
        <v>USD</v>
      </c>
      <c r="O93" s="106" t="n">
        <v>40103</v>
      </c>
      <c r="P93" s="106" t="str">
        <f aca="false">_xlfn.xlookup(O93,'Prix vente'!A:A,'Prix vente'!H:H)&amp;"/"&amp;_xlfn.xlookup(O93,'Prix vente'!A:A,'Prix vente'!P:P)</f>
        <v>D16/10</v>
      </c>
      <c r="Q93" s="106" t="n">
        <v>72</v>
      </c>
      <c r="R93" s="106" t="n">
        <f aca="false">Q93*_xlfn.xlookup(O93,'Prix vente'!A:A,'Prix vente'!R:R)</f>
        <v>43200</v>
      </c>
      <c r="S93" s="118"/>
      <c r="T93" s="118"/>
      <c r="U93" s="118"/>
      <c r="V93" s="118"/>
      <c r="W93" s="106"/>
      <c r="X93" s="106"/>
      <c r="Y93" s="106"/>
      <c r="Z93" s="106"/>
      <c r="AA93" s="118"/>
      <c r="AB93" s="118"/>
      <c r="AC93" s="118"/>
      <c r="AD93" s="118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19"/>
      <c r="AQ93" s="119"/>
      <c r="AR93" s="119"/>
      <c r="AS93" s="119"/>
      <c r="AT93" s="119"/>
      <c r="AU93" s="119"/>
      <c r="AV93" s="119"/>
      <c r="AW93" s="119"/>
      <c r="AX93" s="119"/>
      <c r="AY93" s="119"/>
      <c r="AZ93" s="119"/>
      <c r="BA93" s="119"/>
      <c r="BB93" s="119"/>
    </row>
    <row r="94" customFormat="false" ht="14.25" hidden="false" customHeight="false" outlineLevel="0" collapsed="false">
      <c r="A94" s="107" t="n">
        <v>242</v>
      </c>
      <c r="B94" s="107"/>
      <c r="C94" s="11" t="s">
        <v>100</v>
      </c>
      <c r="D94" s="11" t="s">
        <v>100</v>
      </c>
      <c r="E94" s="114" t="n">
        <v>45595</v>
      </c>
      <c r="F94" s="115" t="n">
        <v>301024</v>
      </c>
      <c r="G94" s="115" t="s">
        <v>767</v>
      </c>
      <c r="H94" s="115"/>
      <c r="I94" s="100" t="n">
        <f aca="false">_xlfn.xlookup(C94,Clients!B:B,Clients!W:W,FALSE())</f>
        <v>0</v>
      </c>
      <c r="J94" s="116" t="str">
        <f aca="false">_xlfn.xlookup(C94,Clients!$B$1:$B$1001,Clients!$M$1:$M$1001,FALSE())</f>
        <v>Net 30 jours</v>
      </c>
      <c r="K94" s="100" t="str">
        <f aca="false">_xlfn.xlookup(C94,Clients!B:B,Clients!R:R,FALSE())</f>
        <v>Livraison incluse</v>
      </c>
      <c r="L94" s="117" t="s">
        <v>822</v>
      </c>
      <c r="M94" s="98" t="str">
        <f aca="false">_xlfn.xlookup(C94,Clients!B:B,Clients!X:X,FALSE())</f>
        <v>CAD</v>
      </c>
      <c r="N94" s="98" t="str">
        <f aca="false">_xlfn.xlookup(C94,Clients!B:B,Clients!Y:Y,FALSE())</f>
        <v>CAD</v>
      </c>
      <c r="O94" s="106" t="n">
        <v>40155</v>
      </c>
      <c r="P94" s="106" t="str">
        <f aca="false">_xlfn.xlookup(O94,'Prix vente'!A:A,'Prix vente'!H:H)&amp;"/"&amp;_xlfn.xlookup(O94,'Prix vente'!A:A,'Prix vente'!P:P)</f>
        <v>B25/8.6</v>
      </c>
      <c r="Q94" s="106" t="n">
        <v>7</v>
      </c>
      <c r="R94" s="106" t="n">
        <f aca="false">Q94*_xlfn.xlookup(O94,'Prix vente'!A:A,'Prix vente'!R:R)</f>
        <v>3612</v>
      </c>
      <c r="S94" s="118"/>
      <c r="T94" s="118"/>
      <c r="U94" s="118"/>
      <c r="V94" s="118"/>
      <c r="W94" s="106"/>
      <c r="X94" s="106"/>
      <c r="Y94" s="106"/>
      <c r="Z94" s="106"/>
      <c r="AA94" s="118"/>
      <c r="AB94" s="118"/>
      <c r="AC94" s="118"/>
      <c r="AD94" s="118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  <c r="AZ94" s="119"/>
      <c r="BA94" s="119"/>
      <c r="BB94" s="119"/>
    </row>
    <row r="95" customFormat="false" ht="14.25" hidden="false" customHeight="false" outlineLevel="0" collapsed="false">
      <c r="A95" s="107" t="n">
        <v>243</v>
      </c>
      <c r="B95" s="107"/>
      <c r="C95" s="11" t="s">
        <v>258</v>
      </c>
      <c r="D95" s="11" t="s">
        <v>258</v>
      </c>
      <c r="E95" s="114" t="n">
        <v>45595</v>
      </c>
      <c r="F95" s="115" t="n">
        <v>2842</v>
      </c>
      <c r="G95" s="115" t="s">
        <v>823</v>
      </c>
      <c r="H95" s="115"/>
      <c r="I95" s="100" t="n">
        <f aca="false">_xlfn.xlookup(C95,Clients!B:B,Clients!W:W,FALSE())</f>
        <v>0</v>
      </c>
      <c r="J95" s="116" t="str">
        <f aca="false">_xlfn.xlookup(C95,Clients!$B$1:$B$1001,Clients!$M$1:$M$1001,FALSE())</f>
        <v>Net 30 days</v>
      </c>
      <c r="K95" s="100" t="str">
        <f aca="false">_xlfn.xlookup(C95,Clients!B:B,Clients!R:R,FALSE())</f>
        <v>Delivery Included</v>
      </c>
      <c r="L95" s="117" t="n">
        <v>45604</v>
      </c>
      <c r="M95" s="98" t="str">
        <f aca="false">_xlfn.xlookup(C95,Clients!B:B,Clients!X:X,FALSE())</f>
        <v>CAD</v>
      </c>
      <c r="N95" s="98" t="str">
        <f aca="false">_xlfn.xlookup(C95,Clients!B:B,Clients!Y:Y,FALSE())</f>
        <v>CAD</v>
      </c>
      <c r="O95" s="106" t="n">
        <v>40151</v>
      </c>
      <c r="P95" s="106" t="str">
        <f aca="false">_xlfn.xlookup(O95,'Prix vente'!A:A,'Prix vente'!H:H)&amp;"/"&amp;_xlfn.xlookup(O95,'Prix vente'!A:A,'Prix vente'!P:P)</f>
        <v>S21/13</v>
      </c>
      <c r="Q95" s="106" t="n">
        <v>1</v>
      </c>
      <c r="R95" s="106" t="n">
        <f aca="false">Q95*_xlfn.xlookup(O95,'Prix vente'!A:A,'Prix vente'!R:R)</f>
        <v>312</v>
      </c>
      <c r="S95" s="118" t="n">
        <v>40152</v>
      </c>
      <c r="T95" s="118" t="str">
        <f aca="false">_xlfn.xlookup(S95,'Prix vente'!$A:$A,'Prix vente'!$H:$H)&amp;"/"&amp;_xlfn.xlookup(S95,'Prix vente'!A:A,'Prix vente'!P:P)</f>
        <v>S35/13</v>
      </c>
      <c r="U95" s="118" t="n">
        <v>1</v>
      </c>
      <c r="V95" s="118" t="n">
        <f aca="false">U95*_xlfn.xlookup(S95,'Prix vente'!$A:$A,'Prix vente'!$R:$R)</f>
        <v>312</v>
      </c>
      <c r="W95" s="106" t="n">
        <v>40153</v>
      </c>
      <c r="X95" s="106" t="str">
        <f aca="false">_xlfn.xlookup(W95,'Prix vente'!$A:$A,'Prix vente'!$H:$H)&amp;"/"&amp;_xlfn.xlookup(W95,'Prix vente'!A:A,'Prix vente'!P:P)</f>
        <v>B15/13</v>
      </c>
      <c r="Y95" s="106" t="n">
        <v>1</v>
      </c>
      <c r="Z95" s="106" t="n">
        <f aca="false">Y95*_xlfn.xlookup(W95,'Prix vente'!$A:$A,'Prix vente'!$R:$R)</f>
        <v>312</v>
      </c>
      <c r="AA95" s="118" t="n">
        <v>40154</v>
      </c>
      <c r="AB95" s="118" t="str">
        <f aca="false">_xlfn.xlookup(AA95,'Prix vente'!$A:$A,'Prix vente'!$H:$H)&amp;"/"&amp;_xlfn.xlookup(AA95,'Prix vente'!A:A,'Prix vente'!P:P)</f>
        <v>B25/13</v>
      </c>
      <c r="AC95" s="118" t="n">
        <v>1</v>
      </c>
      <c r="AD95" s="118" t="n">
        <f aca="false">AC95*_xlfn.xlookup(AA95,'Prix vente'!$A:$A,'Prix vente'!$R:$R)</f>
        <v>312</v>
      </c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</row>
    <row r="96" customFormat="false" ht="14.25" hidden="false" customHeight="false" outlineLevel="0" collapsed="false">
      <c r="A96" s="98" t="n">
        <v>244</v>
      </c>
      <c r="B96" s="98"/>
      <c r="C96" s="11" t="s">
        <v>124</v>
      </c>
      <c r="D96" s="11" t="s">
        <v>124</v>
      </c>
      <c r="E96" s="114" t="n">
        <v>45596</v>
      </c>
      <c r="F96" s="115" t="n">
        <v>105111</v>
      </c>
      <c r="G96" s="115" t="s">
        <v>788</v>
      </c>
      <c r="H96" s="115"/>
      <c r="I96" s="100" t="n">
        <f aca="false">_xlfn.xlookup(C96,Clients!B:B,Clients!W:W,FALSE())</f>
        <v>0</v>
      </c>
      <c r="J96" s="116" t="str">
        <f aca="false">_xlfn.xlookup(C96,Clients!$B$1:$B$1001,Clients!$M$1:$M$1001,FALSE())</f>
        <v>Net 30 jours</v>
      </c>
      <c r="K96" s="100" t="str">
        <f aca="false">_xlfn.xlookup(C96,Clients!B:B,Clients!R:R,FALSE())</f>
        <v>EXW Boucherville</v>
      </c>
      <c r="L96" s="117"/>
      <c r="M96" s="98" t="str">
        <f aca="false">_xlfn.xlookup(C96,Clients!B:B,Clients!X:X,FALSE())</f>
        <v>USD</v>
      </c>
      <c r="N96" s="98" t="str">
        <f aca="false">_xlfn.xlookup(C96,Clients!B:B,Clients!Y:Y,FALSE())</f>
        <v>USD</v>
      </c>
      <c r="O96" s="106" t="n">
        <v>40150</v>
      </c>
      <c r="P96" s="106" t="str">
        <f aca="false">_xlfn.xlookup(O96,'Prix vente'!A:A,'Prix vente'!H:H)&amp;"/"&amp;_xlfn.xlookup(O96,'Prix vente'!A:A,'Prix vente'!P:P)</f>
        <v>B25/10</v>
      </c>
      <c r="Q96" s="106" t="n">
        <v>18</v>
      </c>
      <c r="R96" s="106" t="n">
        <f aca="false">Q96*_xlfn.xlookup(O96,'Prix vente'!A:A,'Prix vente'!R:R)</f>
        <v>10800</v>
      </c>
      <c r="S96" s="118"/>
      <c r="T96" s="118"/>
      <c r="U96" s="118"/>
      <c r="V96" s="118"/>
      <c r="W96" s="106"/>
      <c r="X96" s="106"/>
      <c r="Y96" s="106"/>
      <c r="Z96" s="106"/>
      <c r="AA96" s="118"/>
      <c r="AB96" s="118"/>
      <c r="AC96" s="118"/>
      <c r="AD96" s="118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</row>
    <row r="97" customFormat="false" ht="14.25" hidden="false" customHeight="false" outlineLevel="0" collapsed="false">
      <c r="A97" s="107" t="n">
        <v>245</v>
      </c>
      <c r="B97" s="107"/>
      <c r="C97" s="11" t="s">
        <v>134</v>
      </c>
      <c r="D97" s="11" t="s">
        <v>134</v>
      </c>
      <c r="E97" s="114" t="n">
        <v>45600</v>
      </c>
      <c r="F97" s="115" t="s">
        <v>824</v>
      </c>
      <c r="G97" s="115" t="s">
        <v>772</v>
      </c>
      <c r="H97" s="115"/>
      <c r="I97" s="100" t="n">
        <f aca="false">_xlfn.xlookup(C97,Clients!B:B,Clients!W:W,FALSE())</f>
        <v>0</v>
      </c>
      <c r="J97" s="116" t="str">
        <f aca="false">_xlfn.xlookup(C97,Clients!$B$1:$B$1001,Clients!$M$1:$M$1001,FALSE())</f>
        <v>Net 30 jours</v>
      </c>
      <c r="K97" s="100" t="str">
        <f aca="false">_xlfn.xlookup(C97,Clients!B:B,Clients!R:R,FALSE())</f>
        <v>EXW Boucherville</v>
      </c>
      <c r="L97" s="117" t="s">
        <v>825</v>
      </c>
      <c r="M97" s="98" t="str">
        <f aca="false">_xlfn.xlookup(C97,Clients!B:B,Clients!X:X,FALSE())</f>
        <v>CAD</v>
      </c>
      <c r="N97" s="98" t="str">
        <f aca="false">_xlfn.xlookup(C97,Clients!B:B,Clients!Y:Y,FALSE())</f>
        <v>CAD</v>
      </c>
      <c r="O97" s="106" t="n">
        <v>40161</v>
      </c>
      <c r="P97" s="106" t="str">
        <f aca="false">_xlfn.xlookup(O97,'Prix vente'!A:A,'Prix vente'!H:H)&amp;"/"&amp;_xlfn.xlookup(O97,'Prix vente'!A:A,'Prix vente'!P:P)</f>
        <v>4 x 6/4</v>
      </c>
      <c r="Q97" s="106" t="n">
        <v>0</v>
      </c>
      <c r="R97" s="106" t="n">
        <v>664</v>
      </c>
      <c r="S97" s="118"/>
      <c r="T97" s="118"/>
      <c r="U97" s="118"/>
      <c r="V97" s="118"/>
      <c r="W97" s="106"/>
      <c r="X97" s="106"/>
      <c r="Y97" s="106"/>
      <c r="Z97" s="106"/>
      <c r="AA97" s="118"/>
      <c r="AB97" s="118"/>
      <c r="AC97" s="118"/>
      <c r="AD97" s="118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</row>
    <row r="98" customFormat="false" ht="14.25" hidden="false" customHeight="false" outlineLevel="0" collapsed="false">
      <c r="A98" s="107" t="n">
        <v>246</v>
      </c>
      <c r="B98" s="107"/>
      <c r="C98" s="11" t="s">
        <v>134</v>
      </c>
      <c r="D98" s="11" t="s">
        <v>134</v>
      </c>
      <c r="E98" s="114" t="n">
        <v>45600</v>
      </c>
      <c r="F98" s="115" t="n">
        <v>1942</v>
      </c>
      <c r="G98" s="115" t="s">
        <v>773</v>
      </c>
      <c r="H98" s="115"/>
      <c r="I98" s="100" t="n">
        <f aca="false">_xlfn.xlookup(C98,Clients!B:B,Clients!W:W,FALSE())</f>
        <v>0</v>
      </c>
      <c r="J98" s="116" t="str">
        <f aca="false">_xlfn.xlookup(C98,Clients!$B$1:$B$1001,Clients!$M$1:$M$1001,FALSE())</f>
        <v>Net 30 jours</v>
      </c>
      <c r="K98" s="100" t="str">
        <f aca="false">_xlfn.xlookup(C98,Clients!B:B,Clients!R:R,FALSE())</f>
        <v>EXW Boucherville</v>
      </c>
      <c r="L98" s="117" t="n">
        <v>45607</v>
      </c>
      <c r="M98" s="98" t="str">
        <f aca="false">_xlfn.xlookup(C98,Clients!B:B,Clients!X:X,FALSE())</f>
        <v>CAD</v>
      </c>
      <c r="N98" s="98" t="str">
        <f aca="false">_xlfn.xlookup(C98,Clients!B:B,Clients!Y:Y,FALSE())</f>
        <v>CAD</v>
      </c>
      <c r="O98" s="106" t="n">
        <v>40156</v>
      </c>
      <c r="P98" s="106" t="str">
        <f aca="false">_xlfn.xlookup(O98,'Prix vente'!A:A,'Prix vente'!H:H)&amp;"/"&amp;_xlfn.xlookup(O98,'Prix vente'!A:A,'Prix vente'!P:P)</f>
        <v>D21/8.6</v>
      </c>
      <c r="Q98" s="106" t="n">
        <v>7</v>
      </c>
      <c r="R98" s="106" t="n">
        <f aca="false">Q98*_xlfn.xlookup(O98,'Prix vente'!A:A,'Prix vente'!R:R)</f>
        <v>7224</v>
      </c>
      <c r="S98" s="118"/>
      <c r="T98" s="118" t="str">
        <f aca="false">IFERROR(_xlfn.xlookup(S98,'Prix vente'!$A:$A,'Prix vente'!$H:$H)&amp;"/"&amp;_xlfn.xlookup(S98,'Prix vente'!A:A,'Prix vente'!P:P),"")</f>
        <v/>
      </c>
      <c r="U98" s="118"/>
      <c r="V98" s="118" t="str">
        <f aca="false">IFERROR(U98*_xlfn.xlookup(S98,'Prix vente'!$A:$A,'Prix vente'!$R:$R),"")</f>
        <v/>
      </c>
      <c r="W98" s="106"/>
      <c r="X98" s="106"/>
      <c r="Y98" s="106"/>
      <c r="Z98" s="106" t="str">
        <f aca="false">IFERROR(Y98*_xlfn.xlookup(W98,'Prix vente'!$A:$A,'Prix vente'!$R:$R),"")</f>
        <v/>
      </c>
      <c r="AA98" s="118"/>
      <c r="AB98" s="118"/>
      <c r="AC98" s="118"/>
      <c r="AD98" s="118"/>
      <c r="AE98" s="119"/>
      <c r="AF98" s="119"/>
      <c r="AG98" s="119"/>
      <c r="AH98" s="119"/>
      <c r="AI98" s="119"/>
      <c r="AJ98" s="119"/>
      <c r="AK98" s="119"/>
      <c r="AL98" s="119"/>
      <c r="AM98" s="119"/>
      <c r="AN98" s="119"/>
      <c r="AO98" s="119"/>
      <c r="AP98" s="119"/>
      <c r="AQ98" s="119"/>
      <c r="AR98" s="119"/>
      <c r="AS98" s="119"/>
      <c r="AT98" s="119"/>
      <c r="AU98" s="119"/>
      <c r="AV98" s="119"/>
      <c r="AW98" s="119"/>
      <c r="AX98" s="119"/>
      <c r="AY98" s="119"/>
      <c r="AZ98" s="119"/>
      <c r="BA98" s="119"/>
      <c r="BB98" s="119"/>
    </row>
    <row r="99" customFormat="false" ht="14.25" hidden="false" customHeight="false" outlineLevel="0" collapsed="false">
      <c r="A99" s="98" t="n">
        <v>247</v>
      </c>
      <c r="B99" s="98"/>
      <c r="C99" s="11" t="s">
        <v>134</v>
      </c>
      <c r="D99" s="11" t="s">
        <v>134</v>
      </c>
      <c r="E99" s="114" t="n">
        <v>45601</v>
      </c>
      <c r="F99" s="115" t="n">
        <v>1944</v>
      </c>
      <c r="G99" s="115" t="s">
        <v>773</v>
      </c>
      <c r="H99" s="115"/>
      <c r="I99" s="100" t="n">
        <f aca="false">_xlfn.xlookup(C99,Clients!B:B,Clients!W:W,FALSE())</f>
        <v>0</v>
      </c>
      <c r="J99" s="116" t="str">
        <f aca="false">_xlfn.xlookup(C99,Clients!$B$1:$B$1001,Clients!$M$1:$M$1001,FALSE())</f>
        <v>Net 30 jours</v>
      </c>
      <c r="K99" s="100" t="str">
        <f aca="false">_xlfn.xlookup(C99,Clients!B:B,Clients!R:R,FALSE())</f>
        <v>EXW Boucherville</v>
      </c>
      <c r="L99" s="117" t="n">
        <v>45607</v>
      </c>
      <c r="M99" s="98" t="str">
        <f aca="false">_xlfn.xlookup(C99,Clients!B:B,Clients!X:X,FALSE())</f>
        <v>CAD</v>
      </c>
      <c r="N99" s="98" t="str">
        <f aca="false">_xlfn.xlookup(C99,Clients!B:B,Clients!Y:Y,FALSE())</f>
        <v>CAD</v>
      </c>
      <c r="O99" s="106" t="n">
        <v>40157</v>
      </c>
      <c r="P99" s="106" t="str">
        <f aca="false">IFERROR(_xlfn.xlookup(O99,'Prix vente'!A:A,'Prix vente'!H:H)&amp;"/"&amp;_xlfn.xlookup(O99,'Prix vente'!A:A,'Prix vente'!P:P),"")</f>
        <v>D21/4.5</v>
      </c>
      <c r="Q99" s="106" t="n">
        <v>4</v>
      </c>
      <c r="R99" s="106" t="n">
        <f aca="false">Q99*_xlfn.xlookup(O99,'Prix vente'!A:A,'Prix vente'!R:R)</f>
        <v>1080</v>
      </c>
      <c r="S99" s="118" t="n">
        <v>40158</v>
      </c>
      <c r="T99" s="118" t="str">
        <f aca="false">IFERROR(_xlfn.xlookup(S99,'Prix vente'!$A:$A,'Prix vente'!$H:$H)&amp;"/"&amp;_xlfn.xlookup(S99,'Prix vente'!A:A,'Prix vente'!P:P),"")</f>
        <v>D21/8.625</v>
      </c>
      <c r="U99" s="118" t="n">
        <v>4</v>
      </c>
      <c r="V99" s="118" t="n">
        <f aca="false">IFERROR(U99*_xlfn.xlookup(S99,'Prix vente'!$A:$A,'Prix vente'!$R:$R),"")</f>
        <v>2070</v>
      </c>
      <c r="W99" s="106" t="n">
        <v>40159</v>
      </c>
      <c r="X99" s="106" t="str">
        <f aca="false">_xlfn.xlookup(W99,'Prix vente'!$A:$A,'Prix vente'!$H:$H)&amp;"/"&amp;_xlfn.xlookup(W99,'Prix vente'!A:A,'Prix vente'!P:P)</f>
        <v>D21/7.5</v>
      </c>
      <c r="Y99" s="106" t="n">
        <v>1</v>
      </c>
      <c r="Z99" s="106" t="n">
        <f aca="false">IFERROR(Y99*_xlfn.xlookup(W99,'Prix vente'!$A:$A,'Prix vente'!$R:$R),"")</f>
        <v>450</v>
      </c>
      <c r="AA99" s="118"/>
      <c r="AB99" s="118"/>
      <c r="AC99" s="118"/>
      <c r="AD99" s="118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9"/>
      <c r="AT99" s="119"/>
      <c r="AU99" s="119"/>
      <c r="AV99" s="119"/>
      <c r="AW99" s="119"/>
      <c r="AX99" s="119"/>
      <c r="AY99" s="119"/>
      <c r="AZ99" s="119"/>
      <c r="BA99" s="119"/>
      <c r="BB99" s="119"/>
    </row>
    <row r="100" customFormat="false" ht="14.25" hidden="false" customHeight="false" outlineLevel="0" collapsed="false">
      <c r="A100" s="107" t="n">
        <v>248</v>
      </c>
      <c r="B100" s="107"/>
      <c r="C100" s="11" t="s">
        <v>269</v>
      </c>
      <c r="D100" s="11" t="s">
        <v>269</v>
      </c>
      <c r="E100" s="114" t="n">
        <v>45601</v>
      </c>
      <c r="F100" s="115" t="s">
        <v>821</v>
      </c>
      <c r="G100" s="115" t="s">
        <v>274</v>
      </c>
      <c r="H100" s="115"/>
      <c r="I100" s="100" t="n">
        <f aca="false">_xlfn.xlookup(C100,Clients!B:B,Clients!W:W,FALSE())</f>
        <v>0</v>
      </c>
      <c r="J100" s="116" t="str">
        <f aca="false">_xlfn.xlookup(C100,Clients!$B$1:$B$1001,Clients!$M$1:$M$1001,FALSE())</f>
        <v>Net 30 jours</v>
      </c>
      <c r="K100" s="100" t="str">
        <f aca="false">_xlfn.xlookup(C100,Clients!B:B,Clients!R:R,FALSE())</f>
        <v>Livraison incluse</v>
      </c>
      <c r="L100" s="117" t="n">
        <v>45608</v>
      </c>
      <c r="M100" s="98" t="str">
        <f aca="false">_xlfn.xlookup(C100,Clients!B:B,Clients!X:X,FALSE())</f>
        <v>CAD</v>
      </c>
      <c r="N100" s="98" t="str">
        <f aca="false">_xlfn.xlookup(C100,Clients!B:B,Clients!Y:Y,FALSE())</f>
        <v>CAD</v>
      </c>
      <c r="O100" s="106" t="n">
        <v>40160</v>
      </c>
      <c r="P100" s="106" t="str">
        <f aca="false">_xlfn.xlookup(O100,'Prix vente'!A:A,'Prix vente'!H:H)&amp;"/"&amp;_xlfn.xlookup(O100,'Prix vente'!A:A,'Prix vente'!P:P)</f>
        <v>D11/7.128</v>
      </c>
      <c r="Q100" s="106" t="n">
        <v>1</v>
      </c>
      <c r="R100" s="106" t="n">
        <f aca="false">Q100*_xlfn.xlookup(O100,'Prix vente'!A:A,'Prix vente'!R:R)</f>
        <v>213.84</v>
      </c>
      <c r="S100" s="118" t="n">
        <v>40176</v>
      </c>
      <c r="T100" s="118" t="str">
        <f aca="false">_xlfn.xlookup(S100,'Prix vente'!$A:$A,'Prix vente'!$H:$H)&amp;"/"&amp;_xlfn.xlookup(S100,'Prix vente'!A:A,'Prix vente'!P:P)</f>
        <v>T11/4.5</v>
      </c>
      <c r="U100" s="118" t="n">
        <v>1</v>
      </c>
      <c r="V100" s="118" t="n">
        <f aca="false">IFERROR(U100*_xlfn.xlookup(S100,'Prix vente'!$A:$A,'Prix vente'!$R:$R),"")</f>
        <v>135</v>
      </c>
      <c r="W100" s="106"/>
      <c r="X100" s="106"/>
      <c r="Y100" s="106"/>
      <c r="Z100" s="106" t="str">
        <f aca="false">IFERROR(Y100*_xlfn.xlookup(W100,'Prix vente'!$A:$A,'Prix vente'!$R:$R),"")</f>
        <v/>
      </c>
      <c r="AA100" s="118"/>
      <c r="AB100" s="118"/>
      <c r="AC100" s="118"/>
      <c r="AD100" s="118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</row>
    <row r="101" customFormat="false" ht="14.25" hidden="false" customHeight="false" outlineLevel="0" collapsed="false">
      <c r="A101" s="107" t="n">
        <v>249</v>
      </c>
      <c r="B101" s="107"/>
      <c r="C101" s="11" t="s">
        <v>151</v>
      </c>
      <c r="D101" s="11" t="s">
        <v>151</v>
      </c>
      <c r="E101" s="114" t="n">
        <v>45602</v>
      </c>
      <c r="F101" s="115" t="s">
        <v>826</v>
      </c>
      <c r="G101" s="115" t="s">
        <v>797</v>
      </c>
      <c r="H101" s="115"/>
      <c r="I101" s="100" t="n">
        <f aca="false">_xlfn.xlookup(C101,Clients!B:B,Clients!W:W,FALSE())</f>
        <v>0</v>
      </c>
      <c r="J101" s="116" t="str">
        <f aca="false">_xlfn.xlookup(C101,Clients!$B$1:$B$1001,Clients!$M$1:$M$1001,FALSE())</f>
        <v>Net 30 jours</v>
      </c>
      <c r="K101" s="100" t="str">
        <f aca="false">_xlfn.xlookup(C101,Clients!B:B,Clients!R:R,FALSE())</f>
        <v>Livraison incluse</v>
      </c>
      <c r="L101" s="117" t="n">
        <v>45694</v>
      </c>
      <c r="M101" s="98" t="str">
        <f aca="false">_xlfn.xlookup(C101,Clients!B:B,Clients!X:X,FALSE())</f>
        <v>CAD</v>
      </c>
      <c r="N101" s="98" t="str">
        <f aca="false">_xlfn.xlookup(C101,Clients!B:B,Clients!Y:Y,FALSE())</f>
        <v>CAD</v>
      </c>
      <c r="O101" s="106" t="n">
        <v>40162</v>
      </c>
      <c r="P101" s="106" t="str">
        <f aca="false">_xlfn.xlookup(O101,'Prix vente'!A:A,'Prix vente'!H:H)&amp;"/"&amp;_xlfn.xlookup(O101,'Prix vente'!A:A,'Prix vente'!P:P)</f>
        <v>F80/11</v>
      </c>
      <c r="Q101" s="106" t="n">
        <v>5</v>
      </c>
      <c r="R101" s="106" t="n">
        <f aca="false">Q101*_xlfn.xlookup(O101,'Prix vente'!A:A,'Prix vente'!R:R)</f>
        <v>3300</v>
      </c>
      <c r="S101" s="118" t="n">
        <v>40163</v>
      </c>
      <c r="T101" s="118" t="str">
        <f aca="false">_xlfn.xlookup(S101,'Prix vente'!$A:$A,'Prix vente'!$H:$H)&amp;"/"&amp;_xlfn.xlookup(S101,'Prix vente'!A:A,'Prix vente'!P:P)</f>
        <v>F81/</v>
      </c>
      <c r="U101" s="118" t="n">
        <v>0</v>
      </c>
      <c r="V101" s="118" t="n">
        <v>1</v>
      </c>
      <c r="W101" s="106" t="n">
        <v>40164</v>
      </c>
      <c r="X101" s="106" t="str">
        <f aca="false">_xlfn.xlookup(W101,'Prix vente'!$A:$A,'Prix vente'!$H:$H)&amp;"/"&amp;_xlfn.xlookup(W101,'Prix vente'!A:A,'Prix vente'!P:P)</f>
        <v>F82/</v>
      </c>
      <c r="Y101" s="106" t="n">
        <v>0</v>
      </c>
      <c r="Z101" s="106" t="n">
        <v>1</v>
      </c>
      <c r="AA101" s="118"/>
      <c r="AB101" s="118"/>
      <c r="AC101" s="118"/>
      <c r="AD101" s="118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</row>
    <row r="102" customFormat="false" ht="14.25" hidden="false" customHeight="false" outlineLevel="0" collapsed="false">
      <c r="A102" s="98" t="n">
        <v>250</v>
      </c>
      <c r="B102" s="98"/>
      <c r="C102" s="11" t="s">
        <v>250</v>
      </c>
      <c r="D102" s="11" t="s">
        <v>250</v>
      </c>
      <c r="E102" s="114" t="n">
        <v>45602</v>
      </c>
      <c r="F102" s="115" t="s">
        <v>827</v>
      </c>
      <c r="G102" s="115" t="s">
        <v>828</v>
      </c>
      <c r="H102" s="115"/>
      <c r="I102" s="100" t="n">
        <f aca="false">_xlfn.xlookup(C102,Clients!B:B,Clients!W:W,FALSE())</f>
        <v>0</v>
      </c>
      <c r="J102" s="116" t="str">
        <f aca="false">_xlfn.xlookup(C102,Clients!$B$1:$B$1001,Clients!$M$1:$M$1001,FALSE())</f>
        <v>Net 30 jours</v>
      </c>
      <c r="K102" s="100" t="str">
        <f aca="false">_xlfn.xlookup(C102,Clients!B:B,Clients!R:R,FALSE())</f>
        <v>Livraison incluse</v>
      </c>
      <c r="L102" s="117" t="n">
        <v>45672</v>
      </c>
      <c r="M102" s="98" t="str">
        <f aca="false">_xlfn.xlookup(C102,Clients!B:B,Clients!X:X,FALSE())</f>
        <v>CAD</v>
      </c>
      <c r="N102" s="98" t="str">
        <f aca="false">_xlfn.xlookup(C102,Clients!B:B,Clients!Y:Y,FALSE())</f>
        <v>CAD</v>
      </c>
      <c r="O102" s="106" t="n">
        <v>40165</v>
      </c>
      <c r="P102" s="106" t="str">
        <f aca="false">_xlfn.xlookup(O102,'Prix vente'!A:A,'Prix vente'!H:H)&amp;"/"&amp;_xlfn.xlookup(O102,'Prix vente'!A:A,'Prix vente'!P:P)</f>
        <v>Z110450-W28/</v>
      </c>
      <c r="Q102" s="106" t="n">
        <v>0</v>
      </c>
      <c r="R102" s="106" t="n">
        <v>256</v>
      </c>
      <c r="S102" s="118"/>
      <c r="T102" s="118" t="e">
        <f aca="false">_xlfn.xlookup(S102,'Prix vente'!$A:$A,'Prix vente'!$H:$H)&amp;"/"&amp;_xlfn.xlookup(S102,'Prix vente'!A:A,'Prix vente'!P:P)</f>
        <v>#NAME?</v>
      </c>
      <c r="U102" s="118"/>
      <c r="V102" s="118" t="str">
        <f aca="false">IFERROR(U102*_xlfn.xlookup(S102,'Prix vente'!$A:$A,'Prix vente'!$R:$R),"")</f>
        <v/>
      </c>
      <c r="W102" s="106"/>
      <c r="X102" s="106"/>
      <c r="Y102" s="106"/>
      <c r="Z102" s="106"/>
      <c r="AA102" s="118"/>
      <c r="AB102" s="118"/>
      <c r="AC102" s="118"/>
      <c r="AD102" s="118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</row>
    <row r="103" customFormat="false" ht="14.25" hidden="false" customHeight="false" outlineLevel="0" collapsed="false">
      <c r="A103" s="107" t="n">
        <v>251</v>
      </c>
      <c r="B103" s="107"/>
      <c r="C103" s="11" t="s">
        <v>31</v>
      </c>
      <c r="D103" s="11" t="s">
        <v>31</v>
      </c>
      <c r="E103" s="114" t="n">
        <v>45608</v>
      </c>
      <c r="F103" s="115" t="n">
        <v>50008821</v>
      </c>
      <c r="G103" s="115" t="s">
        <v>754</v>
      </c>
      <c r="H103" s="115"/>
      <c r="I103" s="100" t="n">
        <f aca="false">_xlfn.xlookup(C103,Clients!B:B,Clients!W:W,FALSE())</f>
        <v>0</v>
      </c>
      <c r="J103" s="116" t="str">
        <f aca="false">_xlfn.xlookup(C103,Clients!$B$1:$B$1001,Clients!$M$1:$M$1001,FALSE())</f>
        <v>Net 30 days</v>
      </c>
      <c r="K103" s="100" t="str">
        <f aca="false">_xlfn.xlookup(C103,Clients!B:B,Clients!R:R,FALSE())</f>
        <v>EXW Boucherville</v>
      </c>
      <c r="L103" s="117" t="n">
        <v>45616</v>
      </c>
      <c r="M103" s="98" t="str">
        <f aca="false">_xlfn.xlookup(C103,Clients!B:B,Clients!X:X,FALSE())</f>
        <v>USD</v>
      </c>
      <c r="N103" s="98" t="str">
        <f aca="false">_xlfn.xlookup(C103,Clients!B:B,Clients!Y:Y,FALSE())</f>
        <v>USD</v>
      </c>
      <c r="O103" s="106" t="n">
        <v>40103</v>
      </c>
      <c r="P103" s="106" t="str">
        <f aca="false">_xlfn.xlookup(O103,'Prix vente'!A:A,'Prix vente'!H:H)&amp;"/"&amp;_xlfn.xlookup(O103,'Prix vente'!A:A,'Prix vente'!P:P)</f>
        <v>D16/10</v>
      </c>
      <c r="Q103" s="106" t="n">
        <v>72</v>
      </c>
      <c r="R103" s="106" t="n">
        <f aca="false">Q103*_xlfn.xlookup(O103,'Prix vente'!A:A,'Prix vente'!R:R)</f>
        <v>43200</v>
      </c>
      <c r="S103" s="118"/>
      <c r="T103" s="118" t="e">
        <f aca="false">_xlfn.xlookup(S103,'Prix vente'!$A:$A,'Prix vente'!$H:$H)&amp;"/"&amp;_xlfn.xlookup(S103,'Prix vente'!A:A,'Prix vente'!P:P)</f>
        <v>#NAME?</v>
      </c>
      <c r="U103" s="118"/>
      <c r="V103" s="118" t="str">
        <f aca="false">IFERROR(U103*_xlfn.xlookup(S103,'Prix vente'!$A:$A,'Prix vente'!$R:$R),"")</f>
        <v/>
      </c>
      <c r="W103" s="106"/>
      <c r="X103" s="106"/>
      <c r="Y103" s="106"/>
      <c r="Z103" s="106"/>
      <c r="AA103" s="118"/>
      <c r="AB103" s="118"/>
      <c r="AC103" s="118"/>
      <c r="AD103" s="118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</row>
    <row r="104" customFormat="false" ht="14.25" hidden="false" customHeight="false" outlineLevel="0" collapsed="false">
      <c r="A104" s="107" t="n">
        <v>252</v>
      </c>
      <c r="B104" s="107"/>
      <c r="C104" s="11" t="s">
        <v>141</v>
      </c>
      <c r="D104" s="11" t="s">
        <v>141</v>
      </c>
      <c r="E104" s="114" t="n">
        <v>45608</v>
      </c>
      <c r="F104" s="115" t="s">
        <v>821</v>
      </c>
      <c r="G104" s="115" t="s">
        <v>799</v>
      </c>
      <c r="H104" s="115"/>
      <c r="I104" s="100" t="n">
        <f aca="false">_xlfn.xlookup(C104,Clients!B:B,Clients!W:W,FALSE())</f>
        <v>0</v>
      </c>
      <c r="J104" s="116" t="str">
        <f aca="false">_xlfn.xlookup(C104,Clients!$B$1:$B$1001,Clients!$M$1:$M$1001,FALSE())</f>
        <v>Net 30 jours</v>
      </c>
      <c r="K104" s="100" t="str">
        <f aca="false">_xlfn.xlookup(C104,Clients!B:B,Clients!R:R,FALSE())</f>
        <v>Livraison incluse</v>
      </c>
      <c r="L104" s="117" t="n">
        <v>45608</v>
      </c>
      <c r="M104" s="98" t="str">
        <f aca="false">_xlfn.xlookup(C104,Clients!B:B,Clients!X:X,FALSE())</f>
        <v>CAD</v>
      </c>
      <c r="N104" s="98" t="str">
        <f aca="false">_xlfn.xlookup(C104,Clients!B:B,Clients!Y:Y,FALSE())</f>
        <v>CAD</v>
      </c>
      <c r="O104" s="106" t="n">
        <v>40168</v>
      </c>
      <c r="P104" s="106" t="str">
        <f aca="false">_xlfn.xlookup(O104,'Prix vente'!A:A,'Prix vente'!H:H)&amp;"/"&amp;_xlfn.xlookup(O104,'Prix vente'!A:A,'Prix vente'!P:P)</f>
        <v>D11/9.875</v>
      </c>
      <c r="Q104" s="106" t="n">
        <v>1</v>
      </c>
      <c r="R104" s="106" t="n">
        <f aca="false">Q104*_xlfn.xlookup(O104,'Prix vente'!A:A,'Prix vente'!R:R)</f>
        <v>296.25</v>
      </c>
      <c r="S104" s="118"/>
      <c r="T104" s="118" t="e">
        <f aca="false">_xlfn.xlookup(S104,'Prix vente'!$A:$A,'Prix vente'!$H:$H)&amp;"/"&amp;_xlfn.xlookup(S104,'Prix vente'!A:A,'Prix vente'!P:P)</f>
        <v>#NAME?</v>
      </c>
      <c r="U104" s="118"/>
      <c r="V104" s="118" t="str">
        <f aca="false">IFERROR(U104*_xlfn.xlookup(S104,'Prix vente'!$A:$A,'Prix vente'!$R:$R),"")</f>
        <v/>
      </c>
      <c r="W104" s="106"/>
      <c r="X104" s="106"/>
      <c r="Y104" s="106"/>
      <c r="Z104" s="106"/>
      <c r="AA104" s="118"/>
      <c r="AB104" s="118"/>
      <c r="AC104" s="118"/>
      <c r="AD104" s="118"/>
      <c r="AE104" s="119"/>
      <c r="AF104" s="119"/>
      <c r="AG104" s="119"/>
      <c r="AH104" s="119"/>
      <c r="AI104" s="119"/>
      <c r="AJ104" s="119"/>
      <c r="AK104" s="119"/>
      <c r="AL104" s="119"/>
      <c r="AM104" s="119"/>
      <c r="AN104" s="119"/>
      <c r="AO104" s="119"/>
      <c r="AP104" s="119"/>
      <c r="AQ104" s="119"/>
      <c r="AR104" s="119"/>
      <c r="AS104" s="119"/>
      <c r="AT104" s="119"/>
      <c r="AU104" s="119"/>
      <c r="AV104" s="119"/>
      <c r="AW104" s="119"/>
      <c r="AX104" s="119"/>
      <c r="AY104" s="119"/>
      <c r="AZ104" s="119"/>
      <c r="BA104" s="119"/>
      <c r="BB104" s="119"/>
    </row>
    <row r="105" customFormat="false" ht="14.25" hidden="false" customHeight="false" outlineLevel="0" collapsed="false">
      <c r="A105" s="98" t="n">
        <v>253</v>
      </c>
      <c r="B105" s="98"/>
      <c r="C105" s="11" t="s">
        <v>31</v>
      </c>
      <c r="D105" s="11" t="s">
        <v>31</v>
      </c>
      <c r="E105" s="114" t="n">
        <v>45608</v>
      </c>
      <c r="F105" s="115" t="n">
        <v>50008822</v>
      </c>
      <c r="G105" s="115" t="s">
        <v>754</v>
      </c>
      <c r="H105" s="115"/>
      <c r="I105" s="100" t="n">
        <f aca="false">_xlfn.xlookup(C105,Clients!B:B,Clients!W:W,FALSE())</f>
        <v>0</v>
      </c>
      <c r="J105" s="116" t="str">
        <f aca="false">_xlfn.xlookup(C105,Clients!$B$1:$B$1001,Clients!$M$1:$M$1001,FALSE())</f>
        <v>Net 30 days</v>
      </c>
      <c r="K105" s="100" t="str">
        <f aca="false">_xlfn.xlookup(C105,Clients!B:B,Clients!R:R,FALSE())</f>
        <v>EXW Boucherville</v>
      </c>
      <c r="L105" s="117" t="n">
        <v>45616</v>
      </c>
      <c r="M105" s="98" t="str">
        <f aca="false">_xlfn.xlookup(C105,Clients!B:B,Clients!X:X,FALSE())</f>
        <v>USD</v>
      </c>
      <c r="N105" s="98" t="str">
        <f aca="false">_xlfn.xlookup(C105,Clients!B:B,Clients!Y:Y,FALSE())</f>
        <v>USD</v>
      </c>
      <c r="O105" s="106" t="n">
        <v>40169</v>
      </c>
      <c r="P105" s="106" t="str">
        <f aca="false">_xlfn.xlookup(O105,'Prix vente'!A:A,'Prix vente'!H:H)&amp;"/"&amp;_xlfn.xlookup(O105,'Prix vente'!A:A,'Prix vente'!P:P)</f>
        <v>D16/6.875</v>
      </c>
      <c r="Q105" s="106" t="n">
        <v>23</v>
      </c>
      <c r="R105" s="106" t="n">
        <f aca="false">Q105*_xlfn.xlookup(O105,'Prix vente'!A:A,'Prix vente'!R:R)</f>
        <v>9487.5</v>
      </c>
      <c r="S105" s="118" t="n">
        <v>40170</v>
      </c>
      <c r="T105" s="118" t="str">
        <f aca="false">_xlfn.xlookup(S105,'Prix vente'!$A:$A,'Prix vente'!$H:$H)&amp;"/"&amp;_xlfn.xlookup(S105,'Prix vente'!A:A,'Prix vente'!P:P)</f>
        <v>D16/5.875</v>
      </c>
      <c r="U105" s="118" t="n">
        <v>24</v>
      </c>
      <c r="V105" s="118" t="n">
        <f aca="false">IFERROR(U105*_xlfn.xlookup(S105,'Prix vente'!$A:$A,'Prix vente'!$R:$R),"")</f>
        <v>8460</v>
      </c>
      <c r="W105" s="106"/>
      <c r="X105" s="106"/>
      <c r="Y105" s="106"/>
      <c r="Z105" s="106"/>
      <c r="AA105" s="118"/>
      <c r="AB105" s="118"/>
      <c r="AC105" s="118"/>
      <c r="AD105" s="118"/>
      <c r="AE105" s="119"/>
      <c r="AF105" s="119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19"/>
      <c r="AS105" s="119"/>
      <c r="AT105" s="119"/>
      <c r="AU105" s="119"/>
      <c r="AV105" s="119"/>
      <c r="AW105" s="119"/>
      <c r="AX105" s="119"/>
      <c r="AY105" s="119"/>
      <c r="AZ105" s="119"/>
      <c r="BA105" s="119"/>
      <c r="BB105" s="119"/>
    </row>
    <row r="106" customFormat="false" ht="14.25" hidden="false" customHeight="false" outlineLevel="0" collapsed="false">
      <c r="A106" s="107" t="n">
        <v>254</v>
      </c>
      <c r="B106" s="107"/>
      <c r="C106" s="11" t="s">
        <v>178</v>
      </c>
      <c r="D106" s="11" t="s">
        <v>178</v>
      </c>
      <c r="E106" s="114" t="n">
        <v>45610</v>
      </c>
      <c r="F106" s="115" t="n">
        <v>14287</v>
      </c>
      <c r="G106" s="115" t="s">
        <v>791</v>
      </c>
      <c r="H106" s="115"/>
      <c r="I106" s="100" t="n">
        <f aca="false">_xlfn.xlookup(C106,Clients!B:B,Clients!W:W,FALSE())</f>
        <v>0</v>
      </c>
      <c r="J106" s="116" t="str">
        <f aca="false">_xlfn.xlookup(C106,Clients!$B$1:$B$1001,Clients!$M$1:$M$1001,FALSE())</f>
        <v>Net 30 jours</v>
      </c>
      <c r="K106" s="100" t="str">
        <f aca="false">_xlfn.xlookup(C106,Clients!B:B,Clients!R:R,FALSE())</f>
        <v>Delivery Included</v>
      </c>
      <c r="L106" s="117" t="n">
        <v>45614</v>
      </c>
      <c r="M106" s="98" t="str">
        <f aca="false">_xlfn.xlookup(C106,Clients!B:B,Clients!X:X,FALSE())</f>
        <v>CAD</v>
      </c>
      <c r="N106" s="98" t="str">
        <f aca="false">_xlfn.xlookup(C106,Clients!B:B,Clients!Y:Y,FALSE())</f>
        <v>CAD</v>
      </c>
      <c r="O106" s="106" t="n">
        <v>40171</v>
      </c>
      <c r="P106" s="106" t="str">
        <f aca="false">_xlfn.xlookup(O106,'Prix vente'!A:A,'Prix vente'!H:H)&amp;"/"&amp;_xlfn.xlookup(O106,'Prix vente'!A:A,'Prix vente'!P:P)</f>
        <v>S15/10</v>
      </c>
      <c r="Q106" s="106" t="n">
        <v>6</v>
      </c>
      <c r="R106" s="106" t="n">
        <f aca="false">Q106*_xlfn.xlookup(O106,'Prix vente'!A:A,'Prix vente'!R:R)</f>
        <v>7200</v>
      </c>
      <c r="S106" s="118"/>
      <c r="T106" s="118" t="e">
        <f aca="false">_xlfn.xlookup(S106,'Prix vente'!$A:$A,'Prix vente'!$H:$H)&amp;"/"&amp;_xlfn.xlookup(S106,'Prix vente'!A:A,'Prix vente'!P:P)</f>
        <v>#NAME?</v>
      </c>
      <c r="U106" s="118"/>
      <c r="V106" s="118" t="str">
        <f aca="false">IFERROR(U106*_xlfn.xlookup(S106,'Prix vente'!$A:$A,'Prix vente'!$R:$R),"")</f>
        <v/>
      </c>
      <c r="W106" s="106"/>
      <c r="X106" s="106"/>
      <c r="Y106" s="106"/>
      <c r="Z106" s="106"/>
      <c r="AA106" s="118"/>
      <c r="AB106" s="118"/>
      <c r="AC106" s="118"/>
      <c r="AD106" s="118"/>
      <c r="AE106" s="119"/>
      <c r="AF106" s="119"/>
      <c r="AG106" s="119"/>
      <c r="AH106" s="119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19"/>
      <c r="AS106" s="119"/>
      <c r="AT106" s="119"/>
      <c r="AU106" s="119"/>
      <c r="AV106" s="119"/>
      <c r="AW106" s="119"/>
      <c r="AX106" s="119"/>
      <c r="AY106" s="119"/>
      <c r="AZ106" s="119"/>
      <c r="BA106" s="119"/>
      <c r="BB106" s="119"/>
    </row>
    <row r="107" customFormat="false" ht="14.25" hidden="false" customHeight="false" outlineLevel="0" collapsed="false">
      <c r="A107" s="107" t="n">
        <v>255</v>
      </c>
      <c r="B107" s="107"/>
      <c r="C107" s="11" t="s">
        <v>189</v>
      </c>
      <c r="D107" s="11" t="s">
        <v>189</v>
      </c>
      <c r="E107" s="114" t="n">
        <v>45614</v>
      </c>
      <c r="F107" s="115" t="n">
        <v>1003018</v>
      </c>
      <c r="G107" s="115" t="s">
        <v>829</v>
      </c>
      <c r="H107" s="115"/>
      <c r="I107" s="100" t="n">
        <f aca="false">_xlfn.xlookup(C107,Clients!B:B,Clients!W:W,FALSE())</f>
        <v>0</v>
      </c>
      <c r="J107" s="116" t="str">
        <f aca="false">_xlfn.xlookup(C107,Clients!$B$1:$B$1001,Clients!$M$1:$M$1001,FALSE())</f>
        <v>Net 30 jours</v>
      </c>
      <c r="K107" s="100" t="str">
        <f aca="false">_xlfn.xlookup(C107,Clients!B:B,Clients!R:R,FALSE())</f>
        <v>Livraison incluse</v>
      </c>
      <c r="L107" s="117" t="n">
        <v>45616</v>
      </c>
      <c r="M107" s="98" t="str">
        <f aca="false">_xlfn.xlookup(C107,Clients!B:B,Clients!X:X,FALSE())</f>
        <v>CAD</v>
      </c>
      <c r="N107" s="98" t="str">
        <f aca="false">_xlfn.xlookup(C107,Clients!B:B,Clients!Y:Y,FALSE())</f>
        <v>CAD</v>
      </c>
      <c r="O107" s="106" t="n">
        <v>40172</v>
      </c>
      <c r="P107" s="106" t="str">
        <f aca="false">_xlfn.xlookup(O107,'Prix vente'!A:A,'Prix vente'!H:H)&amp;"/"&amp;_xlfn.xlookup(O107,'Prix vente'!A:A,'Prix vente'!P:P)</f>
        <v>S21/5.625</v>
      </c>
      <c r="Q107" s="106" t="n">
        <v>6</v>
      </c>
      <c r="R107" s="106" t="n">
        <f aca="false">Q107*_xlfn.xlookup(O107,'Prix vente'!A:A,'Prix vente'!R:R)</f>
        <v>2025</v>
      </c>
      <c r="S107" s="118" t="n">
        <v>40086</v>
      </c>
      <c r="T107" s="118" t="str">
        <f aca="false">_xlfn.xlookup(S107,'Prix vente'!$A:$A,'Prix vente'!$H:$H)&amp;"/"&amp;_xlfn.xlookup(S107,'Prix vente'!A:A,'Prix vente'!P:P)</f>
        <v>S21/13</v>
      </c>
      <c r="U107" s="118" t="n">
        <v>2</v>
      </c>
      <c r="V107" s="118" t="n">
        <f aca="false">IFERROR(U107*_xlfn.xlookup(S107,'Prix vente'!$A:$A,'Prix vente'!$R:$R),"")</f>
        <v>1560</v>
      </c>
      <c r="W107" s="106"/>
      <c r="X107" s="106"/>
      <c r="Y107" s="106"/>
      <c r="Z107" s="106"/>
      <c r="AA107" s="118"/>
      <c r="AB107" s="118"/>
      <c r="AC107" s="118"/>
      <c r="AD107" s="118"/>
      <c r="AE107" s="119"/>
      <c r="AF107" s="119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19"/>
      <c r="AQ107" s="119"/>
      <c r="AR107" s="119"/>
      <c r="AS107" s="119"/>
      <c r="AT107" s="119"/>
      <c r="AU107" s="119"/>
      <c r="AV107" s="119"/>
      <c r="AW107" s="119"/>
      <c r="AX107" s="119"/>
      <c r="AY107" s="119"/>
      <c r="AZ107" s="119"/>
      <c r="BA107" s="119"/>
      <c r="BB107" s="119"/>
    </row>
    <row r="108" customFormat="false" ht="14.25" hidden="false" customHeight="false" outlineLevel="0" collapsed="false">
      <c r="A108" s="98" t="n">
        <v>256</v>
      </c>
      <c r="B108" s="98"/>
      <c r="C108" s="11" t="s">
        <v>124</v>
      </c>
      <c r="D108" s="11" t="s">
        <v>124</v>
      </c>
      <c r="E108" s="114" t="n">
        <v>45614</v>
      </c>
      <c r="F108" s="115" t="n">
        <v>105646</v>
      </c>
      <c r="G108" s="115" t="s">
        <v>788</v>
      </c>
      <c r="H108" s="115"/>
      <c r="I108" s="100" t="n">
        <f aca="false">_xlfn.xlookup(C108,Clients!B:B,Clients!W:W,FALSE())</f>
        <v>0</v>
      </c>
      <c r="J108" s="116" t="str">
        <f aca="false">_xlfn.xlookup(C108,Clients!$B$1:$B$1001,Clients!$M$1:$M$1001,FALSE())</f>
        <v>Net 30 jours</v>
      </c>
      <c r="K108" s="100" t="str">
        <f aca="false">_xlfn.xlookup(C108,Clients!B:B,Clients!R:R,FALSE())</f>
        <v>EXW Boucherville</v>
      </c>
      <c r="L108" s="117" t="n">
        <v>45621</v>
      </c>
      <c r="M108" s="98" t="str">
        <f aca="false">_xlfn.xlookup(C108,Clients!B:B,Clients!X:X,FALSE())</f>
        <v>USD</v>
      </c>
      <c r="N108" s="98" t="str">
        <f aca="false">_xlfn.xlookup(C108,Clients!B:B,Clients!Y:Y,FALSE())</f>
        <v>USD</v>
      </c>
      <c r="O108" s="106" t="n">
        <v>40048</v>
      </c>
      <c r="P108" s="106" t="str">
        <f aca="false">_xlfn.xlookup(O108,'Prix vente'!A:A,'Prix vente'!H:H)&amp;"/"&amp;_xlfn.xlookup(O108,'Prix vente'!A:A,'Prix vente'!P:P)</f>
        <v>S21/12</v>
      </c>
      <c r="Q108" s="106" t="n">
        <v>5</v>
      </c>
      <c r="R108" s="106" t="n">
        <f aca="false">Q108*_xlfn.xlookup(O108,'Prix vente'!A:A,'Prix vente'!R:R)</f>
        <v>3600</v>
      </c>
      <c r="S108" s="118" t="n">
        <v>40173</v>
      </c>
      <c r="T108" s="118" t="str">
        <f aca="false">_xlfn.xlookup(S108,'Prix vente'!$A:$A,'Prix vente'!$H:$H)&amp;"/"&amp;_xlfn.xlookup(S108,'Prix vente'!A:A,'Prix vente'!P:P)</f>
        <v>S21/12</v>
      </c>
      <c r="U108" s="118" t="n">
        <v>5</v>
      </c>
      <c r="V108" s="118" t="n">
        <f aca="false">IFERROR(U108*_xlfn.xlookup(S108,'Prix vente'!$A:$A,'Prix vente'!$R:$R),"")</f>
        <v>7200</v>
      </c>
      <c r="W108" s="106"/>
      <c r="X108" s="106"/>
      <c r="Y108" s="106"/>
      <c r="Z108" s="106"/>
      <c r="AA108" s="118"/>
      <c r="AB108" s="118"/>
      <c r="AC108" s="118"/>
      <c r="AD108" s="118"/>
      <c r="AE108" s="119"/>
      <c r="AF108" s="119"/>
      <c r="AG108" s="119"/>
      <c r="AH108" s="119"/>
      <c r="AI108" s="119"/>
      <c r="AJ108" s="119"/>
      <c r="AK108" s="119"/>
      <c r="AL108" s="119"/>
      <c r="AM108" s="119"/>
      <c r="AN108" s="119"/>
      <c r="AO108" s="119"/>
      <c r="AP108" s="119"/>
      <c r="AQ108" s="119"/>
      <c r="AR108" s="119"/>
      <c r="AS108" s="119"/>
      <c r="AT108" s="119"/>
      <c r="AU108" s="119"/>
      <c r="AV108" s="119"/>
      <c r="AW108" s="119"/>
      <c r="AX108" s="119"/>
      <c r="AY108" s="119"/>
      <c r="AZ108" s="119"/>
      <c r="BA108" s="119"/>
      <c r="BB108" s="119"/>
    </row>
    <row r="109" customFormat="false" ht="14.25" hidden="false" customHeight="false" outlineLevel="0" collapsed="false">
      <c r="A109" s="107" t="n">
        <v>257</v>
      </c>
      <c r="B109" s="107"/>
      <c r="C109" s="11" t="s">
        <v>124</v>
      </c>
      <c r="D109" s="11" t="s">
        <v>124</v>
      </c>
      <c r="E109" s="114" t="n">
        <v>45614</v>
      </c>
      <c r="F109" s="115" t="n">
        <v>105648</v>
      </c>
      <c r="G109" s="115" t="s">
        <v>788</v>
      </c>
      <c r="H109" s="115"/>
      <c r="I109" s="100" t="n">
        <f aca="false">_xlfn.xlookup(C109,Clients!B:B,Clients!W:W,FALSE())</f>
        <v>0</v>
      </c>
      <c r="J109" s="116" t="str">
        <f aca="false">_xlfn.xlookup(C109,Clients!$B$1:$B$1001,Clients!$M$1:$M$1001,FALSE())</f>
        <v>Net 30 jours</v>
      </c>
      <c r="K109" s="100" t="str">
        <f aca="false">_xlfn.xlookup(C109,Clients!B:B,Clients!R:R,FALSE())</f>
        <v>EXW Boucherville</v>
      </c>
      <c r="L109" s="117" t="n">
        <v>45621</v>
      </c>
      <c r="M109" s="98" t="str">
        <f aca="false">_xlfn.xlookup(C109,Clients!B:B,Clients!X:X,FALSE())</f>
        <v>USD</v>
      </c>
      <c r="N109" s="98" t="str">
        <f aca="false">_xlfn.xlookup(C109,Clients!B:B,Clients!Y:Y,FALSE())</f>
        <v>USD</v>
      </c>
      <c r="O109" s="106" t="n">
        <v>40117</v>
      </c>
      <c r="P109" s="106" t="str">
        <f aca="false">_xlfn.xlookup(O109,'Prix vente'!A:A,'Prix vente'!H:H)&amp;"/"&amp;_xlfn.xlookup(O109,'Prix vente'!A:A,'Prix vente'!P:P)</f>
        <v>S15/10</v>
      </c>
      <c r="Q109" s="106" t="n">
        <v>6</v>
      </c>
      <c r="R109" s="106" t="n">
        <f aca="false">Q109*_xlfn.xlookup(O109,'Prix vente'!A:A,'Prix vente'!R:R)</f>
        <v>3600</v>
      </c>
      <c r="S109" s="118"/>
      <c r="T109" s="118" t="e">
        <f aca="false">_xlfn.xlookup(S109,'Prix vente'!$A:$A,'Prix vente'!$H:$H)&amp;"/"&amp;_xlfn.xlookup(S109,'Prix vente'!A:A,'Prix vente'!P:P)</f>
        <v>#NAME?</v>
      </c>
      <c r="U109" s="118"/>
      <c r="V109" s="118" t="str">
        <f aca="false">IFERROR(U109*_xlfn.xlookup(S109,'Prix vente'!$A:$A,'Prix vente'!$R:$R),"")</f>
        <v/>
      </c>
      <c r="W109" s="106"/>
      <c r="X109" s="106"/>
      <c r="Y109" s="106"/>
      <c r="Z109" s="106"/>
      <c r="AA109" s="118"/>
      <c r="AB109" s="118"/>
      <c r="AC109" s="118"/>
      <c r="AD109" s="118"/>
      <c r="AE109" s="119"/>
      <c r="AF109" s="119"/>
      <c r="AG109" s="119"/>
      <c r="AH109" s="119"/>
      <c r="AI109" s="119"/>
      <c r="AJ109" s="119"/>
      <c r="AK109" s="119"/>
      <c r="AL109" s="119"/>
      <c r="AM109" s="119"/>
      <c r="AN109" s="119"/>
      <c r="AO109" s="119"/>
      <c r="AP109" s="119"/>
      <c r="AQ109" s="119"/>
      <c r="AR109" s="119"/>
      <c r="AS109" s="119"/>
      <c r="AT109" s="119"/>
      <c r="AU109" s="119"/>
      <c r="AV109" s="119"/>
      <c r="AW109" s="119"/>
      <c r="AX109" s="119"/>
      <c r="AY109" s="119"/>
      <c r="AZ109" s="119"/>
      <c r="BA109" s="119"/>
      <c r="BB109" s="119"/>
    </row>
    <row r="110" customFormat="false" ht="14.25" hidden="false" customHeight="false" outlineLevel="0" collapsed="false">
      <c r="A110" s="107" t="n">
        <v>258</v>
      </c>
      <c r="B110" s="107"/>
      <c r="C110" s="11" t="s">
        <v>31</v>
      </c>
      <c r="D110" s="11" t="s">
        <v>31</v>
      </c>
      <c r="E110" s="114" t="n">
        <v>45616</v>
      </c>
      <c r="F110" s="115" t="n">
        <v>50008774</v>
      </c>
      <c r="G110" s="115" t="s">
        <v>761</v>
      </c>
      <c r="H110" s="115"/>
      <c r="I110" s="100" t="n">
        <f aca="false">_xlfn.xlookup(C110,Clients!B:B,Clients!W:W,FALSE())</f>
        <v>0</v>
      </c>
      <c r="J110" s="116" t="str">
        <f aca="false">_xlfn.xlookup(C110,Clients!$B$1:$B$1001,Clients!$M$1:$M$1001,FALSE())</f>
        <v>Net 30 days</v>
      </c>
      <c r="K110" s="100" t="str">
        <f aca="false">_xlfn.xlookup(C110,Clients!B:B,Clients!R:R,FALSE())</f>
        <v>EXW Boucherville</v>
      </c>
      <c r="L110" s="117"/>
      <c r="M110" s="98" t="str">
        <f aca="false">_xlfn.xlookup(C110,Clients!B:B,Clients!X:X,FALSE())</f>
        <v>USD</v>
      </c>
      <c r="N110" s="98" t="str">
        <f aca="false">_xlfn.xlookup(C110,Clients!B:B,Clients!Y:Y,FALSE())</f>
        <v>USD</v>
      </c>
      <c r="O110" s="106" t="n">
        <v>40103</v>
      </c>
      <c r="P110" s="106" t="str">
        <f aca="false">_xlfn.xlookup(O110,'Prix vente'!A:A,'Prix vente'!H:H)&amp;"/"&amp;_xlfn.xlookup(O110,'Prix vente'!A:A,'Prix vente'!P:P)</f>
        <v>D16/10</v>
      </c>
      <c r="Q110" s="106" t="n">
        <v>-0.5</v>
      </c>
      <c r="R110" s="106" t="n">
        <f aca="false">Q110*_xlfn.xlookup(O110,'Prix vente'!A:A,'Prix vente'!R:R)</f>
        <v>-300</v>
      </c>
      <c r="S110" s="118"/>
      <c r="T110" s="118" t="e">
        <f aca="false">_xlfn.xlookup(S110,'Prix vente'!$A:$A,'Prix vente'!$H:$H)&amp;"/"&amp;_xlfn.xlookup(S110,'Prix vente'!A:A,'Prix vente'!P:P)</f>
        <v>#NAME?</v>
      </c>
      <c r="U110" s="118"/>
      <c r="V110" s="118" t="str">
        <f aca="false">IFERROR(U110*_xlfn.xlookup(S110,'Prix vente'!$A:$A,'Prix vente'!$R:$R),"")</f>
        <v/>
      </c>
      <c r="W110" s="106"/>
      <c r="X110" s="106"/>
      <c r="Y110" s="106"/>
      <c r="Z110" s="106"/>
      <c r="AA110" s="118"/>
      <c r="AB110" s="118"/>
      <c r="AC110" s="118"/>
      <c r="AD110" s="118"/>
      <c r="AE110" s="119"/>
      <c r="AF110" s="119"/>
      <c r="AG110" s="119"/>
      <c r="AH110" s="119"/>
      <c r="AI110" s="119"/>
      <c r="AJ110" s="119"/>
      <c r="AK110" s="119"/>
      <c r="AL110" s="119"/>
      <c r="AM110" s="119"/>
      <c r="AN110" s="119"/>
      <c r="AO110" s="119"/>
      <c r="AP110" s="119"/>
      <c r="AQ110" s="119"/>
      <c r="AR110" s="119"/>
      <c r="AS110" s="119"/>
      <c r="AT110" s="119"/>
      <c r="AU110" s="119"/>
      <c r="AV110" s="119"/>
      <c r="AW110" s="119"/>
      <c r="AX110" s="119"/>
      <c r="AY110" s="119"/>
      <c r="AZ110" s="119"/>
      <c r="BA110" s="119"/>
      <c r="BB110" s="119"/>
    </row>
    <row r="111" customFormat="false" ht="14.25" hidden="false" customHeight="false" outlineLevel="0" collapsed="false">
      <c r="A111" s="98" t="n">
        <v>259</v>
      </c>
      <c r="B111" s="98"/>
      <c r="C111" s="11" t="s">
        <v>124</v>
      </c>
      <c r="D111" s="11" t="s">
        <v>124</v>
      </c>
      <c r="E111" s="114" t="n">
        <v>45616</v>
      </c>
      <c r="F111" s="115" t="n">
        <v>105765</v>
      </c>
      <c r="G111" s="115" t="s">
        <v>788</v>
      </c>
      <c r="H111" s="115"/>
      <c r="I111" s="100" t="n">
        <f aca="false">_xlfn.xlookup(C111,Clients!B:B,Clients!W:W,FALSE())</f>
        <v>0</v>
      </c>
      <c r="J111" s="116" t="str">
        <f aca="false">_xlfn.xlookup(C111,Clients!$B$1:$B$1001,Clients!$M$1:$M$1001,FALSE())</f>
        <v>Net 30 jours</v>
      </c>
      <c r="K111" s="100" t="str">
        <f aca="false">_xlfn.xlookup(C111,Clients!B:B,Clients!R:R,FALSE())</f>
        <v>EXW Boucherville</v>
      </c>
      <c r="L111" s="117" t="n">
        <v>45623</v>
      </c>
      <c r="M111" s="98" t="str">
        <f aca="false">_xlfn.xlookup(C111,Clients!B:B,Clients!X:X,FALSE())</f>
        <v>USD</v>
      </c>
      <c r="N111" s="98" t="str">
        <f aca="false">_xlfn.xlookup(C111,Clients!B:B,Clients!Y:Y,FALSE())</f>
        <v>USD</v>
      </c>
      <c r="O111" s="106" t="n">
        <v>40052</v>
      </c>
      <c r="P111" s="106" t="str">
        <f aca="false">_xlfn.xlookup(O111,'Prix vente'!A:A,'Prix vente'!H:H)&amp;"/"&amp;_xlfn.xlookup(O111,'Prix vente'!A:A,'Prix vente'!P:P)</f>
        <v>S15/13</v>
      </c>
      <c r="Q111" s="106" t="n">
        <v>4</v>
      </c>
      <c r="R111" s="106" t="n">
        <f aca="false">Q111*_xlfn.xlookup(O111,'Prix vente'!A:A,'Prix vente'!R:R)</f>
        <v>3120</v>
      </c>
      <c r="S111" s="118" t="n">
        <v>40174</v>
      </c>
      <c r="T111" s="118" t="str">
        <f aca="false">_xlfn.xlookup(S111,'Prix vente'!$A:$A,'Prix vente'!$H:$H)&amp;"/"&amp;_xlfn.xlookup(S111,'Prix vente'!A:A,'Prix vente'!P:P)</f>
        <v>S15/8</v>
      </c>
      <c r="U111" s="118" t="n">
        <v>1</v>
      </c>
      <c r="V111" s="118" t="n">
        <f aca="false">IFERROR(U111*_xlfn.xlookup(S111,'Prix vente'!$A:$A,'Prix vente'!$R:$R),"")</f>
        <v>480</v>
      </c>
      <c r="W111" s="106"/>
      <c r="X111" s="106"/>
      <c r="Y111" s="106"/>
      <c r="Z111" s="106"/>
      <c r="AA111" s="118"/>
      <c r="AB111" s="118"/>
      <c r="AC111" s="118"/>
      <c r="AD111" s="118"/>
      <c r="AE111" s="119"/>
      <c r="AF111" s="119"/>
      <c r="AG111" s="119"/>
      <c r="AH111" s="119"/>
      <c r="AI111" s="119"/>
      <c r="AJ111" s="119"/>
      <c r="AK111" s="119"/>
      <c r="AL111" s="119"/>
      <c r="AM111" s="119"/>
      <c r="AN111" s="119"/>
      <c r="AO111" s="119"/>
      <c r="AP111" s="119"/>
      <c r="AQ111" s="119"/>
      <c r="AR111" s="119"/>
      <c r="AS111" s="119"/>
      <c r="AT111" s="119"/>
      <c r="AU111" s="119"/>
      <c r="AV111" s="119"/>
      <c r="AW111" s="119"/>
      <c r="AX111" s="119"/>
      <c r="AY111" s="119"/>
      <c r="AZ111" s="119"/>
      <c r="BA111" s="119"/>
      <c r="BB111" s="119"/>
    </row>
    <row r="112" customFormat="false" ht="14.25" hidden="false" customHeight="false" outlineLevel="0" collapsed="false">
      <c r="A112" s="107" t="n">
        <v>260</v>
      </c>
      <c r="B112" s="107"/>
      <c r="C112" s="11" t="s">
        <v>124</v>
      </c>
      <c r="D112" s="11" t="s">
        <v>124</v>
      </c>
      <c r="E112" s="114" t="n">
        <v>45617</v>
      </c>
      <c r="F112" s="115" t="n">
        <v>105799</v>
      </c>
      <c r="G112" s="115" t="s">
        <v>788</v>
      </c>
      <c r="H112" s="115"/>
      <c r="I112" s="100" t="n">
        <f aca="false">_xlfn.xlookup(C112,Clients!B:B,Clients!W:W,FALSE())</f>
        <v>0</v>
      </c>
      <c r="J112" s="116" t="str">
        <f aca="false">_xlfn.xlookup(C112,Clients!$B$1:$B$1001,Clients!$M$1:$M$1001,FALSE())</f>
        <v>Net 30 jours</v>
      </c>
      <c r="K112" s="100" t="str">
        <f aca="false">_xlfn.xlookup(C112,Clients!B:B,Clients!R:R,FALSE())</f>
        <v>EXW Boucherville</v>
      </c>
      <c r="L112" s="117" t="n">
        <v>45624</v>
      </c>
      <c r="M112" s="98" t="str">
        <f aca="false">_xlfn.xlookup(C112,Clients!B:B,Clients!X:X,FALSE())</f>
        <v>USD</v>
      </c>
      <c r="N112" s="98" t="str">
        <f aca="false">_xlfn.xlookup(C112,Clients!B:B,Clients!Y:Y,FALSE())</f>
        <v>USD</v>
      </c>
      <c r="O112" s="106" t="n">
        <v>40117</v>
      </c>
      <c r="P112" s="106" t="str">
        <f aca="false">_xlfn.xlookup(O112,'Prix vente'!A:A,'Prix vente'!H:H)&amp;"/"&amp;_xlfn.xlookup(O112,'Prix vente'!A:A,'Prix vente'!P:P)</f>
        <v>S15/10</v>
      </c>
      <c r="Q112" s="106" t="n">
        <v>6</v>
      </c>
      <c r="R112" s="106" t="n">
        <f aca="false">Q112*_xlfn.xlookup(O112,'Prix vente'!A:A,'Prix vente'!R:R)</f>
        <v>3600</v>
      </c>
      <c r="S112" s="118"/>
      <c r="T112" s="118" t="e">
        <f aca="false">_xlfn.xlookup(S112,'Prix vente'!$A:$A,'Prix vente'!$H:$H)&amp;"/"&amp;_xlfn.xlookup(S112,'Prix vente'!A:A,'Prix vente'!P:P)</f>
        <v>#NAME?</v>
      </c>
      <c r="U112" s="118"/>
      <c r="V112" s="118" t="str">
        <f aca="false">IFERROR(U112*_xlfn.xlookup(S112,'Prix vente'!$A:$A,'Prix vente'!$R:$R),"")</f>
        <v/>
      </c>
      <c r="W112" s="106"/>
      <c r="X112" s="106"/>
      <c r="Y112" s="106"/>
      <c r="Z112" s="106"/>
      <c r="AA112" s="118"/>
      <c r="AB112" s="118"/>
      <c r="AC112" s="118"/>
      <c r="AD112" s="118"/>
      <c r="AE112" s="119"/>
      <c r="AF112" s="119"/>
      <c r="AG112" s="119"/>
      <c r="AH112" s="119"/>
      <c r="AI112" s="119"/>
      <c r="AJ112" s="119"/>
      <c r="AK112" s="119"/>
      <c r="AL112" s="119"/>
      <c r="AM112" s="119"/>
      <c r="AN112" s="119"/>
      <c r="AO112" s="119"/>
      <c r="AP112" s="119"/>
      <c r="AQ112" s="119"/>
      <c r="AR112" s="119"/>
      <c r="AS112" s="119"/>
      <c r="AT112" s="119"/>
      <c r="AU112" s="119"/>
      <c r="AV112" s="119"/>
      <c r="AW112" s="119"/>
      <c r="AX112" s="119"/>
      <c r="AY112" s="119"/>
      <c r="AZ112" s="119"/>
      <c r="BA112" s="119"/>
      <c r="BB112" s="119"/>
    </row>
    <row r="113" customFormat="false" ht="14.25" hidden="false" customHeight="false" outlineLevel="0" collapsed="false">
      <c r="A113" s="107" t="n">
        <v>261</v>
      </c>
      <c r="B113" s="107"/>
      <c r="C113" s="11" t="s">
        <v>124</v>
      </c>
      <c r="D113" s="11" t="s">
        <v>124</v>
      </c>
      <c r="E113" s="114" t="n">
        <v>45618</v>
      </c>
      <c r="F113" s="115" t="n">
        <v>105844</v>
      </c>
      <c r="G113" s="115" t="s">
        <v>788</v>
      </c>
      <c r="H113" s="115"/>
      <c r="I113" s="100" t="n">
        <f aca="false">_xlfn.xlookup(C113,Clients!B:B,Clients!W:W,FALSE())</f>
        <v>0</v>
      </c>
      <c r="J113" s="116" t="str">
        <f aca="false">_xlfn.xlookup(C113,Clients!$B$1:$B$1001,Clients!$M$1:$M$1001,FALSE())</f>
        <v>Net 30 jours</v>
      </c>
      <c r="K113" s="100" t="str">
        <f aca="false">_xlfn.xlookup(C113,Clients!B:B,Clients!R:R,FALSE())</f>
        <v>EXW Boucherville</v>
      </c>
      <c r="L113" s="117" t="n">
        <v>45625</v>
      </c>
      <c r="M113" s="98" t="str">
        <f aca="false">_xlfn.xlookup(C113,Clients!B:B,Clients!X:X,FALSE())</f>
        <v>USD</v>
      </c>
      <c r="N113" s="98" t="str">
        <f aca="false">_xlfn.xlookup(C113,Clients!B:B,Clients!Y:Y,FALSE())</f>
        <v>USD</v>
      </c>
      <c r="O113" s="106" t="n">
        <v>40177</v>
      </c>
      <c r="P113" s="106" t="str">
        <f aca="false">_xlfn.xlookup(O113,'Prix vente'!A:A,'Prix vente'!H:H)&amp;"/"&amp;_xlfn.xlookup(O113,'Prix vente'!A:A,'Prix vente'!P:P)</f>
        <v>S15/13</v>
      </c>
      <c r="Q113" s="106" t="n">
        <v>4</v>
      </c>
      <c r="R113" s="106" t="n">
        <f aca="false">Q113*_xlfn.xlookup(O113,'Prix vente'!A:A,'Prix vente'!R:R)</f>
        <v>6240</v>
      </c>
      <c r="S113" s="118" t="n">
        <v>40178</v>
      </c>
      <c r="T113" s="118" t="str">
        <f aca="false">_xlfn.xlookup(S113,'Prix vente'!$A:$A,'Prix vente'!$H:$H)&amp;"/"&amp;_xlfn.xlookup(S113,'Prix vente'!A:A,'Prix vente'!P:P)</f>
        <v>S15/8</v>
      </c>
      <c r="U113" s="118" t="n">
        <v>1</v>
      </c>
      <c r="V113" s="118" t="n">
        <f aca="false">IFERROR(U113*_xlfn.xlookup(S113,'Prix vente'!$A:$A,'Prix vente'!$R:$R),"")</f>
        <v>960</v>
      </c>
      <c r="W113" s="106"/>
      <c r="X113" s="106"/>
      <c r="Y113" s="106"/>
      <c r="Z113" s="106"/>
      <c r="AA113" s="118"/>
      <c r="AB113" s="118"/>
      <c r="AC113" s="118"/>
      <c r="AD113" s="118"/>
      <c r="AE113" s="119"/>
      <c r="AF113" s="119"/>
      <c r="AG113" s="119"/>
      <c r="AH113" s="119"/>
      <c r="AI113" s="119"/>
      <c r="AJ113" s="119"/>
      <c r="AK113" s="119"/>
      <c r="AL113" s="119"/>
      <c r="AM113" s="119"/>
      <c r="AN113" s="119"/>
      <c r="AO113" s="119"/>
      <c r="AP113" s="119"/>
      <c r="AQ113" s="119"/>
      <c r="AR113" s="119"/>
      <c r="AS113" s="119"/>
      <c r="AT113" s="119"/>
      <c r="AU113" s="119"/>
      <c r="AV113" s="119"/>
      <c r="AW113" s="119"/>
      <c r="AX113" s="119"/>
      <c r="AY113" s="119"/>
      <c r="AZ113" s="119"/>
      <c r="BA113" s="119"/>
      <c r="BB113" s="119"/>
    </row>
    <row r="114" customFormat="false" ht="14.25" hidden="false" customHeight="false" outlineLevel="0" collapsed="false">
      <c r="A114" s="98" t="n">
        <v>262</v>
      </c>
      <c r="B114" s="98"/>
      <c r="C114" s="11" t="s">
        <v>258</v>
      </c>
      <c r="D114" s="11" t="s">
        <v>258</v>
      </c>
      <c r="E114" s="114" t="n">
        <v>45621</v>
      </c>
      <c r="F114" s="115" t="n">
        <v>2898</v>
      </c>
      <c r="G114" s="115" t="s">
        <v>823</v>
      </c>
      <c r="H114" s="115"/>
      <c r="I114" s="100" t="n">
        <f aca="false">_xlfn.xlookup(C114,Clients!B:B,Clients!W:W,FALSE())</f>
        <v>0</v>
      </c>
      <c r="J114" s="116" t="str">
        <f aca="false">_xlfn.xlookup(C114,Clients!$B$1:$B$1001,Clients!$M$1:$M$1001,FALSE())</f>
        <v>Net 30 days</v>
      </c>
      <c r="K114" s="100" t="str">
        <f aca="false">_xlfn.xlookup(C114,Clients!B:B,Clients!R:R,FALSE())</f>
        <v>Delivery Included</v>
      </c>
      <c r="L114" s="117" t="n">
        <v>45625</v>
      </c>
      <c r="M114" s="98" t="str">
        <f aca="false">_xlfn.xlookup(C114,Clients!B:B,Clients!X:X,FALSE())</f>
        <v>CAD</v>
      </c>
      <c r="N114" s="98" t="str">
        <f aca="false">_xlfn.xlookup(C114,Clients!B:B,Clients!Y:Y,FALSE())</f>
        <v>CAD</v>
      </c>
      <c r="O114" s="106" t="n">
        <v>40179</v>
      </c>
      <c r="P114" s="106" t="str">
        <f aca="false">_xlfn.xlookup(O114,'Prix vente'!A:A,'Prix vente'!H:H)&amp;"/"&amp;_xlfn.xlookup(O114,'Prix vente'!A:A,'Prix vente'!P:P)</f>
        <v>S21/12</v>
      </c>
      <c r="Q114" s="106" t="n">
        <v>5</v>
      </c>
      <c r="R114" s="106" t="n">
        <f aca="false">Q114*_xlfn.xlookup(O114,'Prix vente'!A:A,'Prix vente'!R:R)</f>
        <v>7200</v>
      </c>
      <c r="S114" s="118"/>
      <c r="T114" s="118" t="e">
        <f aca="false">_xlfn.xlookup(S114,'Prix vente'!$A:$A,'Prix vente'!$H:$H)&amp;"/"&amp;_xlfn.xlookup(S114,'Prix vente'!A:A,'Prix vente'!P:P)</f>
        <v>#NAME?</v>
      </c>
      <c r="U114" s="118"/>
      <c r="V114" s="118" t="str">
        <f aca="false">IFERROR(U114*_xlfn.xlookup(S114,'Prix vente'!$A:$A,'Prix vente'!$R:$R),"")</f>
        <v/>
      </c>
      <c r="W114" s="106"/>
      <c r="X114" s="106"/>
      <c r="Y114" s="106"/>
      <c r="Z114" s="106"/>
      <c r="AA114" s="118"/>
      <c r="AB114" s="118"/>
      <c r="AC114" s="118"/>
      <c r="AD114" s="118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19"/>
      <c r="AP114" s="119"/>
      <c r="AQ114" s="119"/>
      <c r="AR114" s="119"/>
      <c r="AS114" s="119"/>
      <c r="AT114" s="119"/>
      <c r="AU114" s="119"/>
      <c r="AV114" s="119"/>
      <c r="AW114" s="119"/>
      <c r="AX114" s="119"/>
      <c r="AY114" s="119"/>
      <c r="AZ114" s="119"/>
      <c r="BA114" s="119"/>
      <c r="BB114" s="119"/>
    </row>
    <row r="115" customFormat="false" ht="14.25" hidden="false" customHeight="false" outlineLevel="0" collapsed="false">
      <c r="A115" s="107" t="n">
        <v>263</v>
      </c>
      <c r="B115" s="107"/>
      <c r="C115" s="11" t="s">
        <v>141</v>
      </c>
      <c r="D115" s="11" t="s">
        <v>141</v>
      </c>
      <c r="E115" s="114" t="n">
        <v>45621</v>
      </c>
      <c r="F115" s="115" t="n">
        <v>9869</v>
      </c>
      <c r="G115" s="115" t="s">
        <v>799</v>
      </c>
      <c r="H115" s="115"/>
      <c r="I115" s="100" t="n">
        <f aca="false">_xlfn.xlookup(C115,Clients!B:B,Clients!W:W,FALSE())</f>
        <v>0</v>
      </c>
      <c r="J115" s="116" t="str">
        <f aca="false">_xlfn.xlookup(C115,Clients!$B$1:$B$1001,Clients!$M$1:$M$1001,FALSE())</f>
        <v>Net 30 jours</v>
      </c>
      <c r="K115" s="100" t="str">
        <f aca="false">_xlfn.xlookup(C115,Clients!B:B,Clients!R:R,FALSE())</f>
        <v>Livraison incluse</v>
      </c>
      <c r="L115" s="117" t="n">
        <v>45628</v>
      </c>
      <c r="M115" s="98" t="str">
        <f aca="false">_xlfn.xlookup(C115,Clients!B:B,Clients!X:X,FALSE())</f>
        <v>CAD</v>
      </c>
      <c r="N115" s="98" t="str">
        <f aca="false">_xlfn.xlookup(C115,Clients!B:B,Clients!Y:Y,FALSE())</f>
        <v>CAD</v>
      </c>
      <c r="O115" s="106" t="n">
        <v>40180</v>
      </c>
      <c r="P115" s="106" t="str">
        <f aca="false">_xlfn.xlookup(O115,'Prix vente'!A:A,'Prix vente'!H:H)&amp;"/"&amp;_xlfn.xlookup(O115,'Prix vente'!A:A,'Prix vente'!P:P)</f>
        <v>D11/9</v>
      </c>
      <c r="Q115" s="106" t="n">
        <v>2</v>
      </c>
      <c r="R115" s="106" t="n">
        <f aca="false">Q115*_xlfn.xlookup(O115,'Prix vente'!A:A,'Prix vente'!R:R)</f>
        <v>2160</v>
      </c>
      <c r="S115" s="118"/>
      <c r="T115" s="118" t="e">
        <f aca="false">_xlfn.xlookup(S115,'Prix vente'!$A:$A,'Prix vente'!$H:$H)&amp;"/"&amp;_xlfn.xlookup(S115,'Prix vente'!A:A,'Prix vente'!P:P)</f>
        <v>#NAME?</v>
      </c>
      <c r="U115" s="118"/>
      <c r="V115" s="118" t="str">
        <f aca="false">IFERROR(U115*_xlfn.xlookup(S115,'Prix vente'!$A:$A,'Prix vente'!$R:$R),"")</f>
        <v/>
      </c>
      <c r="W115" s="106"/>
      <c r="X115" s="106"/>
      <c r="Y115" s="106"/>
      <c r="Z115" s="106"/>
      <c r="AA115" s="118"/>
      <c r="AB115" s="118"/>
      <c r="AC115" s="118"/>
      <c r="AD115" s="118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19"/>
      <c r="AQ115" s="119"/>
      <c r="AR115" s="119"/>
      <c r="AS115" s="119"/>
      <c r="AT115" s="119"/>
      <c r="AU115" s="119"/>
      <c r="AV115" s="119"/>
      <c r="AW115" s="119"/>
      <c r="AX115" s="119"/>
      <c r="AY115" s="119"/>
      <c r="AZ115" s="119"/>
      <c r="BA115" s="119"/>
      <c r="BB115" s="119"/>
    </row>
    <row r="116" customFormat="false" ht="14.25" hidden="false" customHeight="false" outlineLevel="0" collapsed="false">
      <c r="A116" s="107" t="n">
        <v>264</v>
      </c>
      <c r="B116" s="107"/>
      <c r="C116" s="11" t="s">
        <v>134</v>
      </c>
      <c r="D116" s="11" t="s">
        <v>134</v>
      </c>
      <c r="E116" s="114" t="n">
        <v>45621</v>
      </c>
      <c r="F116" s="115" t="n">
        <v>1952</v>
      </c>
      <c r="G116" s="115" t="s">
        <v>773</v>
      </c>
      <c r="H116" s="115"/>
      <c r="I116" s="100" t="n">
        <f aca="false">_xlfn.xlookup(C116,Clients!B:B,Clients!W:W,FALSE())</f>
        <v>0</v>
      </c>
      <c r="J116" s="116" t="str">
        <f aca="false">_xlfn.xlookup(C116,Clients!$B$1:$B$1001,Clients!$M$1:$M$1001,FALSE())</f>
        <v>Net 30 jours</v>
      </c>
      <c r="K116" s="100" t="s">
        <v>64</v>
      </c>
      <c r="L116" s="117" t="n">
        <v>45665</v>
      </c>
      <c r="M116" s="98" t="str">
        <f aca="false">_xlfn.xlookup(C116,Clients!B:B,Clients!X:X,FALSE())</f>
        <v>CAD</v>
      </c>
      <c r="N116" s="98" t="str">
        <f aca="false">_xlfn.xlookup(C116,Clients!B:B,Clients!Y:Y,FALSE())</f>
        <v>CAD</v>
      </c>
      <c r="O116" s="106" t="n">
        <v>40181</v>
      </c>
      <c r="P116" s="106" t="str">
        <f aca="false">_xlfn.xlookup(O116,'Prix vente'!A:A,'Prix vente'!H:H)&amp;"/"&amp;_xlfn.xlookup(O116,'Prix vente'!A:A,'Prix vente'!P:P)</f>
        <v>T11/8.625</v>
      </c>
      <c r="Q116" s="106" t="n">
        <v>28</v>
      </c>
      <c r="R116" s="106" t="n">
        <f aca="false">Q116*_xlfn.xlookup(O116,'Prix vente'!A:A,'Prix vente'!R:R)</f>
        <v>28980</v>
      </c>
      <c r="S116" s="118" t="n">
        <v>40182</v>
      </c>
      <c r="T116" s="118" t="str">
        <f aca="false">_xlfn.xlookup(S116,'Prix vente'!$A:$A,'Prix vente'!$H:$H)&amp;"/"&amp;_xlfn.xlookup(S116,'Prix vente'!A:A,'Prix vente'!P:P)</f>
        <v>T11/8.625</v>
      </c>
      <c r="U116" s="118" t="n">
        <v>7</v>
      </c>
      <c r="V116" s="118" t="n">
        <f aca="false">IFERROR(U116*_xlfn.xlookup(S116,'Prix vente'!$A:$A,'Prix vente'!$R:$R),"")</f>
        <v>3622.5</v>
      </c>
      <c r="W116" s="106"/>
      <c r="X116" s="106"/>
      <c r="Y116" s="106"/>
      <c r="Z116" s="106"/>
      <c r="AA116" s="118"/>
      <c r="AB116" s="118"/>
      <c r="AC116" s="118"/>
      <c r="AD116" s="118"/>
      <c r="AE116" s="119"/>
      <c r="AF116" s="119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19"/>
      <c r="AQ116" s="119"/>
      <c r="AR116" s="119"/>
      <c r="AS116" s="119"/>
      <c r="AT116" s="119"/>
      <c r="AU116" s="119"/>
      <c r="AV116" s="119"/>
      <c r="AW116" s="119"/>
      <c r="AX116" s="119"/>
      <c r="AY116" s="119"/>
      <c r="AZ116" s="119"/>
      <c r="BA116" s="119"/>
      <c r="BB116" s="119"/>
    </row>
    <row r="117" customFormat="false" ht="14.25" hidden="false" customHeight="false" outlineLevel="0" collapsed="false">
      <c r="A117" s="107" t="n">
        <v>265</v>
      </c>
      <c r="B117" s="107"/>
      <c r="C117" s="11" t="s">
        <v>141</v>
      </c>
      <c r="D117" s="11" t="s">
        <v>141</v>
      </c>
      <c r="E117" s="114" t="n">
        <v>45622</v>
      </c>
      <c r="F117" s="115" t="n">
        <v>9875</v>
      </c>
      <c r="G117" s="115" t="s">
        <v>830</v>
      </c>
      <c r="H117" s="115"/>
      <c r="I117" s="100" t="n">
        <f aca="false">_xlfn.xlookup(C117,Clients!B:B,Clients!W:W,FALSE())</f>
        <v>0</v>
      </c>
      <c r="J117" s="116" t="str">
        <f aca="false">_xlfn.xlookup(C117,Clients!$B$1:$B$1001,Clients!$M$1:$M$1001,FALSE())</f>
        <v>Net 30 jours</v>
      </c>
      <c r="K117" s="100" t="str">
        <f aca="false">_xlfn.xlookup(C117,Clients!B:B,Clients!R:R,FALSE())</f>
        <v>Livraison incluse</v>
      </c>
      <c r="L117" s="117" t="n">
        <v>45629</v>
      </c>
      <c r="M117" s="98" t="str">
        <f aca="false">_xlfn.xlookup(C117,Clients!B:B,Clients!X:X,FALSE())</f>
        <v>CAD</v>
      </c>
      <c r="N117" s="98" t="str">
        <f aca="false">_xlfn.xlookup(C117,Clients!B:B,Clients!Y:Y,FALSE())</f>
        <v>CAD</v>
      </c>
      <c r="O117" s="106" t="n">
        <v>40096</v>
      </c>
      <c r="P117" s="106" t="str">
        <f aca="false">_xlfn.xlookup(O117,'Prix vente'!A:A,'Prix vente'!H:H)&amp;"/"&amp;_xlfn.xlookup(O117,'Prix vente'!A:A,'Prix vente'!P:P)</f>
        <v>B25/13</v>
      </c>
      <c r="Q117" s="106" t="n">
        <v>16</v>
      </c>
      <c r="R117" s="106" t="n">
        <f aca="false">Q117*_xlfn.xlookup(O117,'Prix vente'!A:A,'Prix vente'!R:R)</f>
        <v>12480</v>
      </c>
      <c r="S117" s="118" t="n">
        <v>40097</v>
      </c>
      <c r="T117" s="118" t="str">
        <f aca="false">_xlfn.xlookup(S117,'Prix vente'!$A:$A,'Prix vente'!$H:$H)&amp;"/"&amp;_xlfn.xlookup(S117,'Prix vente'!A:A,'Prix vente'!P:P)</f>
        <v>B25/8</v>
      </c>
      <c r="U117" s="118" t="n">
        <v>4</v>
      </c>
      <c r="V117" s="118" t="n">
        <f aca="false">IFERROR(U117*_xlfn.xlookup(S117,'Prix vente'!$A:$A,'Prix vente'!$R:$R),"")</f>
        <v>1920</v>
      </c>
      <c r="W117" s="106"/>
      <c r="X117" s="106"/>
      <c r="Y117" s="106"/>
      <c r="Z117" s="106"/>
      <c r="AA117" s="118"/>
      <c r="AB117" s="118"/>
      <c r="AC117" s="118"/>
      <c r="AD117" s="118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19"/>
      <c r="AQ117" s="119"/>
      <c r="AR117" s="119"/>
      <c r="AS117" s="119"/>
      <c r="AT117" s="119"/>
      <c r="AU117" s="119"/>
      <c r="AV117" s="119"/>
      <c r="AW117" s="119"/>
      <c r="AX117" s="119"/>
      <c r="AY117" s="119"/>
      <c r="AZ117" s="119"/>
      <c r="BA117" s="119"/>
      <c r="BB117" s="119"/>
    </row>
    <row r="118" customFormat="false" ht="14.25" hidden="false" customHeight="false" outlineLevel="0" collapsed="false">
      <c r="A118" s="107" t="n">
        <v>266</v>
      </c>
      <c r="B118" s="107"/>
      <c r="C118" s="11" t="s">
        <v>134</v>
      </c>
      <c r="D118" s="11" t="s">
        <v>134</v>
      </c>
      <c r="E118" s="114" t="n">
        <v>45623</v>
      </c>
      <c r="F118" s="115" t="n">
        <v>1954</v>
      </c>
      <c r="G118" s="115" t="s">
        <v>773</v>
      </c>
      <c r="H118" s="115"/>
      <c r="I118" s="100" t="n">
        <f aca="false">_xlfn.xlookup(C118,Clients!B:B,Clients!W:W,FALSE())</f>
        <v>0</v>
      </c>
      <c r="J118" s="116" t="str">
        <f aca="false">_xlfn.xlookup(C118,Clients!$B$1:$B$1001,Clients!$M$1:$M$1001,FALSE())</f>
        <v>Net 30 jours</v>
      </c>
      <c r="K118" s="100" t="str">
        <f aca="false">_xlfn.xlookup(C118,Clients!B:B,Clients!R:R,FALSE())</f>
        <v>EXW Boucherville</v>
      </c>
      <c r="L118" s="117" t="n">
        <v>45625</v>
      </c>
      <c r="M118" s="98" t="str">
        <f aca="false">_xlfn.xlookup(C118,Clients!B:B,Clients!X:X,FALSE())</f>
        <v>CAD</v>
      </c>
      <c r="N118" s="98" t="str">
        <f aca="false">_xlfn.xlookup(C118,Clients!B:B,Clients!Y:Y,FALSE())</f>
        <v>CAD</v>
      </c>
      <c r="O118" s="106" t="n">
        <v>40183</v>
      </c>
      <c r="P118" s="106" t="str">
        <f aca="false">_xlfn.xlookup(O118,'Prix vente'!A:A,'Prix vente'!H:H)&amp;"/"&amp;_xlfn.xlookup(O118,'Prix vente'!A:A,'Prix vente'!P:P)</f>
        <v>S21/10.75</v>
      </c>
      <c r="Q118" s="106" t="n">
        <v>4</v>
      </c>
      <c r="R118" s="106" t="n">
        <f aca="false">Q118*_xlfn.xlookup(O118,'Prix vente'!A:A,'Prix vente'!R:R)</f>
        <v>2580</v>
      </c>
      <c r="S118" s="118" t="n">
        <v>40184</v>
      </c>
      <c r="T118" s="118" t="str">
        <f aca="false">_xlfn.xlookup(S118,'Prix vente'!$A:$A,'Prix vente'!$H:$H)&amp;"/"&amp;_xlfn.xlookup(S118,'Prix vente'!A:A,'Prix vente'!P:P)</f>
        <v>S21/6</v>
      </c>
      <c r="U118" s="118" t="n">
        <v>2</v>
      </c>
      <c r="V118" s="118" t="n">
        <f aca="false">IFERROR(U118*_xlfn.xlookup(S118,'Prix vente'!$A:$A,'Prix vente'!$R:$R),"")</f>
        <v>720</v>
      </c>
      <c r="W118" s="106" t="n">
        <v>40185</v>
      </c>
      <c r="X118" s="106" t="str">
        <f aca="false">_xlfn.xlookup(W118,'Prix vente'!$A:$A,'Prix vente'!$H:$H)&amp;"/"&amp;_xlfn.xlookup(W118,'Prix vente'!A:A,'Prix vente'!P:P)</f>
        <v>S21/5</v>
      </c>
      <c r="Y118" s="106" t="n">
        <v>1</v>
      </c>
      <c r="Z118" s="106" t="n">
        <f aca="false">IFERROR(Y118*_xlfn.xlookup(W118,'Prix vente'!$A:$A,'Prix vente'!$R:$R),"")</f>
        <v>300</v>
      </c>
      <c r="AA118" s="118"/>
      <c r="AB118" s="118"/>
      <c r="AC118" s="118"/>
      <c r="AD118" s="118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19"/>
      <c r="AQ118" s="119"/>
      <c r="AR118" s="119"/>
      <c r="AS118" s="119"/>
      <c r="AT118" s="119"/>
      <c r="AU118" s="119"/>
      <c r="AV118" s="119"/>
      <c r="AW118" s="119"/>
      <c r="AX118" s="119"/>
      <c r="AY118" s="119"/>
      <c r="AZ118" s="119"/>
      <c r="BA118" s="119"/>
      <c r="BB118" s="119"/>
    </row>
    <row r="119" customFormat="false" ht="14.25" hidden="false" customHeight="false" outlineLevel="0" collapsed="false">
      <c r="A119" s="107" t="n">
        <v>267</v>
      </c>
      <c r="B119" s="107"/>
      <c r="C119" s="11" t="s">
        <v>258</v>
      </c>
      <c r="D119" s="11" t="s">
        <v>258</v>
      </c>
      <c r="E119" s="114" t="n">
        <v>45623</v>
      </c>
      <c r="F119" s="115" t="n">
        <v>2905</v>
      </c>
      <c r="G119" s="115" t="s">
        <v>831</v>
      </c>
      <c r="H119" s="115"/>
      <c r="I119" s="100" t="n">
        <f aca="false">_xlfn.xlookup(C119,Clients!B:B,Clients!W:W,FALSE())</f>
        <v>0</v>
      </c>
      <c r="J119" s="116" t="str">
        <f aca="false">_xlfn.xlookup(C119,Clients!$B$1:$B$1001,Clients!$M$1:$M$1001,FALSE())</f>
        <v>Net 30 days</v>
      </c>
      <c r="K119" s="100" t="str">
        <f aca="false">_xlfn.xlookup(C119,Clients!B:B,Clients!R:R,FALSE())</f>
        <v>Delivery Included</v>
      </c>
      <c r="L119" s="117" t="n">
        <v>45629</v>
      </c>
      <c r="M119" s="98" t="str">
        <f aca="false">_xlfn.xlookup(C119,Clients!B:B,Clients!X:X,FALSE())</f>
        <v>CAD</v>
      </c>
      <c r="N119" s="98" t="str">
        <f aca="false">_xlfn.xlookup(C119,Clients!B:B,Clients!Y:Y,FALSE())</f>
        <v>CAD</v>
      </c>
      <c r="O119" s="106" t="n">
        <v>40186</v>
      </c>
      <c r="P119" s="106" t="str">
        <f aca="false">_xlfn.xlookup(O119,'Prix vente'!A:A,'Prix vente'!H:H)&amp;"/"&amp;_xlfn.xlookup(O119,'Prix vente'!A:A,'Prix vente'!P:P)</f>
        <v>B25/13</v>
      </c>
      <c r="Q119" s="106" t="n">
        <v>2</v>
      </c>
      <c r="R119" s="106" t="n">
        <f aca="false">Q119*_xlfn.xlookup(O119,'Prix vente'!A:A,'Prix vente'!R:R)</f>
        <v>3120</v>
      </c>
      <c r="S119" s="118" t="n">
        <v>40187</v>
      </c>
      <c r="T119" s="118" t="str">
        <f aca="false">_xlfn.xlookup(S119,'Prix vente'!$A:$A,'Prix vente'!$H:$H)&amp;"/"&amp;_xlfn.xlookup(S119,'Prix vente'!A:A,'Prix vente'!P:P)</f>
        <v>B25/12.5</v>
      </c>
      <c r="U119" s="118" t="n">
        <v>2</v>
      </c>
      <c r="V119" s="118" t="n">
        <f aca="false">IFERROR(U119*_xlfn.xlookup(S119,'Prix vente'!$A:$A,'Prix vente'!$R:$R),"")</f>
        <v>3000</v>
      </c>
      <c r="W119" s="106" t="n">
        <v>40188</v>
      </c>
      <c r="X119" s="106" t="str">
        <f aca="false">_xlfn.xlookup(W119,'Prix vente'!$A:$A,'Prix vente'!$H:$H)&amp;"/"&amp;_xlfn.xlookup(W119,'Prix vente'!$A:$A,'Prix vente'!P:P)</f>
        <v>B25/9</v>
      </c>
      <c r="Y119" s="106" t="n">
        <v>1</v>
      </c>
      <c r="Z119" s="106" t="n">
        <f aca="false">IFERROR(Y119*_xlfn.xlookup(W119,'Prix vente'!$A:$A,'Prix vente'!$R:$R),"")</f>
        <v>1080</v>
      </c>
      <c r="AA119" s="118" t="n">
        <v>40189</v>
      </c>
      <c r="AB119" s="118" t="str">
        <f aca="false">_xlfn.xlookup(AA119,'Prix vente'!$A:$A,'Prix vente'!$H:$H)&amp;"/"&amp;_xlfn.xlookup(AA119,'Prix vente'!$A:$A,'Prix vente'!$P:$P)</f>
        <v>B15/13</v>
      </c>
      <c r="AC119" s="118" t="n">
        <v>7</v>
      </c>
      <c r="AD119" s="118" t="n">
        <f aca="false">IFERROR(AC119*_xlfn.xlookup(AA119,'Prix vente'!$A:$A,'Prix vente'!$R:$R),"")</f>
        <v>10920</v>
      </c>
      <c r="AE119" s="119" t="n">
        <v>40190</v>
      </c>
      <c r="AF119" s="105" t="str">
        <f aca="false">_xlfn.xlookup(AE119,'Prix vente'!$A:$A,'Prix vente'!$H:$H)&amp;"/"&amp;_xlfn.xlookup(AE119,'Prix vente'!$A:$A,'Prix vente'!$P:$P)</f>
        <v>B15/12.5</v>
      </c>
      <c r="AG119" s="119" t="n">
        <v>5</v>
      </c>
      <c r="AH119" s="119" t="n">
        <f aca="false">IFERROR(AG119*_xlfn.xlookup(AE119,'Prix vente'!$A:$A,'Prix vente'!$R:$R),"")</f>
        <v>7500</v>
      </c>
      <c r="AI119" s="119" t="n">
        <v>40191</v>
      </c>
      <c r="AJ119" s="105" t="str">
        <f aca="false">_xlfn.xlookup(AI119,'Prix vente'!$A:$A,'Prix vente'!$H:$H)&amp;"/"&amp;_xlfn.xlookup(AI119,'Prix vente'!$A:$A,'Prix vente'!$P:$P)</f>
        <v>B15/9</v>
      </c>
      <c r="AK119" s="119" t="n">
        <v>2</v>
      </c>
      <c r="AL119" s="119" t="n">
        <f aca="false">IFERROR(AK119*_xlfn.xlookup(AI119,'Prix vente'!$A:$A,'Prix vente'!$R:$R),"")</f>
        <v>2160</v>
      </c>
      <c r="AM119" s="119" t="n">
        <v>40192</v>
      </c>
      <c r="AN119" s="105" t="str">
        <f aca="false">_xlfn.xlookup(AM119,'Prix vente'!$A:$A,'Prix vente'!$H:$H)&amp;"/"&amp;_xlfn.xlookup(AM119,'Prix vente'!$A:$A,'Prix vente'!$P:$P)</f>
        <v>B15/8.5</v>
      </c>
      <c r="AO119" s="119" t="n">
        <v>1</v>
      </c>
      <c r="AP119" s="119" t="n">
        <f aca="false">IFERROR(AO119*_xlfn.xlookup(AM119,'Prix vente'!$A:$A,'Prix vente'!$R:$R),"")</f>
        <v>1020</v>
      </c>
      <c r="AQ119" s="119" t="n">
        <v>40194</v>
      </c>
      <c r="AR119" s="105" t="str">
        <f aca="false">_xlfn.xlookup(AQ119,'Prix vente'!$A:$A,'Prix vente'!$H:$H)&amp;"/"&amp;_xlfn.xlookup(AQ119,'Prix vente'!$A:$A,'Prix vente'!$P:$P)</f>
        <v>S15/12</v>
      </c>
      <c r="AS119" s="119" t="n">
        <v>1</v>
      </c>
      <c r="AT119" s="119" t="n">
        <f aca="false">IFERROR(AS119*_xlfn.xlookup(AQ119,'Prix vente'!$A:$A,'Prix vente'!$R:$R),"")</f>
        <v>288</v>
      </c>
      <c r="AU119" s="119"/>
      <c r="AV119" s="105"/>
      <c r="AW119" s="119"/>
      <c r="AX119" s="119"/>
      <c r="AY119" s="119"/>
      <c r="AZ119" s="105"/>
      <c r="BA119" s="119"/>
      <c r="BB119" s="119"/>
    </row>
    <row r="120" customFormat="false" ht="14.25" hidden="false" customHeight="false" outlineLevel="0" collapsed="false">
      <c r="A120" s="107" t="n">
        <v>268</v>
      </c>
      <c r="B120" s="107"/>
      <c r="C120" s="11" t="s">
        <v>141</v>
      </c>
      <c r="D120" s="11" t="s">
        <v>141</v>
      </c>
      <c r="E120" s="114" t="n">
        <v>45623</v>
      </c>
      <c r="F120" s="115" t="n">
        <v>9889</v>
      </c>
      <c r="G120" s="115" t="s">
        <v>830</v>
      </c>
      <c r="H120" s="115"/>
      <c r="I120" s="100" t="n">
        <f aca="false">_xlfn.xlookup(C120,Clients!B:B,Clients!W:W,FALSE())</f>
        <v>0</v>
      </c>
      <c r="J120" s="116" t="str">
        <f aca="false">_xlfn.xlookup(C120,Clients!$B$1:$B$1001,Clients!$M$1:$M$1001,FALSE())</f>
        <v>Net 30 jours</v>
      </c>
      <c r="K120" s="100" t="str">
        <f aca="false">_xlfn.xlookup(C120,Clients!B:B,Clients!R:R,FALSE())</f>
        <v>Livraison incluse</v>
      </c>
      <c r="L120" s="117" t="n">
        <v>45630</v>
      </c>
      <c r="M120" s="98" t="str">
        <f aca="false">_xlfn.xlookup(C120,Clients!B:B,Clients!X:X,FALSE())</f>
        <v>CAD</v>
      </c>
      <c r="N120" s="98" t="str">
        <f aca="false">_xlfn.xlookup(C120,Clients!B:B,Clients!Y:Y,FALSE())</f>
        <v>CAD</v>
      </c>
      <c r="O120" s="106" t="n">
        <v>40193</v>
      </c>
      <c r="P120" s="106" t="str">
        <f aca="false">_xlfn.xlookup(O120,'Prix vente'!A:A,'Prix vente'!H:H)&amp;"/"&amp;_xlfn.xlookup(O120,'Prix vente'!A:A,'Prix vente'!P:P)</f>
        <v>B25/10</v>
      </c>
      <c r="Q120" s="106" t="n">
        <v>6</v>
      </c>
      <c r="R120" s="106" t="n">
        <f aca="false">Q120*_xlfn.xlookup(O120,'Prix vente'!A:A,'Prix vente'!R:R)</f>
        <v>7200</v>
      </c>
      <c r="S120" s="118"/>
      <c r="T120" s="118" t="e">
        <f aca="false">_xlfn.xlookup(S120,'Prix vente'!$A:$A,'Prix vente'!$H:$H)&amp;"/"&amp;_xlfn.xlookup(S120,'Prix vente'!A:A,'Prix vente'!P:P)</f>
        <v>#NAME?</v>
      </c>
      <c r="U120" s="118"/>
      <c r="V120" s="118" t="str">
        <f aca="false">IFERROR(U120*_xlfn.xlookup(S120,'Prix vente'!$A:$A,'Prix vente'!$R:$R),"")</f>
        <v/>
      </c>
      <c r="W120" s="106"/>
      <c r="X120" s="106" t="e">
        <f aca="false">_xlfn.xlookup(W120,'Prix vente'!$A:$A,'Prix vente'!$H:$H)&amp;"/"&amp;_xlfn.xlookup(W120,'Prix vente'!A:A,'Prix vente'!P:P)</f>
        <v>#NAME?</v>
      </c>
      <c r="Y120" s="106"/>
      <c r="Z120" s="106" t="str">
        <f aca="false">IFERROR(Y120*_xlfn.xlookup(W120,'Prix vente'!$A:$A,'Prix vente'!$R:$R),"")</f>
        <v/>
      </c>
      <c r="AA120" s="118"/>
      <c r="AB120" s="118"/>
      <c r="AC120" s="118"/>
      <c r="AD120" s="118"/>
      <c r="AE120" s="119"/>
      <c r="AF120" s="105"/>
      <c r="AG120" s="119"/>
      <c r="AH120" s="119"/>
      <c r="AI120" s="119"/>
      <c r="AJ120" s="105"/>
      <c r="AK120" s="119"/>
      <c r="AL120" s="119"/>
      <c r="AM120" s="119"/>
      <c r="AN120" s="105"/>
      <c r="AO120" s="119"/>
      <c r="AP120" s="119"/>
      <c r="AQ120" s="119"/>
      <c r="AR120" s="105"/>
      <c r="AS120" s="119"/>
      <c r="AT120" s="119"/>
      <c r="AU120" s="119"/>
      <c r="AV120" s="105"/>
      <c r="AW120" s="119"/>
      <c r="AX120" s="119"/>
      <c r="AY120" s="119"/>
      <c r="AZ120" s="105"/>
      <c r="BA120" s="119"/>
      <c r="BB120" s="119"/>
    </row>
    <row r="121" customFormat="false" ht="14.25" hidden="false" customHeight="false" outlineLevel="0" collapsed="false">
      <c r="A121" s="107" t="n">
        <v>269</v>
      </c>
      <c r="B121" s="107"/>
      <c r="C121" s="11" t="s">
        <v>124</v>
      </c>
      <c r="D121" s="11" t="s">
        <v>124</v>
      </c>
      <c r="E121" s="114" t="n">
        <v>45624</v>
      </c>
      <c r="F121" s="115" t="n">
        <v>105970</v>
      </c>
      <c r="G121" s="115" t="s">
        <v>788</v>
      </c>
      <c r="H121" s="115"/>
      <c r="I121" s="100" t="n">
        <f aca="false">_xlfn.xlookup(C121,Clients!B:B,Clients!W:W,FALSE())</f>
        <v>0</v>
      </c>
      <c r="J121" s="116" t="str">
        <f aca="false">_xlfn.xlookup(C121,Clients!$B$1:$B$1001,Clients!$M$1:$M$1001,FALSE())</f>
        <v>Net 30 jours</v>
      </c>
      <c r="K121" s="100" t="str">
        <f aca="false">_xlfn.xlookup(C121,Clients!B:B,Clients!R:R,FALSE())</f>
        <v>EXW Boucherville</v>
      </c>
      <c r="L121" s="117" t="n">
        <v>45628</v>
      </c>
      <c r="M121" s="98" t="str">
        <f aca="false">_xlfn.xlookup(C121,Clients!B:B,Clients!X:X,FALSE())</f>
        <v>USD</v>
      </c>
      <c r="N121" s="98" t="str">
        <f aca="false">_xlfn.xlookup(C121,Clients!B:B,Clients!Y:Y,FALSE())</f>
        <v>USD</v>
      </c>
      <c r="O121" s="106" t="n">
        <v>40084</v>
      </c>
      <c r="P121" s="106" t="str">
        <f aca="false">_xlfn.xlookup(O121,'Prix vente'!A:A,'Prix vente'!H:H)&amp;"/"&amp;_xlfn.xlookup(O121,'Prix vente'!A:A,'Prix vente'!P:P)</f>
        <v>B25/12</v>
      </c>
      <c r="Q121" s="106" t="n">
        <v>5</v>
      </c>
      <c r="R121" s="106" t="n">
        <f aca="false">Q121*_xlfn.xlookup(O121,'Prix vente'!A:A,'Prix vente'!R:R)</f>
        <v>3600</v>
      </c>
      <c r="S121" s="118"/>
      <c r="T121" s="118" t="e">
        <f aca="false">_xlfn.xlookup(S121,'Prix vente'!$A:$A,'Prix vente'!$H:$H)&amp;"/"&amp;_xlfn.xlookup(S121,'Prix vente'!A:A,'Prix vente'!P:P)</f>
        <v>#NAME?</v>
      </c>
      <c r="U121" s="118"/>
      <c r="V121" s="118" t="str">
        <f aca="false">IFERROR(U121*_xlfn.xlookup(S121,'Prix vente'!$A:$A,'Prix vente'!$R:$R),"")</f>
        <v/>
      </c>
      <c r="W121" s="106"/>
      <c r="X121" s="106" t="e">
        <f aca="false">_xlfn.xlookup(W121,'Prix vente'!$A:$A,'Prix vente'!$H:$H)&amp;"/"&amp;_xlfn.xlookup(W121,'Prix vente'!A:A,'Prix vente'!P:P)</f>
        <v>#NAME?</v>
      </c>
      <c r="Y121" s="106"/>
      <c r="Z121" s="106" t="str">
        <f aca="false">IFERROR(Y121*_xlfn.xlookup(W121,'Prix vente'!$A:$A,'Prix vente'!$R:$R),"")</f>
        <v/>
      </c>
      <c r="AA121" s="118"/>
      <c r="AB121" s="118"/>
      <c r="AC121" s="118"/>
      <c r="AD121" s="118"/>
      <c r="AE121" s="119"/>
      <c r="AF121" s="105"/>
      <c r="AG121" s="119"/>
      <c r="AH121" s="119"/>
      <c r="AI121" s="119"/>
      <c r="AJ121" s="105"/>
      <c r="AK121" s="119"/>
      <c r="AL121" s="119"/>
      <c r="AM121" s="119"/>
      <c r="AN121" s="105"/>
      <c r="AO121" s="119"/>
      <c r="AP121" s="119"/>
      <c r="AQ121" s="119"/>
      <c r="AR121" s="105"/>
      <c r="AS121" s="119"/>
      <c r="AT121" s="119"/>
      <c r="AU121" s="119"/>
      <c r="AV121" s="105"/>
      <c r="AW121" s="119"/>
      <c r="AX121" s="119"/>
      <c r="AY121" s="119"/>
      <c r="AZ121" s="105"/>
      <c r="BA121" s="119"/>
      <c r="BB121" s="119"/>
    </row>
    <row r="122" customFormat="false" ht="14.25" hidden="false" customHeight="false" outlineLevel="0" collapsed="false">
      <c r="A122" s="107" t="n">
        <v>270</v>
      </c>
      <c r="B122" s="107"/>
      <c r="C122" s="11" t="s">
        <v>276</v>
      </c>
      <c r="D122" s="11" t="s">
        <v>276</v>
      </c>
      <c r="E122" s="114" t="n">
        <v>45624</v>
      </c>
      <c r="F122" s="115" t="s">
        <v>778</v>
      </c>
      <c r="G122" s="115" t="s">
        <v>281</v>
      </c>
      <c r="H122" s="115"/>
      <c r="I122" s="100" t="n">
        <f aca="false">_xlfn.xlookup(C122,Clients!B:B,Clients!W:W,FALSE())</f>
        <v>0</v>
      </c>
      <c r="J122" s="116" t="str">
        <f aca="false">_xlfn.xlookup(C122,Clients!$B$1:$B$1001,Clients!$M$1:$M$1001,FALSE())</f>
        <v>Net 30 jours</v>
      </c>
      <c r="K122" s="100" t="str">
        <f aca="false">_xlfn.xlookup(C122,Clients!B:B,Clients!R:R,FALSE())</f>
        <v>Livraison incluse</v>
      </c>
      <c r="L122" s="117" t="n">
        <v>45632</v>
      </c>
      <c r="M122" s="98" t="str">
        <f aca="false">_xlfn.xlookup(C122,Clients!B:B,Clients!X:X,FALSE())</f>
        <v>CAD</v>
      </c>
      <c r="N122" s="98" t="str">
        <f aca="false">_xlfn.xlookup(C122,Clients!B:B,Clients!Y:Y,FALSE())</f>
        <v>CAD</v>
      </c>
      <c r="O122" s="106" t="n">
        <v>40195</v>
      </c>
      <c r="P122" s="106" t="str">
        <f aca="false">_xlfn.xlookup(O122,'Prix vente'!A:A,'Prix vente'!H:H)&amp;"/"&amp;_xlfn.xlookup(O122,'Prix vente'!A:A,'Prix vente'!P:P)</f>
        <v>D11/10</v>
      </c>
      <c r="Q122" s="106" t="n">
        <v>1</v>
      </c>
      <c r="R122" s="106" t="n">
        <f aca="false">Q122*_xlfn.xlookup(O122,'Prix vente'!A:A,'Prix vente'!R:R)</f>
        <v>300</v>
      </c>
      <c r="S122" s="118" t="n">
        <v>40196</v>
      </c>
      <c r="T122" s="118" t="str">
        <f aca="false">_xlfn.xlookup(S122,'Prix vente'!$A:$A,'Prix vente'!$H:$H)&amp;"/"&amp;_xlfn.xlookup(S122,'Prix vente'!A:A,'Prix vente'!P:P)</f>
        <v>T11/10</v>
      </c>
      <c r="U122" s="118" t="n">
        <v>1</v>
      </c>
      <c r="V122" s="118" t="n">
        <f aca="false">IFERROR(U122*_xlfn.xlookup(S122,'Prix vente'!$A:$A,'Prix vente'!$R:$R),"")</f>
        <v>300</v>
      </c>
      <c r="W122" s="106" t="n">
        <v>40197</v>
      </c>
      <c r="X122" s="106" t="str">
        <f aca="false">_xlfn.xlookup(W122,'Prix vente'!$A:$A,'Prix vente'!$H:$H)&amp;"/"&amp;_xlfn.xlookup(W122,'Prix vente'!A:A,'Prix vente'!P:P)</f>
        <v>S15/10</v>
      </c>
      <c r="Y122" s="106" t="n">
        <v>1</v>
      </c>
      <c r="Z122" s="106" t="n">
        <f aca="false">IFERROR(Y122*_xlfn.xlookup(W122,'Prix vente'!$A:$A,'Prix vente'!$R:$R),"")</f>
        <v>300</v>
      </c>
      <c r="AA122" s="118"/>
      <c r="AB122" s="118"/>
      <c r="AC122" s="118"/>
      <c r="AD122" s="118"/>
      <c r="AE122" s="119"/>
      <c r="AF122" s="105"/>
      <c r="AG122" s="119"/>
      <c r="AH122" s="119"/>
      <c r="AI122" s="119"/>
      <c r="AJ122" s="105"/>
      <c r="AK122" s="119"/>
      <c r="AL122" s="119"/>
      <c r="AM122" s="119"/>
      <c r="AN122" s="105"/>
      <c r="AO122" s="119"/>
      <c r="AP122" s="119"/>
      <c r="AQ122" s="119"/>
      <c r="AR122" s="105"/>
      <c r="AS122" s="119"/>
      <c r="AT122" s="119"/>
      <c r="AU122" s="119"/>
      <c r="AV122" s="105"/>
      <c r="AW122" s="119"/>
      <c r="AX122" s="119"/>
      <c r="AY122" s="119"/>
      <c r="AZ122" s="105"/>
      <c r="BA122" s="119"/>
      <c r="BB122" s="119"/>
    </row>
    <row r="123" customFormat="false" ht="14.25" hidden="false" customHeight="false" outlineLevel="0" collapsed="false">
      <c r="A123" s="107" t="n">
        <v>271</v>
      </c>
      <c r="B123" s="107"/>
      <c r="C123" s="11" t="s">
        <v>178</v>
      </c>
      <c r="D123" s="11" t="s">
        <v>178</v>
      </c>
      <c r="E123" s="114" t="n">
        <v>45624</v>
      </c>
      <c r="F123" s="115" t="n">
        <v>14302</v>
      </c>
      <c r="G123" s="115" t="s">
        <v>791</v>
      </c>
      <c r="H123" s="115"/>
      <c r="I123" s="100" t="n">
        <f aca="false">_xlfn.xlookup(C123,Clients!B:B,Clients!W:W,FALSE())</f>
        <v>0</v>
      </c>
      <c r="J123" s="116" t="str">
        <f aca="false">_xlfn.xlookup(C123,Clients!$B$1:$B$1001,Clients!$M$1:$M$1001,FALSE())</f>
        <v>Net 30 jours</v>
      </c>
      <c r="K123" s="100" t="str">
        <f aca="false">_xlfn.xlookup(C123,Clients!B:B,Clients!R:R,FALSE())</f>
        <v>Delivery Included</v>
      </c>
      <c r="L123" s="117" t="n">
        <v>45631</v>
      </c>
      <c r="M123" s="98" t="str">
        <f aca="false">_xlfn.xlookup(C123,Clients!B:B,Clients!X:X,FALSE())</f>
        <v>CAD</v>
      </c>
      <c r="N123" s="98" t="str">
        <f aca="false">_xlfn.xlookup(C123,Clients!B:B,Clients!Y:Y,FALSE())</f>
        <v>CAD</v>
      </c>
      <c r="O123" s="106" t="n">
        <v>40171</v>
      </c>
      <c r="P123" s="106" t="str">
        <f aca="false">_xlfn.xlookup(O123,'Prix vente'!A:A,'Prix vente'!H:H)&amp;"/"&amp;_xlfn.xlookup(O123,'Prix vente'!A:A,'Prix vente'!P:P)</f>
        <v>S15/10</v>
      </c>
      <c r="Q123" s="106" t="n">
        <v>6</v>
      </c>
      <c r="R123" s="106" t="n">
        <f aca="false">Q123*_xlfn.xlookup(O123,'Prix vente'!A:A,'Prix vente'!R:R)</f>
        <v>7200</v>
      </c>
      <c r="S123" s="118" t="n">
        <v>40198</v>
      </c>
      <c r="T123" s="118" t="str">
        <f aca="false">_xlfn.xlookup(S123,'Prix vente'!$A:$A,'Prix vente'!$H:$H)&amp;"/"&amp;_xlfn.xlookup(S123,'Prix vente'!A:A,'Prix vente'!P:P)</f>
        <v>S15/12</v>
      </c>
      <c r="U123" s="118" t="n">
        <v>10</v>
      </c>
      <c r="V123" s="118" t="n">
        <f aca="false">IFERROR(U123*_xlfn.xlookup(S123,'Prix vente'!$A:$A,'Prix vente'!$R:$R),"")</f>
        <v>10800</v>
      </c>
      <c r="W123" s="106"/>
      <c r="X123" s="106" t="e">
        <f aca="false">_xlfn.xlookup(W123,'Prix vente'!$A:$A,'Prix vente'!$H:$H)&amp;"/"&amp;_xlfn.xlookup(W123,'Prix vente'!A:A,'Prix vente'!P:P)</f>
        <v>#NAME?</v>
      </c>
      <c r="Y123" s="106"/>
      <c r="Z123" s="106" t="str">
        <f aca="false">IFERROR(Y123*_xlfn.xlookup(W123,'Prix vente'!$A:$A,'Prix vente'!$R:$R),"")</f>
        <v/>
      </c>
      <c r="AA123" s="118"/>
      <c r="AB123" s="118"/>
      <c r="AC123" s="118"/>
      <c r="AD123" s="118"/>
      <c r="AE123" s="119"/>
      <c r="AF123" s="105"/>
      <c r="AG123" s="119"/>
      <c r="AH123" s="119"/>
      <c r="AI123" s="119"/>
      <c r="AJ123" s="105"/>
      <c r="AK123" s="119"/>
      <c r="AL123" s="119"/>
      <c r="AM123" s="119"/>
      <c r="AN123" s="105"/>
      <c r="AO123" s="119"/>
      <c r="AP123" s="119"/>
      <c r="AQ123" s="119"/>
      <c r="AR123" s="105"/>
      <c r="AS123" s="119"/>
      <c r="AT123" s="119"/>
      <c r="AU123" s="119"/>
      <c r="AV123" s="105"/>
      <c r="AW123" s="119"/>
      <c r="AX123" s="119"/>
      <c r="AY123" s="119"/>
      <c r="AZ123" s="105"/>
      <c r="BA123" s="119"/>
      <c r="BB123" s="119"/>
    </row>
    <row r="124" customFormat="false" ht="14.25" hidden="false" customHeight="false" outlineLevel="0" collapsed="false">
      <c r="A124" s="107" t="n">
        <v>272</v>
      </c>
      <c r="B124" s="107"/>
      <c r="C124" s="11" t="s">
        <v>100</v>
      </c>
      <c r="D124" s="11" t="s">
        <v>100</v>
      </c>
      <c r="E124" s="114" t="n">
        <v>45624</v>
      </c>
      <c r="F124" s="115" t="n">
        <v>281124</v>
      </c>
      <c r="G124" s="115" t="s">
        <v>767</v>
      </c>
      <c r="H124" s="115"/>
      <c r="I124" s="100" t="n">
        <f aca="false">_xlfn.xlookup(C124,Clients!B:B,Clients!W:W,FALSE())</f>
        <v>0</v>
      </c>
      <c r="J124" s="116" t="str">
        <f aca="false">_xlfn.xlookup(C124,Clients!$B$1:$B$1001,Clients!$M$1:$M$1001,FALSE())</f>
        <v>Net 30 jours</v>
      </c>
      <c r="K124" s="100" t="str">
        <f aca="false">_xlfn.xlookup(C124,Clients!B:B,Clients!R:R,FALSE())</f>
        <v>Livraison incluse</v>
      </c>
      <c r="L124" s="117" t="n">
        <v>45628</v>
      </c>
      <c r="M124" s="98" t="str">
        <f aca="false">_xlfn.xlookup(C124,Clients!B:B,Clients!X:X,FALSE())</f>
        <v>CAD</v>
      </c>
      <c r="N124" s="98" t="str">
        <f aca="false">_xlfn.xlookup(C124,Clients!B:B,Clients!Y:Y,FALSE())</f>
        <v>CAD</v>
      </c>
      <c r="O124" s="106" t="n">
        <v>40199</v>
      </c>
      <c r="P124" s="106" t="str">
        <f aca="false">_xlfn.xlookup(O124,'Prix vente'!A:A,'Prix vente'!H:H)&amp;"/"&amp;_xlfn.xlookup(O124,'Prix vente'!A:A,'Prix vente'!P:P)</f>
        <v>D21/8.75</v>
      </c>
      <c r="Q124" s="106" t="n">
        <v>9</v>
      </c>
      <c r="R124" s="106" t="n">
        <f aca="false">Q124*_xlfn.xlookup(O124,'Prix vente'!A:A,'Prix vente'!R:R)</f>
        <v>4725</v>
      </c>
      <c r="S124" s="118"/>
      <c r="T124" s="118" t="e">
        <f aca="false">_xlfn.xlookup(S124,'Prix vente'!$A:$A,'Prix vente'!$H:$H)&amp;"/"&amp;_xlfn.xlookup(S124,'Prix vente'!A:A,'Prix vente'!P:P)</f>
        <v>#NAME?</v>
      </c>
      <c r="U124" s="118"/>
      <c r="V124" s="118" t="str">
        <f aca="false">IFERROR(U124*_xlfn.xlookup(S124,'Prix vente'!$A:$A,'Prix vente'!$R:$R),"")</f>
        <v/>
      </c>
      <c r="W124" s="106"/>
      <c r="X124" s="106" t="e">
        <f aca="false">_xlfn.xlookup(W124,'Prix vente'!$A:$A,'Prix vente'!$H:$H)&amp;"/"&amp;_xlfn.xlookup(W124,'Prix vente'!A:A,'Prix vente'!P:P)</f>
        <v>#NAME?</v>
      </c>
      <c r="Y124" s="106"/>
      <c r="Z124" s="106" t="str">
        <f aca="false">IFERROR(Y124*_xlfn.xlookup(W124,'Prix vente'!$A:$A,'Prix vente'!$R:$R),"")</f>
        <v/>
      </c>
      <c r="AA124" s="118"/>
      <c r="AB124" s="118"/>
      <c r="AC124" s="118"/>
      <c r="AD124" s="118"/>
      <c r="AE124" s="119"/>
      <c r="AF124" s="105"/>
      <c r="AG124" s="119"/>
      <c r="AH124" s="119"/>
      <c r="AI124" s="119"/>
      <c r="AJ124" s="105"/>
      <c r="AK124" s="119"/>
      <c r="AL124" s="119"/>
      <c r="AM124" s="119"/>
      <c r="AN124" s="105"/>
      <c r="AO124" s="119"/>
      <c r="AP124" s="119"/>
      <c r="AQ124" s="119"/>
      <c r="AR124" s="105"/>
      <c r="AS124" s="119"/>
      <c r="AT124" s="119"/>
      <c r="AU124" s="119"/>
      <c r="AV124" s="105"/>
      <c r="AW124" s="119"/>
      <c r="AX124" s="119"/>
      <c r="AY124" s="119"/>
      <c r="AZ124" s="105"/>
      <c r="BA124" s="119"/>
      <c r="BB124" s="119"/>
    </row>
    <row r="125" customFormat="false" ht="14.25" hidden="false" customHeight="false" outlineLevel="0" collapsed="false">
      <c r="A125" s="107" t="n">
        <v>273</v>
      </c>
      <c r="B125" s="107"/>
      <c r="C125" s="11" t="s">
        <v>283</v>
      </c>
      <c r="D125" s="11" t="s">
        <v>283</v>
      </c>
      <c r="E125" s="114" t="n">
        <v>45627</v>
      </c>
      <c r="F125" s="115" t="s">
        <v>832</v>
      </c>
      <c r="G125" s="115" t="s">
        <v>286</v>
      </c>
      <c r="H125" s="115"/>
      <c r="I125" s="100" t="n">
        <f aca="false">_xlfn.xlookup(C125,Clients!B:B,Clients!W:W,FALSE())</f>
        <v>0</v>
      </c>
      <c r="J125" s="116" t="str">
        <f aca="false">_xlfn.xlookup(C125,Clients!$B$1:$B$1001,Clients!$M$1:$M$1001,FALSE())</f>
        <v>Net 30 jours</v>
      </c>
      <c r="K125" s="100"/>
      <c r="L125" s="117" t="n">
        <v>45306</v>
      </c>
      <c r="M125" s="98" t="str">
        <f aca="false">_xlfn.xlookup(C125,Clients!B:B,Clients!X:X,FALSE())</f>
        <v>CAD</v>
      </c>
      <c r="N125" s="98" t="str">
        <f aca="false">_xlfn.xlookup(C125,Clients!B:B,Clients!Y:Y,FALSE())</f>
        <v>CAD</v>
      </c>
      <c r="O125" s="106" t="n">
        <v>40200</v>
      </c>
      <c r="P125" s="106" t="str">
        <f aca="false">_xlfn.xlookup(O125,'Prix vente'!A:A,'Prix vente'!H:H)&amp;"/"&amp;_xlfn.xlookup(O125,'Prix vente'!A:A,'Prix vente'!P:P)</f>
        <v>/</v>
      </c>
      <c r="Q125" s="106"/>
      <c r="R125" s="106" t="n">
        <v>1</v>
      </c>
      <c r="S125" s="118"/>
      <c r="T125" s="118" t="e">
        <f aca="false">_xlfn.xlookup(S125,'Prix vente'!$A:$A,'Prix vente'!$H:$H)&amp;"/"&amp;_xlfn.xlookup(S125,'Prix vente'!A:A,'Prix vente'!P:P)</f>
        <v>#NAME?</v>
      </c>
      <c r="U125" s="118"/>
      <c r="V125" s="118" t="str">
        <f aca="false">IFERROR(U125*_xlfn.xlookup(S125,'Prix vente'!$A:$A,'Prix vente'!$R:$R),"")</f>
        <v/>
      </c>
      <c r="W125" s="106"/>
      <c r="X125" s="106" t="e">
        <f aca="false">_xlfn.xlookup(W125,'Prix vente'!$A:$A,'Prix vente'!$H:$H)&amp;"/"&amp;_xlfn.xlookup(W125,'Prix vente'!A:A,'Prix vente'!P:P)</f>
        <v>#NAME?</v>
      </c>
      <c r="Y125" s="106"/>
      <c r="Z125" s="106" t="str">
        <f aca="false">IFERROR(Y125*_xlfn.xlookup(W125,'Prix vente'!$A:$A,'Prix vente'!$R:$R),"")</f>
        <v/>
      </c>
      <c r="AA125" s="118"/>
      <c r="AB125" s="118"/>
      <c r="AC125" s="118"/>
      <c r="AD125" s="118"/>
      <c r="AE125" s="119"/>
      <c r="AF125" s="105"/>
      <c r="AG125" s="119"/>
      <c r="AH125" s="119"/>
      <c r="AI125" s="119"/>
      <c r="AJ125" s="105"/>
      <c r="AK125" s="119"/>
      <c r="AL125" s="119"/>
      <c r="AM125" s="119"/>
      <c r="AN125" s="105"/>
      <c r="AO125" s="119"/>
      <c r="AP125" s="119"/>
      <c r="AQ125" s="119"/>
      <c r="AR125" s="105"/>
      <c r="AS125" s="119"/>
      <c r="AT125" s="119"/>
      <c r="AU125" s="119"/>
      <c r="AV125" s="105"/>
      <c r="AW125" s="119"/>
      <c r="AX125" s="119"/>
      <c r="AY125" s="119"/>
      <c r="AZ125" s="105"/>
      <c r="BA125" s="119"/>
      <c r="BB125" s="119"/>
    </row>
    <row r="126" customFormat="false" ht="14.25" hidden="false" customHeight="false" outlineLevel="0" collapsed="false">
      <c r="A126" s="107" t="n">
        <v>274</v>
      </c>
      <c r="B126" s="107"/>
      <c r="C126" s="11" t="s">
        <v>124</v>
      </c>
      <c r="D126" s="11" t="s">
        <v>124</v>
      </c>
      <c r="E126" s="114" t="n">
        <v>45628</v>
      </c>
      <c r="F126" s="115" t="n">
        <v>106059</v>
      </c>
      <c r="G126" s="115" t="s">
        <v>788</v>
      </c>
      <c r="H126" s="115"/>
      <c r="I126" s="100" t="n">
        <f aca="false">_xlfn.xlookup(C126,Clients!B:B,Clients!W:W,FALSE())</f>
        <v>0</v>
      </c>
      <c r="J126" s="116" t="str">
        <f aca="false">_xlfn.xlookup(C126,Clients!$B$1:$B$1001,Clients!$M$1:$M$1001,FALSE())</f>
        <v>Net 30 jours</v>
      </c>
      <c r="K126" s="100" t="str">
        <f aca="false">_xlfn.xlookup(C126,Clients!B:B,Clients!R:R,FALSE())</f>
        <v>EXW Boucherville</v>
      </c>
      <c r="L126" s="117" t="n">
        <v>45635</v>
      </c>
      <c r="M126" s="98" t="str">
        <f aca="false">_xlfn.xlookup(C126,Clients!B:B,Clients!X:X,FALSE())</f>
        <v>USD</v>
      </c>
      <c r="N126" s="98" t="str">
        <f aca="false">_xlfn.xlookup(C126,Clients!B:B,Clients!Y:Y,FALSE())</f>
        <v>USD</v>
      </c>
      <c r="O126" s="106" t="n">
        <v>40048</v>
      </c>
      <c r="P126" s="106" t="str">
        <f aca="false">_xlfn.xlookup(O126,'Prix vente'!A:A,'Prix vente'!H:H)&amp;"/"&amp;_xlfn.xlookup(O126,'Prix vente'!A:A,'Prix vente'!P:P)</f>
        <v>S21/12</v>
      </c>
      <c r="Q126" s="106" t="n">
        <v>5</v>
      </c>
      <c r="R126" s="106" t="n">
        <f aca="false">Q126*_xlfn.xlookup(O126,'Prix vente'!A:A,'Prix vente'!R:R)</f>
        <v>3600</v>
      </c>
      <c r="S126" s="118"/>
      <c r="T126" s="118" t="e">
        <f aca="false">_xlfn.xlookup(S126,'Prix vente'!$A:$A,'Prix vente'!$H:$H)&amp;"/"&amp;_xlfn.xlookup(S126,'Prix vente'!A:A,'Prix vente'!P:P)</f>
        <v>#NAME?</v>
      </c>
      <c r="U126" s="118"/>
      <c r="V126" s="118" t="str">
        <f aca="false">IFERROR(U126*_xlfn.xlookup(S126,'Prix vente'!$A:$A,'Prix vente'!$R:$R),"")</f>
        <v/>
      </c>
      <c r="W126" s="106"/>
      <c r="X126" s="106" t="e">
        <f aca="false">_xlfn.xlookup(W126,'Prix vente'!$A:$A,'Prix vente'!$H:$H)&amp;"/"&amp;_xlfn.xlookup(W126,'Prix vente'!A:A,'Prix vente'!P:P)</f>
        <v>#NAME?</v>
      </c>
      <c r="Y126" s="106"/>
      <c r="Z126" s="106" t="str">
        <f aca="false">IFERROR(Y126*_xlfn.xlookup(W126,'Prix vente'!$A:$A,'Prix vente'!$R:$R),"")</f>
        <v/>
      </c>
      <c r="AA126" s="118"/>
      <c r="AB126" s="118"/>
      <c r="AC126" s="118"/>
      <c r="AD126" s="118"/>
      <c r="AE126" s="119"/>
      <c r="AF126" s="105"/>
      <c r="AG126" s="119"/>
      <c r="AH126" s="119"/>
      <c r="AI126" s="119"/>
      <c r="AJ126" s="105"/>
      <c r="AK126" s="119"/>
      <c r="AL126" s="119"/>
      <c r="AM126" s="119"/>
      <c r="AN126" s="105"/>
      <c r="AO126" s="119"/>
      <c r="AP126" s="119"/>
      <c r="AQ126" s="119"/>
      <c r="AR126" s="105"/>
      <c r="AS126" s="119"/>
      <c r="AT126" s="119"/>
      <c r="AU126" s="119"/>
      <c r="AV126" s="105"/>
      <c r="AW126" s="119"/>
      <c r="AX126" s="119"/>
      <c r="AY126" s="119"/>
      <c r="AZ126" s="105"/>
      <c r="BA126" s="119"/>
      <c r="BB126" s="119"/>
    </row>
    <row r="127" customFormat="false" ht="14.25" hidden="false" customHeight="false" outlineLevel="0" collapsed="false">
      <c r="A127" s="107" t="n">
        <v>275</v>
      </c>
      <c r="B127" s="107"/>
      <c r="C127" s="11" t="s">
        <v>31</v>
      </c>
      <c r="D127" s="11" t="s">
        <v>31</v>
      </c>
      <c r="E127" s="114" t="n">
        <v>45630</v>
      </c>
      <c r="F127" s="115" t="n">
        <v>50008916</v>
      </c>
      <c r="G127" s="115" t="s">
        <v>754</v>
      </c>
      <c r="H127" s="115"/>
      <c r="I127" s="100" t="n">
        <f aca="false">_xlfn.xlookup(C127,Clients!B:B,Clients!W:W,FALSE())</f>
        <v>0</v>
      </c>
      <c r="J127" s="116" t="str">
        <f aca="false">_xlfn.xlookup(C127,Clients!$B$1:$B$1001,Clients!$M$1:$M$1001,FALSE())</f>
        <v>Net 30 days</v>
      </c>
      <c r="K127" s="100" t="str">
        <f aca="false">_xlfn.xlookup(C127,Clients!B:B,Clients!R:R,FALSE())</f>
        <v>EXW Boucherville</v>
      </c>
      <c r="L127" s="117" t="n">
        <v>45637</v>
      </c>
      <c r="M127" s="98" t="str">
        <f aca="false">_xlfn.xlookup(C127,Clients!B:B,Clients!X:X,FALSE())</f>
        <v>USD</v>
      </c>
      <c r="N127" s="98" t="str">
        <f aca="false">_xlfn.xlookup(C127,Clients!B:B,Clients!Y:Y,FALSE())</f>
        <v>USD</v>
      </c>
      <c r="O127" s="106" t="n">
        <v>40103</v>
      </c>
      <c r="P127" s="106" t="str">
        <f aca="false">_xlfn.xlookup(O127,'Prix vente'!A:A,'Prix vente'!H:H)&amp;"/"&amp;_xlfn.xlookup(O127,'Prix vente'!A:A,'Prix vente'!P:P)</f>
        <v>D16/10</v>
      </c>
      <c r="Q127" s="106" t="n">
        <v>72</v>
      </c>
      <c r="R127" s="106" t="n">
        <f aca="false">Q127*_xlfn.xlookup(O127,'Prix vente'!A:A,'Prix vente'!R:R)</f>
        <v>43200</v>
      </c>
      <c r="S127" s="118" t="n">
        <v>40054</v>
      </c>
      <c r="T127" s="118" t="str">
        <f aca="false">_xlfn.xlookup(S127,'Prix vente'!$A:$A,'Prix vente'!$H:$H)&amp;"/"&amp;_xlfn.xlookup(S127,'Prix vente'!A:A,'Prix vente'!P:P)</f>
        <v>D16/9</v>
      </c>
      <c r="U127" s="118" t="n">
        <v>24</v>
      </c>
      <c r="V127" s="118" t="n">
        <f aca="false">IFERROR(U127*_xlfn.xlookup(S127,'Prix vente'!$A:$A,'Prix vente'!$R:$R),"")</f>
        <v>12960</v>
      </c>
      <c r="W127" s="106"/>
      <c r="X127" s="106" t="e">
        <f aca="false">_xlfn.xlookup(W127,'Prix vente'!$A:$A,'Prix vente'!$H:$H)&amp;"/"&amp;_xlfn.xlookup(W127,'Prix vente'!A:A,'Prix vente'!P:P)</f>
        <v>#NAME?</v>
      </c>
      <c r="Y127" s="106"/>
      <c r="Z127" s="106" t="str">
        <f aca="false">IFERROR(Y127*_xlfn.xlookup(W127,'Prix vente'!$A:$A,'Prix vente'!$R:$R),"")</f>
        <v/>
      </c>
      <c r="AA127" s="118"/>
      <c r="AB127" s="118"/>
      <c r="AC127" s="118"/>
      <c r="AD127" s="118"/>
      <c r="AE127" s="119"/>
      <c r="AF127" s="105"/>
      <c r="AG127" s="119"/>
      <c r="AH127" s="119"/>
      <c r="AI127" s="119"/>
      <c r="AJ127" s="105"/>
      <c r="AK127" s="119"/>
      <c r="AL127" s="119"/>
      <c r="AM127" s="119"/>
      <c r="AN127" s="105"/>
      <c r="AO127" s="119"/>
      <c r="AP127" s="119"/>
      <c r="AQ127" s="119"/>
      <c r="AR127" s="105"/>
      <c r="AS127" s="119"/>
      <c r="AT127" s="119"/>
      <c r="AU127" s="119"/>
      <c r="AV127" s="105"/>
      <c r="AW127" s="119"/>
      <c r="AX127" s="119"/>
      <c r="AY127" s="119"/>
      <c r="AZ127" s="105"/>
      <c r="BA127" s="119"/>
      <c r="BB127" s="119"/>
    </row>
    <row r="128" customFormat="false" ht="14.25" hidden="false" customHeight="false" outlineLevel="0" collapsed="false">
      <c r="A128" s="107" t="n">
        <v>276</v>
      </c>
      <c r="B128" s="107"/>
      <c r="C128" s="11" t="s">
        <v>134</v>
      </c>
      <c r="D128" s="11" t="s">
        <v>134</v>
      </c>
      <c r="E128" s="114" t="n">
        <v>45631</v>
      </c>
      <c r="F128" s="115" t="n">
        <v>1958</v>
      </c>
      <c r="G128" s="115" t="s">
        <v>773</v>
      </c>
      <c r="H128" s="115"/>
      <c r="I128" s="100" t="n">
        <f aca="false">_xlfn.xlookup(C128,Clients!B:B,Clients!W:W,FALSE())</f>
        <v>0</v>
      </c>
      <c r="J128" s="116" t="str">
        <f aca="false">_xlfn.xlookup(C128,Clients!$B$1:$B$1001,Clients!$M$1:$M$1001,FALSE())</f>
        <v>Net 30 jours</v>
      </c>
      <c r="K128" s="100" t="str">
        <f aca="false">_xlfn.xlookup(C128,Clients!B:B,Clients!R:R,FALSE())</f>
        <v>EXW Boucherville</v>
      </c>
      <c r="L128" s="117" t="n">
        <v>45638</v>
      </c>
      <c r="M128" s="98" t="str">
        <f aca="false">_xlfn.xlookup(C128,Clients!B:B,Clients!X:X,FALSE())</f>
        <v>CAD</v>
      </c>
      <c r="N128" s="98" t="str">
        <f aca="false">_xlfn.xlookup(C128,Clients!B:B,Clients!Y:Y,FALSE())</f>
        <v>CAD</v>
      </c>
      <c r="O128" s="106" t="n">
        <v>40156</v>
      </c>
      <c r="P128" s="106" t="str">
        <f aca="false">_xlfn.xlookup(O128,'Prix vente'!A:A,'Prix vente'!H:H)&amp;"/"&amp;_xlfn.xlookup(O128,'Prix vente'!A:A,'Prix vente'!P:P)</f>
        <v>D21/8.6</v>
      </c>
      <c r="Q128" s="106" t="n">
        <v>14</v>
      </c>
      <c r="R128" s="106" t="n">
        <f aca="false">Q128*_xlfn.xlookup(O128,'Prix vente'!A:A,'Prix vente'!R:R)</f>
        <v>14448</v>
      </c>
      <c r="S128" s="118"/>
      <c r="T128" s="118" t="e">
        <f aca="false">_xlfn.xlookup(S128,'Prix vente'!$A:$A,'Prix vente'!$H:$H)&amp;"/"&amp;_xlfn.xlookup(S128,'Prix vente'!A:A,'Prix vente'!P:P)</f>
        <v>#NAME?</v>
      </c>
      <c r="U128" s="118"/>
      <c r="V128" s="118" t="str">
        <f aca="false">IFERROR(U128*_xlfn.xlookup(S128,'Prix vente'!$A:$A,'Prix vente'!$R:$R),"")</f>
        <v/>
      </c>
      <c r="W128" s="106"/>
      <c r="X128" s="106" t="e">
        <f aca="false">_xlfn.xlookup(W128,'Prix vente'!$A:$A,'Prix vente'!$H:$H)&amp;"/"&amp;_xlfn.xlookup(W128,'Prix vente'!A:A,'Prix vente'!P:P)</f>
        <v>#NAME?</v>
      </c>
      <c r="Y128" s="106"/>
      <c r="Z128" s="106" t="str">
        <f aca="false">IFERROR(Y128*_xlfn.xlookup(W128,'Prix vente'!$A:$A,'Prix vente'!$R:$R),"")</f>
        <v/>
      </c>
      <c r="AA128" s="118"/>
      <c r="AB128" s="118"/>
      <c r="AC128" s="118"/>
      <c r="AD128" s="118"/>
      <c r="AE128" s="119"/>
      <c r="AF128" s="105"/>
      <c r="AG128" s="119"/>
      <c r="AH128" s="119"/>
      <c r="AI128" s="119"/>
      <c r="AJ128" s="105"/>
      <c r="AK128" s="119"/>
      <c r="AL128" s="119"/>
      <c r="AM128" s="119"/>
      <c r="AN128" s="105"/>
      <c r="AO128" s="119"/>
      <c r="AP128" s="119"/>
      <c r="AQ128" s="119"/>
      <c r="AR128" s="105"/>
      <c r="AS128" s="119"/>
      <c r="AT128" s="119"/>
      <c r="AU128" s="119"/>
      <c r="AV128" s="105"/>
      <c r="AW128" s="119"/>
      <c r="AX128" s="119"/>
      <c r="AY128" s="119"/>
      <c r="AZ128" s="105"/>
      <c r="BA128" s="119"/>
      <c r="BB128" s="119"/>
    </row>
    <row r="129" customFormat="false" ht="14.25" hidden="false" customHeight="false" outlineLevel="0" collapsed="false">
      <c r="A129" s="107" t="n">
        <v>277</v>
      </c>
      <c r="B129" s="107"/>
      <c r="C129" s="11" t="s">
        <v>134</v>
      </c>
      <c r="D129" s="11" t="s">
        <v>134</v>
      </c>
      <c r="E129" s="114" t="n">
        <v>45631</v>
      </c>
      <c r="F129" s="115" t="n">
        <v>1959</v>
      </c>
      <c r="G129" s="115" t="s">
        <v>773</v>
      </c>
      <c r="H129" s="115"/>
      <c r="I129" s="100" t="n">
        <f aca="false">_xlfn.xlookup(C129,Clients!B:B,Clients!W:W,FALSE())</f>
        <v>0</v>
      </c>
      <c r="J129" s="116" t="str">
        <f aca="false">_xlfn.xlookup(C129,Clients!$B$1:$B$1001,Clients!$M$1:$M$1001,FALSE())</f>
        <v>Net 30 jours</v>
      </c>
      <c r="K129" s="100" t="str">
        <f aca="false">_xlfn.xlookup(C129,Clients!B:B,Clients!R:R,FALSE())</f>
        <v>EXW Boucherville</v>
      </c>
      <c r="L129" s="117" t="n">
        <v>45638</v>
      </c>
      <c r="M129" s="98" t="str">
        <f aca="false">_xlfn.xlookup(C129,Clients!B:B,Clients!X:X,FALSE())</f>
        <v>CAD</v>
      </c>
      <c r="N129" s="98" t="str">
        <f aca="false">_xlfn.xlookup(C129,Clients!B:B,Clients!Y:Y,FALSE())</f>
        <v>CAD</v>
      </c>
      <c r="O129" s="106" t="n">
        <v>40202</v>
      </c>
      <c r="P129" s="106" t="str">
        <f aca="false">_xlfn.xlookup(O129,'Prix vente'!A:A,'Prix vente'!H:H)&amp;"/"&amp;_xlfn.xlookup(O129,'Prix vente'!A:A,'Prix vente'!P:P)</f>
        <v>B25/4.75</v>
      </c>
      <c r="Q129" s="106" t="n">
        <v>2</v>
      </c>
      <c r="R129" s="106" t="n">
        <f aca="false">Q129*_xlfn.xlookup(O129,'Prix vente'!A:A,'Prix vente'!R:R)</f>
        <v>285</v>
      </c>
      <c r="S129" s="118"/>
      <c r="T129" s="118" t="e">
        <f aca="false">_xlfn.xlookup(S129,'Prix vente'!$A:$A,'Prix vente'!$H:$H)&amp;"/"&amp;_xlfn.xlookup(S129,'Prix vente'!A:A,'Prix vente'!P:P)</f>
        <v>#NAME?</v>
      </c>
      <c r="U129" s="118"/>
      <c r="V129" s="118" t="str">
        <f aca="false">IFERROR(U129*_xlfn.xlookup(S129,'Prix vente'!$A:$A,'Prix vente'!$R:$R),"")</f>
        <v/>
      </c>
      <c r="W129" s="106"/>
      <c r="X129" s="106" t="e">
        <f aca="false">_xlfn.xlookup(W129,'Prix vente'!$A:$A,'Prix vente'!$H:$H)&amp;"/"&amp;_xlfn.xlookup(W129,'Prix vente'!A:A,'Prix vente'!P:P)</f>
        <v>#NAME?</v>
      </c>
      <c r="Y129" s="106"/>
      <c r="Z129" s="106" t="str">
        <f aca="false">IFERROR(Y129*_xlfn.xlookup(W129,'Prix vente'!$A:$A,'Prix vente'!$R:$R),"")</f>
        <v/>
      </c>
      <c r="AA129" s="118"/>
      <c r="AB129" s="118"/>
      <c r="AC129" s="118"/>
      <c r="AD129" s="118"/>
      <c r="AE129" s="119"/>
      <c r="AF129" s="105"/>
      <c r="AG129" s="119"/>
      <c r="AH129" s="119"/>
      <c r="AI129" s="119"/>
      <c r="AJ129" s="105"/>
      <c r="AK129" s="119"/>
      <c r="AL129" s="119"/>
      <c r="AM129" s="119"/>
      <c r="AN129" s="105"/>
      <c r="AO129" s="119"/>
      <c r="AP129" s="119"/>
      <c r="AQ129" s="119"/>
      <c r="AR129" s="105"/>
      <c r="AS129" s="119"/>
      <c r="AT129" s="119"/>
      <c r="AU129" s="119"/>
      <c r="AV129" s="105"/>
      <c r="AW129" s="119"/>
      <c r="AX129" s="119"/>
      <c r="AY129" s="119"/>
      <c r="AZ129" s="105"/>
      <c r="BA129" s="119"/>
      <c r="BB129" s="119"/>
    </row>
    <row r="130" customFormat="false" ht="14.25" hidden="false" customHeight="false" outlineLevel="0" collapsed="false">
      <c r="A130" s="107" t="n">
        <v>278</v>
      </c>
      <c r="B130" s="107"/>
      <c r="C130" s="11" t="s">
        <v>124</v>
      </c>
      <c r="D130" s="11" t="s">
        <v>124</v>
      </c>
      <c r="E130" s="114" t="n">
        <v>45632</v>
      </c>
      <c r="F130" s="115" t="n">
        <v>106205</v>
      </c>
      <c r="G130" s="115" t="s">
        <v>788</v>
      </c>
      <c r="H130" s="115"/>
      <c r="I130" s="100" t="n">
        <f aca="false">_xlfn.xlookup(C130,Clients!B:B,Clients!W:W,FALSE())</f>
        <v>0</v>
      </c>
      <c r="J130" s="116" t="str">
        <f aca="false">_xlfn.xlookup(C130,Clients!$B$1:$B$1001,Clients!$M$1:$M$1001,FALSE())</f>
        <v>Net 30 jours</v>
      </c>
      <c r="K130" s="100" t="str">
        <f aca="false">_xlfn.xlookup(C130,Clients!B:B,Clients!R:R,FALSE())</f>
        <v>EXW Boucherville</v>
      </c>
      <c r="L130" s="117" t="n">
        <v>45639</v>
      </c>
      <c r="M130" s="98" t="str">
        <f aca="false">_xlfn.xlookup(C130,Clients!B:B,Clients!X:X,FALSE())</f>
        <v>USD</v>
      </c>
      <c r="N130" s="98" t="str">
        <f aca="false">_xlfn.xlookup(C130,Clients!B:B,Clients!Y:Y,FALSE())</f>
        <v>USD</v>
      </c>
      <c r="O130" s="106" t="n">
        <v>40117</v>
      </c>
      <c r="P130" s="106" t="str">
        <f aca="false">_xlfn.xlookup(O130,'Prix vente'!A:A,'Prix vente'!H:H)&amp;"/"&amp;_xlfn.xlookup(O130,'Prix vente'!A:A,'Prix vente'!P:P)</f>
        <v>S15/10</v>
      </c>
      <c r="Q130" s="106" t="n">
        <v>4</v>
      </c>
      <c r="R130" s="106" t="n">
        <f aca="false">Q130*_xlfn.xlookup(O130,'Prix vente'!A:A,'Prix vente'!R:R)</f>
        <v>2400</v>
      </c>
      <c r="S130" s="118" t="n">
        <v>40052</v>
      </c>
      <c r="T130" s="118" t="str">
        <f aca="false">_xlfn.xlookup(S130,'Prix vente'!$A:$A,'Prix vente'!$H:$H)&amp;"/"&amp;_xlfn.xlookup(S130,'Prix vente'!A:A,'Prix vente'!P:P)</f>
        <v>S15/13</v>
      </c>
      <c r="U130" s="118" t="n">
        <v>1</v>
      </c>
      <c r="V130" s="118" t="n">
        <f aca="false">IFERROR(U130*_xlfn.xlookup(S130,'Prix vente'!$A:$A,'Prix vente'!$R:$R),"")</f>
        <v>780</v>
      </c>
      <c r="W130" s="106" t="n">
        <v>40203</v>
      </c>
      <c r="X130" s="106" t="str">
        <f aca="false">_xlfn.xlookup(W130,'Prix vente'!$A:$A,'Prix vente'!$H:$H)&amp;"/"&amp;_xlfn.xlookup(W130,'Prix vente'!A:A,'Prix vente'!P:P)</f>
        <v>S15/7</v>
      </c>
      <c r="Y130" s="106" t="n">
        <v>1</v>
      </c>
      <c r="Z130" s="106" t="n">
        <f aca="false">IFERROR(Y130*_xlfn.xlookup(W130,'Prix vente'!$A:$A,'Prix vente'!$R:$R),"")</f>
        <v>420</v>
      </c>
      <c r="AA130" s="118"/>
      <c r="AB130" s="118"/>
      <c r="AC130" s="118"/>
      <c r="AD130" s="118"/>
      <c r="AE130" s="119"/>
      <c r="AF130" s="105"/>
      <c r="AG130" s="119"/>
      <c r="AH130" s="119"/>
      <c r="AI130" s="119"/>
      <c r="AJ130" s="105"/>
      <c r="AK130" s="119"/>
      <c r="AL130" s="119"/>
      <c r="AM130" s="119"/>
      <c r="AN130" s="105"/>
      <c r="AO130" s="119"/>
      <c r="AP130" s="119"/>
      <c r="AQ130" s="119"/>
      <c r="AR130" s="105"/>
      <c r="AS130" s="119"/>
      <c r="AT130" s="119"/>
      <c r="AU130" s="119"/>
      <c r="AV130" s="105"/>
      <c r="AW130" s="119"/>
      <c r="AX130" s="119"/>
      <c r="AY130" s="119"/>
      <c r="AZ130" s="105"/>
      <c r="BA130" s="119"/>
      <c r="BB130" s="119"/>
    </row>
    <row r="131" customFormat="false" ht="14.25" hidden="false" customHeight="false" outlineLevel="0" collapsed="false">
      <c r="A131" s="107" t="n">
        <v>279</v>
      </c>
      <c r="B131" s="107"/>
      <c r="C131" s="11" t="s">
        <v>241</v>
      </c>
      <c r="D131" s="11" t="s">
        <v>230</v>
      </c>
      <c r="E131" s="114" t="n">
        <v>45635</v>
      </c>
      <c r="F131" s="115" t="n">
        <v>179977</v>
      </c>
      <c r="G131" s="115" t="s">
        <v>807</v>
      </c>
      <c r="H131" s="115"/>
      <c r="I131" s="100" t="n">
        <f aca="false">_xlfn.xlookup(C131,Clients!B:B,Clients!W:W,FALSE())</f>
        <v>0</v>
      </c>
      <c r="J131" s="116" t="str">
        <f aca="false">_xlfn.xlookup(C131,Clients!$B$1:$B$1001,Clients!$M$1:$M$1001,FALSE())</f>
        <v>Net 30 jours</v>
      </c>
      <c r="K131" s="100" t="str">
        <f aca="false">_xlfn.xlookup(C131,Clients!B:B,Clients!R:R,FALSE())</f>
        <v>Livraison incluse</v>
      </c>
      <c r="L131" s="117" t="n">
        <v>45642</v>
      </c>
      <c r="M131" s="98" t="str">
        <f aca="false">_xlfn.xlookup(C131,Clients!B:B,Clients!X:X,FALSE())</f>
        <v>CAD</v>
      </c>
      <c r="N131" s="98" t="str">
        <f aca="false">_xlfn.xlookup(C131,Clients!B:B,Clients!Y:Y,FALSE())</f>
        <v>CAD</v>
      </c>
      <c r="O131" s="106" t="n">
        <v>40144</v>
      </c>
      <c r="P131" s="106" t="str">
        <f aca="false">_xlfn.xlookup(O131,'Prix vente'!A:A,'Prix vente'!H:H)&amp;"/"&amp;_xlfn.xlookup(O131,'Prix vente'!A:A,'Prix vente'!P:P)</f>
        <v>D11/9</v>
      </c>
      <c r="Q131" s="106" t="n">
        <v>2</v>
      </c>
      <c r="R131" s="106" t="n">
        <f aca="false">Q131*_xlfn.xlookup(O131,'Prix vente'!A:A,'Prix vente'!R:R)</f>
        <v>1080</v>
      </c>
      <c r="S131" s="118" t="n">
        <v>40145</v>
      </c>
      <c r="T131" s="118" t="str">
        <f aca="false">_xlfn.xlookup(S131,'Prix vente'!$A:$A,'Prix vente'!$H:$H)&amp;"/"&amp;_xlfn.xlookup(S131,'Prix vente'!A:A,'Prix vente'!P:P)</f>
        <v>D11/9.5</v>
      </c>
      <c r="U131" s="118" t="n">
        <v>8</v>
      </c>
      <c r="V131" s="118" t="n">
        <f aca="false">IFERROR(U131*_xlfn.xlookup(S131,'Prix vente'!$A:$A,'Prix vente'!$R:$R),"")</f>
        <v>4560</v>
      </c>
      <c r="W131" s="106" t="n">
        <v>40204</v>
      </c>
      <c r="X131" s="106" t="str">
        <f aca="false">_xlfn.xlookup(W131,'Prix vente'!$A:$A,'Prix vente'!$H:$H)&amp;"/"&amp;_xlfn.xlookup(W131,'Prix vente'!A:A,'Prix vente'!P:P)</f>
        <v>D11/6.5</v>
      </c>
      <c r="Y131" s="106" t="n">
        <v>4</v>
      </c>
      <c r="Z131" s="106" t="n">
        <f aca="false">IFERROR(Y131*_xlfn.xlookup(W131,'Prix vente'!$A:$A,'Prix vente'!$R:$R),"")</f>
        <v>1560</v>
      </c>
      <c r="AA131" s="118"/>
      <c r="AB131" s="118"/>
      <c r="AC131" s="118"/>
      <c r="AD131" s="118"/>
      <c r="AE131" s="119"/>
      <c r="AF131" s="105"/>
      <c r="AG131" s="119"/>
      <c r="AH131" s="119"/>
      <c r="AI131" s="119"/>
      <c r="AJ131" s="105"/>
      <c r="AK131" s="119"/>
      <c r="AL131" s="119"/>
      <c r="AM131" s="119"/>
      <c r="AN131" s="105"/>
      <c r="AO131" s="119"/>
      <c r="AP131" s="119"/>
      <c r="AQ131" s="119"/>
      <c r="AR131" s="105"/>
      <c r="AS131" s="119"/>
      <c r="AT131" s="119"/>
      <c r="AU131" s="119"/>
      <c r="AV131" s="105"/>
      <c r="AW131" s="119"/>
      <c r="AX131" s="119"/>
      <c r="AY131" s="119"/>
      <c r="AZ131" s="105"/>
      <c r="BA131" s="119"/>
      <c r="BB131" s="119"/>
    </row>
    <row r="132" customFormat="false" ht="14.25" hidden="false" customHeight="false" outlineLevel="0" collapsed="false">
      <c r="A132" s="107" t="n">
        <v>280</v>
      </c>
      <c r="B132" s="107"/>
      <c r="C132" s="11" t="s">
        <v>134</v>
      </c>
      <c r="D132" s="11" t="s">
        <v>134</v>
      </c>
      <c r="E132" s="114" t="n">
        <v>45632</v>
      </c>
      <c r="F132" s="115" t="n">
        <v>1960</v>
      </c>
      <c r="G132" s="115" t="s">
        <v>773</v>
      </c>
      <c r="H132" s="115"/>
      <c r="I132" s="100" t="n">
        <f aca="false">_xlfn.xlookup(C132,Clients!B:B,Clients!W:W,FALSE())</f>
        <v>0</v>
      </c>
      <c r="J132" s="116" t="str">
        <f aca="false">_xlfn.xlookup(C132,Clients!$B$1:$B$1001,Clients!$M$1:$M$1001,FALSE())</f>
        <v>Net 30 jours</v>
      </c>
      <c r="K132" s="100" t="str">
        <f aca="false">_xlfn.xlookup(C132,Clients!B:B,Clients!R:R,FALSE())</f>
        <v>EXW Boucherville</v>
      </c>
      <c r="L132" s="117" t="n">
        <v>45672</v>
      </c>
      <c r="M132" s="98" t="str">
        <f aca="false">_xlfn.xlookup(C132,Clients!B:B,Clients!X:X,FALSE())</f>
        <v>CAD</v>
      </c>
      <c r="N132" s="98" t="str">
        <f aca="false">_xlfn.xlookup(C132,Clients!B:B,Clients!Y:Y,FALSE())</f>
        <v>CAD</v>
      </c>
      <c r="O132" s="106" t="n">
        <v>40137</v>
      </c>
      <c r="P132" s="106" t="str">
        <f aca="false">_xlfn.xlookup(O132,'Prix vente'!A:A,'Prix vente'!H:H)&amp;"/"&amp;_xlfn.xlookup(O132,'Prix vente'!A:A,'Prix vente'!P:P)</f>
        <v>T11/12.875</v>
      </c>
      <c r="Q132" s="106" t="n">
        <v>10</v>
      </c>
      <c r="R132" s="106" t="n">
        <f aca="false">Q132*_xlfn.xlookup(O132,'Prix vente'!A:A,'Prix vente'!R:R)</f>
        <v>15450</v>
      </c>
      <c r="S132" s="118"/>
      <c r="T132" s="118" t="e">
        <f aca="false">_xlfn.xlookup(S132,'Prix vente'!$A:$A,'Prix vente'!$H:$H)&amp;"/"&amp;_xlfn.xlookup(S132,'Prix vente'!A:A,'Prix vente'!P:P)</f>
        <v>#NAME?</v>
      </c>
      <c r="U132" s="118"/>
      <c r="V132" s="118" t="str">
        <f aca="false">IFERROR(U132*_xlfn.xlookup(S132,'Prix vente'!$A:$A,'Prix vente'!$R:$R),"")</f>
        <v/>
      </c>
      <c r="W132" s="106"/>
      <c r="X132" s="106" t="e">
        <f aca="false">_xlfn.xlookup(W132,'Prix vente'!$A:$A,'Prix vente'!$H:$H)&amp;"/"&amp;_xlfn.xlookup(W132,'Prix vente'!A:A,'Prix vente'!P:P)</f>
        <v>#NAME?</v>
      </c>
      <c r="Y132" s="106"/>
      <c r="Z132" s="106" t="str">
        <f aca="false">IFERROR(Y132*_xlfn.xlookup(W132,'Prix vente'!$A:$A,'Prix vente'!$R:$R),"")</f>
        <v/>
      </c>
      <c r="AA132" s="118"/>
      <c r="AB132" s="118"/>
      <c r="AC132" s="118"/>
      <c r="AD132" s="118"/>
      <c r="AE132" s="119"/>
      <c r="AF132" s="105"/>
      <c r="AG132" s="119"/>
      <c r="AH132" s="119"/>
      <c r="AI132" s="119"/>
      <c r="AJ132" s="105"/>
      <c r="AK132" s="119"/>
      <c r="AL132" s="119"/>
      <c r="AM132" s="119"/>
      <c r="AN132" s="105"/>
      <c r="AO132" s="119"/>
      <c r="AP132" s="119"/>
      <c r="AQ132" s="119"/>
      <c r="AR132" s="105"/>
      <c r="AS132" s="119"/>
      <c r="AT132" s="119"/>
      <c r="AU132" s="119"/>
      <c r="AV132" s="105"/>
      <c r="AW132" s="119"/>
      <c r="AX132" s="119"/>
      <c r="AY132" s="119"/>
      <c r="AZ132" s="105"/>
      <c r="BA132" s="119"/>
      <c r="BB132" s="119"/>
    </row>
    <row r="133" customFormat="false" ht="14.25" hidden="false" customHeight="false" outlineLevel="0" collapsed="false">
      <c r="A133" s="107" t="n">
        <v>281</v>
      </c>
      <c r="B133" s="107"/>
      <c r="C133" s="11" t="s">
        <v>124</v>
      </c>
      <c r="D133" s="11" t="s">
        <v>124</v>
      </c>
      <c r="E133" s="114" t="n">
        <v>45636</v>
      </c>
      <c r="F133" s="115" t="n">
        <v>106247</v>
      </c>
      <c r="G133" s="115" t="s">
        <v>788</v>
      </c>
      <c r="H133" s="115"/>
      <c r="I133" s="100" t="n">
        <f aca="false">_xlfn.xlookup(C133,Clients!B:B,Clients!W:W,FALSE())</f>
        <v>0</v>
      </c>
      <c r="J133" s="116" t="str">
        <f aca="false">_xlfn.xlookup(C133,Clients!$B$1:$B$1001,Clients!$M$1:$M$1001,FALSE())</f>
        <v>Net 30 jours</v>
      </c>
      <c r="K133" s="100" t="str">
        <f aca="false">_xlfn.xlookup(C133,Clients!B:B,Clients!R:R,FALSE())</f>
        <v>EXW Boucherville</v>
      </c>
      <c r="L133" s="117" t="n">
        <v>45643</v>
      </c>
      <c r="M133" s="98" t="str">
        <f aca="false">_xlfn.xlookup(C133,Clients!B:B,Clients!X:X,FALSE())</f>
        <v>USD</v>
      </c>
      <c r="N133" s="98" t="str">
        <f aca="false">_xlfn.xlookup(C133,Clients!B:B,Clients!Y:Y,FALSE())</f>
        <v>USD</v>
      </c>
      <c r="O133" s="106" t="n">
        <v>40081</v>
      </c>
      <c r="P133" s="106" t="str">
        <f aca="false">_xlfn.xlookup(O133,'Prix vente'!A:A,'Prix vente'!H:H)&amp;"/"&amp;_xlfn.xlookup(O133,'Prix vente'!A:A,'Prix vente'!P:P)</f>
        <v>S21/10</v>
      </c>
      <c r="Q133" s="106" t="n">
        <v>4</v>
      </c>
      <c r="R133" s="106" t="n">
        <f aca="false">Q133*_xlfn.xlookup(O133,'Prix vente'!A:A,'Prix vente'!R:R)</f>
        <v>2400</v>
      </c>
      <c r="S133" s="118" t="n">
        <v>40082</v>
      </c>
      <c r="T133" s="118" t="str">
        <f aca="false">_xlfn.xlookup(S133,'Prix vente'!$A:$A,'Prix vente'!$H:$H)&amp;"/"&amp;_xlfn.xlookup(S133,'Prix vente'!A:A,'Prix vente'!P:P)</f>
        <v>S21/13</v>
      </c>
      <c r="U133" s="118" t="n">
        <v>1</v>
      </c>
      <c r="V133" s="118" t="n">
        <f aca="false">IFERROR(U133*_xlfn.xlookup(S133,'Prix vente'!$A:$A,'Prix vente'!$R:$R),"")</f>
        <v>780</v>
      </c>
      <c r="W133" s="106" t="n">
        <v>40205</v>
      </c>
      <c r="X133" s="106" t="str">
        <f aca="false">_xlfn.xlookup(W133,'Prix vente'!$A:$A,'Prix vente'!$H:$H)&amp;"/"&amp;_xlfn.xlookup(W133,'Prix vente'!A:A,'Prix vente'!P:P)</f>
        <v>S21/7</v>
      </c>
      <c r="Y133" s="106" t="n">
        <v>1</v>
      </c>
      <c r="Z133" s="106" t="n">
        <f aca="false">IFERROR(Y133*_xlfn.xlookup(W133,'Prix vente'!$A:$A,'Prix vente'!$R:$R),"")</f>
        <v>420</v>
      </c>
      <c r="AA133" s="118"/>
      <c r="AB133" s="118"/>
      <c r="AC133" s="118"/>
      <c r="AD133" s="118"/>
      <c r="AE133" s="119"/>
      <c r="AF133" s="105"/>
      <c r="AG133" s="119"/>
      <c r="AH133" s="119"/>
      <c r="AI133" s="119"/>
      <c r="AJ133" s="105"/>
      <c r="AK133" s="119"/>
      <c r="AL133" s="119"/>
      <c r="AM133" s="119"/>
      <c r="AN133" s="105"/>
      <c r="AO133" s="119"/>
      <c r="AP133" s="119"/>
      <c r="AQ133" s="119"/>
      <c r="AR133" s="105"/>
      <c r="AS133" s="119"/>
      <c r="AT133" s="119"/>
      <c r="AU133" s="119"/>
      <c r="AV133" s="105"/>
      <c r="AW133" s="119"/>
      <c r="AX133" s="119"/>
      <c r="AY133" s="119"/>
      <c r="AZ133" s="105"/>
      <c r="BA133" s="119"/>
      <c r="BB133" s="119"/>
    </row>
    <row r="134" customFormat="false" ht="14.25" hidden="false" customHeight="false" outlineLevel="0" collapsed="false">
      <c r="A134" s="107" t="n">
        <v>282</v>
      </c>
      <c r="B134" s="107"/>
      <c r="C134" s="11" t="s">
        <v>178</v>
      </c>
      <c r="D134" s="11" t="s">
        <v>178</v>
      </c>
      <c r="E134" s="114" t="n">
        <v>45636</v>
      </c>
      <c r="F134" s="115" t="n">
        <v>14315</v>
      </c>
      <c r="G134" s="115" t="s">
        <v>791</v>
      </c>
      <c r="H134" s="115"/>
      <c r="I134" s="100" t="n">
        <f aca="false">_xlfn.xlookup(C134,Clients!B:B,Clients!W:W,FALSE())</f>
        <v>0</v>
      </c>
      <c r="J134" s="116" t="str">
        <f aca="false">_xlfn.xlookup(C134,Clients!$B$1:$B$1001,Clients!$M$1:$M$1001,FALSE())</f>
        <v>Net 30 jours</v>
      </c>
      <c r="K134" s="100" t="str">
        <f aca="false">_xlfn.xlookup(C134,Clients!B:B,Clients!R:R,FALSE())</f>
        <v>Delivery Included</v>
      </c>
      <c r="L134" s="117" t="n">
        <v>45643</v>
      </c>
      <c r="M134" s="98" t="str">
        <f aca="false">_xlfn.xlookup(C134,Clients!B:B,Clients!X:X,FALSE())</f>
        <v>CAD</v>
      </c>
      <c r="N134" s="98" t="str">
        <f aca="false">_xlfn.xlookup(C134,Clients!B:B,Clients!Y:Y,FALSE())</f>
        <v>CAD</v>
      </c>
      <c r="O134" s="106" t="n">
        <v>40171</v>
      </c>
      <c r="P134" s="106" t="str">
        <f aca="false">_xlfn.xlookup(O134,'Prix vente'!A:A,'Prix vente'!H:H)&amp;"/"&amp;_xlfn.xlookup(O134,'Prix vente'!A:A,'Prix vente'!P:P)</f>
        <v>S15/10</v>
      </c>
      <c r="Q134" s="106" t="n">
        <v>6</v>
      </c>
      <c r="R134" s="106" t="n">
        <f aca="false">Q134*_xlfn.xlookup(O134,'Prix vente'!A:A,'Prix vente'!R:R)</f>
        <v>7200</v>
      </c>
      <c r="S134" s="118"/>
      <c r="T134" s="118" t="e">
        <f aca="false">_xlfn.xlookup(S134,'Prix vente'!$A:$A,'Prix vente'!$H:$H)&amp;"/"&amp;_xlfn.xlookup(S134,'Prix vente'!A:A,'Prix vente'!P:P)</f>
        <v>#NAME?</v>
      </c>
      <c r="U134" s="118"/>
      <c r="V134" s="118" t="str">
        <f aca="false">IFERROR(U134*_xlfn.xlookup(S134,'Prix vente'!$A:$A,'Prix vente'!$R:$R),"")</f>
        <v/>
      </c>
      <c r="W134" s="106"/>
      <c r="X134" s="106" t="e">
        <f aca="false">_xlfn.xlookup(W134,'Prix vente'!$A:$A,'Prix vente'!$H:$H)&amp;"/"&amp;_xlfn.xlookup(W134,'Prix vente'!A:A,'Prix vente'!P:P)</f>
        <v>#NAME?</v>
      </c>
      <c r="Y134" s="106"/>
      <c r="Z134" s="106" t="str">
        <f aca="false">IFERROR(Y134*_xlfn.xlookup(W134,'Prix vente'!$A:$A,'Prix vente'!$R:$R),"")</f>
        <v/>
      </c>
      <c r="AA134" s="118"/>
      <c r="AB134" s="118"/>
      <c r="AC134" s="118"/>
      <c r="AD134" s="118"/>
      <c r="AE134" s="119"/>
      <c r="AF134" s="105"/>
      <c r="AG134" s="119"/>
      <c r="AH134" s="119"/>
      <c r="AI134" s="119"/>
      <c r="AJ134" s="105"/>
      <c r="AK134" s="119"/>
      <c r="AL134" s="119"/>
      <c r="AM134" s="119"/>
      <c r="AN134" s="105"/>
      <c r="AO134" s="119"/>
      <c r="AP134" s="119"/>
      <c r="AQ134" s="119"/>
      <c r="AR134" s="105"/>
      <c r="AS134" s="119"/>
      <c r="AT134" s="119"/>
      <c r="AU134" s="119"/>
      <c r="AV134" s="105"/>
      <c r="AW134" s="119"/>
      <c r="AX134" s="119"/>
      <c r="AY134" s="119"/>
      <c r="AZ134" s="105"/>
      <c r="BA134" s="119"/>
      <c r="BB134" s="119"/>
    </row>
    <row r="135" customFormat="false" ht="14.25" hidden="false" customHeight="false" outlineLevel="0" collapsed="false">
      <c r="A135" s="107" t="n">
        <v>283</v>
      </c>
      <c r="B135" s="107"/>
      <c r="C135" s="11" t="s">
        <v>124</v>
      </c>
      <c r="D135" s="11" t="s">
        <v>124</v>
      </c>
      <c r="E135" s="114" t="n">
        <v>45637</v>
      </c>
      <c r="F135" s="115" t="n">
        <v>106272</v>
      </c>
      <c r="G135" s="115" t="s">
        <v>788</v>
      </c>
      <c r="H135" s="115"/>
      <c r="I135" s="100" t="n">
        <f aca="false">_xlfn.xlookup(C135,Clients!B:B,Clients!W:W,FALSE())</f>
        <v>0</v>
      </c>
      <c r="J135" s="116" t="str">
        <f aca="false">_xlfn.xlookup(C135,Clients!$B$1:$B$1001,Clients!$M$1:$M$1001,FALSE())</f>
        <v>Net 30 jours</v>
      </c>
      <c r="K135" s="100" t="str">
        <f aca="false">_xlfn.xlookup(C135,Clients!B:B,Clients!R:R,FALSE())</f>
        <v>EXW Boucherville</v>
      </c>
      <c r="L135" s="117" t="n">
        <v>45644</v>
      </c>
      <c r="M135" s="98" t="str">
        <f aca="false">_xlfn.xlookup(C135,Clients!B:B,Clients!X:X,FALSE())</f>
        <v>USD</v>
      </c>
      <c r="N135" s="98" t="str">
        <f aca="false">_xlfn.xlookup(C135,Clients!B:B,Clients!Y:Y,FALSE())</f>
        <v>USD</v>
      </c>
      <c r="O135" s="106" t="n">
        <v>40084</v>
      </c>
      <c r="P135" s="106" t="str">
        <f aca="false">_xlfn.xlookup(O135,'Prix vente'!A:A,'Prix vente'!H:H)&amp;"/"&amp;_xlfn.xlookup(O135,'Prix vente'!A:A,'Prix vente'!P:P)</f>
        <v>B25/12</v>
      </c>
      <c r="Q135" s="106" t="n">
        <v>5</v>
      </c>
      <c r="R135" s="106" t="n">
        <f aca="false">Q135*_xlfn.xlookup(O135,'Prix vente'!A:A,'Prix vente'!R:R)</f>
        <v>3600</v>
      </c>
      <c r="S135" s="118"/>
      <c r="T135" s="118" t="e">
        <f aca="false">_xlfn.xlookup(S135,'Prix vente'!$A:$A,'Prix vente'!$H:$H)&amp;"/"&amp;_xlfn.xlookup(S135,'Prix vente'!A:A,'Prix vente'!P:P)</f>
        <v>#NAME?</v>
      </c>
      <c r="U135" s="118"/>
      <c r="V135" s="118" t="str">
        <f aca="false">IFERROR(U135*_xlfn.xlookup(S135,'Prix vente'!$A:$A,'Prix vente'!$R:$R),"")</f>
        <v/>
      </c>
      <c r="W135" s="106"/>
      <c r="X135" s="106" t="e">
        <f aca="false">_xlfn.xlookup(W135,'Prix vente'!$A:$A,'Prix vente'!$H:$H)&amp;"/"&amp;_xlfn.xlookup(W135,'Prix vente'!A:A,'Prix vente'!P:P)</f>
        <v>#NAME?</v>
      </c>
      <c r="Y135" s="106"/>
      <c r="Z135" s="106" t="str">
        <f aca="false">IFERROR(Y135*_xlfn.xlookup(W135,'Prix vente'!$A:$A,'Prix vente'!$R:$R),"")</f>
        <v/>
      </c>
      <c r="AA135" s="118"/>
      <c r="AB135" s="118"/>
      <c r="AC135" s="118"/>
      <c r="AD135" s="118"/>
      <c r="AE135" s="106"/>
      <c r="AF135" s="106"/>
      <c r="AG135" s="106"/>
      <c r="AH135" s="106"/>
      <c r="AI135" s="118"/>
      <c r="AJ135" s="118"/>
      <c r="AK135" s="118"/>
      <c r="AL135" s="118"/>
      <c r="AM135" s="106"/>
      <c r="AN135" s="106"/>
      <c r="AO135" s="106"/>
      <c r="AP135" s="106"/>
      <c r="AQ135" s="118"/>
      <c r="AR135" s="118"/>
      <c r="AS135" s="118"/>
      <c r="AT135" s="118"/>
      <c r="AU135" s="106"/>
      <c r="AV135" s="106"/>
      <c r="AW135" s="106"/>
      <c r="AX135" s="106"/>
      <c r="AY135" s="118"/>
      <c r="AZ135" s="118"/>
      <c r="BA135" s="118"/>
      <c r="BB135" s="118"/>
    </row>
    <row r="136" customFormat="false" ht="14.25" hidden="false" customHeight="false" outlineLevel="0" collapsed="false">
      <c r="A136" s="107" t="n">
        <v>284</v>
      </c>
      <c r="B136" s="107"/>
      <c r="C136" s="11" t="s">
        <v>141</v>
      </c>
      <c r="D136" s="11" t="s">
        <v>141</v>
      </c>
      <c r="E136" s="114" t="n">
        <v>45637</v>
      </c>
      <c r="F136" s="115" t="n">
        <v>9936</v>
      </c>
      <c r="G136" s="115" t="s">
        <v>830</v>
      </c>
      <c r="H136" s="115"/>
      <c r="I136" s="100" t="n">
        <f aca="false">_xlfn.xlookup(C136,Clients!B:B,Clients!W:W,FALSE())</f>
        <v>0</v>
      </c>
      <c r="J136" s="116" t="str">
        <f aca="false">_xlfn.xlookup(C136,Clients!$B$1:$B$1001,Clients!$M$1:$M$1001,FALSE())</f>
        <v>Net 30 jours</v>
      </c>
      <c r="K136" s="100" t="str">
        <f aca="false">_xlfn.xlookup(C136,Clients!B:B,Clients!R:R,FALSE())</f>
        <v>Livraison incluse</v>
      </c>
      <c r="L136" s="117" t="n">
        <v>45644</v>
      </c>
      <c r="M136" s="98" t="str">
        <f aca="false">_xlfn.xlookup(C136,Clients!B:B,Clients!X:X,FALSE())</f>
        <v>CAD</v>
      </c>
      <c r="N136" s="98" t="str">
        <f aca="false">_xlfn.xlookup(C136,Clients!B:B,Clients!Y:Y,FALSE())</f>
        <v>CAD</v>
      </c>
      <c r="O136" s="106" t="n">
        <v>40206</v>
      </c>
      <c r="P136" s="106" t="str">
        <f aca="false">_xlfn.xlookup(O136,'Prix vente'!A:A,'Prix vente'!H:H)&amp;"/"&amp;_xlfn.xlookup(O136,'Prix vente'!A:A,'Prix vente'!P:P)</f>
        <v>S15/10</v>
      </c>
      <c r="Q136" s="106" t="n">
        <v>6</v>
      </c>
      <c r="R136" s="106" t="n">
        <f aca="false">Q136*_xlfn.xlookup(O136,'Prix vente'!A:A,'Prix vente'!R:R)</f>
        <v>7200</v>
      </c>
      <c r="S136" s="118" t="n">
        <v>40207</v>
      </c>
      <c r="T136" s="118" t="str">
        <f aca="false">_xlfn.xlookup(S136,'Prix vente'!$A:$A,'Prix vente'!$H:$H)&amp;"/"&amp;_xlfn.xlookup(S136,'Prix vente'!A:A,'Prix vente'!P:P)</f>
        <v>S15/8.75</v>
      </c>
      <c r="U136" s="118" t="n">
        <v>6</v>
      </c>
      <c r="V136" s="118" t="n">
        <f aca="false">IFERROR(U136*_xlfn.xlookup(S136,'Prix vente'!$A:$A,'Prix vente'!$R:$R),"")</f>
        <v>6300</v>
      </c>
      <c r="W136" s="106" t="n">
        <v>40208</v>
      </c>
      <c r="X136" s="106" t="str">
        <f aca="false">_xlfn.xlookup(W136,'Prix vente'!$A:$A,'Prix vente'!$H:$H)&amp;"/"&amp;_xlfn.xlookup(W136,'Prix vente'!A:A,'Prix vente'!P:P)</f>
        <v>S15/7.5</v>
      </c>
      <c r="Y136" s="106" t="n">
        <v>1</v>
      </c>
      <c r="Z136" s="106" t="n">
        <f aca="false">IFERROR(Y136*_xlfn.xlookup(W136,'Prix vente'!$A:$A,'Prix vente'!$R:$R),"")</f>
        <v>900</v>
      </c>
      <c r="AA136" s="118"/>
      <c r="AB136" s="118"/>
      <c r="AC136" s="118"/>
      <c r="AD136" s="118"/>
      <c r="AE136" s="106"/>
      <c r="AF136" s="106"/>
      <c r="AG136" s="106"/>
      <c r="AH136" s="106"/>
      <c r="AI136" s="118"/>
      <c r="AJ136" s="118"/>
      <c r="AK136" s="118"/>
      <c r="AL136" s="118"/>
      <c r="AM136" s="106"/>
      <c r="AN136" s="106"/>
      <c r="AO136" s="106"/>
      <c r="AP136" s="106"/>
      <c r="AQ136" s="118"/>
      <c r="AR136" s="118"/>
      <c r="AS136" s="118"/>
      <c r="AT136" s="118"/>
      <c r="AU136" s="106"/>
      <c r="AV136" s="106"/>
      <c r="AW136" s="106"/>
      <c r="AX136" s="106"/>
      <c r="AY136" s="118"/>
      <c r="AZ136" s="118"/>
      <c r="BA136" s="118"/>
      <c r="BB136" s="118"/>
    </row>
    <row r="137" customFormat="false" ht="14.25" hidden="false" customHeight="false" outlineLevel="0" collapsed="false">
      <c r="A137" s="107" t="n">
        <v>285</v>
      </c>
      <c r="B137" s="107"/>
      <c r="C137" s="11" t="s">
        <v>288</v>
      </c>
      <c r="D137" s="11" t="s">
        <v>288</v>
      </c>
      <c r="E137" s="114" t="n">
        <v>45638</v>
      </c>
      <c r="F137" s="115"/>
      <c r="G137" s="115" t="s">
        <v>291</v>
      </c>
      <c r="H137" s="115"/>
      <c r="I137" s="100" t="n">
        <f aca="false">_xlfn.xlookup(C137,Clients!B:B,Clients!W:W,FALSE())</f>
        <v>0</v>
      </c>
      <c r="J137" s="116" t="str">
        <f aca="false">_xlfn.xlookup(C137,Clients!$B$1:$B$1001,Clients!$M$1:$M$1001,FALSE())</f>
        <v>Net 30 jours</v>
      </c>
      <c r="K137" s="100" t="n">
        <f aca="false">_xlfn.xlookup(C137,Clients!B:B,Clients!R:R,FALSE())</f>
        <v>0</v>
      </c>
      <c r="L137" s="117"/>
      <c r="M137" s="98" t="str">
        <f aca="false">_xlfn.xlookup(C137,Clients!B:B,Clients!X:X,FALSE())</f>
        <v>CAD</v>
      </c>
      <c r="N137" s="98" t="str">
        <f aca="false">_xlfn.xlookup(C137,Clients!B:B,Clients!Y:Y,FALSE())</f>
        <v>CAD</v>
      </c>
      <c r="O137" s="106" t="n">
        <v>40209</v>
      </c>
      <c r="P137" s="106" t="str">
        <f aca="false">_xlfn.xlookup(O137,'Prix vente'!A:A,'Prix vente'!H:H)&amp;"/"&amp;_xlfn.xlookup(O137,'Prix vente'!A:A,'Prix vente'!P:P)</f>
        <v>/</v>
      </c>
      <c r="Q137" s="106" t="n">
        <v>0</v>
      </c>
      <c r="R137" s="106" t="n">
        <v>0.5</v>
      </c>
      <c r="S137" s="118"/>
      <c r="T137" s="118" t="e">
        <f aca="false">_xlfn.xlookup(S137,'Prix vente'!$A:$A,'Prix vente'!$H:$H)&amp;"/"&amp;_xlfn.xlookup(S137,'Prix vente'!A:A,'Prix vente'!P:P)</f>
        <v>#NAME?</v>
      </c>
      <c r="U137" s="118"/>
      <c r="V137" s="118" t="str">
        <f aca="false">IFERROR(U137*_xlfn.xlookup(S137,'Prix vente'!$A:$A,'Prix vente'!$R:$R),"")</f>
        <v/>
      </c>
      <c r="W137" s="106"/>
      <c r="X137" s="106" t="e">
        <f aca="false">_xlfn.xlookup(W137,'Prix vente'!$A:$A,'Prix vente'!$H:$H)&amp;"/"&amp;_xlfn.xlookup(W137,'Prix vente'!A:A,'Prix vente'!P:P)</f>
        <v>#NAME?</v>
      </c>
      <c r="Y137" s="106"/>
      <c r="Z137" s="106" t="str">
        <f aca="false">IFERROR(Y137*_xlfn.xlookup(W137,'Prix vente'!$A:$A,'Prix vente'!$R:$R),"")</f>
        <v/>
      </c>
      <c r="AA137" s="118"/>
      <c r="AB137" s="118"/>
      <c r="AC137" s="118"/>
      <c r="AD137" s="118"/>
      <c r="AE137" s="106"/>
      <c r="AF137" s="106"/>
      <c r="AG137" s="106"/>
      <c r="AH137" s="106"/>
      <c r="AI137" s="118"/>
      <c r="AJ137" s="118"/>
      <c r="AK137" s="118"/>
      <c r="AL137" s="118"/>
      <c r="AM137" s="106"/>
      <c r="AN137" s="106"/>
      <c r="AO137" s="106"/>
      <c r="AP137" s="106"/>
      <c r="AQ137" s="118"/>
      <c r="AR137" s="118"/>
      <c r="AS137" s="118"/>
      <c r="AT137" s="118"/>
      <c r="AU137" s="106"/>
      <c r="AV137" s="106"/>
      <c r="AW137" s="106"/>
      <c r="AX137" s="106"/>
      <c r="AY137" s="118"/>
      <c r="AZ137" s="118"/>
      <c r="BA137" s="118"/>
      <c r="BB137" s="118"/>
    </row>
    <row r="138" customFormat="false" ht="14.25" hidden="false" customHeight="false" outlineLevel="0" collapsed="false">
      <c r="A138" s="107" t="n">
        <v>286</v>
      </c>
      <c r="B138" s="107"/>
      <c r="C138" s="11" t="s">
        <v>31</v>
      </c>
      <c r="D138" s="11" t="s">
        <v>31</v>
      </c>
      <c r="E138" s="114" t="n">
        <v>45643</v>
      </c>
      <c r="F138" s="115" t="n">
        <v>50008960</v>
      </c>
      <c r="G138" s="115" t="s">
        <v>761</v>
      </c>
      <c r="H138" s="115"/>
      <c r="I138" s="100" t="n">
        <f aca="false">_xlfn.xlookup(C138,Clients!B:B,Clients!W:W,FALSE())</f>
        <v>0</v>
      </c>
      <c r="J138" s="116" t="str">
        <f aca="false">_xlfn.xlookup(C138,Clients!$B$1:$B$1001,Clients!$M$1:$M$1001,FALSE())</f>
        <v>Net 30 days</v>
      </c>
      <c r="K138" s="100" t="str">
        <f aca="false">_xlfn.xlookup(C138,Clients!B:B,Clients!R:R,FALSE())</f>
        <v>EXW Boucherville</v>
      </c>
      <c r="L138" s="117" t="n">
        <v>45649</v>
      </c>
      <c r="M138" s="98" t="str">
        <f aca="false">_xlfn.xlookup(C138,Clients!B:B,Clients!X:X,FALSE())</f>
        <v>USD</v>
      </c>
      <c r="N138" s="98" t="str">
        <f aca="false">_xlfn.xlookup(C138,Clients!B:B,Clients!Y:Y,FALSE())</f>
        <v>USD</v>
      </c>
      <c r="O138" s="106" t="n">
        <v>40103</v>
      </c>
      <c r="P138" s="106" t="str">
        <f aca="false">_xlfn.xlookup(O138,'Prix vente'!A:A,'Prix vente'!H:H)&amp;"/"&amp;_xlfn.xlookup(O138,'Prix vente'!A:A,'Prix vente'!P:P)</f>
        <v>D16/10</v>
      </c>
      <c r="Q138" s="106" t="n">
        <v>84</v>
      </c>
      <c r="R138" s="106" t="n">
        <f aca="false">Q138*_xlfn.xlookup(O138,'Prix vente'!A:A,'Prix vente'!R:R)</f>
        <v>50400</v>
      </c>
      <c r="S138" s="118" t="n">
        <v>40210</v>
      </c>
      <c r="T138" s="118" t="str">
        <f aca="false">_xlfn.xlookup(S138,'Prix vente'!$A:$A,'Prix vente'!$H:$H)&amp;"/"&amp;_xlfn.xlookup(S138,'Prix vente'!A:A,'Prix vente'!P:P)</f>
        <v>D16/9</v>
      </c>
      <c r="U138" s="118" t="n">
        <v>12</v>
      </c>
      <c r="V138" s="118" t="n">
        <f aca="false">IFERROR(U138*_xlfn.xlookup(S138,'Prix vente'!$A:$A,'Prix vente'!$R:$R),"")</f>
        <v>6480</v>
      </c>
      <c r="W138" s="106" t="n">
        <v>40170</v>
      </c>
      <c r="X138" s="106" t="str">
        <f aca="false">_xlfn.xlookup(W138,'Prix vente'!$A:$A,'Prix vente'!$H:$H)&amp;"/"&amp;_xlfn.xlookup(W138,'Prix vente'!A:A,'Prix vente'!P:P)</f>
        <v>D16/5.875</v>
      </c>
      <c r="Y138" s="106" t="n">
        <v>22</v>
      </c>
      <c r="Z138" s="106" t="n">
        <f aca="false">IFERROR(Y138*_xlfn.xlookup(W138,'Prix vente'!$A:$A,'Prix vente'!$R:$R),"")</f>
        <v>7755</v>
      </c>
      <c r="AA138" s="118"/>
      <c r="AB138" s="118"/>
      <c r="AC138" s="118"/>
      <c r="AD138" s="118"/>
      <c r="AE138" s="106"/>
      <c r="AF138" s="106"/>
      <c r="AG138" s="106"/>
      <c r="AH138" s="106"/>
      <c r="AI138" s="118"/>
      <c r="AJ138" s="118"/>
      <c r="AK138" s="118"/>
      <c r="AL138" s="118"/>
      <c r="AM138" s="106"/>
      <c r="AN138" s="106"/>
      <c r="AO138" s="106"/>
      <c r="AP138" s="106"/>
      <c r="AQ138" s="118"/>
      <c r="AR138" s="118"/>
      <c r="AS138" s="118"/>
      <c r="AT138" s="118"/>
      <c r="AU138" s="106"/>
      <c r="AV138" s="106"/>
      <c r="AW138" s="106"/>
      <c r="AX138" s="106"/>
      <c r="AY138" s="118"/>
      <c r="AZ138" s="118"/>
      <c r="BA138" s="118"/>
      <c r="BB138" s="118"/>
    </row>
    <row r="139" customFormat="false" ht="14.25" hidden="false" customHeight="false" outlineLevel="0" collapsed="false">
      <c r="A139" s="107" t="n">
        <v>287</v>
      </c>
      <c r="B139" s="107"/>
      <c r="C139" s="11" t="s">
        <v>134</v>
      </c>
      <c r="D139" s="11" t="s">
        <v>134</v>
      </c>
      <c r="E139" s="114" t="n">
        <v>45643</v>
      </c>
      <c r="F139" s="115" t="n">
        <v>1966</v>
      </c>
      <c r="G139" s="115" t="s">
        <v>773</v>
      </c>
      <c r="H139" s="115"/>
      <c r="I139" s="100" t="n">
        <f aca="false">_xlfn.xlookup(C139,Clients!B:B,Clients!W:W,FALSE())</f>
        <v>0</v>
      </c>
      <c r="J139" s="116" t="str">
        <f aca="false">_xlfn.xlookup(C139,Clients!$B$1:$B$1001,Clients!$M$1:$M$1001,FALSE())</f>
        <v>Net 30 jours</v>
      </c>
      <c r="K139" s="100" t="str">
        <f aca="false">_xlfn.xlookup(C139,Clients!B:B,Clients!R:R,FALSE())</f>
        <v>EXW Boucherville</v>
      </c>
      <c r="L139" s="117" t="n">
        <v>45666</v>
      </c>
      <c r="M139" s="98" t="str">
        <f aca="false">_xlfn.xlookup(C139,Clients!B:B,Clients!X:X,FALSE())</f>
        <v>CAD</v>
      </c>
      <c r="N139" s="98" t="str">
        <f aca="false">_xlfn.xlookup(C139,Clients!B:B,Clients!Y:Y,FALSE())</f>
        <v>CAD</v>
      </c>
      <c r="O139" s="106" t="n">
        <v>40212</v>
      </c>
      <c r="P139" s="106" t="str">
        <f aca="false">_xlfn.xlookup(O139,'Prix vente'!A:A,'Prix vente'!H:H)&amp;"/"&amp;_xlfn.xlookup(O139,'Prix vente'!A:A,'Prix vente'!P:P)</f>
        <v>S21/4.75</v>
      </c>
      <c r="Q139" s="106" t="n">
        <v>5</v>
      </c>
      <c r="R139" s="106" t="n">
        <f aca="false">Q139*_xlfn.xlookup(O139,'Prix vente'!A:A,'Prix vente'!R:R)</f>
        <v>1425</v>
      </c>
      <c r="S139" s="118" t="n">
        <v>40184</v>
      </c>
      <c r="T139" s="118" t="str">
        <f aca="false">_xlfn.xlookup(S139,'Prix vente'!$A:$A,'Prix vente'!$H:$H)&amp;"/"&amp;_xlfn.xlookup(S139,'Prix vente'!A:A,'Prix vente'!P:P)</f>
        <v>S21/6</v>
      </c>
      <c r="U139" s="118" t="n">
        <v>5</v>
      </c>
      <c r="V139" s="118" t="n">
        <f aca="false">IFERROR(U139*_xlfn.xlookup(S139,'Prix vente'!$A:$A,'Prix vente'!$R:$R),"")</f>
        <v>1800</v>
      </c>
      <c r="W139" s="106" t="n">
        <v>40213</v>
      </c>
      <c r="X139" s="106" t="str">
        <f aca="false">_xlfn.xlookup(W139,'Prix vente'!$A:$A,'Prix vente'!$H:$H)&amp;"/"&amp;_xlfn.xlookup(W139,'Prix vente'!A:A,'Prix vente'!P:P)</f>
        <v>S21/6.25</v>
      </c>
      <c r="Y139" s="106" t="n">
        <v>1</v>
      </c>
      <c r="Z139" s="106" t="n">
        <f aca="false">IFERROR(Y139*_xlfn.xlookup(W139,'Prix vente'!$A:$A,'Prix vente'!$R:$R),"")</f>
        <v>375</v>
      </c>
      <c r="AA139" s="118"/>
      <c r="AB139" s="118"/>
      <c r="AC139" s="118"/>
      <c r="AD139" s="118"/>
      <c r="AE139" s="106"/>
      <c r="AF139" s="106"/>
      <c r="AG139" s="106"/>
      <c r="AH139" s="106"/>
      <c r="AI139" s="118"/>
      <c r="AJ139" s="118"/>
      <c r="AK139" s="118"/>
      <c r="AL139" s="118"/>
      <c r="AM139" s="106"/>
      <c r="AN139" s="106"/>
      <c r="AO139" s="106"/>
      <c r="AP139" s="106"/>
      <c r="AQ139" s="118"/>
      <c r="AR139" s="118"/>
      <c r="AS139" s="118"/>
      <c r="AT139" s="118"/>
      <c r="AU139" s="106"/>
      <c r="AV139" s="106"/>
      <c r="AW139" s="106"/>
      <c r="AX139" s="106"/>
      <c r="AY139" s="118"/>
      <c r="AZ139" s="118"/>
      <c r="BA139" s="118"/>
      <c r="BB139" s="118"/>
    </row>
    <row r="140" customFormat="false" ht="14.25" hidden="false" customHeight="false" outlineLevel="0" collapsed="false">
      <c r="A140" s="107" t="n">
        <v>288</v>
      </c>
      <c r="B140" s="107"/>
      <c r="C140" s="11" t="s">
        <v>160</v>
      </c>
      <c r="D140" s="11" t="s">
        <v>160</v>
      </c>
      <c r="E140" s="114" t="n">
        <v>45593</v>
      </c>
      <c r="F140" s="115" t="n">
        <v>31758</v>
      </c>
      <c r="G140" s="115" t="s">
        <v>786</v>
      </c>
      <c r="H140" s="115"/>
      <c r="I140" s="100" t="n">
        <f aca="false">_xlfn.xlookup(C140,Clients!B:B,Clients!W:W,FALSE())</f>
        <v>0</v>
      </c>
      <c r="J140" s="116" t="str">
        <f aca="false">_xlfn.xlookup(C140,Clients!$B$1:$B$1001,Clients!$M$1:$M$1001,FALSE())</f>
        <v>Net 30 jours</v>
      </c>
      <c r="K140" s="100" t="str">
        <f aca="false">_xlfn.xlookup(C140,Clients!B:B,Clients!R:R,FALSE())</f>
        <v>Livraison incluse</v>
      </c>
      <c r="L140" s="117" t="n">
        <v>45680</v>
      </c>
      <c r="M140" s="98" t="str">
        <f aca="false">_xlfn.xlookup(C140,Clients!B:B,Clients!X:X,FALSE())</f>
        <v>CAD</v>
      </c>
      <c r="N140" s="98" t="str">
        <f aca="false">_xlfn.xlookup(C140,Clients!B:B,Clients!Y:Y,FALSE())</f>
        <v>CAD</v>
      </c>
      <c r="O140" s="106" t="n">
        <v>40214</v>
      </c>
      <c r="P140" s="106" t="str">
        <f aca="false">_xlfn.xlookup(O140,'Prix vente'!A:A,'Prix vente'!H:H)&amp;"/"&amp;_xlfn.xlookup(O140,'Prix vente'!A:A,'Prix vente'!P:P)</f>
        <v>T11/8.75</v>
      </c>
      <c r="Q140" s="106" t="n">
        <v>2</v>
      </c>
      <c r="R140" s="106" t="n">
        <f aca="false">Q140*_xlfn.xlookup(O140,'Prix vente'!A:A,'Prix vente'!R:R)</f>
        <v>2100</v>
      </c>
      <c r="S140" s="118" t="n">
        <v>40215</v>
      </c>
      <c r="T140" s="118" t="str">
        <f aca="false">_xlfn.xlookup(S140,'Prix vente'!$A:$A,'Prix vente'!$H:$H)&amp;"/"&amp;_xlfn.xlookup(S140,'Prix vente'!A:A,'Prix vente'!P:P)</f>
        <v>T11/8.625</v>
      </c>
      <c r="U140" s="118" t="n">
        <v>4</v>
      </c>
      <c r="V140" s="118" t="n">
        <f aca="false">IFERROR(U140*_xlfn.xlookup(S140,'Prix vente'!$A:$A,'Prix vente'!$R:$R),"")</f>
        <v>4140</v>
      </c>
      <c r="W140" s="106" t="n">
        <v>40216</v>
      </c>
      <c r="X140" s="106" t="str">
        <f aca="false">_xlfn.xlookup(W140,'Prix vente'!$A:$A,'Prix vente'!$H:$H)&amp;"/"&amp;_xlfn.xlookup(W140,'Prix vente'!A:A,'Prix vente'!P:P)</f>
        <v>T11/7.875</v>
      </c>
      <c r="Y140" s="106" t="n">
        <v>1</v>
      </c>
      <c r="Z140" s="106" t="n">
        <f aca="false">IFERROR(Y140*_xlfn.xlookup(W140,'Prix vente'!$A:$A,'Prix vente'!$R:$R),"")</f>
        <v>945</v>
      </c>
      <c r="AA140" s="118"/>
      <c r="AB140" s="118"/>
      <c r="AC140" s="118"/>
      <c r="AD140" s="118"/>
      <c r="AE140" s="106"/>
      <c r="AF140" s="106"/>
      <c r="AG140" s="106"/>
      <c r="AH140" s="106"/>
      <c r="AI140" s="118"/>
      <c r="AJ140" s="118"/>
      <c r="AK140" s="118"/>
      <c r="AL140" s="118"/>
      <c r="AM140" s="106"/>
      <c r="AN140" s="106"/>
      <c r="AO140" s="106"/>
      <c r="AP140" s="106"/>
      <c r="AQ140" s="118"/>
      <c r="AR140" s="118"/>
      <c r="AS140" s="118"/>
      <c r="AT140" s="118"/>
      <c r="AU140" s="106"/>
      <c r="AV140" s="106"/>
      <c r="AW140" s="106"/>
      <c r="AX140" s="106"/>
      <c r="AY140" s="118"/>
      <c r="AZ140" s="118"/>
      <c r="BA140" s="118"/>
      <c r="BB140" s="118"/>
    </row>
    <row r="141" customFormat="false" ht="14.25" hidden="false" customHeight="false" outlineLevel="0" collapsed="false">
      <c r="A141" s="107" t="n">
        <v>289</v>
      </c>
      <c r="B141" s="107"/>
      <c r="C141" s="11" t="s">
        <v>110</v>
      </c>
      <c r="D141" s="11" t="s">
        <v>110</v>
      </c>
      <c r="E141" s="114" t="n">
        <v>45645</v>
      </c>
      <c r="F141" s="115" t="s">
        <v>833</v>
      </c>
      <c r="G141" s="115" t="s">
        <v>769</v>
      </c>
      <c r="H141" s="115"/>
      <c r="I141" s="100" t="str">
        <f aca="false">_xlfn.xlookup(C141,Clients!B:B,Clients!W:W,FALSE())</f>
        <v>Pickup par Produlith camion</v>
      </c>
      <c r="J141" s="116" t="str">
        <f aca="false">_xlfn.xlookup(C141,Clients!$B$1:$B$1001,Clients!$M$1:$M$1001,FALSE())</f>
        <v>Net 30 jours</v>
      </c>
      <c r="K141" s="100" t="str">
        <f aca="false">_xlfn.xlookup(C141,Clients!B:B,Clients!R:R,FALSE())</f>
        <v>EXW Boucherville</v>
      </c>
      <c r="L141" s="117" t="n">
        <v>45646</v>
      </c>
      <c r="M141" s="98" t="str">
        <f aca="false">_xlfn.xlookup(C141,Clients!B:B,Clients!X:X,FALSE())</f>
        <v>USD</v>
      </c>
      <c r="N141" s="98" t="str">
        <f aca="false">_xlfn.xlookup(C141,Clients!B:B,Clients!Y:Y,FALSE())</f>
        <v>USD</v>
      </c>
      <c r="O141" s="106" t="n">
        <v>40089</v>
      </c>
      <c r="P141" s="106" t="str">
        <f aca="false">_xlfn.xlookup(O141,'Prix vente'!A:A,'Prix vente'!H:H)&amp;"/"&amp;_xlfn.xlookup(O141,'Prix vente'!A:A,'Prix vente'!P:P)</f>
        <v>B25/15</v>
      </c>
      <c r="Q141" s="106" t="n">
        <v>4</v>
      </c>
      <c r="R141" s="106" t="n">
        <f aca="false">Q141*_xlfn.xlookup(O141,'Prix vente'!A:A,'Prix vente'!R:R)</f>
        <v>3600</v>
      </c>
      <c r="S141" s="118"/>
      <c r="T141" s="118" t="e">
        <f aca="false">_xlfn.xlookup(S141,'Prix vente'!$A:$A,'Prix vente'!$H:$H)&amp;"/"&amp;_xlfn.xlookup(S141,'Prix vente'!A:A,'Prix vente'!P:P)</f>
        <v>#NAME?</v>
      </c>
      <c r="U141" s="118"/>
      <c r="V141" s="118" t="str">
        <f aca="false">IFERROR(U141*_xlfn.xlookup(S141,'Prix vente'!$A:$A,'Prix vente'!$R:$R),"")</f>
        <v/>
      </c>
      <c r="W141" s="106"/>
      <c r="X141" s="106" t="e">
        <f aca="false">_xlfn.xlookup(W141,'Prix vente'!$A:$A,'Prix vente'!$H:$H)&amp;"/"&amp;_xlfn.xlookup(W141,'Prix vente'!A:A,'Prix vente'!P:P)</f>
        <v>#NAME?</v>
      </c>
      <c r="Y141" s="106"/>
      <c r="Z141" s="106" t="str">
        <f aca="false">IFERROR(Y141*_xlfn.xlookup(W141,'Prix vente'!$A:$A,'Prix vente'!$R:$R),"")</f>
        <v/>
      </c>
      <c r="AA141" s="118"/>
      <c r="AB141" s="118"/>
      <c r="AC141" s="118"/>
      <c r="AD141" s="118"/>
      <c r="AE141" s="106"/>
      <c r="AF141" s="106"/>
      <c r="AG141" s="106"/>
      <c r="AH141" s="106"/>
      <c r="AI141" s="118"/>
      <c r="AJ141" s="118"/>
      <c r="AK141" s="118"/>
      <c r="AL141" s="118"/>
      <c r="AM141" s="106"/>
      <c r="AN141" s="106"/>
      <c r="AO141" s="106"/>
      <c r="AP141" s="106"/>
      <c r="AQ141" s="118"/>
      <c r="AR141" s="118"/>
      <c r="AS141" s="118"/>
      <c r="AT141" s="118"/>
      <c r="AU141" s="106"/>
      <c r="AV141" s="106"/>
      <c r="AW141" s="106"/>
      <c r="AX141" s="106"/>
      <c r="AY141" s="118"/>
      <c r="AZ141" s="118"/>
      <c r="BA141" s="118"/>
      <c r="BB141" s="118"/>
    </row>
    <row r="142" customFormat="false" ht="14.25" hidden="false" customHeight="false" outlineLevel="0" collapsed="false">
      <c r="A142" s="107" t="n">
        <v>290</v>
      </c>
      <c r="B142" s="107"/>
      <c r="C142" s="11" t="s">
        <v>269</v>
      </c>
      <c r="D142" s="11" t="s">
        <v>269</v>
      </c>
      <c r="E142" s="114" t="n">
        <v>45645</v>
      </c>
      <c r="F142" s="115" t="s">
        <v>834</v>
      </c>
      <c r="G142" s="115" t="s">
        <v>274</v>
      </c>
      <c r="H142" s="115"/>
      <c r="I142" s="100" t="n">
        <f aca="false">_xlfn.xlookup(C142,Clients!B:B,Clients!W:W,FALSE())</f>
        <v>0</v>
      </c>
      <c r="J142" s="116" t="str">
        <f aca="false">_xlfn.xlookup(C142,Clients!$B$1:$B$1001,Clients!$M$1:$M$1001,FALSE())</f>
        <v>Net 30 jours</v>
      </c>
      <c r="K142" s="100" t="str">
        <f aca="false">_xlfn.xlookup(C142,Clients!B:B,Clients!R:R,FALSE())</f>
        <v>Livraison incluse</v>
      </c>
      <c r="L142" s="117" t="n">
        <v>45300</v>
      </c>
      <c r="M142" s="98" t="str">
        <f aca="false">_xlfn.xlookup(C142,Clients!B:B,Clients!X:X,FALSE())</f>
        <v>CAD</v>
      </c>
      <c r="N142" s="98" t="str">
        <f aca="false">_xlfn.xlookup(C142,Clients!B:B,Clients!Y:Y,FALSE())</f>
        <v>CAD</v>
      </c>
      <c r="O142" s="106" t="n">
        <v>40217</v>
      </c>
      <c r="P142" s="106" t="str">
        <f aca="false">_xlfn.xlookup(O142,'Prix vente'!A:A,'Prix vente'!H:H)&amp;"/"&amp;_xlfn.xlookup(O142,'Prix vente'!A:A,'Prix vente'!P:P)</f>
        <v>D11/7.125</v>
      </c>
      <c r="Q142" s="106" t="n">
        <v>14</v>
      </c>
      <c r="R142" s="106" t="n">
        <f aca="false">Q142*_xlfn.xlookup(O142,'Prix vente'!A:A,'Prix vente'!R:R)</f>
        <v>11970</v>
      </c>
      <c r="S142" s="118" t="n">
        <v>40218</v>
      </c>
      <c r="T142" s="118" t="str">
        <f aca="false">_xlfn.xlookup(S142,'Prix vente'!$A:$A,'Prix vente'!$H:$H)&amp;"/"&amp;_xlfn.xlookup(S142,'Prix vente'!A:A,'Prix vente'!P:P)</f>
        <v>D11/6.75</v>
      </c>
      <c r="U142" s="118" t="n">
        <v>2</v>
      </c>
      <c r="V142" s="118" t="n">
        <f aca="false">IFERROR(U142*_xlfn.xlookup(S142,'Prix vente'!$A:$A,'Prix vente'!$R:$R),"")</f>
        <v>1620</v>
      </c>
      <c r="W142" s="106" t="n">
        <v>40219</v>
      </c>
      <c r="X142" s="106" t="str">
        <f aca="false">_xlfn.xlookup(W142,'Prix vente'!$A:$A,'Prix vente'!$H:$H)&amp;"/"&amp;_xlfn.xlookup(W142,'Prix vente'!A:A,'Prix vente'!P:P)</f>
        <v>D11/3.375</v>
      </c>
      <c r="Y142" s="106" t="n">
        <v>2</v>
      </c>
      <c r="Z142" s="106" t="n">
        <f aca="false">IFERROR(Y142*_xlfn.xlookup(W142,'Prix vente'!$A:$A,'Prix vente'!$R:$R),"")</f>
        <v>810</v>
      </c>
      <c r="AA142" s="118"/>
      <c r="AB142" s="118"/>
      <c r="AC142" s="118"/>
      <c r="AD142" s="118"/>
      <c r="AE142" s="106"/>
      <c r="AF142" s="106"/>
      <c r="AG142" s="106"/>
      <c r="AH142" s="106"/>
      <c r="AI142" s="118"/>
      <c r="AJ142" s="118"/>
      <c r="AK142" s="118"/>
      <c r="AL142" s="118"/>
      <c r="AM142" s="106"/>
      <c r="AN142" s="106"/>
      <c r="AO142" s="106"/>
      <c r="AP142" s="106"/>
      <c r="AQ142" s="118"/>
      <c r="AR142" s="118"/>
      <c r="AS142" s="118"/>
      <c r="AT142" s="118"/>
      <c r="AU142" s="106"/>
      <c r="AV142" s="106"/>
      <c r="AW142" s="106"/>
      <c r="AX142" s="106"/>
      <c r="AY142" s="118"/>
      <c r="AZ142" s="118"/>
      <c r="BA142" s="118"/>
      <c r="BB142" s="118"/>
    </row>
    <row r="143" customFormat="false" ht="14.25" hidden="false" customHeight="false" outlineLevel="0" collapsed="false">
      <c r="A143" s="107" t="n">
        <v>291</v>
      </c>
      <c r="B143" s="107"/>
      <c r="C143" s="11" t="s">
        <v>241</v>
      </c>
      <c r="D143" s="11" t="s">
        <v>241</v>
      </c>
      <c r="E143" s="114" t="n">
        <v>45663</v>
      </c>
      <c r="F143" s="115" t="n">
        <v>179984</v>
      </c>
      <c r="G143" s="115" t="s">
        <v>807</v>
      </c>
      <c r="H143" s="115"/>
      <c r="I143" s="100" t="n">
        <f aca="false">_xlfn.xlookup(C143,Clients!B:B,Clients!W:W,FALSE())</f>
        <v>0</v>
      </c>
      <c r="J143" s="116" t="str">
        <f aca="false">_xlfn.xlookup(C143,Clients!$B$1:$B$1001,Clients!$M$1:$M$1001,FALSE())</f>
        <v>Net 30 jours</v>
      </c>
      <c r="K143" s="100" t="str">
        <f aca="false">_xlfn.xlookup(C143,Clients!B:B,Clients!R:R,FALSE())</f>
        <v>Livraison incluse</v>
      </c>
      <c r="L143" s="117" t="n">
        <v>45304</v>
      </c>
      <c r="M143" s="98" t="str">
        <f aca="false">_xlfn.xlookup(C143,Clients!B:B,Clients!X:X,FALSE())</f>
        <v>CAD</v>
      </c>
      <c r="N143" s="98" t="str">
        <f aca="false">_xlfn.xlookup(C143,Clients!B:B,Clients!Y:Y,FALSE())</f>
        <v>CAD</v>
      </c>
      <c r="O143" s="106" t="n">
        <v>40220</v>
      </c>
      <c r="P143" s="106" t="str">
        <f aca="false">_xlfn.xlookup(O143,'Prix vente'!A:A,'Prix vente'!H:H)&amp;"/"&amp;_xlfn.xlookup(O143,'Prix vente'!A:A,'Prix vente'!P:P)</f>
        <v>D11/10</v>
      </c>
      <c r="Q143" s="106" t="n">
        <v>12</v>
      </c>
      <c r="R143" s="106" t="n">
        <f aca="false">Q143*_xlfn.xlookup(O143,'Prix vente'!A:A,'Prix vente'!R:R)</f>
        <v>7200</v>
      </c>
      <c r="S143" s="118"/>
      <c r="T143" s="118" t="e">
        <f aca="false">_xlfn.xlookup(S143,'Prix vente'!$A:$A,'Prix vente'!$H:$H)&amp;"/"&amp;_xlfn.xlookup(S143,'Prix vente'!A:A,'Prix vente'!P:P)</f>
        <v>#NAME?</v>
      </c>
      <c r="U143" s="118"/>
      <c r="V143" s="118" t="str">
        <f aca="false">IFERROR(U143*_xlfn.xlookup(S143,'Prix vente'!$A:$A,'Prix vente'!$R:$R),"")</f>
        <v/>
      </c>
      <c r="W143" s="106"/>
      <c r="X143" s="106" t="e">
        <f aca="false">_xlfn.xlookup(W143,'Prix vente'!$A:$A,'Prix vente'!$H:$H)&amp;"/"&amp;_xlfn.xlookup(W143,'Prix vente'!A:A,'Prix vente'!P:P)</f>
        <v>#NAME?</v>
      </c>
      <c r="Y143" s="106"/>
      <c r="Z143" s="106" t="str">
        <f aca="false">IFERROR(Y143*_xlfn.xlookup(W143,'Prix vente'!$A:$A,'Prix vente'!$R:$R),"")</f>
        <v/>
      </c>
      <c r="AA143" s="118"/>
      <c r="AB143" s="118"/>
      <c r="AC143" s="118"/>
      <c r="AD143" s="118"/>
      <c r="AE143" s="106"/>
      <c r="AF143" s="106"/>
      <c r="AG143" s="106"/>
      <c r="AH143" s="106"/>
      <c r="AI143" s="118"/>
      <c r="AJ143" s="118"/>
      <c r="AK143" s="118"/>
      <c r="AL143" s="118"/>
      <c r="AM143" s="106"/>
      <c r="AN143" s="106"/>
      <c r="AO143" s="106"/>
      <c r="AP143" s="106"/>
      <c r="AQ143" s="118"/>
      <c r="AR143" s="118"/>
      <c r="AS143" s="118"/>
      <c r="AT143" s="118"/>
      <c r="AU143" s="106"/>
      <c r="AV143" s="106"/>
      <c r="AW143" s="106"/>
      <c r="AX143" s="106"/>
      <c r="AY143" s="118"/>
      <c r="AZ143" s="118"/>
      <c r="BA143" s="118"/>
      <c r="BB143" s="118"/>
    </row>
    <row r="144" customFormat="false" ht="14.25" hidden="false" customHeight="false" outlineLevel="0" collapsed="false">
      <c r="A144" s="107" t="n">
        <v>292</v>
      </c>
      <c r="B144" s="107"/>
      <c r="C144" s="11" t="s">
        <v>124</v>
      </c>
      <c r="D144" s="11" t="s">
        <v>124</v>
      </c>
      <c r="E144" s="114" t="n">
        <v>45663</v>
      </c>
      <c r="F144" s="115" t="n">
        <v>106618</v>
      </c>
      <c r="G144" s="115" t="s">
        <v>788</v>
      </c>
      <c r="H144" s="115"/>
      <c r="I144" s="100" t="n">
        <f aca="false">_xlfn.xlookup(C144,Clients!B:B,Clients!W:W,FALSE())</f>
        <v>0</v>
      </c>
      <c r="J144" s="116" t="str">
        <f aca="false">_xlfn.xlookup(C144,Clients!$B$1:$B$1001,Clients!$M$1:$M$1001,FALSE())</f>
        <v>Net 30 jours</v>
      </c>
      <c r="K144" s="100" t="str">
        <f aca="false">_xlfn.xlookup(C144,Clients!B:B,Clients!R:R,FALSE())</f>
        <v>EXW Boucherville</v>
      </c>
      <c r="L144" s="117" t="n">
        <v>45304</v>
      </c>
      <c r="M144" s="98" t="str">
        <f aca="false">_xlfn.xlookup(C144,Clients!B:B,Clients!X:X,FALSE())</f>
        <v>USD</v>
      </c>
      <c r="N144" s="98" t="str">
        <f aca="false">_xlfn.xlookup(C144,Clients!B:B,Clients!Y:Y,FALSE())</f>
        <v>USD</v>
      </c>
      <c r="O144" s="106" t="n">
        <v>40221</v>
      </c>
      <c r="P144" s="106" t="str">
        <f aca="false">_xlfn.xlookup(O144,'Prix vente'!A:A,'Prix vente'!H:H)&amp;"/"&amp;_xlfn.xlookup(O144,'Prix vente'!A:A,'Prix vente'!P:P)</f>
        <v>S21/14</v>
      </c>
      <c r="Q144" s="106" t="n">
        <v>4</v>
      </c>
      <c r="R144" s="106" t="n">
        <f aca="false">Q144*_xlfn.xlookup(O144,'Prix vente'!A:A,'Prix vente'!R:R)</f>
        <v>3360</v>
      </c>
      <c r="S144" s="118" t="n">
        <v>40222</v>
      </c>
      <c r="T144" s="118" t="str">
        <f aca="false">_xlfn.xlookup(S144,'Prix vente'!$A:$A,'Prix vente'!$H:$H)&amp;"/"&amp;_xlfn.xlookup(S144,'Prix vente'!A:A,'Prix vente'!P:P)</f>
        <v>S21/4</v>
      </c>
      <c r="U144" s="118" t="n">
        <v>1</v>
      </c>
      <c r="V144" s="118" t="n">
        <f aca="false">IFERROR(U144*_xlfn.xlookup(S144,'Prix vente'!$A:$A,'Prix vente'!$R:$R),"")</f>
        <v>240</v>
      </c>
      <c r="W144" s="106" t="n">
        <v>40173</v>
      </c>
      <c r="X144" s="106" t="str">
        <f aca="false">_xlfn.xlookup(W144,'Prix vente'!$A:$A,'Prix vente'!$H:$H)&amp;"/"&amp;_xlfn.xlookup(W144,'Prix vente'!A:A,'Prix vente'!P:P)</f>
        <v>S21/12</v>
      </c>
      <c r="Y144" s="106" t="n">
        <v>5</v>
      </c>
      <c r="Z144" s="106" t="n">
        <f aca="false">IFERROR(Y144*_xlfn.xlookup(W144,'Prix vente'!$A:$A,'Prix vente'!$R:$R),"")</f>
        <v>7200</v>
      </c>
      <c r="AA144" s="118" t="n">
        <v>40048</v>
      </c>
      <c r="AB144" s="118" t="str">
        <f aca="false">_xlfn.xlookup(AA144,'Prix vente'!$A:$A,'Prix vente'!$H:$H)&amp;"/"&amp;_xlfn.xlookup(AA144,'Prix vente'!A:A,'Prix vente'!P:P)</f>
        <v>S21/12</v>
      </c>
      <c r="AC144" s="118" t="n">
        <v>5</v>
      </c>
      <c r="AD144" s="118" t="n">
        <f aca="false">IFERROR(AC144*_xlfn.xlookup(AA144,'Prix vente'!$A:$A,'Prix vente'!$R:$R),"")</f>
        <v>3600</v>
      </c>
      <c r="AE144" s="106"/>
      <c r="AF144" s="106" t="e">
        <f aca="false">_xlfn.xlookup(AE144,'Prix vente'!$A:$A,'Prix vente'!$H:$H)&amp;"/"&amp;_xlfn.xlookup(AE144,'Prix vente'!$A:$A,'Prix vente'!$P:$P)</f>
        <v>#NAME?</v>
      </c>
      <c r="AG144" s="106"/>
      <c r="AH144" s="106" t="str">
        <f aca="false">IFERROR(AG144*_xlfn.xlookup(AE144,'Prix vente'!$A:$A,'Prix vente'!$R:$R),"")</f>
        <v/>
      </c>
      <c r="AI144" s="118"/>
      <c r="AJ144" s="118" t="e">
        <f aca="false">_xlfn.xlookup(AI144,'Prix vente'!$A:$A,'Prix vente'!$H:$H)&amp;"/"&amp;_xlfn.xlookup(AI144,'Prix vente'!$A:$A,'Prix vente'!$P:$P)</f>
        <v>#NAME?</v>
      </c>
      <c r="AK144" s="118"/>
      <c r="AL144" s="118" t="str">
        <f aca="false">IFERROR(AK144*_xlfn.xlookup(AI144,'Prix vente'!$A:$A,'Prix vente'!$R:$R),"")</f>
        <v/>
      </c>
      <c r="AM144" s="106"/>
      <c r="AN144" s="106" t="e">
        <f aca="false">_xlfn.xlookup(AM144,'Prix vente'!$A:$A,'Prix vente'!$H:$H)&amp;"/"&amp;_xlfn.xlookup(AM144,'Prix vente'!$A:$A,'Prix vente'!$P:$P)</f>
        <v>#NAME?</v>
      </c>
      <c r="AO144" s="106"/>
      <c r="AP144" s="106" t="str">
        <f aca="false">IFERROR(AO144*_xlfn.xlookup(AM144,'Prix vente'!$A:$A,'Prix vente'!$R:$R),"")</f>
        <v/>
      </c>
      <c r="AQ144" s="118"/>
      <c r="AR144" s="118" t="e">
        <f aca="false">_xlfn.xlookup(AQ144,'Prix vente'!$A:$A,'Prix vente'!$H:$H)&amp;"/"&amp;_xlfn.xlookup(AQ144,'Prix vente'!$A:$A,'Prix vente'!$P:$P)</f>
        <v>#NAME?</v>
      </c>
      <c r="AS144" s="118"/>
      <c r="AT144" s="118" t="str">
        <f aca="false">IFERROR(AS144*_xlfn.xlookup(AQ144,'Prix vente'!$A:$A,'Prix vente'!$R:$R),"")</f>
        <v/>
      </c>
      <c r="AU144" s="106"/>
      <c r="AV144" s="106"/>
      <c r="AW144" s="106"/>
      <c r="AX144" s="106"/>
      <c r="AY144" s="118"/>
      <c r="AZ144" s="118"/>
      <c r="BA144" s="118"/>
      <c r="BB144" s="118"/>
    </row>
    <row r="145" customFormat="false" ht="14.25" hidden="false" customHeight="false" outlineLevel="0" collapsed="false">
      <c r="A145" s="107" t="n">
        <v>293</v>
      </c>
      <c r="B145" s="107"/>
      <c r="C145" s="11" t="s">
        <v>124</v>
      </c>
      <c r="D145" s="11" t="s">
        <v>124</v>
      </c>
      <c r="E145" s="114" t="n">
        <v>45663</v>
      </c>
      <c r="F145" s="115" t="n">
        <v>106246</v>
      </c>
      <c r="G145" s="115"/>
      <c r="H145" s="115"/>
      <c r="I145" s="100" t="n">
        <f aca="false">_xlfn.xlookup(C145,Clients!B:B,Clients!W:W,FALSE())</f>
        <v>0</v>
      </c>
      <c r="J145" s="116" t="str">
        <f aca="false">_xlfn.xlookup(C145,Clients!$B$1:$B$1001,Clients!$M$1:$M$1001,FALSE())</f>
        <v>Net 30 jours</v>
      </c>
      <c r="K145" s="100" t="str">
        <f aca="false">_xlfn.xlookup(C145,Clients!B:B,Clients!R:R,FALSE())</f>
        <v>EXW Boucherville</v>
      </c>
      <c r="L145" s="117" t="n">
        <v>45304</v>
      </c>
      <c r="M145" s="98" t="str">
        <f aca="false">_xlfn.xlookup(C145,Clients!B:B,Clients!X:X,FALSE())</f>
        <v>USD</v>
      </c>
      <c r="N145" s="98" t="str">
        <f aca="false">_xlfn.xlookup(C145,Clients!B:B,Clients!Y:Y,FALSE())</f>
        <v>USD</v>
      </c>
      <c r="O145" s="106" t="n">
        <v>40067</v>
      </c>
      <c r="P145" s="106" t="str">
        <f aca="false">_xlfn.xlookup(O145,'Prix vente'!A:A,'Prix vente'!H:H)&amp;"/"&amp;_xlfn.xlookup(O145,'Prix vente'!A:A,'Prix vente'!P:P)</f>
        <v>S15/12</v>
      </c>
      <c r="Q145" s="106" t="n">
        <v>5</v>
      </c>
      <c r="R145" s="106" t="n">
        <f aca="false">Q145*_xlfn.xlookup(O145,'Prix vente'!A:A,'Prix vente'!R:R)</f>
        <v>3600</v>
      </c>
      <c r="S145" s="118"/>
      <c r="T145" s="118" t="e">
        <f aca="false">_xlfn.xlookup(S145,'Prix vente'!$A:$A,'Prix vente'!$H:$H)&amp;"/"&amp;_xlfn.xlookup(S145,'Prix vente'!A:A,'Prix vente'!P:P)</f>
        <v>#NAME?</v>
      </c>
      <c r="U145" s="118"/>
      <c r="V145" s="118" t="str">
        <f aca="false">IFERROR(U145*_xlfn.xlookup(S145,'Prix vente'!$A:$A,'Prix vente'!$R:$R),"")</f>
        <v/>
      </c>
      <c r="W145" s="106"/>
      <c r="X145" s="106" t="e">
        <f aca="false">_xlfn.xlookup(W145,'Prix vente'!$A:$A,'Prix vente'!$H:$H)&amp;"/"&amp;_xlfn.xlookup(W145,'Prix vente'!A:A,'Prix vente'!P:P)</f>
        <v>#NAME?</v>
      </c>
      <c r="Y145" s="106"/>
      <c r="Z145" s="106" t="str">
        <f aca="false">IFERROR(Y145*_xlfn.xlookup(W145,'Prix vente'!$A:$A,'Prix vente'!$R:$R),"")</f>
        <v/>
      </c>
      <c r="AA145" s="118"/>
      <c r="AB145" s="118" t="e">
        <f aca="false">_xlfn.xlookup(AA145,'Prix vente'!$A:$A,'Prix vente'!$H:$H)&amp;"/"&amp;_xlfn.xlookup(AA145,'Prix vente'!A:A,'Prix vente'!P:P)</f>
        <v>#NAME?</v>
      </c>
      <c r="AC145" s="118"/>
      <c r="AD145" s="118" t="str">
        <f aca="false">IFERROR(AC145*_xlfn.xlookup(AA145,'Prix vente'!$A:$A,'Prix vente'!$R:$R),"")</f>
        <v/>
      </c>
      <c r="AE145" s="106"/>
      <c r="AF145" s="106" t="e">
        <f aca="false">_xlfn.xlookup(AE145,'Prix vente'!$A:$A,'Prix vente'!$H:$H)&amp;"/"&amp;_xlfn.xlookup(AE145,'Prix vente'!$A:$A,'Prix vente'!$P:$P)</f>
        <v>#NAME?</v>
      </c>
      <c r="AG145" s="106"/>
      <c r="AH145" s="106" t="str">
        <f aca="false">IFERROR(AG145*_xlfn.xlookup(AE145,'Prix vente'!$A:$A,'Prix vente'!$R:$R),"")</f>
        <v/>
      </c>
      <c r="AI145" s="118"/>
      <c r="AJ145" s="118" t="e">
        <f aca="false">_xlfn.xlookup(AI145,'Prix vente'!$A:$A,'Prix vente'!$H:$H)&amp;"/"&amp;_xlfn.xlookup(AI145,'Prix vente'!$A:$A,'Prix vente'!$P:$P)</f>
        <v>#NAME?</v>
      </c>
      <c r="AK145" s="118"/>
      <c r="AL145" s="118" t="str">
        <f aca="false">IFERROR(AK145*_xlfn.xlookup(AI145,'Prix vente'!$A:$A,'Prix vente'!$R:$R),"")</f>
        <v/>
      </c>
      <c r="AM145" s="106"/>
      <c r="AN145" s="106" t="e">
        <f aca="false">_xlfn.xlookup(AM145,'Prix vente'!$A:$A,'Prix vente'!$H:$H)&amp;"/"&amp;_xlfn.xlookup(AM145,'Prix vente'!$A:$A,'Prix vente'!$P:$P)</f>
        <v>#NAME?</v>
      </c>
      <c r="AO145" s="106"/>
      <c r="AP145" s="106" t="str">
        <f aca="false">IFERROR(AO145*_xlfn.xlookup(AM145,'Prix vente'!$A:$A,'Prix vente'!$R:$R),"")</f>
        <v/>
      </c>
      <c r="AQ145" s="118"/>
      <c r="AR145" s="118" t="str">
        <f aca="false">_xlfn.xlookup(AQ145,'Prix vente'!$A:$A,'Prix vente'!$H:$H)&amp;"/"&amp;_xlfn.xlookup(AQ145,'Prix vente'!$A:$A,'Prix vente'!$P:$P)</f>
        <v>/</v>
      </c>
      <c r="AS145" s="118"/>
      <c r="AT145" s="118" t="str">
        <f aca="false">IFERROR(AS145*_xlfn.xlookup(AQ145,'Prix vente'!$A:$A,'Prix vente'!$R:$R),"")</f>
        <v/>
      </c>
      <c r="AU145" s="106"/>
      <c r="AV145" s="106"/>
      <c r="AW145" s="106"/>
      <c r="AX145" s="106"/>
      <c r="AY145" s="118"/>
      <c r="AZ145" s="118"/>
      <c r="BA145" s="118"/>
      <c r="BB145" s="118"/>
    </row>
    <row r="146" customFormat="false" ht="14.25" hidden="false" customHeight="false" outlineLevel="0" collapsed="false">
      <c r="A146" s="107" t="n">
        <v>294</v>
      </c>
      <c r="B146" s="107"/>
      <c r="C146" s="11" t="s">
        <v>31</v>
      </c>
      <c r="D146" s="11" t="s">
        <v>31</v>
      </c>
      <c r="E146" s="114" t="n">
        <v>45665</v>
      </c>
      <c r="F146" s="115" t="n">
        <v>50009018</v>
      </c>
      <c r="G146" s="115" t="s">
        <v>761</v>
      </c>
      <c r="H146" s="115"/>
      <c r="I146" s="100" t="n">
        <f aca="false">_xlfn.xlookup(C146,Clients!B:B,Clients!W:W,FALSE())</f>
        <v>0</v>
      </c>
      <c r="J146" s="116" t="str">
        <f aca="false">_xlfn.xlookup(C146,Clients!$B$1:$B$1001,Clients!$M$1:$M$1001,FALSE())</f>
        <v>Net 30 days</v>
      </c>
      <c r="K146" s="100" t="str">
        <f aca="false">_xlfn.xlookup(C146,Clients!B:B,Clients!R:R,FALSE())</f>
        <v>EXW Boucherville</v>
      </c>
      <c r="L146" s="117" t="n">
        <v>45679</v>
      </c>
      <c r="M146" s="98" t="str">
        <f aca="false">_xlfn.xlookup(C146,Clients!B:B,Clients!X:X,FALSE())</f>
        <v>USD</v>
      </c>
      <c r="N146" s="98" t="str">
        <f aca="false">_xlfn.xlookup(C146,Clients!B:B,Clients!Y:Y,FALSE())</f>
        <v>USD</v>
      </c>
      <c r="O146" s="106" t="n">
        <v>40103</v>
      </c>
      <c r="P146" s="106" t="str">
        <f aca="false">_xlfn.xlookup(O146,'Prix vente'!A:A,'Prix vente'!H:H)&amp;"/"&amp;_xlfn.xlookup(O146,'Prix vente'!A:A,'Prix vente'!P:P)</f>
        <v>D16/10</v>
      </c>
      <c r="Q146" s="106" t="n">
        <v>72</v>
      </c>
      <c r="R146" s="106" t="n">
        <f aca="false">Q146*_xlfn.xlookup(O146,'Prix vente'!A:A,'Prix vente'!R:R)</f>
        <v>43200</v>
      </c>
      <c r="S146" s="118"/>
      <c r="T146" s="118" t="e">
        <f aca="false">_xlfn.xlookup(S146,'Prix vente'!$A:$A,'Prix vente'!$H:$H)&amp;"/"&amp;_xlfn.xlookup(S146,'Prix vente'!A:A,'Prix vente'!P:P)</f>
        <v>#NAME?</v>
      </c>
      <c r="U146" s="118"/>
      <c r="V146" s="118" t="str">
        <f aca="false">IFERROR(U146*_xlfn.xlookup(S146,'Prix vente'!$A:$A,'Prix vente'!$R:$R),"")</f>
        <v/>
      </c>
      <c r="W146" s="106"/>
      <c r="X146" s="106" t="e">
        <f aca="false">_xlfn.xlookup(W146,'Prix vente'!$A:$A,'Prix vente'!$H:$H)&amp;"/"&amp;_xlfn.xlookup(W146,'Prix vente'!A:A,'Prix vente'!P:P)</f>
        <v>#NAME?</v>
      </c>
      <c r="Y146" s="106"/>
      <c r="Z146" s="106" t="str">
        <f aca="false">IFERROR(Y146*_xlfn.xlookup(W146,'Prix vente'!$A:$A,'Prix vente'!$R:$R),"")</f>
        <v/>
      </c>
      <c r="AA146" s="118"/>
      <c r="AB146" s="118" t="e">
        <f aca="false">_xlfn.xlookup(AA146,'Prix vente'!$A:$A,'Prix vente'!$H:$H)&amp;"/"&amp;_xlfn.xlookup(AA146,'Prix vente'!A:A,'Prix vente'!P:P)</f>
        <v>#NAME?</v>
      </c>
      <c r="AC146" s="118"/>
      <c r="AD146" s="118" t="str">
        <f aca="false">IFERROR(AC146*_xlfn.xlookup(AA146,'Prix vente'!$A:$A,'Prix vente'!$R:$R),"")</f>
        <v/>
      </c>
      <c r="AE146" s="106"/>
      <c r="AF146" s="106" t="e">
        <f aca="false">_xlfn.xlookup(AE146,'Prix vente'!$A:$A,'Prix vente'!$H:$H)&amp;"/"&amp;_xlfn.xlookup(AE146,'Prix vente'!$A:$A,'Prix vente'!$P:$P)</f>
        <v>#NAME?</v>
      </c>
      <c r="AG146" s="106"/>
      <c r="AH146" s="106" t="str">
        <f aca="false">IFERROR(AG146*_xlfn.xlookup(AE146,'Prix vente'!$A:$A,'Prix vente'!$R:$R),"")</f>
        <v/>
      </c>
      <c r="AI146" s="118"/>
      <c r="AJ146" s="118" t="e">
        <f aca="false">_xlfn.xlookup(AI146,'Prix vente'!$A:$A,'Prix vente'!$H:$H)&amp;"/"&amp;_xlfn.xlookup(AI146,'Prix vente'!$A:$A,'Prix vente'!$P:$P)</f>
        <v>#NAME?</v>
      </c>
      <c r="AK146" s="118"/>
      <c r="AL146" s="118" t="str">
        <f aca="false">IFERROR(AK146*_xlfn.xlookup(AI146,'Prix vente'!$A:$A,'Prix vente'!$R:$R),"")</f>
        <v/>
      </c>
      <c r="AM146" s="106"/>
      <c r="AN146" s="106" t="e">
        <f aca="false">_xlfn.xlookup(AM146,'Prix vente'!$A:$A,'Prix vente'!$H:$H)&amp;"/"&amp;_xlfn.xlookup(AM146,'Prix vente'!$A:$A,'Prix vente'!$P:$P)</f>
        <v>#NAME?</v>
      </c>
      <c r="AO146" s="106"/>
      <c r="AP146" s="106" t="str">
        <f aca="false">IFERROR(AO146*_xlfn.xlookup(AM146,'Prix vente'!$A:$A,'Prix vente'!$R:$R),"")</f>
        <v/>
      </c>
      <c r="AQ146" s="118"/>
      <c r="AR146" s="118" t="e">
        <f aca="false">_xlfn.xlookup(AQ146,'Prix vente'!$A:$A,'Prix vente'!$H:$H)&amp;"/"&amp;_xlfn.xlookup(AQ146,'Prix vente'!$A:$A,'Prix vente'!$P:$P)</f>
        <v>#NAME?</v>
      </c>
      <c r="AS146" s="118"/>
      <c r="AT146" s="118" t="str">
        <f aca="false">IFERROR(AS146*_xlfn.xlookup(AQ146,'Prix vente'!$A:$A,'Prix vente'!$R:$R),"")</f>
        <v/>
      </c>
      <c r="AU146" s="106"/>
      <c r="AV146" s="106"/>
      <c r="AW146" s="106"/>
      <c r="AX146" s="106"/>
      <c r="AY146" s="118"/>
      <c r="AZ146" s="118"/>
      <c r="BA146" s="118"/>
      <c r="BB146" s="118"/>
    </row>
    <row r="147" customFormat="false" ht="14.25" hidden="false" customHeight="false" outlineLevel="0" collapsed="false">
      <c r="A147" s="107" t="n">
        <v>295</v>
      </c>
      <c r="B147" s="107"/>
      <c r="C147" s="11" t="s">
        <v>250</v>
      </c>
      <c r="D147" s="11" t="s">
        <v>250</v>
      </c>
      <c r="E147" s="114" t="n">
        <v>45666</v>
      </c>
      <c r="F147" s="115" t="n">
        <v>2501687</v>
      </c>
      <c r="G147" s="115" t="s">
        <v>835</v>
      </c>
      <c r="H147" s="115"/>
      <c r="I147" s="100" t="n">
        <f aca="false">_xlfn.xlookup(C147,Clients!B:B,Clients!W:W,FALSE())</f>
        <v>0</v>
      </c>
      <c r="J147" s="116" t="str">
        <f aca="false">_xlfn.xlookup(C147,Clients!$B$1:$B$1001,Clients!$M$1:$M$1001,FALSE())</f>
        <v>Net 30 jours</v>
      </c>
      <c r="K147" s="100" t="str">
        <f aca="false">_xlfn.xlookup(C147,Clients!B:B,Clients!R:R,FALSE())</f>
        <v>Livraison incluse</v>
      </c>
      <c r="L147" s="117" t="n">
        <v>45679</v>
      </c>
      <c r="M147" s="98" t="str">
        <f aca="false">_xlfn.xlookup(C147,Clients!B:B,Clients!X:X,FALSE())</f>
        <v>CAD</v>
      </c>
      <c r="N147" s="98" t="str">
        <f aca="false">_xlfn.xlookup(C147,Clients!B:B,Clients!Y:Y,FALSE())</f>
        <v>CAD</v>
      </c>
      <c r="O147" s="106" t="n">
        <v>40223</v>
      </c>
      <c r="P147" s="106" t="str">
        <f aca="false">_xlfn.xlookup(O147,'Prix vente'!A:A,'Prix vente'!H:H)&amp;"/"&amp;_xlfn.xlookup(O147,'Prix vente'!A:A,'Prix vente'!P:P)</f>
        <v>T11/12.75</v>
      </c>
      <c r="Q147" s="106" t="n">
        <v>4</v>
      </c>
      <c r="R147" s="106" t="n">
        <f aca="false">Q147*_xlfn.xlookup(O147,'Prix vente'!A:A,'Prix vente'!R:R)</f>
        <v>6120</v>
      </c>
      <c r="S147" s="118" t="n">
        <v>40224</v>
      </c>
      <c r="T147" s="118" t="str">
        <f aca="false">_xlfn.xlookup(S147,'Prix vente'!$A:$A,'Prix vente'!$H:$H)&amp;"/"&amp;_xlfn.xlookup(S147,'Prix vente'!A:A,'Prix vente'!P:P)</f>
        <v>T11/9</v>
      </c>
      <c r="U147" s="118" t="n">
        <v>1</v>
      </c>
      <c r="V147" s="118" t="n">
        <f aca="false">IFERROR(U147*_xlfn.xlookup(S147,'Prix vente'!$A:$A,'Prix vente'!$R:$R),"")</f>
        <v>1080</v>
      </c>
      <c r="W147" s="106"/>
      <c r="X147" s="106" t="e">
        <f aca="false">_xlfn.xlookup(W147,'Prix vente'!$A:$A,'Prix vente'!$H:$H)&amp;"/"&amp;_xlfn.xlookup(W147,'Prix vente'!A:A,'Prix vente'!P:P)</f>
        <v>#NAME?</v>
      </c>
      <c r="Y147" s="106"/>
      <c r="Z147" s="106" t="str">
        <f aca="false">IFERROR(Y147*_xlfn.xlookup(W147,'Prix vente'!$A:$A,'Prix vente'!$R:$R),"")</f>
        <v/>
      </c>
      <c r="AA147" s="118"/>
      <c r="AB147" s="118" t="e">
        <f aca="false">_xlfn.xlookup(AA147,'Prix vente'!$A:$A,'Prix vente'!$H:$H)&amp;"/"&amp;_xlfn.xlookup(AA147,'Prix vente'!A:A,'Prix vente'!P:P)</f>
        <v>#NAME?</v>
      </c>
      <c r="AC147" s="118"/>
      <c r="AD147" s="118" t="str">
        <f aca="false">IFERROR(AC147*_xlfn.xlookup(AA147,'Prix vente'!$A:$A,'Prix vente'!$R:$R),"")</f>
        <v/>
      </c>
      <c r="AE147" s="106"/>
      <c r="AF147" s="106" t="e">
        <f aca="false">_xlfn.xlookup(AE147,'Prix vente'!$A:$A,'Prix vente'!$H:$H)&amp;"/"&amp;_xlfn.xlookup(AE147,'Prix vente'!$A:$A,'Prix vente'!$P:$P)</f>
        <v>#NAME?</v>
      </c>
      <c r="AG147" s="106"/>
      <c r="AH147" s="106" t="str">
        <f aca="false">IFERROR(AG147*_xlfn.xlookup(AE147,'Prix vente'!$A:$A,'Prix vente'!$R:$R),"")</f>
        <v/>
      </c>
      <c r="AI147" s="118"/>
      <c r="AJ147" s="118" t="e">
        <f aca="false">_xlfn.xlookup(AI147,'Prix vente'!$A:$A,'Prix vente'!$H:$H)&amp;"/"&amp;_xlfn.xlookup(AI147,'Prix vente'!$A:$A,'Prix vente'!$P:$P)</f>
        <v>#NAME?</v>
      </c>
      <c r="AK147" s="118"/>
      <c r="AL147" s="118" t="str">
        <f aca="false">IFERROR(AK147*_xlfn.xlookup(AI147,'Prix vente'!$A:$A,'Prix vente'!$R:$R),"")</f>
        <v/>
      </c>
      <c r="AM147" s="106"/>
      <c r="AN147" s="106" t="e">
        <f aca="false">_xlfn.xlookup(AM147,'Prix vente'!$A:$A,'Prix vente'!$H:$H)&amp;"/"&amp;_xlfn.xlookup(AM147,'Prix vente'!$A:$A,'Prix vente'!$P:$P)</f>
        <v>#NAME?</v>
      </c>
      <c r="AO147" s="106"/>
      <c r="AP147" s="106" t="str">
        <f aca="false">IFERROR(AO147*_xlfn.xlookup(AM147,'Prix vente'!$A:$A,'Prix vente'!$R:$R),"")</f>
        <v/>
      </c>
      <c r="AQ147" s="118"/>
      <c r="AR147" s="118" t="e">
        <f aca="false">_xlfn.xlookup(AQ147,'Prix vente'!$A:$A,'Prix vente'!$H:$H)&amp;"/"&amp;_xlfn.xlookup(AQ147,'Prix vente'!$A:$A,'Prix vente'!$P:$P)</f>
        <v>#NAME?</v>
      </c>
      <c r="AS147" s="118"/>
      <c r="AT147" s="118" t="str">
        <f aca="false">IFERROR(AS147*_xlfn.xlookup(AQ147,'Prix vente'!$A:$A,'Prix vente'!$R:$R),"")</f>
        <v/>
      </c>
      <c r="AU147" s="106"/>
      <c r="AV147" s="106"/>
      <c r="AW147" s="106"/>
      <c r="AX147" s="106"/>
      <c r="AY147" s="118"/>
      <c r="AZ147" s="118"/>
      <c r="BA147" s="118"/>
      <c r="BB147" s="118"/>
    </row>
    <row r="148" customFormat="false" ht="14.25" hidden="false" customHeight="false" outlineLevel="0" collapsed="false">
      <c r="A148" s="107" t="n">
        <v>296</v>
      </c>
      <c r="B148" s="107"/>
      <c r="C148" s="11" t="s">
        <v>250</v>
      </c>
      <c r="D148" s="11" t="s">
        <v>250</v>
      </c>
      <c r="E148" s="114" t="n">
        <v>45666</v>
      </c>
      <c r="F148" s="115" t="n">
        <v>2501688</v>
      </c>
      <c r="G148" s="115" t="s">
        <v>835</v>
      </c>
      <c r="H148" s="115"/>
      <c r="I148" s="100" t="n">
        <f aca="false">_xlfn.xlookup(C148,Clients!B:B,Clients!W:W,FALSE())</f>
        <v>0</v>
      </c>
      <c r="J148" s="116" t="str">
        <f aca="false">_xlfn.xlookup(C148,Clients!$B$1:$B$1001,Clients!$M$1:$M$1001,FALSE())</f>
        <v>Net 30 jours</v>
      </c>
      <c r="K148" s="100" t="str">
        <f aca="false">_xlfn.xlookup(C148,Clients!B:B,Clients!R:R,FALSE())</f>
        <v>Livraison incluse</v>
      </c>
      <c r="L148" s="117" t="n">
        <v>45679</v>
      </c>
      <c r="M148" s="98" t="str">
        <f aca="false">_xlfn.xlookup(C148,Clients!B:B,Clients!X:X,FALSE())</f>
        <v>CAD</v>
      </c>
      <c r="N148" s="98" t="str">
        <f aca="false">_xlfn.xlookup(C148,Clients!B:B,Clients!Y:Y,FALSE())</f>
        <v>CAD</v>
      </c>
      <c r="O148" s="106" t="n">
        <v>40224</v>
      </c>
      <c r="P148" s="106" t="str">
        <f aca="false">_xlfn.xlookup(O148,'Prix vente'!A:A,'Prix vente'!H:H)&amp;"/"&amp;_xlfn.xlookup(O148,'Prix vente'!A:A,'Prix vente'!P:P)</f>
        <v>T11/9</v>
      </c>
      <c r="Q148" s="106" t="n">
        <v>5</v>
      </c>
      <c r="R148" s="106" t="n">
        <f aca="false">Q148*_xlfn.xlookup(O148,'Prix vente'!A:A,'Prix vente'!R:R)</f>
        <v>5400</v>
      </c>
      <c r="S148" s="118" t="n">
        <v>40225</v>
      </c>
      <c r="T148" s="118" t="str">
        <f aca="false">_xlfn.xlookup(S148,'Prix vente'!$A:$A,'Prix vente'!$H:$H)&amp;"/"&amp;_xlfn.xlookup(S148,'Prix vente'!A:A,'Prix vente'!P:P)</f>
        <v>T11/4.5</v>
      </c>
      <c r="U148" s="118" t="n">
        <v>2</v>
      </c>
      <c r="V148" s="118" t="n">
        <f aca="false">IFERROR(U148*_xlfn.xlookup(S148,'Prix vente'!$A:$A,'Prix vente'!$R:$R),"")</f>
        <v>1080</v>
      </c>
      <c r="W148" s="106" t="n">
        <v>40226</v>
      </c>
      <c r="X148" s="106" t="str">
        <f aca="false">_xlfn.xlookup(W148,'Prix vente'!$A:$A,'Prix vente'!$H:$H)&amp;"/"&amp;_xlfn.xlookup(W148,'Prix vente'!A:A,'Prix vente'!P:P)</f>
        <v>T11/6</v>
      </c>
      <c r="Y148" s="106" t="n">
        <v>1</v>
      </c>
      <c r="Z148" s="106" t="n">
        <f aca="false">IFERROR(Y148*_xlfn.xlookup(W148,'Prix vente'!$A:$A,'Prix vente'!$R:$R),"")</f>
        <v>720</v>
      </c>
      <c r="AA148" s="118"/>
      <c r="AB148" s="118" t="e">
        <f aca="false">_xlfn.xlookup(AA148,'Prix vente'!$A:$A,'Prix vente'!$H:$H)&amp;"/"&amp;_xlfn.xlookup(AA148,'Prix vente'!A:A,'Prix vente'!P:P)</f>
        <v>#NAME?</v>
      </c>
      <c r="AC148" s="118"/>
      <c r="AD148" s="118" t="str">
        <f aca="false">IFERROR(AC148*_xlfn.xlookup(AA148,'Prix vente'!$A:$A,'Prix vente'!$R:$R),"")</f>
        <v/>
      </c>
      <c r="AE148" s="106"/>
      <c r="AF148" s="106" t="e">
        <f aca="false">_xlfn.xlookup(AE148,'Prix vente'!$A:$A,'Prix vente'!$H:$H)&amp;"/"&amp;_xlfn.xlookup(AE148,'Prix vente'!$A:$A,'Prix vente'!$P:$P)</f>
        <v>#NAME?</v>
      </c>
      <c r="AG148" s="106"/>
      <c r="AH148" s="106" t="str">
        <f aca="false">IFERROR(AG148*_xlfn.xlookup(AE148,'Prix vente'!$A:$A,'Prix vente'!$R:$R),"")</f>
        <v/>
      </c>
      <c r="AI148" s="118"/>
      <c r="AJ148" s="118" t="e">
        <f aca="false">_xlfn.xlookup(AI148,'Prix vente'!$A:$A,'Prix vente'!$H:$H)&amp;"/"&amp;_xlfn.xlookup(AI148,'Prix vente'!$A:$A,'Prix vente'!$P:$P)</f>
        <v>#NAME?</v>
      </c>
      <c r="AK148" s="118"/>
      <c r="AL148" s="118" t="str">
        <f aca="false">IFERROR(AK148*_xlfn.xlookup(AI148,'Prix vente'!$A:$A,'Prix vente'!$R:$R),"")</f>
        <v/>
      </c>
      <c r="AM148" s="106"/>
      <c r="AN148" s="106" t="e">
        <f aca="false">_xlfn.xlookup(AM148,'Prix vente'!$A:$A,'Prix vente'!$H:$H)&amp;"/"&amp;_xlfn.xlookup(AM148,'Prix vente'!$A:$A,'Prix vente'!$P:$P)</f>
        <v>#NAME?</v>
      </c>
      <c r="AO148" s="106"/>
      <c r="AP148" s="106" t="str">
        <f aca="false">IFERROR(AO148*_xlfn.xlookup(AM148,'Prix vente'!$A:$A,'Prix vente'!$R:$R),"")</f>
        <v/>
      </c>
      <c r="AQ148" s="118"/>
      <c r="AR148" s="118" t="e">
        <f aca="false">_xlfn.xlookup(AQ148,'Prix vente'!$A:$A,'Prix vente'!$H:$H)&amp;"/"&amp;_xlfn.xlookup(AQ148,'Prix vente'!$A:$A,'Prix vente'!$P:$P)</f>
        <v>#NAME?</v>
      </c>
      <c r="AS148" s="118"/>
      <c r="AT148" s="118" t="str">
        <f aca="false">IFERROR(AS148*_xlfn.xlookup(AQ148,'Prix vente'!$A:$A,'Prix vente'!$R:$R),"")</f>
        <v/>
      </c>
      <c r="AU148" s="106"/>
      <c r="AV148" s="106"/>
      <c r="AW148" s="106"/>
      <c r="AX148" s="106"/>
      <c r="AY148" s="118"/>
      <c r="AZ148" s="118"/>
      <c r="BA148" s="118"/>
      <c r="BB148" s="118"/>
    </row>
    <row r="149" customFormat="false" ht="14.25" hidden="false" customHeight="false" outlineLevel="0" collapsed="false">
      <c r="A149" s="107" t="n">
        <v>297</v>
      </c>
      <c r="B149" s="107"/>
      <c r="C149" s="11" t="s">
        <v>124</v>
      </c>
      <c r="D149" s="11" t="s">
        <v>124</v>
      </c>
      <c r="E149" s="114" t="n">
        <v>45666</v>
      </c>
      <c r="F149" s="115" t="n">
        <v>106713</v>
      </c>
      <c r="G149" s="115" t="s">
        <v>788</v>
      </c>
      <c r="H149" s="115"/>
      <c r="I149" s="100" t="n">
        <f aca="false">_xlfn.xlookup(C149,Clients!B:B,Clients!W:W,FALSE())</f>
        <v>0</v>
      </c>
      <c r="J149" s="116" t="str">
        <f aca="false">_xlfn.xlookup(C149,Clients!$B$1:$B$1001,Clients!$M$1:$M$1001,FALSE())</f>
        <v>Net 30 jours</v>
      </c>
      <c r="K149" s="100" t="str">
        <f aca="false">_xlfn.xlookup(C149,Clients!B:B,Clients!R:R,FALSE())</f>
        <v>EXW Boucherville</v>
      </c>
      <c r="L149" s="117" t="n">
        <v>45673</v>
      </c>
      <c r="M149" s="98" t="str">
        <f aca="false">_xlfn.xlookup(C149,Clients!B:B,Clients!X:X,FALSE())</f>
        <v>USD</v>
      </c>
      <c r="N149" s="98" t="str">
        <f aca="false">_xlfn.xlookup(C149,Clients!B:B,Clients!Y:Y,FALSE())</f>
        <v>USD</v>
      </c>
      <c r="O149" s="106" t="n">
        <v>40117</v>
      </c>
      <c r="P149" s="106" t="str">
        <f aca="false">_xlfn.xlookup(O149,'Prix vente'!A:A,'Prix vente'!H:H)&amp;"/"&amp;_xlfn.xlookup(O149,'Prix vente'!A:A,'Prix vente'!P:P)</f>
        <v>S15/10</v>
      </c>
      <c r="Q149" s="106" t="n">
        <v>6</v>
      </c>
      <c r="R149" s="106" t="n">
        <f aca="false">Q149*_xlfn.xlookup(O149,'Prix vente'!A:A,'Prix vente'!R:R)</f>
        <v>3600</v>
      </c>
      <c r="S149" s="118"/>
      <c r="T149" s="118" t="e">
        <f aca="false">_xlfn.xlookup(S149,'Prix vente'!$A:$A,'Prix vente'!$H:$H)&amp;"/"&amp;_xlfn.xlookup(S149,'Prix vente'!A:A,'Prix vente'!P:P)</f>
        <v>#NAME?</v>
      </c>
      <c r="U149" s="118"/>
      <c r="V149" s="118" t="str">
        <f aca="false">IFERROR(U149*_xlfn.xlookup(S149,'Prix vente'!$A:$A,'Prix vente'!$R:$R),"")</f>
        <v/>
      </c>
      <c r="W149" s="106"/>
      <c r="X149" s="106" t="e">
        <f aca="false">_xlfn.xlookup(W149,'Prix vente'!$A:$A,'Prix vente'!$H:$H)&amp;"/"&amp;_xlfn.xlookup(W149,'Prix vente'!A:A,'Prix vente'!P:P)</f>
        <v>#NAME?</v>
      </c>
      <c r="Y149" s="106"/>
      <c r="Z149" s="106" t="str">
        <f aca="false">IFERROR(Y149*_xlfn.xlookup(W149,'Prix vente'!$A:$A,'Prix vente'!$R:$R),"")</f>
        <v/>
      </c>
      <c r="AA149" s="118"/>
      <c r="AB149" s="118" t="e">
        <f aca="false">_xlfn.xlookup(AA149,'Prix vente'!$A:$A,'Prix vente'!$H:$H)&amp;"/"&amp;_xlfn.xlookup(AA149,'Prix vente'!A:A,'Prix vente'!P:P)</f>
        <v>#NAME?</v>
      </c>
      <c r="AC149" s="118"/>
      <c r="AD149" s="118" t="str">
        <f aca="false">IFERROR(AC149*_xlfn.xlookup(AA149,'Prix vente'!$A:$A,'Prix vente'!$R:$R),"")</f>
        <v/>
      </c>
      <c r="AE149" s="106"/>
      <c r="AF149" s="106" t="e">
        <f aca="false">_xlfn.xlookup(AE149,'Prix vente'!$A:$A,'Prix vente'!$H:$H)&amp;"/"&amp;_xlfn.xlookup(AE149,'Prix vente'!$A:$A,'Prix vente'!$P:$P)</f>
        <v>#NAME?</v>
      </c>
      <c r="AG149" s="106"/>
      <c r="AH149" s="106" t="str">
        <f aca="false">IFERROR(AG149*_xlfn.xlookup(AE149,'Prix vente'!$A:$A,'Prix vente'!$R:$R),"")</f>
        <v/>
      </c>
      <c r="AI149" s="118"/>
      <c r="AJ149" s="118" t="e">
        <f aca="false">_xlfn.xlookup(AI149,'Prix vente'!$A:$A,'Prix vente'!$H:$H)&amp;"/"&amp;_xlfn.xlookup(AI149,'Prix vente'!$A:$A,'Prix vente'!$P:$P)</f>
        <v>#NAME?</v>
      </c>
      <c r="AK149" s="118"/>
      <c r="AL149" s="118" t="str">
        <f aca="false">IFERROR(AK149*_xlfn.xlookup(AI149,'Prix vente'!$A:$A,'Prix vente'!$R:$R),"")</f>
        <v/>
      </c>
      <c r="AM149" s="106"/>
      <c r="AN149" s="106" t="e">
        <f aca="false">_xlfn.xlookup(AM149,'Prix vente'!$A:$A,'Prix vente'!$H:$H)&amp;"/"&amp;_xlfn.xlookup(AM149,'Prix vente'!$A:$A,'Prix vente'!$P:$P)</f>
        <v>#NAME?</v>
      </c>
      <c r="AO149" s="106"/>
      <c r="AP149" s="106" t="str">
        <f aca="false">IFERROR(AO149*_xlfn.xlookup(AM149,'Prix vente'!$A:$A,'Prix vente'!$R:$R),"")</f>
        <v/>
      </c>
      <c r="AQ149" s="118"/>
      <c r="AR149" s="118" t="e">
        <f aca="false">_xlfn.xlookup(AQ149,'Prix vente'!$A:$A,'Prix vente'!$H:$H)&amp;"/"&amp;_xlfn.xlookup(AQ149,'Prix vente'!$A:$A,'Prix vente'!$P:$P)</f>
        <v>#NAME?</v>
      </c>
      <c r="AS149" s="118"/>
      <c r="AT149" s="118" t="str">
        <f aca="false">IFERROR(AS149*_xlfn.xlookup(AQ149,'Prix vente'!$A:$A,'Prix vente'!$R:$R),"")</f>
        <v/>
      </c>
      <c r="AU149" s="106"/>
      <c r="AV149" s="106"/>
      <c r="AW149" s="106"/>
      <c r="AX149" s="106"/>
      <c r="AY149" s="118"/>
      <c r="AZ149" s="118"/>
      <c r="BA149" s="118"/>
      <c r="BB149" s="118"/>
    </row>
    <row r="150" customFormat="false" ht="14.25" hidden="false" customHeight="false" outlineLevel="0" collapsed="false">
      <c r="A150" s="107" t="n">
        <v>298</v>
      </c>
      <c r="B150" s="107"/>
      <c r="C150" s="11" t="s">
        <v>258</v>
      </c>
      <c r="D150" s="11" t="s">
        <v>258</v>
      </c>
      <c r="E150" s="114" t="n">
        <v>45666</v>
      </c>
      <c r="F150" s="115" t="n">
        <v>2985</v>
      </c>
      <c r="G150" s="115" t="s">
        <v>823</v>
      </c>
      <c r="H150" s="115"/>
      <c r="I150" s="100" t="n">
        <f aca="false">_xlfn.xlookup(C150,Clients!B:B,Clients!W:W,FALSE())</f>
        <v>0</v>
      </c>
      <c r="J150" s="116" t="str">
        <f aca="false">_xlfn.xlookup(C150,Clients!$B$1:$B$1001,Clients!$M$1:$M$1001,FALSE())</f>
        <v>Net 30 days</v>
      </c>
      <c r="K150" s="100" t="str">
        <f aca="false">_xlfn.xlookup(C150,Clients!B:B,Clients!R:R,FALSE())</f>
        <v>Delivery Included</v>
      </c>
      <c r="L150" s="117" t="n">
        <v>45677</v>
      </c>
      <c r="M150" s="98" t="str">
        <f aca="false">_xlfn.xlookup(C150,Clients!B:B,Clients!X:X,FALSE())</f>
        <v>CAD</v>
      </c>
      <c r="N150" s="98" t="str">
        <f aca="false">_xlfn.xlookup(C150,Clients!B:B,Clients!Y:Y,FALSE())</f>
        <v>CAD</v>
      </c>
      <c r="O150" s="106" t="n">
        <v>40227</v>
      </c>
      <c r="P150" s="106" t="str">
        <f aca="false">_xlfn.xlookup(O150,'Prix vente'!A:A,'Prix vente'!H:H)&amp;"/"&amp;_xlfn.xlookup(O150,'Prix vente'!A:A,'Prix vente'!P:P)</f>
        <v>S15/12</v>
      </c>
      <c r="Q150" s="106" t="n">
        <v>5</v>
      </c>
      <c r="R150" s="106" t="n">
        <f aca="false">Q150*_xlfn.xlookup(O150,'Prix vente'!A:A,'Prix vente'!R:R)</f>
        <v>7200</v>
      </c>
      <c r="S150" s="118"/>
      <c r="T150" s="118" t="e">
        <f aca="false">_xlfn.xlookup(S150,'Prix vente'!$A:$A,'Prix vente'!$H:$H)&amp;"/"&amp;_xlfn.xlookup(S150,'Prix vente'!A:A,'Prix vente'!P:P)</f>
        <v>#NAME?</v>
      </c>
      <c r="U150" s="118"/>
      <c r="V150" s="118" t="str">
        <f aca="false">IFERROR(U150*_xlfn.xlookup(S150,'Prix vente'!$A:$A,'Prix vente'!$R:$R),"")</f>
        <v/>
      </c>
      <c r="W150" s="106"/>
      <c r="X150" s="106" t="e">
        <f aca="false">_xlfn.xlookup(W150,'Prix vente'!$A:$A,'Prix vente'!$H:$H)&amp;"/"&amp;_xlfn.xlookup(W150,'Prix vente'!A:A,'Prix vente'!P:P)</f>
        <v>#NAME?</v>
      </c>
      <c r="Y150" s="106"/>
      <c r="Z150" s="106" t="str">
        <f aca="false">IFERROR(Y150*_xlfn.xlookup(W150,'Prix vente'!$A:$A,'Prix vente'!$R:$R),"")</f>
        <v/>
      </c>
      <c r="AA150" s="118"/>
      <c r="AB150" s="118" t="e">
        <f aca="false">_xlfn.xlookup(AA150,'Prix vente'!$A:$A,'Prix vente'!$H:$H)&amp;"/"&amp;_xlfn.xlookup(AA150,'Prix vente'!A:A,'Prix vente'!P:P)</f>
        <v>#NAME?</v>
      </c>
      <c r="AC150" s="118"/>
      <c r="AD150" s="118" t="str">
        <f aca="false">IFERROR(AC150*_xlfn.xlookup(AA150,'Prix vente'!$A:$A,'Prix vente'!$R:$R),"")</f>
        <v/>
      </c>
      <c r="AE150" s="106"/>
      <c r="AF150" s="106" t="e">
        <f aca="false">_xlfn.xlookup(AE150,'Prix vente'!$A:$A,'Prix vente'!$H:$H)&amp;"/"&amp;_xlfn.xlookup(AE150,'Prix vente'!$A:$A,'Prix vente'!$P:$P)</f>
        <v>#NAME?</v>
      </c>
      <c r="AG150" s="106"/>
      <c r="AH150" s="106" t="str">
        <f aca="false">IFERROR(AG150*_xlfn.xlookup(AE150,'Prix vente'!$A:$A,'Prix vente'!$R:$R),"")</f>
        <v/>
      </c>
      <c r="AI150" s="118"/>
      <c r="AJ150" s="118" t="e">
        <f aca="false">_xlfn.xlookup(AI150,'Prix vente'!$A:$A,'Prix vente'!$H:$H)&amp;"/"&amp;_xlfn.xlookup(AI150,'Prix vente'!$A:$A,'Prix vente'!$P:$P)</f>
        <v>#NAME?</v>
      </c>
      <c r="AK150" s="118"/>
      <c r="AL150" s="118" t="str">
        <f aca="false">IFERROR(AK150*_xlfn.xlookup(AI150,'Prix vente'!$A:$A,'Prix vente'!$R:$R),"")</f>
        <v/>
      </c>
      <c r="AM150" s="106"/>
      <c r="AN150" s="106" t="e">
        <f aca="false">_xlfn.xlookup(AM150,'Prix vente'!$A:$A,'Prix vente'!$H:$H)&amp;"/"&amp;_xlfn.xlookup(AM150,'Prix vente'!$A:$A,'Prix vente'!$P:$P)</f>
        <v>#NAME?</v>
      </c>
      <c r="AO150" s="106"/>
      <c r="AP150" s="106" t="str">
        <f aca="false">IFERROR(AO150*_xlfn.xlookup(AM150,'Prix vente'!$A:$A,'Prix vente'!$R:$R),"")</f>
        <v/>
      </c>
      <c r="AQ150" s="118"/>
      <c r="AR150" s="118" t="e">
        <f aca="false">_xlfn.xlookup(AQ150,'Prix vente'!$A:$A,'Prix vente'!$H:$H)&amp;"/"&amp;_xlfn.xlookup(AQ150,'Prix vente'!$A:$A,'Prix vente'!$P:$P)</f>
        <v>#NAME?</v>
      </c>
      <c r="AS150" s="118"/>
      <c r="AT150" s="118" t="str">
        <f aca="false">IFERROR(AS150*_xlfn.xlookup(AQ150,'Prix vente'!$A:$A,'Prix vente'!$R:$R),"")</f>
        <v/>
      </c>
      <c r="AU150" s="106"/>
      <c r="AV150" s="106"/>
      <c r="AW150" s="106"/>
      <c r="AX150" s="106"/>
      <c r="AY150" s="118"/>
      <c r="AZ150" s="118"/>
      <c r="BA150" s="118"/>
      <c r="BB150" s="118"/>
    </row>
    <row r="151" customFormat="false" ht="14.25" hidden="false" customHeight="false" outlineLevel="0" collapsed="false">
      <c r="A151" s="107" t="n">
        <v>299</v>
      </c>
      <c r="B151" s="107"/>
      <c r="C151" s="11" t="s">
        <v>288</v>
      </c>
      <c r="D151" s="11" t="s">
        <v>288</v>
      </c>
      <c r="E151" s="114" t="n">
        <v>45671</v>
      </c>
      <c r="F151" s="115" t="s">
        <v>821</v>
      </c>
      <c r="G151" s="115" t="s">
        <v>291</v>
      </c>
      <c r="H151" s="115"/>
      <c r="I151" s="100" t="n">
        <f aca="false">_xlfn.xlookup(C151,Clients!B:B,Clients!W:W,FALSE())</f>
        <v>0</v>
      </c>
      <c r="J151" s="116" t="str">
        <f aca="false">_xlfn.xlookup(C151,Clients!$B$1:$B$1001,Clients!$M$1:$M$1001,FALSE())</f>
        <v>Net 30 jours</v>
      </c>
      <c r="K151" s="100" t="n">
        <f aca="false">_xlfn.xlookup(C151,Clients!B:B,Clients!R:R,FALSE())</f>
        <v>0</v>
      </c>
      <c r="L151" s="117" t="n">
        <v>45678</v>
      </c>
      <c r="M151" s="98" t="str">
        <f aca="false">_xlfn.xlookup(C151,Clients!B:B,Clients!X:X,FALSE())</f>
        <v>CAD</v>
      </c>
      <c r="N151" s="98" t="str">
        <f aca="false">_xlfn.xlookup(C151,Clients!B:B,Clients!Y:Y,FALSE())</f>
        <v>CAD</v>
      </c>
      <c r="O151" s="106" t="n">
        <v>40230</v>
      </c>
      <c r="P151" s="106" t="str">
        <f aca="false">_xlfn.xlookup(O151,'Prix vente'!A:A,'Prix vente'!H:H)&amp;"/"&amp;_xlfn.xlookup(O151,'Prix vente'!A:A,'Prix vente'!P:P)</f>
        <v>D11/14.167</v>
      </c>
      <c r="Q151" s="106" t="n">
        <v>3</v>
      </c>
      <c r="R151" s="106" t="n">
        <f aca="false">Q151*_xlfn.xlookup(O151,'Prix vente'!A:A,'Prix vente'!R:R)</f>
        <v>2550.06</v>
      </c>
      <c r="S151" s="118"/>
      <c r="T151" s="118" t="e">
        <f aca="false">_xlfn.xlookup(S151,'Prix vente'!$A:$A,'Prix vente'!$H:$H)&amp;"/"&amp;_xlfn.xlookup(S151,'Prix vente'!A:A,'Prix vente'!P:P)</f>
        <v>#NAME?</v>
      </c>
      <c r="U151" s="118"/>
      <c r="V151" s="118" t="str">
        <f aca="false">IFERROR(U151*_xlfn.xlookup(S151,'Prix vente'!$A:$A,'Prix vente'!$R:$R),"")</f>
        <v/>
      </c>
      <c r="W151" s="106"/>
      <c r="X151" s="106" t="e">
        <f aca="false">_xlfn.xlookup(W151,'Prix vente'!$A:$A,'Prix vente'!$H:$H)&amp;"/"&amp;_xlfn.xlookup(W151,'Prix vente'!A:A,'Prix vente'!P:P)</f>
        <v>#NAME?</v>
      </c>
      <c r="Y151" s="106"/>
      <c r="Z151" s="106" t="str">
        <f aca="false">IFERROR(Y151*_xlfn.xlookup(W151,'Prix vente'!$A:$A,'Prix vente'!$R:$R),"")</f>
        <v/>
      </c>
      <c r="AA151" s="118"/>
      <c r="AB151" s="118" t="e">
        <f aca="false">_xlfn.xlookup(AA151,'Prix vente'!$A:$A,'Prix vente'!$H:$H)&amp;"/"&amp;_xlfn.xlookup(AA151,'Prix vente'!A:A,'Prix vente'!P:P)</f>
        <v>#NAME?</v>
      </c>
      <c r="AC151" s="118"/>
      <c r="AD151" s="118" t="str">
        <f aca="false">IFERROR(AC151*_xlfn.xlookup(AA151,'Prix vente'!$A:$A,'Prix vente'!$R:$R),"")</f>
        <v/>
      </c>
      <c r="AE151" s="106"/>
      <c r="AF151" s="106" t="e">
        <f aca="false">_xlfn.xlookup(AE151,'Prix vente'!$A:$A,'Prix vente'!$H:$H)&amp;"/"&amp;_xlfn.xlookup(AE151,'Prix vente'!$A:$A,'Prix vente'!$P:$P)</f>
        <v>#NAME?</v>
      </c>
      <c r="AG151" s="106"/>
      <c r="AH151" s="106" t="str">
        <f aca="false">IFERROR(AG151*_xlfn.xlookup(AE151,'Prix vente'!$A:$A,'Prix vente'!$R:$R),"")</f>
        <v/>
      </c>
      <c r="AI151" s="118"/>
      <c r="AJ151" s="118" t="e">
        <f aca="false">_xlfn.xlookup(AI151,'Prix vente'!$A:$A,'Prix vente'!$H:$H)&amp;"/"&amp;_xlfn.xlookup(AI151,'Prix vente'!$A:$A,'Prix vente'!$P:$P)</f>
        <v>#NAME?</v>
      </c>
      <c r="AK151" s="118"/>
      <c r="AL151" s="118" t="str">
        <f aca="false">IFERROR(AK151*_xlfn.xlookup(AI151,'Prix vente'!$A:$A,'Prix vente'!$R:$R),"")</f>
        <v/>
      </c>
      <c r="AM151" s="106"/>
      <c r="AN151" s="106" t="e">
        <f aca="false">_xlfn.xlookup(AM151,'Prix vente'!$A:$A,'Prix vente'!$H:$H)&amp;"/"&amp;_xlfn.xlookup(AM151,'Prix vente'!$A:$A,'Prix vente'!$P:$P)</f>
        <v>#NAME?</v>
      </c>
      <c r="AO151" s="106"/>
      <c r="AP151" s="106" t="str">
        <f aca="false">IFERROR(AO151*_xlfn.xlookup(AM151,'Prix vente'!$A:$A,'Prix vente'!$R:$R),"")</f>
        <v/>
      </c>
      <c r="AQ151" s="118"/>
      <c r="AR151" s="118" t="e">
        <f aca="false">_xlfn.xlookup(AQ151,'Prix vente'!$A:$A,'Prix vente'!$H:$H)&amp;"/"&amp;_xlfn.xlookup(AQ151,'Prix vente'!$A:$A,'Prix vente'!$P:$P)</f>
        <v>#NAME?</v>
      </c>
      <c r="AS151" s="118"/>
      <c r="AT151" s="118" t="str">
        <f aca="false">IFERROR(AS151*_xlfn.xlookup(AQ151,'Prix vente'!$A:$A,'Prix vente'!$R:$R),"")</f>
        <v/>
      </c>
      <c r="AU151" s="106"/>
      <c r="AV151" s="106"/>
      <c r="AW151" s="106"/>
      <c r="AX151" s="106"/>
      <c r="AY151" s="118"/>
      <c r="AZ151" s="118"/>
      <c r="BA151" s="118"/>
      <c r="BB151" s="118"/>
    </row>
    <row r="152" customFormat="false" ht="14.25" hidden="false" customHeight="false" outlineLevel="0" collapsed="false">
      <c r="A152" s="107" t="n">
        <v>300</v>
      </c>
      <c r="B152" s="107"/>
      <c r="C152" s="11" t="s">
        <v>241</v>
      </c>
      <c r="D152" s="11" t="s">
        <v>241</v>
      </c>
      <c r="E152" s="114" t="n">
        <v>45671</v>
      </c>
      <c r="F152" s="115" t="n">
        <v>179986</v>
      </c>
      <c r="G152" s="115" t="s">
        <v>807</v>
      </c>
      <c r="H152" s="115"/>
      <c r="I152" s="100" t="n">
        <f aca="false">_xlfn.xlookup(C152,Clients!B:B,Clients!W:W,FALSE())</f>
        <v>0</v>
      </c>
      <c r="J152" s="116" t="str">
        <f aca="false">_xlfn.xlookup(C152,Clients!$B$1:$B$1001,Clients!$M$1:$M$1001,FALSE())</f>
        <v>Net 30 jours</v>
      </c>
      <c r="K152" s="100" t="str">
        <f aca="false">_xlfn.xlookup(C152,Clients!B:B,Clients!R:R,FALSE())</f>
        <v>Livraison incluse</v>
      </c>
      <c r="L152" s="117" t="n">
        <v>45678</v>
      </c>
      <c r="M152" s="98" t="str">
        <f aca="false">_xlfn.xlookup(C152,Clients!B:B,Clients!X:X,FALSE())</f>
        <v>CAD</v>
      </c>
      <c r="N152" s="98" t="str">
        <f aca="false">_xlfn.xlookup(C152,Clients!B:B,Clients!Y:Y,FALSE())</f>
        <v>CAD</v>
      </c>
      <c r="O152" s="106" t="n">
        <v>40228</v>
      </c>
      <c r="P152" s="106" t="str">
        <f aca="false">_xlfn.xlookup(O152,'Prix vente'!A:A,'Prix vente'!H:H)&amp;"/"&amp;_xlfn.xlookup(O152,'Prix vente'!A:A,'Prix vente'!P:P)</f>
        <v>D11/8</v>
      </c>
      <c r="Q152" s="106" t="n">
        <v>7</v>
      </c>
      <c r="R152" s="106" t="n">
        <f aca="false">Q152*_xlfn.xlookup(O152,'Prix vente'!A:A,'Prix vente'!R:R)</f>
        <v>6720</v>
      </c>
      <c r="S152" s="118" t="n">
        <v>40229</v>
      </c>
      <c r="T152" s="118" t="str">
        <f aca="false">_xlfn.xlookup(S152,'Prix vente'!$A:$A,'Prix vente'!$H:$H)&amp;"/"&amp;_xlfn.xlookup(S152,'Prix vente'!A:A,'Prix vente'!P:P)</f>
        <v>D11/4</v>
      </c>
      <c r="U152" s="118" t="n">
        <v>1</v>
      </c>
      <c r="V152" s="118" t="n">
        <f aca="false">IFERROR(U152*_xlfn.xlookup(S152,'Prix vente'!$A:$A,'Prix vente'!$R:$R),"")</f>
        <v>480</v>
      </c>
      <c r="W152" s="106"/>
      <c r="X152" s="106" t="e">
        <f aca="false">_xlfn.xlookup(W152,'Prix vente'!$A:$A,'Prix vente'!$H:$H)&amp;"/"&amp;_xlfn.xlookup(W152,'Prix vente'!A:A,'Prix vente'!P:P)</f>
        <v>#NAME?</v>
      </c>
      <c r="Y152" s="106"/>
      <c r="Z152" s="106" t="str">
        <f aca="false">IFERROR(Y152*_xlfn.xlookup(W152,'Prix vente'!$A:$A,'Prix vente'!$R:$R),"")</f>
        <v/>
      </c>
      <c r="AA152" s="118"/>
      <c r="AB152" s="118" t="e">
        <f aca="false">_xlfn.xlookup(AA152,'Prix vente'!$A:$A,'Prix vente'!$H:$H)&amp;"/"&amp;_xlfn.xlookup(AA152,'Prix vente'!A:A,'Prix vente'!P:P)</f>
        <v>#NAME?</v>
      </c>
      <c r="AC152" s="118"/>
      <c r="AD152" s="118" t="str">
        <f aca="false">IFERROR(AC152*_xlfn.xlookup(AA152,'Prix vente'!$A:$A,'Prix vente'!$R:$R),"")</f>
        <v/>
      </c>
      <c r="AE152" s="106"/>
      <c r="AF152" s="106" t="e">
        <f aca="false">_xlfn.xlookup(AE152,'Prix vente'!$A:$A,'Prix vente'!$H:$H)&amp;"/"&amp;_xlfn.xlookup(AE152,'Prix vente'!$A:$A,'Prix vente'!$P:$P)</f>
        <v>#NAME?</v>
      </c>
      <c r="AG152" s="106"/>
      <c r="AH152" s="106" t="str">
        <f aca="false">IFERROR(AG152*_xlfn.xlookup(AE152,'Prix vente'!$A:$A,'Prix vente'!$R:$R),"")</f>
        <v/>
      </c>
      <c r="AI152" s="118"/>
      <c r="AJ152" s="118" t="e">
        <f aca="false">_xlfn.xlookup(AI152,'Prix vente'!$A:$A,'Prix vente'!$H:$H)&amp;"/"&amp;_xlfn.xlookup(AI152,'Prix vente'!$A:$A,'Prix vente'!$P:$P)</f>
        <v>#NAME?</v>
      </c>
      <c r="AK152" s="118"/>
      <c r="AL152" s="118" t="str">
        <f aca="false">IFERROR(AK152*_xlfn.xlookup(AI152,'Prix vente'!$A:$A,'Prix vente'!$R:$R),"")</f>
        <v/>
      </c>
      <c r="AM152" s="106"/>
      <c r="AN152" s="106" t="e">
        <f aca="false">_xlfn.xlookup(AM152,'Prix vente'!$A:$A,'Prix vente'!$H:$H)&amp;"/"&amp;_xlfn.xlookup(AM152,'Prix vente'!$A:$A,'Prix vente'!$P:$P)</f>
        <v>#NAME?</v>
      </c>
      <c r="AO152" s="106"/>
      <c r="AP152" s="106" t="str">
        <f aca="false">IFERROR(AO152*_xlfn.xlookup(AM152,'Prix vente'!$A:$A,'Prix vente'!$R:$R),"")</f>
        <v/>
      </c>
      <c r="AQ152" s="118"/>
      <c r="AR152" s="118" t="e">
        <f aca="false">_xlfn.xlookup(AQ152,'Prix vente'!$A:$A,'Prix vente'!$H:$H)&amp;"/"&amp;_xlfn.xlookup(AQ152,'Prix vente'!$A:$A,'Prix vente'!$P:$P)</f>
        <v>#NAME?</v>
      </c>
      <c r="AS152" s="118"/>
      <c r="AT152" s="118" t="str">
        <f aca="false">IFERROR(AS152*_xlfn.xlookup(AQ152,'Prix vente'!$A:$A,'Prix vente'!$R:$R),"")</f>
        <v/>
      </c>
      <c r="AU152" s="106"/>
      <c r="AV152" s="106"/>
      <c r="AW152" s="106"/>
      <c r="AX152" s="106"/>
      <c r="AY152" s="118"/>
      <c r="AZ152" s="118"/>
      <c r="BA152" s="118"/>
      <c r="BB152" s="118"/>
    </row>
    <row r="153" customFormat="false" ht="14.25" hidden="false" customHeight="false" outlineLevel="0" collapsed="false">
      <c r="A153" s="107" t="n">
        <v>301</v>
      </c>
      <c r="B153" s="107"/>
      <c r="C153" s="11" t="s">
        <v>178</v>
      </c>
      <c r="D153" s="11" t="s">
        <v>178</v>
      </c>
      <c r="E153" s="114" t="n">
        <v>45671</v>
      </c>
      <c r="F153" s="115" t="n">
        <v>14339</v>
      </c>
      <c r="G153" s="115" t="s">
        <v>791</v>
      </c>
      <c r="H153" s="115"/>
      <c r="I153" s="100" t="n">
        <f aca="false">_xlfn.xlookup(C153,Clients!B:B,Clients!W:W,FALSE())</f>
        <v>0</v>
      </c>
      <c r="J153" s="116" t="str">
        <f aca="false">_xlfn.xlookup(C153,Clients!$B$1:$B$1001,Clients!$M$1:$M$1001,FALSE())</f>
        <v>Net 30 jours</v>
      </c>
      <c r="K153" s="100" t="str">
        <f aca="false">_xlfn.xlookup(C153,Clients!B:B,Clients!R:R,FALSE())</f>
        <v>Delivery Included</v>
      </c>
      <c r="L153" s="117" t="n">
        <v>45680</v>
      </c>
      <c r="M153" s="98" t="str">
        <f aca="false">_xlfn.xlookup(C153,Clients!B:B,Clients!X:X,FALSE())</f>
        <v>CAD</v>
      </c>
      <c r="N153" s="98" t="str">
        <f aca="false">_xlfn.xlookup(C153,Clients!B:B,Clients!Y:Y,FALSE())</f>
        <v>CAD</v>
      </c>
      <c r="O153" s="106" t="n">
        <v>40231</v>
      </c>
      <c r="P153" s="106" t="str">
        <f aca="false">_xlfn.xlookup(O153,'Prix vente'!A:A,'Prix vente'!H:H)&amp;"/"&amp;_xlfn.xlookup(O153,'Prix vente'!A:A,'Prix vente'!P:P)</f>
        <v>T11/10</v>
      </c>
      <c r="Q153" s="106" t="n">
        <v>6</v>
      </c>
      <c r="R153" s="106" t="n">
        <f aca="false">Q153*_xlfn.xlookup(O153,'Prix vente'!A:A,'Prix vente'!R:R)</f>
        <v>7200</v>
      </c>
      <c r="S153" s="118"/>
      <c r="T153" s="118" t="e">
        <f aca="false">_xlfn.xlookup(S153,'Prix vente'!$A:$A,'Prix vente'!$H:$H)&amp;"/"&amp;_xlfn.xlookup(S153,'Prix vente'!A:A,'Prix vente'!P:P)</f>
        <v>#NAME?</v>
      </c>
      <c r="U153" s="118"/>
      <c r="V153" s="118" t="str">
        <f aca="false">IFERROR(U153*_xlfn.xlookup(S153,'Prix vente'!$A:$A,'Prix vente'!$R:$R),"")</f>
        <v/>
      </c>
      <c r="W153" s="106"/>
      <c r="X153" s="106" t="e">
        <f aca="false">_xlfn.xlookup(W153,'Prix vente'!$A:$A,'Prix vente'!$H:$H)&amp;"/"&amp;_xlfn.xlookup(W153,'Prix vente'!A:A,'Prix vente'!P:P)</f>
        <v>#NAME?</v>
      </c>
      <c r="Y153" s="106"/>
      <c r="Z153" s="106" t="str">
        <f aca="false">IFERROR(Y153*_xlfn.xlookup(W153,'Prix vente'!$A:$A,'Prix vente'!$R:$R),"")</f>
        <v/>
      </c>
      <c r="AA153" s="118"/>
      <c r="AB153" s="118" t="e">
        <f aca="false">_xlfn.xlookup(AA153,'Prix vente'!$A:$A,'Prix vente'!$H:$H)&amp;"/"&amp;_xlfn.xlookup(AA153,'Prix vente'!A:A,'Prix vente'!P:P)</f>
        <v>#NAME?</v>
      </c>
      <c r="AC153" s="118"/>
      <c r="AD153" s="118" t="str">
        <f aca="false">IFERROR(AC153*_xlfn.xlookup(AA153,'Prix vente'!$A:$A,'Prix vente'!$R:$R),"")</f>
        <v/>
      </c>
      <c r="AE153" s="106"/>
      <c r="AF153" s="106" t="e">
        <f aca="false">_xlfn.xlookup(AE153,'Prix vente'!$A:$A,'Prix vente'!$H:$H)&amp;"/"&amp;_xlfn.xlookup(AE153,'Prix vente'!$A:$A,'Prix vente'!$P:$P)</f>
        <v>#NAME?</v>
      </c>
      <c r="AG153" s="106"/>
      <c r="AH153" s="106" t="str">
        <f aca="false">IFERROR(AG153*_xlfn.xlookup(AE153,'Prix vente'!$A:$A,'Prix vente'!$R:$R),"")</f>
        <v/>
      </c>
      <c r="AI153" s="118"/>
      <c r="AJ153" s="118" t="e">
        <f aca="false">_xlfn.xlookup(AI153,'Prix vente'!$A:$A,'Prix vente'!$H:$H)&amp;"/"&amp;_xlfn.xlookup(AI153,'Prix vente'!$A:$A,'Prix vente'!$P:$P)</f>
        <v>#NAME?</v>
      </c>
      <c r="AK153" s="118"/>
      <c r="AL153" s="118" t="str">
        <f aca="false">IFERROR(AK153*_xlfn.xlookup(AI153,'Prix vente'!$A:$A,'Prix vente'!$R:$R),"")</f>
        <v/>
      </c>
      <c r="AM153" s="106"/>
      <c r="AN153" s="106" t="e">
        <f aca="false">_xlfn.xlookup(AM153,'Prix vente'!$A:$A,'Prix vente'!$H:$H)&amp;"/"&amp;_xlfn.xlookup(AM153,'Prix vente'!$A:$A,'Prix vente'!$P:$P)</f>
        <v>#NAME?</v>
      </c>
      <c r="AO153" s="106"/>
      <c r="AP153" s="106" t="str">
        <f aca="false">IFERROR(AO153*_xlfn.xlookup(AM153,'Prix vente'!$A:$A,'Prix vente'!$R:$R),"")</f>
        <v/>
      </c>
      <c r="AQ153" s="118"/>
      <c r="AR153" s="118" t="e">
        <f aca="false">_xlfn.xlookup(AQ153,'Prix vente'!$A:$A,'Prix vente'!$H:$H)&amp;"/"&amp;_xlfn.xlookup(AQ153,'Prix vente'!$A:$A,'Prix vente'!$P:$P)</f>
        <v>#NAME?</v>
      </c>
      <c r="AS153" s="118"/>
      <c r="AT153" s="118" t="str">
        <f aca="false">IFERROR(AS153*_xlfn.xlookup(AQ153,'Prix vente'!$A:$A,'Prix vente'!$R:$R),"")</f>
        <v/>
      </c>
      <c r="AU153" s="106"/>
      <c r="AV153" s="106"/>
      <c r="AW153" s="106"/>
      <c r="AX153" s="106"/>
      <c r="AY153" s="118"/>
      <c r="AZ153" s="118"/>
      <c r="BA153" s="118"/>
      <c r="BB153" s="118"/>
    </row>
    <row r="154" customFormat="false" ht="14.25" hidden="false" customHeight="false" outlineLevel="0" collapsed="false">
      <c r="A154" s="107" t="n">
        <v>302</v>
      </c>
      <c r="B154" s="107"/>
      <c r="C154" s="11" t="s">
        <v>124</v>
      </c>
      <c r="D154" s="11" t="s">
        <v>124</v>
      </c>
      <c r="E154" s="114" t="n">
        <v>45672</v>
      </c>
      <c r="F154" s="115" t="n">
        <v>106855</v>
      </c>
      <c r="G154" s="115" t="s">
        <v>788</v>
      </c>
      <c r="H154" s="115"/>
      <c r="I154" s="100" t="n">
        <f aca="false">_xlfn.xlookup(C154,Clients!B:B,Clients!W:W,FALSE())</f>
        <v>0</v>
      </c>
      <c r="J154" s="116" t="str">
        <f aca="false">_xlfn.xlookup(C154,Clients!$B$1:$B$1001,Clients!$M$1:$M$1001,FALSE())</f>
        <v>Net 30 jours</v>
      </c>
      <c r="K154" s="100" t="str">
        <f aca="false">_xlfn.xlookup(C154,Clients!B:B,Clients!R:R,FALSE())</f>
        <v>EXW Boucherville</v>
      </c>
      <c r="L154" s="117" t="n">
        <v>45679</v>
      </c>
      <c r="M154" s="98" t="str">
        <f aca="false">_xlfn.xlookup(C154,Clients!B:B,Clients!X:X,FALSE())</f>
        <v>USD</v>
      </c>
      <c r="N154" s="98" t="str">
        <f aca="false">_xlfn.xlookup(C154,Clients!B:B,Clients!Y:Y,FALSE())</f>
        <v>USD</v>
      </c>
      <c r="O154" s="106" t="n">
        <v>40081</v>
      </c>
      <c r="P154" s="106" t="str">
        <f aca="false">_xlfn.xlookup(O154,'Prix vente'!A:A,'Prix vente'!H:H)&amp;"/"&amp;_xlfn.xlookup(O154,'Prix vente'!A:A,'Prix vente'!P:P)</f>
        <v>S21/10</v>
      </c>
      <c r="Q154" s="106" t="n">
        <v>6</v>
      </c>
      <c r="R154" s="106" t="n">
        <f aca="false">Q154*_xlfn.xlookup(O154,'Prix vente'!A:A,'Prix vente'!R:R)</f>
        <v>3600</v>
      </c>
      <c r="S154" s="118" t="n">
        <v>40048</v>
      </c>
      <c r="T154" s="118" t="str">
        <f aca="false">_xlfn.xlookup(S154,'Prix vente'!$A:$A,'Prix vente'!$H:$H)&amp;"/"&amp;_xlfn.xlookup(S154,'Prix vente'!A:A,'Prix vente'!P:P)</f>
        <v>S21/12</v>
      </c>
      <c r="U154" s="118" t="n">
        <v>5</v>
      </c>
      <c r="V154" s="118" t="n">
        <f aca="false">IFERROR(U154*_xlfn.xlookup(S154,'Prix vente'!$A:$A,'Prix vente'!$R:$R),"")</f>
        <v>3600</v>
      </c>
      <c r="W154" s="106"/>
      <c r="X154" s="106" t="str">
        <f aca="false">_xlfn.xlookup(W154,'Prix vente'!$A:$A,'Prix vente'!$H:$H)&amp;"/"&amp;_xlfn.xlookup(W154,'Prix vente'!A:A,'Prix vente'!P:P)</f>
        <v>/</v>
      </c>
      <c r="Y154" s="106"/>
      <c r="Z154" s="106" t="str">
        <f aca="false">IFERROR(Y154*_xlfn.xlookup(W154,'Prix vente'!$A:$A,'Prix vente'!$R:$R),"")</f>
        <v/>
      </c>
      <c r="AA154" s="118"/>
      <c r="AB154" s="118" t="e">
        <f aca="false">_xlfn.xlookup(AA154,'Prix vente'!$A:$A,'Prix vente'!$H:$H)&amp;"/"&amp;_xlfn.xlookup(AA154,'Prix vente'!A:A,'Prix vente'!P:P)</f>
        <v>#NAME?</v>
      </c>
      <c r="AC154" s="118"/>
      <c r="AD154" s="118" t="str">
        <f aca="false">IFERROR(AC154*_xlfn.xlookup(AA154,'Prix vente'!$A:$A,'Prix vente'!$R:$R),"")</f>
        <v/>
      </c>
      <c r="AE154" s="106"/>
      <c r="AF154" s="106" t="e">
        <f aca="false">_xlfn.xlookup(AE154,'Prix vente'!$A:$A,'Prix vente'!$H:$H)&amp;"/"&amp;_xlfn.xlookup(AE154,'Prix vente'!$A:$A,'Prix vente'!$P:$P)</f>
        <v>#NAME?</v>
      </c>
      <c r="AG154" s="106"/>
      <c r="AH154" s="106" t="str">
        <f aca="false">IFERROR(AG154*_xlfn.xlookup(AE154,'Prix vente'!$A:$A,'Prix vente'!$R:$R),"")</f>
        <v/>
      </c>
      <c r="AI154" s="118"/>
      <c r="AJ154" s="118" t="e">
        <f aca="false">_xlfn.xlookup(AI154,'Prix vente'!$A:$A,'Prix vente'!$H:$H)&amp;"/"&amp;_xlfn.xlookup(AI154,'Prix vente'!$A:$A,'Prix vente'!$P:$P)</f>
        <v>#NAME?</v>
      </c>
      <c r="AK154" s="118"/>
      <c r="AL154" s="118" t="str">
        <f aca="false">IFERROR(AK154*_xlfn.xlookup(AI154,'Prix vente'!$A:$A,'Prix vente'!$R:$R),"")</f>
        <v/>
      </c>
      <c r="AM154" s="106"/>
      <c r="AN154" s="106" t="e">
        <f aca="false">_xlfn.xlookup(AM154,'Prix vente'!$A:$A,'Prix vente'!$H:$H)&amp;"/"&amp;_xlfn.xlookup(AM154,'Prix vente'!$A:$A,'Prix vente'!$P:$P)</f>
        <v>#NAME?</v>
      </c>
      <c r="AO154" s="106"/>
      <c r="AP154" s="106" t="str">
        <f aca="false">IFERROR(AO154*_xlfn.xlookup(AM154,'Prix vente'!$A:$A,'Prix vente'!$R:$R),"")</f>
        <v/>
      </c>
      <c r="AQ154" s="118"/>
      <c r="AR154" s="118" t="e">
        <f aca="false">_xlfn.xlookup(AQ154,'Prix vente'!$A:$A,'Prix vente'!$H:$H)&amp;"/"&amp;_xlfn.xlookup(AQ154,'Prix vente'!$A:$A,'Prix vente'!$P:$P)</f>
        <v>#NAME?</v>
      </c>
      <c r="AS154" s="118"/>
      <c r="AT154" s="118" t="str">
        <f aca="false">IFERROR(AS154*_xlfn.xlookup(AQ154,'Prix vente'!$A:$A,'Prix vente'!$R:$R),"")</f>
        <v/>
      </c>
      <c r="AU154" s="106"/>
      <c r="AV154" s="106"/>
      <c r="AW154" s="106"/>
      <c r="AX154" s="106"/>
      <c r="AY154" s="118"/>
      <c r="AZ154" s="118"/>
      <c r="BA154" s="118"/>
      <c r="BB154" s="118"/>
    </row>
    <row r="155" customFormat="false" ht="14.25" hidden="false" customHeight="false" outlineLevel="0" collapsed="false">
      <c r="A155" s="107" t="n">
        <v>303</v>
      </c>
      <c r="B155" s="107"/>
      <c r="C155" s="11" t="s">
        <v>178</v>
      </c>
      <c r="D155" s="11" t="s">
        <v>178</v>
      </c>
      <c r="E155" s="114" t="n">
        <v>45673</v>
      </c>
      <c r="F155" s="115" t="n">
        <v>14342</v>
      </c>
      <c r="G155" s="115" t="s">
        <v>791</v>
      </c>
      <c r="H155" s="115"/>
      <c r="I155" s="100" t="n">
        <f aca="false">_xlfn.xlookup(C155,Clients!B:B,Clients!W:W,FALSE())</f>
        <v>0</v>
      </c>
      <c r="J155" s="116" t="str">
        <f aca="false">_xlfn.xlookup(C155,Clients!$B$1:$B$1001,Clients!$M$1:$M$1001,FALSE())</f>
        <v>Net 30 jours</v>
      </c>
      <c r="K155" s="100" t="str">
        <f aca="false">_xlfn.xlookup(C155,Clients!B:B,Clients!R:R,FALSE())</f>
        <v>Delivery Included</v>
      </c>
      <c r="L155" s="117" t="n">
        <v>45679</v>
      </c>
      <c r="M155" s="98" t="str">
        <f aca="false">_xlfn.xlookup(C155,Clients!B:B,Clients!X:X,FALSE())</f>
        <v>CAD</v>
      </c>
      <c r="N155" s="98" t="str">
        <f aca="false">_xlfn.xlookup(C155,Clients!B:B,Clients!Y:Y,FALSE())</f>
        <v>CAD</v>
      </c>
      <c r="O155" s="106" t="n">
        <v>40126</v>
      </c>
      <c r="P155" s="106" t="str">
        <f aca="false">_xlfn.xlookup(O155,'Prix vente'!A:A,'Prix vente'!H:H)&amp;"/"&amp;_xlfn.xlookup(O155,'Prix vente'!A:A,'Prix vente'!P:P)</f>
        <v>S15/12</v>
      </c>
      <c r="Q155" s="106" t="n">
        <v>10</v>
      </c>
      <c r="R155" s="106" t="n">
        <f aca="false">Q155*_xlfn.xlookup(O155,'Prix vente'!A:A,'Prix vente'!R:R)</f>
        <v>14400</v>
      </c>
      <c r="S155" s="118"/>
      <c r="T155" s="118" t="e">
        <f aca="false">_xlfn.xlookup(S155,'Prix vente'!$A:$A,'Prix vente'!$H:$H)&amp;"/"&amp;_xlfn.xlookup(S155,'Prix vente'!A:A,'Prix vente'!P:P)</f>
        <v>#NAME?</v>
      </c>
      <c r="U155" s="118"/>
      <c r="V155" s="118" t="str">
        <f aca="false">IFERROR(U155*_xlfn.xlookup(S155,'Prix vente'!$A:$A,'Prix vente'!$R:$R),"")</f>
        <v/>
      </c>
      <c r="W155" s="106"/>
      <c r="X155" s="106" t="e">
        <f aca="false">_xlfn.xlookup(W155,'Prix vente'!$A:$A,'Prix vente'!$H:$H)&amp;"/"&amp;_xlfn.xlookup(W155,'Prix vente'!A:A,'Prix vente'!P:P)</f>
        <v>#NAME?</v>
      </c>
      <c r="Y155" s="106"/>
      <c r="Z155" s="106" t="str">
        <f aca="false">IFERROR(Y155*_xlfn.xlookup(W155,'Prix vente'!$A:$A,'Prix vente'!$R:$R),"")</f>
        <v/>
      </c>
      <c r="AA155" s="118"/>
      <c r="AB155" s="118" t="e">
        <f aca="false">_xlfn.xlookup(AA155,'Prix vente'!$A:$A,'Prix vente'!$H:$H)&amp;"/"&amp;_xlfn.xlookup(AA155,'Prix vente'!A:A,'Prix vente'!P:P)</f>
        <v>#NAME?</v>
      </c>
      <c r="AC155" s="118"/>
      <c r="AD155" s="118" t="str">
        <f aca="false">IFERROR(AC155*_xlfn.xlookup(AA155,'Prix vente'!$A:$A,'Prix vente'!$R:$R),"")</f>
        <v/>
      </c>
      <c r="AE155" s="106"/>
      <c r="AF155" s="106" t="e">
        <f aca="false">_xlfn.xlookup(AE155,'Prix vente'!$A:$A,'Prix vente'!$H:$H)&amp;"/"&amp;_xlfn.xlookup(AE155,'Prix vente'!$A:$A,'Prix vente'!$P:$P)</f>
        <v>#NAME?</v>
      </c>
      <c r="AG155" s="106"/>
      <c r="AH155" s="106" t="str">
        <f aca="false">IFERROR(AG155*_xlfn.xlookup(AE155,'Prix vente'!$A:$A,'Prix vente'!$R:$R),"")</f>
        <v/>
      </c>
      <c r="AI155" s="118"/>
      <c r="AJ155" s="118" t="e">
        <f aca="false">_xlfn.xlookup(AI155,'Prix vente'!$A:$A,'Prix vente'!$H:$H)&amp;"/"&amp;_xlfn.xlookup(AI155,'Prix vente'!$A:$A,'Prix vente'!$P:$P)</f>
        <v>#NAME?</v>
      </c>
      <c r="AK155" s="118"/>
      <c r="AL155" s="118" t="str">
        <f aca="false">IFERROR(AK155*_xlfn.xlookup(AI155,'Prix vente'!$A:$A,'Prix vente'!$R:$R),"")</f>
        <v/>
      </c>
      <c r="AM155" s="106"/>
      <c r="AN155" s="106" t="e">
        <f aca="false">_xlfn.xlookup(AM155,'Prix vente'!$A:$A,'Prix vente'!$H:$H)&amp;"/"&amp;_xlfn.xlookup(AM155,'Prix vente'!$A:$A,'Prix vente'!$P:$P)</f>
        <v>#NAME?</v>
      </c>
      <c r="AO155" s="106"/>
      <c r="AP155" s="106" t="str">
        <f aca="false">IFERROR(AO155*_xlfn.xlookup(AM155,'Prix vente'!$A:$A,'Prix vente'!$R:$R),"")</f>
        <v/>
      </c>
      <c r="AQ155" s="118"/>
      <c r="AR155" s="118" t="e">
        <f aca="false">_xlfn.xlookup(AQ155,'Prix vente'!$A:$A,'Prix vente'!$H:$H)&amp;"/"&amp;_xlfn.xlookup(AQ155,'Prix vente'!$A:$A,'Prix vente'!$P:$P)</f>
        <v>#NAME?</v>
      </c>
      <c r="AS155" s="118"/>
      <c r="AT155" s="118" t="str">
        <f aca="false">IFERROR(AS155*_xlfn.xlookup(AQ155,'Prix vente'!$A:$A,'Prix vente'!$R:$R),"")</f>
        <v/>
      </c>
      <c r="AU155" s="106"/>
      <c r="AV155" s="106"/>
      <c r="AW155" s="106"/>
      <c r="AX155" s="106"/>
      <c r="AY155" s="118"/>
      <c r="AZ155" s="118"/>
      <c r="BA155" s="118"/>
      <c r="BB155" s="118"/>
    </row>
    <row r="156" customFormat="false" ht="14.25" hidden="false" customHeight="false" outlineLevel="0" collapsed="false">
      <c r="A156" s="107" t="n">
        <v>304</v>
      </c>
      <c r="B156" s="107"/>
      <c r="C156" s="11" t="s">
        <v>241</v>
      </c>
      <c r="D156" s="11" t="s">
        <v>241</v>
      </c>
      <c r="E156" s="114" t="n">
        <v>45673</v>
      </c>
      <c r="F156" s="115" t="n">
        <v>179989</v>
      </c>
      <c r="G156" s="115" t="s">
        <v>807</v>
      </c>
      <c r="H156" s="115"/>
      <c r="I156" s="100" t="n">
        <f aca="false">_xlfn.xlookup(C156,Clients!B:B,Clients!W:W,FALSE())</f>
        <v>0</v>
      </c>
      <c r="J156" s="116" t="str">
        <f aca="false">_xlfn.xlookup(C156,Clients!$B$1:$B$1001,Clients!$M$1:$M$1001,FALSE())</f>
        <v>Net 30 jours</v>
      </c>
      <c r="K156" s="100" t="str">
        <f aca="false">_xlfn.xlookup(C156,Clients!B:B,Clients!R:R,FALSE())</f>
        <v>Livraison incluse</v>
      </c>
      <c r="L156" s="117" t="n">
        <v>45680</v>
      </c>
      <c r="M156" s="98" t="str">
        <f aca="false">_xlfn.xlookup(C156,Clients!B:B,Clients!X:X,FALSE())</f>
        <v>CAD</v>
      </c>
      <c r="N156" s="98" t="str">
        <f aca="false">_xlfn.xlookup(C156,Clients!B:B,Clients!Y:Y,FALSE())</f>
        <v>CAD</v>
      </c>
      <c r="O156" s="106" t="n">
        <v>40145</v>
      </c>
      <c r="P156" s="106" t="str">
        <f aca="false">_xlfn.xlookup(O156,'Prix vente'!A:A,'Prix vente'!H:H)&amp;"/"&amp;_xlfn.xlookup(O156,'Prix vente'!A:A,'Prix vente'!P:P)</f>
        <v>D11/9.5</v>
      </c>
      <c r="Q156" s="106" t="n">
        <v>10</v>
      </c>
      <c r="R156" s="106" t="n">
        <f aca="false">Q156*_xlfn.xlookup(O156,'Prix vente'!A:A,'Prix vente'!R:R)</f>
        <v>5700</v>
      </c>
      <c r="S156" s="118" t="n">
        <v>40232</v>
      </c>
      <c r="T156" s="118" t="str">
        <f aca="false">_xlfn.xlookup(S156,'Prix vente'!$A:$A,'Prix vente'!$H:$H)&amp;"/"&amp;_xlfn.xlookup(S156,'Prix vente'!A:A,'Prix vente'!P:P)</f>
        <v>D11/12</v>
      </c>
      <c r="U156" s="118" t="n">
        <v>2</v>
      </c>
      <c r="V156" s="118" t="n">
        <f aca="false">IFERROR(U156*_xlfn.xlookup(S156,'Prix vente'!$A:$A,'Prix vente'!$R:$R),"")</f>
        <v>1440</v>
      </c>
      <c r="W156" s="106" t="n">
        <v>40233</v>
      </c>
      <c r="X156" s="106" t="str">
        <f aca="false">_xlfn.xlookup(W156,'Prix vente'!$A:$A,'Prix vente'!$H:$H)&amp;"/"&amp;_xlfn.xlookup(W156,'Prix vente'!A:A,'Prix vente'!P:P)</f>
        <v>Coupe D11/0.5</v>
      </c>
      <c r="Y156" s="106" t="n">
        <v>2</v>
      </c>
      <c r="Z156" s="106" t="n">
        <f aca="false">IFERROR(Y156*_xlfn.xlookup(W156,'Prix vente'!$A:$A,'Prix vente'!$R:$R),"")</f>
        <v>60</v>
      </c>
      <c r="AA156" s="118"/>
      <c r="AB156" s="118" t="e">
        <f aca="false">_xlfn.xlookup(AA156,'Prix vente'!$A:$A,'Prix vente'!$H:$H)&amp;"/"&amp;_xlfn.xlookup(AA156,'Prix vente'!A:A,'Prix vente'!P:P)</f>
        <v>#NAME?</v>
      </c>
      <c r="AC156" s="118"/>
      <c r="AD156" s="118" t="str">
        <f aca="false">IFERROR(AC156*_xlfn.xlookup(AA156,'Prix vente'!$A:$A,'Prix vente'!$R:$R),"")</f>
        <v/>
      </c>
      <c r="AE156" s="106"/>
      <c r="AF156" s="106" t="e">
        <f aca="false">_xlfn.xlookup(AE156,'Prix vente'!$A:$A,'Prix vente'!$H:$H)&amp;"/"&amp;_xlfn.xlookup(AE156,'Prix vente'!$A:$A,'Prix vente'!$P:$P)</f>
        <v>#NAME?</v>
      </c>
      <c r="AG156" s="106"/>
      <c r="AH156" s="106" t="str">
        <f aca="false">IFERROR(AG156*_xlfn.xlookup(AE156,'Prix vente'!$A:$A,'Prix vente'!$R:$R),"")</f>
        <v/>
      </c>
      <c r="AI156" s="118"/>
      <c r="AJ156" s="118" t="e">
        <f aca="false">_xlfn.xlookup(AI156,'Prix vente'!$A:$A,'Prix vente'!$H:$H)&amp;"/"&amp;_xlfn.xlookup(AI156,'Prix vente'!$A:$A,'Prix vente'!$P:$P)</f>
        <v>#NAME?</v>
      </c>
      <c r="AK156" s="118"/>
      <c r="AL156" s="118" t="str">
        <f aca="false">IFERROR(AK156*_xlfn.xlookup(AI156,'Prix vente'!$A:$A,'Prix vente'!$R:$R),"")</f>
        <v/>
      </c>
      <c r="AM156" s="106"/>
      <c r="AN156" s="106" t="e">
        <f aca="false">_xlfn.xlookup(AM156,'Prix vente'!$A:$A,'Prix vente'!$H:$H)&amp;"/"&amp;_xlfn.xlookup(AM156,'Prix vente'!$A:$A,'Prix vente'!$P:$P)</f>
        <v>#NAME?</v>
      </c>
      <c r="AO156" s="106"/>
      <c r="AP156" s="106" t="str">
        <f aca="false">IFERROR(AO156*_xlfn.xlookup(AM156,'Prix vente'!$A:$A,'Prix vente'!$R:$R),"")</f>
        <v/>
      </c>
      <c r="AQ156" s="118"/>
      <c r="AR156" s="118" t="e">
        <f aca="false">_xlfn.xlookup(AQ156,'Prix vente'!$A:$A,'Prix vente'!$H:$H)&amp;"/"&amp;_xlfn.xlookup(AQ156,'Prix vente'!$A:$A,'Prix vente'!$P:$P)</f>
        <v>#NAME?</v>
      </c>
      <c r="AS156" s="118"/>
      <c r="AT156" s="118" t="str">
        <f aca="false">IFERROR(AS156*_xlfn.xlookup(AQ156,'Prix vente'!$A:$A,'Prix vente'!$R:$R),"")</f>
        <v/>
      </c>
      <c r="AU156" s="106"/>
      <c r="AV156" s="106"/>
      <c r="AW156" s="106"/>
      <c r="AX156" s="106"/>
      <c r="AY156" s="118"/>
      <c r="AZ156" s="118"/>
      <c r="BA156" s="118"/>
      <c r="BB156" s="118"/>
    </row>
    <row r="157" customFormat="false" ht="14.25" hidden="false" customHeight="false" outlineLevel="0" collapsed="false">
      <c r="A157" s="107" t="n">
        <v>305</v>
      </c>
      <c r="B157" s="107"/>
      <c r="C157" s="11" t="s">
        <v>160</v>
      </c>
      <c r="D157" s="11" t="s">
        <v>160</v>
      </c>
      <c r="E157" s="114" t="n">
        <v>45673</v>
      </c>
      <c r="F157" s="115" t="n">
        <v>31970</v>
      </c>
      <c r="G157" s="115" t="s">
        <v>786</v>
      </c>
      <c r="H157" s="115"/>
      <c r="I157" s="100" t="n">
        <f aca="false">_xlfn.xlookup(C157,Clients!B:B,Clients!W:W,FALSE())</f>
        <v>0</v>
      </c>
      <c r="J157" s="116" t="str">
        <f aca="false">_xlfn.xlookup(C157,Clients!$B$1:$B$1001,Clients!$M$1:$M$1001,FALSE())</f>
        <v>Net 30 jours</v>
      </c>
      <c r="K157" s="100" t="str">
        <f aca="false">_xlfn.xlookup(C157,Clients!B:B,Clients!R:R,FALSE())</f>
        <v>Livraison incluse</v>
      </c>
      <c r="L157" s="117" t="n">
        <v>45680</v>
      </c>
      <c r="M157" s="98" t="str">
        <f aca="false">_xlfn.xlookup(C157,Clients!B:B,Clients!X:X,FALSE())</f>
        <v>CAD</v>
      </c>
      <c r="N157" s="98" t="str">
        <f aca="false">_xlfn.xlookup(C157,Clients!B:B,Clients!Y:Y,FALSE())</f>
        <v>CAD</v>
      </c>
      <c r="O157" s="106" t="n">
        <v>40234</v>
      </c>
      <c r="P157" s="106" t="str">
        <f aca="false">_xlfn.xlookup(O157,'Prix vente'!A:A,'Prix vente'!H:H)&amp;"/"&amp;_xlfn.xlookup(O157,'Prix vente'!A:A,'Prix vente'!P:P)&amp;"/"&amp;_xlfn.xlookup(O157,'Prix vente'!A:A,'Prix vente'!Q:Q)/1000</f>
        <v>T11/8.875/10</v>
      </c>
      <c r="Q157" s="106" t="n">
        <v>3</v>
      </c>
      <c r="R157" s="106" t="n">
        <f aca="false">Q157*_xlfn.xlookup(O157,'Prix vente'!A:A,'Prix vente'!R:R)</f>
        <v>3195</v>
      </c>
      <c r="S157" s="118" t="n">
        <v>40235</v>
      </c>
      <c r="T157" s="118" t="str">
        <f aca="false">_xlfn.xlookup(S157,'Prix vente'!$A:$A,'Prix vente'!$H:$H)&amp;"/"&amp;_xlfn.xlookup(S157,'Prix vente'!A:A,'Prix vente'!P:P)</f>
        <v>T11/7.375</v>
      </c>
      <c r="U157" s="118" t="n">
        <v>1</v>
      </c>
      <c r="V157" s="118" t="n">
        <f aca="false">IFERROR(U157*_xlfn.xlookup(S157,'Prix vente'!$A:$A,'Prix vente'!$R:$R),"")</f>
        <v>885</v>
      </c>
      <c r="W157" s="106" t="n">
        <v>40236</v>
      </c>
      <c r="X157" s="106" t="str">
        <f aca="false">_xlfn.xlookup(W157,'Prix vente'!$A:$A,'Prix vente'!$H:$H)&amp;"/"&amp;_xlfn.xlookup(W157,'Prix vente'!A:A,'Prix vente'!P:P)</f>
        <v>T11/6.625</v>
      </c>
      <c r="Y157" s="106" t="n">
        <v>1</v>
      </c>
      <c r="Z157" s="106" t="n">
        <f aca="false">IFERROR(Y157*_xlfn.xlookup(W157,'Prix vente'!$A:$A,'Prix vente'!$R:$R),"")</f>
        <v>795</v>
      </c>
      <c r="AA157" s="118" t="n">
        <v>40237</v>
      </c>
      <c r="AB157" s="118" t="str">
        <f aca="false">_xlfn.xlookup(AA157,'Prix vente'!$A:$A,'Prix vente'!$H:$H)&amp;"/"&amp;_xlfn.xlookup(AA157,'Prix vente'!A:A,'Prix vente'!P:P)</f>
        <v>T11/4.875</v>
      </c>
      <c r="AC157" s="118" t="n">
        <v>3</v>
      </c>
      <c r="AD157" s="118" t="n">
        <f aca="false">IFERROR(AC157*_xlfn.xlookup(AA157,'Prix vente'!$A:$A,'Prix vente'!$R:$R),"")</f>
        <v>1755</v>
      </c>
      <c r="AE157" s="106" t="n">
        <v>40238</v>
      </c>
      <c r="AF157" s="106" t="str">
        <f aca="false">_xlfn.xlookup(AE157,'Prix vente'!$A:$A,'Prix vente'!$H:$H)&amp;"/"&amp;_xlfn.xlookup(AE157,'Prix vente'!$A:$A,'Prix vente'!$P:$P)</f>
        <v>T11/4.75</v>
      </c>
      <c r="AG157" s="106" t="n">
        <v>1</v>
      </c>
      <c r="AH157" s="106" t="n">
        <f aca="false">IFERROR(AG157*_xlfn.xlookup(AE157,'Prix vente'!$A:$A,'Prix vente'!$R:$R),"")</f>
        <v>570</v>
      </c>
      <c r="AI157" s="118"/>
      <c r="AJ157" s="118" t="str">
        <f aca="false">_xlfn.xlookup(AI157,'Prix vente'!$A:$A,'Prix vente'!$H:$H)&amp;"/"&amp;_xlfn.xlookup(AI157,'Prix vente'!$A:$A,'Prix vente'!$P:$P)</f>
        <v>/</v>
      </c>
      <c r="AK157" s="118"/>
      <c r="AL157" s="118" t="str">
        <f aca="false">IFERROR(AK157*_xlfn.xlookup(AI157,'Prix vente'!$A:$A,'Prix vente'!$R:$R),"")</f>
        <v/>
      </c>
      <c r="AM157" s="106"/>
      <c r="AN157" s="106" t="str">
        <f aca="false">_xlfn.xlookup(AM157,'Prix vente'!$A:$A,'Prix vente'!$H:$H)&amp;"/"&amp;_xlfn.xlookup(AM157,'Prix vente'!$A:$A,'Prix vente'!$P:$P)</f>
        <v>/</v>
      </c>
      <c r="AO157" s="106"/>
      <c r="AP157" s="106" t="str">
        <f aca="false">IFERROR(AO157*_xlfn.xlookup(AM157,'Prix vente'!$A:$A,'Prix vente'!$R:$R),"")</f>
        <v/>
      </c>
      <c r="AQ157" s="118"/>
      <c r="AR157" s="118" t="str">
        <f aca="false">_xlfn.xlookup(AQ157,'Prix vente'!$A:$A,'Prix vente'!$H:$H)&amp;"/"&amp;_xlfn.xlookup(AQ157,'Prix vente'!$A:$A,'Prix vente'!$P:$P)</f>
        <v>/</v>
      </c>
      <c r="AS157" s="118"/>
      <c r="AT157" s="118" t="str">
        <f aca="false">IFERROR(AS157*_xlfn.xlookup(AQ157,'Prix vente'!$A:$A,'Prix vente'!$R:$R),"")</f>
        <v/>
      </c>
      <c r="AU157" s="106"/>
      <c r="AV157" s="106"/>
      <c r="AW157" s="106"/>
      <c r="AX157" s="106"/>
      <c r="AY157" s="118"/>
      <c r="AZ157" s="118"/>
      <c r="BA157" s="118"/>
      <c r="BB157" s="118"/>
    </row>
    <row r="158" customFormat="false" ht="14.25" hidden="false" customHeight="false" outlineLevel="0" collapsed="false">
      <c r="A158" s="107" t="n">
        <v>306</v>
      </c>
      <c r="B158" s="107"/>
      <c r="C158" s="11" t="s">
        <v>124</v>
      </c>
      <c r="D158" s="11" t="s">
        <v>124</v>
      </c>
      <c r="E158" s="114" t="n">
        <v>45674</v>
      </c>
      <c r="F158" s="115" t="n">
        <v>106925</v>
      </c>
      <c r="G158" s="115" t="s">
        <v>788</v>
      </c>
      <c r="H158" s="115"/>
      <c r="I158" s="100" t="n">
        <f aca="false">_xlfn.xlookup(C158,Clients!B:B,Clients!W:W,FALSE())</f>
        <v>0</v>
      </c>
      <c r="J158" s="116" t="str">
        <f aca="false">_xlfn.xlookup(C158,Clients!$B$1:$B$1001,Clients!$M$1:$M$1001,FALSE())</f>
        <v>Net 30 jours</v>
      </c>
      <c r="K158" s="100" t="str">
        <f aca="false">_xlfn.xlookup(C158,Clients!B:B,Clients!R:R,FALSE())</f>
        <v>EXW Boucherville</v>
      </c>
      <c r="L158" s="117" t="n">
        <v>45681</v>
      </c>
      <c r="M158" s="98" t="str">
        <f aca="false">_xlfn.xlookup(C158,Clients!B:B,Clients!X:X,FALSE())</f>
        <v>USD</v>
      </c>
      <c r="N158" s="98" t="str">
        <f aca="false">_xlfn.xlookup(C158,Clients!B:B,Clients!Y:Y,FALSE())</f>
        <v>USD</v>
      </c>
      <c r="O158" s="106" t="n">
        <v>40052</v>
      </c>
      <c r="P158" s="106" t="str">
        <f aca="false">_xlfn.xlookup(O158,'Prix vente'!A:A,'Prix vente'!H:H)&amp;"/"&amp;_xlfn.xlookup(O158,'Prix vente'!A:A,'Prix vente'!P:P)&amp;"/"&amp;_xlfn.xlookup(O158,'Prix vente'!A:A,'Prix vente'!Q:Q)/1000</f>
        <v>S15/13/5</v>
      </c>
      <c r="Q158" s="106" t="n">
        <v>2</v>
      </c>
      <c r="R158" s="106" t="n">
        <f aca="false">Q158*_xlfn.xlookup(O158,'Prix vente'!A:A,'Prix vente'!R:R)</f>
        <v>1560</v>
      </c>
      <c r="S158" s="118" t="n">
        <v>40067</v>
      </c>
      <c r="T158" s="118" t="str">
        <f aca="false">_xlfn.xlookup(S158,'Prix vente'!$A:$A,'Prix vente'!$H:$H)&amp;"/"&amp;_xlfn.xlookup(S158,'Prix vente'!A:A,'Prix vente'!P:P)&amp;"/"&amp;_xlfn.xlookup(S158,'Prix vente'!A:A,'Prix vente'!Q:Q)/1000</f>
        <v>S15/12/5</v>
      </c>
      <c r="U158" s="118" t="n">
        <v>2</v>
      </c>
      <c r="V158" s="118" t="n">
        <f aca="false">IFERROR(U158*_xlfn.xlookup(S158,'Prix vente'!$A:$A,'Prix vente'!$R:$R),"")</f>
        <v>1440</v>
      </c>
      <c r="W158" s="106" t="n">
        <v>40117</v>
      </c>
      <c r="X158" s="106" t="str">
        <f aca="false">_xlfn.xlookup(W158,'Prix vente'!$A:$A,'Prix vente'!$H:$H)&amp;"/"&amp;_xlfn.xlookup(W158,'Prix vente'!A:A,'Prix vente'!P:P)&amp;"/"&amp;_xlfn.xlookup(W158,'Prix vente'!A:A,'Prix vente'!Q:Q)/1000</f>
        <v>S15/10/5</v>
      </c>
      <c r="Y158" s="106" t="n">
        <v>1</v>
      </c>
      <c r="Z158" s="106" t="n">
        <f aca="false">IFERROR(Y158*_xlfn.xlookup(W158,'Prix vente'!$A:$A,'Prix vente'!$R:$R),"")</f>
        <v>600</v>
      </c>
      <c r="AA158" s="118"/>
      <c r="AB158" s="118" t="str">
        <f aca="false">_xlfn.xlookup(AA158,'Prix vente'!$A:$A,'Prix vente'!$H:$H)&amp;"/"&amp;_xlfn.xlookup(AA158,'Prix vente'!A:A,'Prix vente'!P:P)&amp;"/"&amp;_xlfn.xlookup(AA158,'Prix vente'!A:A,'Prix vente'!Q:Q)/1000</f>
        <v>//0</v>
      </c>
      <c r="AC158" s="118"/>
      <c r="AD158" s="118" t="str">
        <f aca="false">IFERROR(AC158*_xlfn.xlookup(AA158,'Prix vente'!$A:$A,'Prix vente'!$R:$R),"")</f>
        <v/>
      </c>
      <c r="AE158" s="106"/>
      <c r="AF158" s="106" t="str">
        <f aca="false">_xlfn.xlookup(AE158,'Prix vente'!$A:$A,'Prix vente'!$H:$H)&amp;"/"&amp;_xlfn.xlookup(AE158,'Prix vente'!$A:$A,'Prix vente'!$P:$P)&amp;"/"&amp;_xlfn.xlookup(AE158,'Prix vente'!A:A,'Prix vente'!Q:Q)/1000</f>
        <v>//0</v>
      </c>
      <c r="AG158" s="106"/>
      <c r="AH158" s="106" t="str">
        <f aca="false">IFERROR(AG158*_xlfn.xlookup(AE158,'Prix vente'!$A:$A,'Prix vente'!$R:$R),"")</f>
        <v/>
      </c>
      <c r="AI158" s="118"/>
      <c r="AJ158" s="118" t="str">
        <f aca="false">_xlfn.xlookup(AI158,'Prix vente'!$A:$A,'Prix vente'!$H:$H)&amp;"/"&amp;_xlfn.xlookup(AI158,'Prix vente'!$A:$A,'Prix vente'!$P:$P)&amp;"/"&amp;_xlfn.xlookup(AI158,'Prix vente'!A:A,'Prix vente'!Q:Q)/1000</f>
        <v>//0</v>
      </c>
      <c r="AK158" s="118"/>
      <c r="AL158" s="118" t="str">
        <f aca="false">IFERROR(AK158*_xlfn.xlookup(AI158,'Prix vente'!$A:$A,'Prix vente'!$R:$R),"")</f>
        <v/>
      </c>
      <c r="AM158" s="106"/>
      <c r="AN158" s="106" t="str">
        <f aca="false">_xlfn.xlookup(AM158,'Prix vente'!$A:$A,'Prix vente'!$H:$H)&amp;"/"&amp;_xlfn.xlookup(AM158,'Prix vente'!$A:$A,'Prix vente'!$P:$P)&amp;"/"&amp;_xlfn.xlookup(AM158,'Prix vente'!A:A,'Prix vente'!Q:Q)/1000</f>
        <v>//0</v>
      </c>
      <c r="AO158" s="106"/>
      <c r="AP158" s="106" t="str">
        <f aca="false">IFERROR(AO158*_xlfn.xlookup(AM158,'Prix vente'!$A:$A,'Prix vente'!$R:$R),"")</f>
        <v/>
      </c>
      <c r="AQ158" s="118"/>
      <c r="AR158" s="118" t="str">
        <f aca="false">_xlfn.xlookup(AQ158,'Prix vente'!$A:$A,'Prix vente'!$H:$H)&amp;"/"&amp;_xlfn.xlookup(AQ158,'Prix vente'!$A:$A,'Prix vente'!$P:$P)&amp;"/"&amp;_xlfn.xlookup(AQ158,'Prix vente'!A:A,'Prix vente'!Q:Q)/1000</f>
        <v>//0</v>
      </c>
      <c r="AS158" s="118"/>
      <c r="AT158" s="118" t="str">
        <f aca="false">IFERROR(AS158*_xlfn.xlookup(AQ158,'Prix vente'!$A:$A,'Prix vente'!$R:$R),"")</f>
        <v/>
      </c>
      <c r="AU158" s="106"/>
      <c r="AV158" s="106"/>
      <c r="AW158" s="106"/>
      <c r="AX158" s="106"/>
      <c r="AY158" s="118"/>
      <c r="AZ158" s="118"/>
      <c r="BA158" s="118"/>
      <c r="BB158" s="118"/>
    </row>
    <row r="159" customFormat="false" ht="14.25" hidden="false" customHeight="false" outlineLevel="0" collapsed="false">
      <c r="A159" s="107" t="n">
        <v>307</v>
      </c>
      <c r="B159" s="107"/>
      <c r="C159" s="11" t="s">
        <v>124</v>
      </c>
      <c r="D159" s="11" t="s">
        <v>124</v>
      </c>
      <c r="E159" s="114" t="n">
        <v>45677</v>
      </c>
      <c r="F159" s="115" t="s">
        <v>836</v>
      </c>
      <c r="G159" s="115"/>
      <c r="H159" s="115"/>
      <c r="I159" s="100" t="n">
        <f aca="false">_xlfn.xlookup(C159,Clients!B:B,Clients!W:W,FALSE())</f>
        <v>0</v>
      </c>
      <c r="J159" s="116" t="str">
        <f aca="false">_xlfn.xlookup(C159,Clients!$B$1:$B$1001,Clients!$M$1:$M$1001,FALSE())</f>
        <v>Net 30 jours</v>
      </c>
      <c r="K159" s="100" t="str">
        <f aca="false">_xlfn.xlookup(C159,Clients!B:B,Clients!R:R,FALSE())</f>
        <v>EXW Boucherville</v>
      </c>
      <c r="L159" s="117"/>
      <c r="M159" s="98" t="str">
        <f aca="false">_xlfn.xlookup(C159,Clients!B:B,Clients!X:X,FALSE())</f>
        <v>USD</v>
      </c>
      <c r="N159" s="98" t="str">
        <f aca="false">_xlfn.xlookup(C159,Clients!B:B,Clients!Y:Y,FALSE())</f>
        <v>USD</v>
      </c>
      <c r="O159" s="106" t="n">
        <v>40239</v>
      </c>
      <c r="P159" s="106" t="str">
        <f aca="false">_xlfn.xlookup(O159,'Prix vente'!A:A,'Prix vente'!H:H)&amp;"/"&amp;_xlfn.xlookup(O159,'Prix vente'!A:A,'Prix vente'!P:P)&amp;"/"&amp;_xlfn.xlookup(O159,'Prix vente'!A:A,'Prix vente'!Q:Q)/1000</f>
        <v>CRÉDIT//0</v>
      </c>
      <c r="Q159" s="106"/>
      <c r="R159" s="106" t="n">
        <f aca="false">Q159*_xlfn.xlookup(O159,'Prix vente'!A:A,'Prix vente'!R:R)</f>
        <v>0</v>
      </c>
      <c r="S159" s="118"/>
      <c r="T159" s="118" t="str">
        <f aca="false">_xlfn.xlookup(S159,'Prix vente'!$A:$A,'Prix vente'!$H:$H)&amp;"/"&amp;_xlfn.xlookup(S159,'Prix vente'!A:A,'Prix vente'!P:P)&amp;"/"&amp;_xlfn.xlookup(S159,'Prix vente'!A:A,'Prix vente'!Q:Q)/1000</f>
        <v>//0</v>
      </c>
      <c r="U159" s="118"/>
      <c r="V159" s="118" t="n">
        <f aca="false">IFERROR(U159*_xlfn.xlookup(S159,'Prix vente'!$A:$A,'Prix vente'!$R:$R),"")</f>
        <v>0</v>
      </c>
      <c r="W159" s="106"/>
      <c r="X159" s="106" t="str">
        <f aca="false">_xlfn.xlookup(W159,'Prix vente'!$A:$A,'Prix vente'!$H:$H)&amp;"/"&amp;_xlfn.xlookup(W159,'Prix vente'!A:A,'Prix vente'!P:P)&amp;"/"&amp;_xlfn.xlookup(W159,'Prix vente'!A:A,'Prix vente'!Q:Q)/1000</f>
        <v>//0</v>
      </c>
      <c r="Y159" s="106"/>
      <c r="Z159" s="106" t="str">
        <f aca="false">IFERROR(Y159*_xlfn.xlookup(W159,'Prix vente'!$A:$A,'Prix vente'!$R:$R),"")</f>
        <v/>
      </c>
      <c r="AA159" s="118"/>
      <c r="AB159" s="118" t="str">
        <f aca="false">_xlfn.xlookup(AA159,'Prix vente'!$A:$A,'Prix vente'!$H:$H)&amp;"/"&amp;_xlfn.xlookup(AA159,'Prix vente'!A:A,'Prix vente'!P:P)&amp;"/"&amp;_xlfn.xlookup(AA159,'Prix vente'!A:A,'Prix vente'!Q:Q)/1000</f>
        <v>//0</v>
      </c>
      <c r="AC159" s="118"/>
      <c r="AD159" s="118" t="str">
        <f aca="false">IFERROR(AC159*_xlfn.xlookup(AA159,'Prix vente'!$A:$A,'Prix vente'!$R:$R),"")</f>
        <v/>
      </c>
      <c r="AE159" s="106"/>
      <c r="AF159" s="106" t="str">
        <f aca="false">_xlfn.xlookup(AE159,'Prix vente'!$A:$A,'Prix vente'!$H:$H)&amp;"/"&amp;_xlfn.xlookup(AE159,'Prix vente'!$A:$A,'Prix vente'!$P:$P)&amp;"/"&amp;_xlfn.xlookup(AE159,'Prix vente'!A:A,'Prix vente'!Q:Q)/1000</f>
        <v>//0</v>
      </c>
      <c r="AG159" s="106"/>
      <c r="AH159" s="106" t="str">
        <f aca="false">IFERROR(AG159*_xlfn.xlookup(AE159,'Prix vente'!$A:$A,'Prix vente'!$R:$R),"")</f>
        <v/>
      </c>
      <c r="AI159" s="118"/>
      <c r="AJ159" s="118" t="str">
        <f aca="false">_xlfn.xlookup(AI159,'Prix vente'!$A:$A,'Prix vente'!$H:$H)&amp;"/"&amp;_xlfn.xlookup(AI159,'Prix vente'!$A:$A,'Prix vente'!$P:$P)&amp;"/"&amp;_xlfn.xlookup(AI159,'Prix vente'!A:A,'Prix vente'!Q:Q)/1000</f>
        <v>//0</v>
      </c>
      <c r="AK159" s="118"/>
      <c r="AL159" s="118" t="str">
        <f aca="false">IFERROR(AK159*_xlfn.xlookup(AI159,'Prix vente'!$A:$A,'Prix vente'!$R:$R),"")</f>
        <v/>
      </c>
      <c r="AM159" s="106"/>
      <c r="AN159" s="106" t="str">
        <f aca="false">_xlfn.xlookup(AM159,'Prix vente'!$A:$A,'Prix vente'!$H:$H)&amp;"/"&amp;_xlfn.xlookup(AM159,'Prix vente'!$A:$A,'Prix vente'!$P:$P)&amp;"/"&amp;_xlfn.xlookup(AM159,'Prix vente'!A:A,'Prix vente'!Q:Q)/1000</f>
        <v>//0</v>
      </c>
      <c r="AO159" s="106"/>
      <c r="AP159" s="106" t="str">
        <f aca="false">IFERROR(AO159*_xlfn.xlookup(AM159,'Prix vente'!$A:$A,'Prix vente'!$R:$R),"")</f>
        <v/>
      </c>
      <c r="AQ159" s="118"/>
      <c r="AR159" s="118" t="str">
        <f aca="false">_xlfn.xlookup(AQ159,'Prix vente'!$A:$A,'Prix vente'!$H:$H)&amp;"/"&amp;_xlfn.xlookup(AQ159,'Prix vente'!$A:$A,'Prix vente'!$P:$P)&amp;"/"&amp;_xlfn.xlookup(AQ159,'Prix vente'!A:A,'Prix vente'!Q:Q)/1000</f>
        <v>//0</v>
      </c>
      <c r="AS159" s="118"/>
      <c r="AT159" s="118" t="str">
        <f aca="false">IFERROR(AS159*_xlfn.xlookup(AQ159,'Prix vente'!$A:$A,'Prix vente'!$R:$R),"")</f>
        <v/>
      </c>
      <c r="AU159" s="106"/>
      <c r="AV159" s="106"/>
      <c r="AW159" s="106"/>
      <c r="AX159" s="106"/>
      <c r="AY159" s="118"/>
      <c r="AZ159" s="118"/>
      <c r="BA159" s="118"/>
      <c r="BB159" s="118"/>
    </row>
    <row r="160" customFormat="false" ht="14.25" hidden="false" customHeight="false" outlineLevel="0" collapsed="false">
      <c r="A160" s="107" t="n">
        <v>308</v>
      </c>
      <c r="B160" s="107"/>
      <c r="C160" s="11" t="s">
        <v>178</v>
      </c>
      <c r="D160" s="11" t="s">
        <v>178</v>
      </c>
      <c r="E160" s="114" t="n">
        <v>45677</v>
      </c>
      <c r="F160" s="115" t="n">
        <v>14344</v>
      </c>
      <c r="G160" s="115" t="s">
        <v>791</v>
      </c>
      <c r="H160" s="115"/>
      <c r="I160" s="100" t="n">
        <f aca="false">_xlfn.xlookup(C160,Clients!B:B,Clients!W:W,FALSE())</f>
        <v>0</v>
      </c>
      <c r="J160" s="116" t="str">
        <f aca="false">_xlfn.xlookup(C160,Clients!$B$1:$B$1001,Clients!$M$1:$M$1001,FALSE())</f>
        <v>Net 30 jours</v>
      </c>
      <c r="K160" s="100" t="str">
        <f aca="false">_xlfn.xlookup(C160,Clients!B:B,Clients!R:R,FALSE())</f>
        <v>Delivery Included</v>
      </c>
      <c r="L160" s="117" t="n">
        <v>45684</v>
      </c>
      <c r="M160" s="98" t="str">
        <f aca="false">_xlfn.xlookup(C160,Clients!B:B,Clients!X:X,FALSE())</f>
        <v>CAD</v>
      </c>
      <c r="N160" s="98" t="str">
        <f aca="false">_xlfn.xlookup(C160,Clients!B:B,Clients!Y:Y,FALSE())</f>
        <v>CAD</v>
      </c>
      <c r="O160" s="106" t="n">
        <v>40240</v>
      </c>
      <c r="P160" s="106" t="str">
        <f aca="false">_xlfn.xlookup(O160,'Prix vente'!A:A,'Prix vente'!H:H)&amp;"/"&amp;_xlfn.xlookup(O160,'Prix vente'!A:A,'Prix vente'!P:P)&amp;"/"&amp;_xlfn.xlookup(O160,'Prix vente'!A:A,'Prix vente'!Q:Q)/1000</f>
        <v>S21/8/10</v>
      </c>
      <c r="Q160" s="106" t="n">
        <v>4</v>
      </c>
      <c r="R160" s="106" t="n">
        <f aca="false">Q160*_xlfn.xlookup(O160,'Prix vente'!A:A,'Prix vente'!R:R)</f>
        <v>3840</v>
      </c>
      <c r="S160" s="118" t="n">
        <v>40241</v>
      </c>
      <c r="T160" s="118" t="str">
        <f aca="false">_xlfn.xlookup(S160,'Prix vente'!$A:$A,'Prix vente'!$H:$H)&amp;"/"&amp;_xlfn.xlookup(S160,'Prix vente'!A:A,'Prix vente'!P:P)&amp;"/"&amp;_xlfn.xlookup(S160,'Prix vente'!A:A,'Prix vente'!Q:Q)/1000</f>
        <v>S21/11/10</v>
      </c>
      <c r="U160" s="118" t="n">
        <v>8</v>
      </c>
      <c r="V160" s="118" t="n">
        <f aca="false">IFERROR(U160*_xlfn.xlookup(S160,'Prix vente'!$A:$A,'Prix vente'!$R:$R),"")</f>
        <v>10560</v>
      </c>
      <c r="W160" s="106"/>
      <c r="X160" s="106" t="str">
        <f aca="false">_xlfn.xlookup(W160,'Prix vente'!$A:$A,'Prix vente'!$H:$H)&amp;"/"&amp;_xlfn.xlookup(W160,'Prix vente'!A:A,'Prix vente'!P:P)&amp;"/"&amp;_xlfn.xlookup(W160,'Prix vente'!A:A,'Prix vente'!Q:Q)/1000</f>
        <v>//0</v>
      </c>
      <c r="Y160" s="106"/>
      <c r="Z160" s="106" t="str">
        <f aca="false">IFERROR(Y160*_xlfn.xlookup(W160,'Prix vente'!$A:$A,'Prix vente'!$R:$R),"")</f>
        <v/>
      </c>
      <c r="AA160" s="118"/>
      <c r="AB160" s="118" t="str">
        <f aca="false">_xlfn.xlookup(AA160,'Prix vente'!$A:$A,'Prix vente'!$H:$H)&amp;"/"&amp;_xlfn.xlookup(AA160,'Prix vente'!A:A,'Prix vente'!P:P)&amp;"/"&amp;_xlfn.xlookup(AA160,'Prix vente'!A:A,'Prix vente'!Q:Q)/1000</f>
        <v>//0</v>
      </c>
      <c r="AC160" s="118"/>
      <c r="AD160" s="118" t="n">
        <f aca="false">IFERROR(AC160*_xlfn.xlookup(AA160,'Prix vente'!$A:$A,'Prix vente'!$R:$R),"")</f>
        <v>0</v>
      </c>
      <c r="AE160" s="106"/>
      <c r="AF160" s="106" t="str">
        <f aca="false">_xlfn.xlookup(AE160,'Prix vente'!$A:$A,'Prix vente'!$H:$H)&amp;"/"&amp;_xlfn.xlookup(AE160,'Prix vente'!$A:$A,'Prix vente'!$P:$P)&amp;"/"&amp;_xlfn.xlookup(AE160,'Prix vente'!A:A,'Prix vente'!Q:Q)/1000</f>
        <v>//0</v>
      </c>
      <c r="AG160" s="106"/>
      <c r="AH160" s="106" t="str">
        <f aca="false">IFERROR(AG160*_xlfn.xlookup(AE160,'Prix vente'!$A:$A,'Prix vente'!$R:$R),"")</f>
        <v/>
      </c>
      <c r="AI160" s="118"/>
      <c r="AJ160" s="118" t="str">
        <f aca="false">_xlfn.xlookup(AI160,'Prix vente'!$A:$A,'Prix vente'!$H:$H)&amp;"/"&amp;_xlfn.xlookup(AI160,'Prix vente'!$A:$A,'Prix vente'!$P:$P)&amp;"/"&amp;_xlfn.xlookup(AI160,'Prix vente'!A:A,'Prix vente'!Q:Q)/1000</f>
        <v>//0</v>
      </c>
      <c r="AK160" s="118"/>
      <c r="AL160" s="118" t="str">
        <f aca="false">IFERROR(AK160*_xlfn.xlookup(AI160,'Prix vente'!$A:$A,'Prix vente'!$R:$R),"")</f>
        <v/>
      </c>
      <c r="AM160" s="106"/>
      <c r="AN160" s="106" t="str">
        <f aca="false">_xlfn.xlookup(AM160,'Prix vente'!$A:$A,'Prix vente'!$H:$H)&amp;"/"&amp;_xlfn.xlookup(AM160,'Prix vente'!$A:$A,'Prix vente'!$P:$P)&amp;"/"&amp;_xlfn.xlookup(AM160,'Prix vente'!A:A,'Prix vente'!Q:Q)/1000</f>
        <v>//0</v>
      </c>
      <c r="AO160" s="106"/>
      <c r="AP160" s="106" t="str">
        <f aca="false">IFERROR(AO160*_xlfn.xlookup(AM160,'Prix vente'!$A:$A,'Prix vente'!$R:$R),"")</f>
        <v/>
      </c>
      <c r="AQ160" s="118"/>
      <c r="AR160" s="118" t="str">
        <f aca="false">_xlfn.xlookup(AQ160,'Prix vente'!$A:$A,'Prix vente'!$H:$H)&amp;"/"&amp;_xlfn.xlookup(AQ160,'Prix vente'!$A:$A,'Prix vente'!$P:$P)&amp;"/"&amp;_xlfn.xlookup(AQ160,'Prix vente'!A:A,'Prix vente'!Q:Q)/1000</f>
        <v>//0</v>
      </c>
      <c r="AS160" s="118"/>
      <c r="AT160" s="118" t="str">
        <f aca="false">IFERROR(AS160*_xlfn.xlookup(AQ160,'Prix vente'!$A:$A,'Prix vente'!$R:$R),"")</f>
        <v/>
      </c>
      <c r="AU160" s="106"/>
      <c r="AV160" s="106"/>
      <c r="AW160" s="106"/>
      <c r="AX160" s="106"/>
      <c r="AY160" s="118"/>
      <c r="AZ160" s="118"/>
      <c r="BA160" s="118"/>
      <c r="BB160" s="118"/>
    </row>
    <row r="161" customFormat="false" ht="14.25" hidden="false" customHeight="false" outlineLevel="0" collapsed="false">
      <c r="A161" s="107" t="n">
        <v>309</v>
      </c>
      <c r="B161" s="107"/>
      <c r="C161" s="11" t="s">
        <v>110</v>
      </c>
      <c r="D161" s="11" t="s">
        <v>110</v>
      </c>
      <c r="E161" s="114" t="n">
        <v>45677</v>
      </c>
      <c r="F161" s="115" t="n">
        <v>32556</v>
      </c>
      <c r="G161" s="115" t="s">
        <v>769</v>
      </c>
      <c r="H161" s="115"/>
      <c r="I161" s="100" t="str">
        <f aca="false">_xlfn.xlookup(C161,Clients!B:B,Clients!W:W,FALSE())</f>
        <v>Pickup par Produlith camion</v>
      </c>
      <c r="J161" s="116" t="str">
        <f aca="false">_xlfn.xlookup(C161,Clients!$B$1:$B$1001,Clients!$M$1:$M$1001,FALSE())</f>
        <v>Net 30 jours</v>
      </c>
      <c r="K161" s="100" t="str">
        <f aca="false">_xlfn.xlookup(C161,Clients!B:B,Clients!R:R,FALSE())</f>
        <v>EXW Boucherville</v>
      </c>
      <c r="L161" s="117" t="n">
        <v>45684</v>
      </c>
      <c r="M161" s="98" t="str">
        <f aca="false">_xlfn.xlookup(C161,Clients!B:B,Clients!X:X,FALSE())</f>
        <v>USD</v>
      </c>
      <c r="N161" s="98" t="str">
        <f aca="false">_xlfn.xlookup(C161,Clients!B:B,Clients!Y:Y,FALSE())</f>
        <v>USD</v>
      </c>
      <c r="O161" s="106" t="n">
        <v>40089</v>
      </c>
      <c r="P161" s="106" t="str">
        <f aca="false">_xlfn.xlookup(O161,'Prix vente'!A:A,'Prix vente'!H:H)&amp;"/"&amp;_xlfn.xlookup(O161,'Prix vente'!A:A,'Prix vente'!P:P)&amp;"/"&amp;_xlfn.xlookup(O161,'Prix vente'!A:A,'Prix vente'!Q:Q)/1000</f>
        <v>B25/15/5</v>
      </c>
      <c r="Q161" s="106" t="n">
        <v>4</v>
      </c>
      <c r="R161" s="106" t="n">
        <f aca="false">Q161*_xlfn.xlookup(O161,'Prix vente'!A:A,'Prix vente'!R:R)</f>
        <v>3600</v>
      </c>
      <c r="S161" s="118"/>
      <c r="T161" s="118" t="str">
        <f aca="false">_xlfn.xlookup(S161,'Prix vente'!$A:$A,'Prix vente'!$H:$H)&amp;"/"&amp;_xlfn.xlookup(S161,'Prix vente'!A:A,'Prix vente'!P:P)&amp;"/"&amp;_xlfn.xlookup(S161,'Prix vente'!A:A,'Prix vente'!Q:Q)/1000</f>
        <v>//0</v>
      </c>
      <c r="U161" s="118"/>
      <c r="V161" s="118" t="str">
        <f aca="false">IFERROR(U161*_xlfn.xlookup(S161,'Prix vente'!$A:$A,'Prix vente'!$R:$R),"")</f>
        <v/>
      </c>
      <c r="W161" s="106"/>
      <c r="X161" s="106" t="str">
        <f aca="false">_xlfn.xlookup(W161,'Prix vente'!$A:$A,'Prix vente'!$H:$H)&amp;"/"&amp;_xlfn.xlookup(W161,'Prix vente'!A:A,'Prix vente'!P:P)&amp;"/"&amp;_xlfn.xlookup(W161,'Prix vente'!A:A,'Prix vente'!Q:Q)/1000</f>
        <v>//0</v>
      </c>
      <c r="Y161" s="106"/>
      <c r="Z161" s="106" t="str">
        <f aca="false">IFERROR(Y161*_xlfn.xlookup(W161,'Prix vente'!$A:$A,'Prix vente'!$R:$R),"")</f>
        <v/>
      </c>
      <c r="AA161" s="118"/>
      <c r="AB161" s="118" t="str">
        <f aca="false">_xlfn.xlookup(AA161,'Prix vente'!$A:$A,'Prix vente'!$H:$H)&amp;"/"&amp;_xlfn.xlookup(AA161,'Prix vente'!A:A,'Prix vente'!P:P)&amp;"/"&amp;_xlfn.xlookup(AA161,'Prix vente'!A:A,'Prix vente'!Q:Q)/1000</f>
        <v>//0</v>
      </c>
      <c r="AC161" s="118"/>
      <c r="AD161" s="118" t="str">
        <f aca="false">IFERROR(AC161*_xlfn.xlookup(AA161,'Prix vente'!$A:$A,'Prix vente'!$R:$R),"")</f>
        <v/>
      </c>
      <c r="AE161" s="106"/>
      <c r="AF161" s="106" t="str">
        <f aca="false">_xlfn.xlookup(AE161,'Prix vente'!$A:$A,'Prix vente'!$H:$H)&amp;"/"&amp;_xlfn.xlookup(AE161,'Prix vente'!$A:$A,'Prix vente'!$P:$P)&amp;"/"&amp;_xlfn.xlookup(AE161,'Prix vente'!A:A,'Prix vente'!Q:Q)/1000</f>
        <v>//0</v>
      </c>
      <c r="AG161" s="106"/>
      <c r="AH161" s="106" t="str">
        <f aca="false">IFERROR(AG161*_xlfn.xlookup(AE161,'Prix vente'!$A:$A,'Prix vente'!$R:$R),"")</f>
        <v/>
      </c>
      <c r="AI161" s="118"/>
      <c r="AJ161" s="118" t="str">
        <f aca="false">_xlfn.xlookup(AI161,'Prix vente'!$A:$A,'Prix vente'!$H:$H)&amp;"/"&amp;_xlfn.xlookup(AI161,'Prix vente'!$A:$A,'Prix vente'!$P:$P)&amp;"/"&amp;_xlfn.xlookup(AI161,'Prix vente'!A:A,'Prix vente'!Q:Q)/1000</f>
        <v>//0</v>
      </c>
      <c r="AK161" s="118"/>
      <c r="AL161" s="118" t="str">
        <f aca="false">IFERROR(AK161*_xlfn.xlookup(AI161,'Prix vente'!$A:$A,'Prix vente'!$R:$R),"")</f>
        <v/>
      </c>
      <c r="AM161" s="106"/>
      <c r="AN161" s="106" t="str">
        <f aca="false">_xlfn.xlookup(AM161,'Prix vente'!$A:$A,'Prix vente'!$H:$H)&amp;"/"&amp;_xlfn.xlookup(AM161,'Prix vente'!$A:$A,'Prix vente'!$P:$P)&amp;"/"&amp;_xlfn.xlookup(AM161,'Prix vente'!A:A,'Prix vente'!Q:Q)/1000</f>
        <v>//0</v>
      </c>
      <c r="AO161" s="106"/>
      <c r="AP161" s="106" t="str">
        <f aca="false">IFERROR(AO161*_xlfn.xlookup(AM161,'Prix vente'!$A:$A,'Prix vente'!$R:$R),"")</f>
        <v/>
      </c>
      <c r="AQ161" s="118"/>
      <c r="AR161" s="118" t="str">
        <f aca="false">_xlfn.xlookup(AQ161,'Prix vente'!$A:$A,'Prix vente'!$H:$H)&amp;"/"&amp;_xlfn.xlookup(AQ161,'Prix vente'!$A:$A,'Prix vente'!$P:$P)&amp;"/"&amp;_xlfn.xlookup(AQ161,'Prix vente'!A:A,'Prix vente'!Q:Q)/1000</f>
        <v>//0</v>
      </c>
      <c r="AS161" s="118"/>
      <c r="AT161" s="118" t="str">
        <f aca="false">IFERROR(AS161*_xlfn.xlookup(AQ161,'Prix vente'!$A:$A,'Prix vente'!$R:$R),"")</f>
        <v/>
      </c>
      <c r="AU161" s="106"/>
      <c r="AV161" s="106"/>
      <c r="AW161" s="106"/>
      <c r="AX161" s="106"/>
      <c r="AY161" s="118"/>
      <c r="AZ161" s="118"/>
      <c r="BA161" s="118"/>
      <c r="BB161" s="118"/>
    </row>
    <row r="162" customFormat="false" ht="14.25" hidden="false" customHeight="false" outlineLevel="0" collapsed="false">
      <c r="A162" s="107" t="n">
        <v>310</v>
      </c>
      <c r="B162" s="107"/>
      <c r="C162" s="11" t="s">
        <v>141</v>
      </c>
      <c r="D162" s="11" t="s">
        <v>141</v>
      </c>
      <c r="E162" s="114" t="n">
        <v>45678</v>
      </c>
      <c r="F162" s="115" t="n">
        <v>10025</v>
      </c>
      <c r="G162" s="115" t="s">
        <v>830</v>
      </c>
      <c r="H162" s="115"/>
      <c r="I162" s="100" t="n">
        <f aca="false">_xlfn.xlookup(C162,Clients!B:B,Clients!W:W,FALSE())</f>
        <v>0</v>
      </c>
      <c r="J162" s="116" t="str">
        <f aca="false">_xlfn.xlookup(C162,Clients!$B$1:$B$1001,Clients!$M$1:$M$1001,FALSE())</f>
        <v>Net 30 jours</v>
      </c>
      <c r="K162" s="100" t="str">
        <f aca="false">_xlfn.xlookup(C162,Clients!B:B,Clients!R:R,FALSE())</f>
        <v>Livraison incluse</v>
      </c>
      <c r="L162" s="117" t="n">
        <v>45685</v>
      </c>
      <c r="M162" s="98" t="str">
        <f aca="false">_xlfn.xlookup(C162,Clients!B:B,Clients!X:X,FALSE())</f>
        <v>CAD</v>
      </c>
      <c r="N162" s="98" t="str">
        <f aca="false">_xlfn.xlookup(C162,Clients!B:B,Clients!Y:Y,FALSE())</f>
        <v>CAD</v>
      </c>
      <c r="O162" s="106" t="n">
        <v>40096</v>
      </c>
      <c r="P162" s="106" t="str">
        <f aca="false">_xlfn.xlookup(O162,'Prix vente'!A:A,'Prix vente'!H:H)&amp;"/"&amp;_xlfn.xlookup(O162,'Prix vente'!A:A,'Prix vente'!P:P)&amp;"/"&amp;_xlfn.xlookup(O162,'Prix vente'!A:A,'Prix vente'!Q:Q)/1000</f>
        <v>B25/13/5</v>
      </c>
      <c r="Q162" s="106" t="n">
        <v>16</v>
      </c>
      <c r="R162" s="106" t="n">
        <f aca="false">Q162*_xlfn.xlookup(O162,'Prix vente'!A:A,'Prix vente'!R:R)</f>
        <v>12480</v>
      </c>
      <c r="S162" s="118" t="n">
        <v>40097</v>
      </c>
      <c r="T162" s="118" t="str">
        <f aca="false">_xlfn.xlookup(S162,'Prix vente'!$A:$A,'Prix vente'!$H:$H)&amp;"/"&amp;_xlfn.xlookup(S162,'Prix vente'!A:A,'Prix vente'!P:P)&amp;"/"&amp;_xlfn.xlookup(S162,'Prix vente'!A:A,'Prix vente'!Q:Q)/1000</f>
        <v>B25/8/5</v>
      </c>
      <c r="U162" s="118" t="n">
        <v>4</v>
      </c>
      <c r="V162" s="118" t="n">
        <f aca="false">IFERROR(U162*_xlfn.xlookup(S162,'Prix vente'!$A:$A,'Prix vente'!$R:$R),"")</f>
        <v>1920</v>
      </c>
      <c r="W162" s="106"/>
      <c r="X162" s="106" t="str">
        <f aca="false">_xlfn.xlookup(W162,'Prix vente'!$A:$A,'Prix vente'!$H:$H)&amp;"/"&amp;_xlfn.xlookup(W162,'Prix vente'!A:A,'Prix vente'!P:P)&amp;"/"&amp;_xlfn.xlookup(W162,'Prix vente'!A:A,'Prix vente'!Q:Q)/1000</f>
        <v>//0</v>
      </c>
      <c r="Y162" s="106"/>
      <c r="Z162" s="106" t="str">
        <f aca="false">IFERROR(Y162*_xlfn.xlookup(W162,'Prix vente'!$A:$A,'Prix vente'!$R:$R),"")</f>
        <v/>
      </c>
      <c r="AA162" s="118"/>
      <c r="AB162" s="118" t="str">
        <f aca="false">_xlfn.xlookup(AA162,'Prix vente'!$A:$A,'Prix vente'!$H:$H)&amp;"/"&amp;_xlfn.xlookup(AA162,'Prix vente'!A:A,'Prix vente'!P:P)&amp;"/"&amp;_xlfn.xlookup(AA162,'Prix vente'!A:A,'Prix vente'!Q:Q)/1000</f>
        <v>//0</v>
      </c>
      <c r="AC162" s="118"/>
      <c r="AD162" s="118" t="n">
        <f aca="false">IFERROR(AC162*_xlfn.xlookup(AA162,'Prix vente'!$A:$A,'Prix vente'!$R:$R),"")</f>
        <v>0</v>
      </c>
      <c r="AE162" s="106"/>
      <c r="AF162" s="106" t="str">
        <f aca="false">_xlfn.xlookup(AE162,'Prix vente'!$A:$A,'Prix vente'!$H:$H)&amp;"/"&amp;_xlfn.xlookup(AE162,'Prix vente'!$A:$A,'Prix vente'!$P:$P)&amp;"/"&amp;_xlfn.xlookup(AE162,'Prix vente'!A:A,'Prix vente'!Q:Q)/1000</f>
        <v>//0</v>
      </c>
      <c r="AG162" s="106"/>
      <c r="AH162" s="106" t="n">
        <f aca="false">IFERROR(AG162*_xlfn.xlookup(AE162,'Prix vente'!$A:$A,'Prix vente'!$R:$R),"")</f>
        <v>0</v>
      </c>
      <c r="AI162" s="118"/>
      <c r="AJ162" s="118" t="str">
        <f aca="false">_xlfn.xlookup(AI162,'Prix vente'!$A:$A,'Prix vente'!$H:$H)&amp;"/"&amp;_xlfn.xlookup(AI162,'Prix vente'!$A:$A,'Prix vente'!$P:$P)&amp;"/"&amp;_xlfn.xlookup(AI162,'Prix vente'!A:A,'Prix vente'!Q:Q)/1000</f>
        <v>//0</v>
      </c>
      <c r="AK162" s="118"/>
      <c r="AL162" s="118" t="n">
        <f aca="false">IFERROR(AK162*_xlfn.xlookup(AI162,'Prix vente'!$A:$A,'Prix vente'!$R:$R),"")</f>
        <v>0</v>
      </c>
      <c r="AM162" s="106"/>
      <c r="AN162" s="106" t="str">
        <f aca="false">_xlfn.xlookup(AM162,'Prix vente'!$A:$A,'Prix vente'!$H:$H)&amp;"/"&amp;_xlfn.xlookup(AM162,'Prix vente'!$A:$A,'Prix vente'!$P:$P)&amp;"/"&amp;_xlfn.xlookup(AM162,'Prix vente'!A:A,'Prix vente'!Q:Q)/1000</f>
        <v>//0</v>
      </c>
      <c r="AO162" s="106"/>
      <c r="AP162" s="106" t="n">
        <f aca="false">IFERROR(AO162*_xlfn.xlookup(AM162,'Prix vente'!$A:$A,'Prix vente'!$R:$R),"")</f>
        <v>0</v>
      </c>
      <c r="AQ162" s="118"/>
      <c r="AR162" s="118" t="str">
        <f aca="false">_xlfn.xlookup(AQ162,'Prix vente'!$A:$A,'Prix vente'!$H:$H)&amp;"/"&amp;_xlfn.xlookup(AQ162,'Prix vente'!$A:$A,'Prix vente'!$P:$P)&amp;"/"&amp;_xlfn.xlookup(AQ162,'Prix vente'!A:A,'Prix vente'!Q:Q)/1000</f>
        <v>//0</v>
      </c>
      <c r="AS162" s="118"/>
      <c r="AT162" s="118" t="n">
        <f aca="false">IFERROR(AS162*_xlfn.xlookup(AQ162,'Prix vente'!$A:$A,'Prix vente'!$R:$R),"")</f>
        <v>0</v>
      </c>
      <c r="AU162" s="106"/>
      <c r="AV162" s="106"/>
      <c r="AW162" s="106"/>
      <c r="AX162" s="106"/>
      <c r="AY162" s="118"/>
      <c r="AZ162" s="118"/>
      <c r="BA162" s="118"/>
      <c r="BB162" s="118"/>
    </row>
    <row r="163" customFormat="false" ht="14.25" hidden="false" customHeight="false" outlineLevel="0" collapsed="false">
      <c r="A163" s="107" t="n">
        <v>311</v>
      </c>
      <c r="B163" s="107"/>
      <c r="C163" s="11" t="s">
        <v>124</v>
      </c>
      <c r="D163" s="11" t="s">
        <v>124</v>
      </c>
      <c r="E163" s="114" t="n">
        <v>45678</v>
      </c>
      <c r="F163" s="115" t="n">
        <v>107001</v>
      </c>
      <c r="G163" s="115" t="s">
        <v>788</v>
      </c>
      <c r="H163" s="115"/>
      <c r="I163" s="100" t="n">
        <f aca="false">_xlfn.xlookup(C163,Clients!B:B,Clients!W:W,FALSE())</f>
        <v>0</v>
      </c>
      <c r="J163" s="116" t="str">
        <f aca="false">_xlfn.xlookup(C163,Clients!$B$1:$B$1001,Clients!$M$1:$M$1001,FALSE())</f>
        <v>Net 30 jours</v>
      </c>
      <c r="K163" s="100" t="str">
        <f aca="false">_xlfn.xlookup(C163,Clients!B:B,Clients!R:R,FALSE())</f>
        <v>EXW Boucherville</v>
      </c>
      <c r="L163" s="117" t="n">
        <v>45685</v>
      </c>
      <c r="M163" s="98" t="str">
        <f aca="false">_xlfn.xlookup(C163,Clients!B:B,Clients!X:X,FALSE())</f>
        <v>USD</v>
      </c>
      <c r="N163" s="98" t="str">
        <f aca="false">_xlfn.xlookup(C163,Clients!B:B,Clients!Y:Y,FALSE())</f>
        <v>USD</v>
      </c>
      <c r="O163" s="106" t="n">
        <v>40242</v>
      </c>
      <c r="P163" s="106" t="str">
        <f aca="false">_xlfn.xlookup(O163,'Prix vente'!A:A,'Prix vente'!H:H)&amp;"/"&amp;_xlfn.xlookup(O163,'Prix vente'!A:A,'Prix vente'!P:P)&amp;"/"&amp;_xlfn.xlookup(O163,'Prix vente'!A:A,'Prix vente'!Q:Q)/1000</f>
        <v>S21/13/10</v>
      </c>
      <c r="Q163" s="106" t="n">
        <v>8</v>
      </c>
      <c r="R163" s="106" t="n">
        <f aca="false">Q163*_xlfn.xlookup(O163,'Prix vente'!A:A,'Prix vente'!R:R)</f>
        <v>12480</v>
      </c>
      <c r="S163" s="118" t="n">
        <v>40243</v>
      </c>
      <c r="T163" s="118" t="str">
        <f aca="false">_xlfn.xlookup(S163,'Prix vente'!$A:$A,'Prix vente'!$H:$H)&amp;"/"&amp;_xlfn.xlookup(S163,'Prix vente'!A:A,'Prix vente'!P:P)&amp;"/"&amp;_xlfn.xlookup(S163,'Prix vente'!A:A,'Prix vente'!Q:Q)/1000</f>
        <v>S21/8/10</v>
      </c>
      <c r="U163" s="118" t="n">
        <v>2</v>
      </c>
      <c r="V163" s="118" t="n">
        <f aca="false">IFERROR(U163*_xlfn.xlookup(S163,'Prix vente'!$A:$A,'Prix vente'!$R:$R),"")</f>
        <v>1920</v>
      </c>
      <c r="W163" s="106"/>
      <c r="X163" s="106" t="str">
        <f aca="false">_xlfn.xlookup(W163,'Prix vente'!$A:$A,'Prix vente'!$H:$H)&amp;"/"&amp;_xlfn.xlookup(W163,'Prix vente'!A:A,'Prix vente'!P:P)&amp;"/"&amp;_xlfn.xlookup(W163,'Prix vente'!A:A,'Prix vente'!Q:Q)/1000</f>
        <v>//0</v>
      </c>
      <c r="Y163" s="106"/>
      <c r="Z163" s="106" t="n">
        <f aca="false">IFERROR(Y163*_xlfn.xlookup(W163,'Prix vente'!$A:$A,'Prix vente'!$R:$R),"")</f>
        <v>0</v>
      </c>
      <c r="AA163" s="118"/>
      <c r="AB163" s="118" t="str">
        <f aca="false">_xlfn.xlookup(AA163,'Prix vente'!$A:$A,'Prix vente'!$H:$H)&amp;"/"&amp;_xlfn.xlookup(AA163,'Prix vente'!A:A,'Prix vente'!P:P)&amp;"/"&amp;_xlfn.xlookup(AA163,'Prix vente'!A:A,'Prix vente'!Q:Q)/1000</f>
        <v>//0</v>
      </c>
      <c r="AC163" s="118"/>
      <c r="AD163" s="118" t="n">
        <f aca="false">IFERROR(AC163*_xlfn.xlookup(AA163,'Prix vente'!$A:$A,'Prix vente'!$R:$R),"")</f>
        <v>0</v>
      </c>
      <c r="AE163" s="106"/>
      <c r="AF163" s="106" t="str">
        <f aca="false">_xlfn.xlookup(AE163,'Prix vente'!$A:$A,'Prix vente'!$H:$H)&amp;"/"&amp;_xlfn.xlookup(AE163,'Prix vente'!$A:$A,'Prix vente'!$P:$P)&amp;"/"&amp;_xlfn.xlookup(AE163,'Prix vente'!A:A,'Prix vente'!Q:Q)/1000</f>
        <v>//0</v>
      </c>
      <c r="AG163" s="106"/>
      <c r="AH163" s="106" t="n">
        <f aca="false">IFERROR(AG163*_xlfn.xlookup(AE163,'Prix vente'!$A:$A,'Prix vente'!$R:$R),"")</f>
        <v>0</v>
      </c>
      <c r="AI163" s="118"/>
      <c r="AJ163" s="118" t="str">
        <f aca="false">_xlfn.xlookup(AI163,'Prix vente'!$A:$A,'Prix vente'!$H:$H)&amp;"/"&amp;_xlfn.xlookup(AI163,'Prix vente'!$A:$A,'Prix vente'!$P:$P)&amp;"/"&amp;_xlfn.xlookup(AI163,'Prix vente'!A:A,'Prix vente'!Q:Q)/1000</f>
        <v>//0</v>
      </c>
      <c r="AK163" s="118"/>
      <c r="AL163" s="118" t="n">
        <f aca="false">IFERROR(AK163*_xlfn.xlookup(AI163,'Prix vente'!$A:$A,'Prix vente'!$R:$R),"")</f>
        <v>0</v>
      </c>
      <c r="AM163" s="106"/>
      <c r="AN163" s="106" t="str">
        <f aca="false">_xlfn.xlookup(AM163,'Prix vente'!$A:$A,'Prix vente'!$H:$H)&amp;"/"&amp;_xlfn.xlookup(AM163,'Prix vente'!$A:$A,'Prix vente'!$P:$P)&amp;"/"&amp;_xlfn.xlookup(AM163,'Prix vente'!A:A,'Prix vente'!Q:Q)/1000</f>
        <v>//0</v>
      </c>
      <c r="AO163" s="106"/>
      <c r="AP163" s="106" t="n">
        <f aca="false">IFERROR(AO163*_xlfn.xlookup(AM163,'Prix vente'!$A:$A,'Prix vente'!$R:$R),"")</f>
        <v>0</v>
      </c>
      <c r="AQ163" s="118"/>
      <c r="AR163" s="118" t="str">
        <f aca="false">_xlfn.xlookup(AQ163,'Prix vente'!$A:$A,'Prix vente'!$H:$H)&amp;"/"&amp;_xlfn.xlookup(AQ163,'Prix vente'!$A:$A,'Prix vente'!$P:$P)&amp;"/"&amp;_xlfn.xlookup(AQ163,'Prix vente'!A:A,'Prix vente'!Q:Q)/1000</f>
        <v>//0</v>
      </c>
      <c r="AS163" s="118"/>
      <c r="AT163" s="118" t="n">
        <f aca="false">IFERROR(AS163*_xlfn.xlookup(AQ163,'Prix vente'!$A:$A,'Prix vente'!$R:$R),"")</f>
        <v>0</v>
      </c>
      <c r="AU163" s="106"/>
      <c r="AV163" s="106"/>
      <c r="AW163" s="106"/>
      <c r="AX163" s="106"/>
      <c r="AY163" s="118"/>
      <c r="AZ163" s="118"/>
      <c r="BA163" s="118"/>
      <c r="BB163" s="118"/>
    </row>
    <row r="164" customFormat="false" ht="14.25" hidden="false" customHeight="false" outlineLevel="0" collapsed="false">
      <c r="A164" s="107" t="n">
        <v>312</v>
      </c>
      <c r="B164" s="107" t="s">
        <v>33</v>
      </c>
      <c r="C164" s="11" t="s">
        <v>296</v>
      </c>
      <c r="D164" s="11" t="s">
        <v>296</v>
      </c>
      <c r="E164" s="114" t="n">
        <v>45679</v>
      </c>
      <c r="F164" s="115" t="s">
        <v>837</v>
      </c>
      <c r="G164" s="115" t="s">
        <v>838</v>
      </c>
      <c r="H164" s="115"/>
      <c r="I164" s="100" t="n">
        <f aca="false">_xlfn.xlookup(C164,Clients!B:B,Clients!W:W,FALSE())</f>
        <v>0</v>
      </c>
      <c r="J164" s="116" t="str">
        <f aca="false">_xlfn.xlookup(C164,Clients!$B$1:$B$1001,Clients!$M$1:$M$1001,FALSE())</f>
        <v>Net 30 jours</v>
      </c>
      <c r="K164" s="100" t="str">
        <f aca="false">_xlfn.xlookup(C164,Clients!B:B,Clients!R:R,FALSE())</f>
        <v>Livraison incluse</v>
      </c>
      <c r="L164" s="117" t="n">
        <v>45686</v>
      </c>
      <c r="M164" s="98" t="str">
        <f aca="false">_xlfn.xlookup(C164,Clients!B:B,Clients!X:X,FALSE())</f>
        <v>CAD</v>
      </c>
      <c r="N164" s="98" t="str">
        <f aca="false">_xlfn.xlookup(C164,Clients!B:B,Clients!Y:Y,FALSE())</f>
        <v>CAD</v>
      </c>
      <c r="O164" s="106" t="n">
        <v>40244</v>
      </c>
      <c r="P164" s="106" t="str">
        <f aca="false">_xlfn.xlookup(O164,'Prix vente'!A:A,'Prix vente'!H:H)&amp;"/"&amp;_xlfn.xlookup(O164,'Prix vente'!A:A,'Prix vente'!P:P)&amp;"/"&amp;_xlfn.xlookup(O164,'Prix vente'!A:A,'Prix vente'!Q:Q)/1000</f>
        <v>S15/6/5</v>
      </c>
      <c r="Q164" s="106" t="n">
        <v>10</v>
      </c>
      <c r="R164" s="106" t="n">
        <f aca="false">Q164*_xlfn.xlookup(O164,'Prix vente'!A:A,'Prix vente'!R:R)</f>
        <v>3600</v>
      </c>
      <c r="S164" s="118" t="n">
        <v>40245</v>
      </c>
      <c r="T164" s="118" t="str">
        <f aca="false">_xlfn.xlookup(S164,'Prix vente'!$A:$A,'Prix vente'!$H:$H)&amp;"/"&amp;_xlfn.xlookup(S164,'Prix vente'!A:A,'Prix vente'!P:P)&amp;"/"&amp;_xlfn.xlookup(S164,'Prix vente'!A:A,'Prix vente'!Q:Q)/1000</f>
        <v>B25/6.625/2</v>
      </c>
      <c r="U164" s="118" t="n">
        <v>1</v>
      </c>
      <c r="V164" s="118" t="n">
        <f aca="false">IFERROR(U164*_xlfn.xlookup(S164,'Prix vente'!$A:$A,'Prix vente'!$R:$R),"")</f>
        <v>159</v>
      </c>
      <c r="W164" s="106"/>
      <c r="X164" s="106" t="str">
        <f aca="false">_xlfn.xlookup(W164,'Prix vente'!$A:$A,'Prix vente'!$H:$H)&amp;"/"&amp;_xlfn.xlookup(W164,'Prix vente'!A:A,'Prix vente'!P:P)&amp;"/"&amp;_xlfn.xlookup(W164,'Prix vente'!A:A,'Prix vente'!Q:Q)/1000</f>
        <v>//0</v>
      </c>
      <c r="Y164" s="106"/>
      <c r="Z164" s="106" t="n">
        <f aca="false">IFERROR(Y164*_xlfn.xlookup(W164,'Prix vente'!$A:$A,'Prix vente'!$R:$R),"")</f>
        <v>0</v>
      </c>
      <c r="AA164" s="118"/>
      <c r="AB164" s="118" t="str">
        <f aca="false">_xlfn.xlookup(AA164,'Prix vente'!$A:$A,'Prix vente'!$H:$H)&amp;"/"&amp;_xlfn.xlookup(AA164,'Prix vente'!A:A,'Prix vente'!P:P)&amp;"/"&amp;_xlfn.xlookup(AA164,'Prix vente'!A:A,'Prix vente'!Q:Q)/1000</f>
        <v>//0</v>
      </c>
      <c r="AC164" s="118"/>
      <c r="AD164" s="118" t="n">
        <f aca="false">IFERROR(AC164*_xlfn.xlookup(AA164,'Prix vente'!$A:$A,'Prix vente'!$R:$R),"")</f>
        <v>0</v>
      </c>
      <c r="AE164" s="106"/>
      <c r="AF164" s="106" t="str">
        <f aca="false">_xlfn.xlookup(AE164,'Prix vente'!$A:$A,'Prix vente'!$H:$H)&amp;"/"&amp;_xlfn.xlookup(AE164,'Prix vente'!$A:$A,'Prix vente'!$P:$P)&amp;"/"&amp;_xlfn.xlookup(AE164,'Prix vente'!A:A,'Prix vente'!Q:Q)/1000</f>
        <v>//0</v>
      </c>
      <c r="AG164" s="106"/>
      <c r="AH164" s="106" t="n">
        <f aca="false">IFERROR(AG164*_xlfn.xlookup(AE164,'Prix vente'!$A:$A,'Prix vente'!$R:$R),"")</f>
        <v>0</v>
      </c>
      <c r="AI164" s="118"/>
      <c r="AJ164" s="118" t="str">
        <f aca="false">_xlfn.xlookup(AI164,'Prix vente'!$A:$A,'Prix vente'!$H:$H)&amp;"/"&amp;_xlfn.xlookup(AI164,'Prix vente'!$A:$A,'Prix vente'!$P:$P)&amp;"/"&amp;_xlfn.xlookup(AI164,'Prix vente'!A:A,'Prix vente'!Q:Q)/1000</f>
        <v>//0</v>
      </c>
      <c r="AK164" s="118"/>
      <c r="AL164" s="118" t="n">
        <f aca="false">IFERROR(AK164*_xlfn.xlookup(AI164,'Prix vente'!$A:$A,'Prix vente'!$R:$R),"")</f>
        <v>0</v>
      </c>
      <c r="AM164" s="106"/>
      <c r="AN164" s="106" t="str">
        <f aca="false">_xlfn.xlookup(AM164,'Prix vente'!$A:$A,'Prix vente'!$H:$H)&amp;"/"&amp;_xlfn.xlookup(AM164,'Prix vente'!$A:$A,'Prix vente'!$P:$P)&amp;"/"&amp;_xlfn.xlookup(AM164,'Prix vente'!A:A,'Prix vente'!Q:Q)/1000</f>
        <v>//0</v>
      </c>
      <c r="AO164" s="106"/>
      <c r="AP164" s="106" t="n">
        <f aca="false">IFERROR(AO164*_xlfn.xlookup(AM164,'Prix vente'!$A:$A,'Prix vente'!$R:$R),"")</f>
        <v>0</v>
      </c>
      <c r="AQ164" s="118"/>
      <c r="AR164" s="118" t="str">
        <f aca="false">_xlfn.xlookup(AQ164,'Prix vente'!$A:$A,'Prix vente'!$H:$H)&amp;"/"&amp;_xlfn.xlookup(AQ164,'Prix vente'!$A:$A,'Prix vente'!$P:$P)&amp;"/"&amp;_xlfn.xlookup(AQ164,'Prix vente'!A:A,'Prix vente'!Q:Q)/1000</f>
        <v>//0</v>
      </c>
      <c r="AS164" s="118"/>
      <c r="AT164" s="118" t="n">
        <f aca="false">IFERROR(AS164*_xlfn.xlookup(AQ164,'Prix vente'!$A:$A,'Prix vente'!$R:$R),"")</f>
        <v>0</v>
      </c>
      <c r="AU164" s="106"/>
      <c r="AV164" s="106"/>
      <c r="AW164" s="106"/>
      <c r="AX164" s="106"/>
      <c r="AY164" s="118"/>
      <c r="AZ164" s="118"/>
      <c r="BA164" s="118"/>
      <c r="BB164" s="118"/>
    </row>
    <row r="165" customFormat="false" ht="14.25" hidden="false" customHeight="false" outlineLevel="0" collapsed="false">
      <c r="A165" s="107" t="n">
        <v>313</v>
      </c>
      <c r="B165" s="107"/>
      <c r="C165" s="11" t="s">
        <v>222</v>
      </c>
      <c r="D165" s="11" t="s">
        <v>222</v>
      </c>
      <c r="E165" s="114" t="n">
        <v>45679</v>
      </c>
      <c r="F165" s="115" t="s">
        <v>839</v>
      </c>
      <c r="G165" s="115" t="s">
        <v>840</v>
      </c>
      <c r="H165" s="115"/>
      <c r="I165" s="100" t="n">
        <f aca="false">_xlfn.xlookup(C165,Clients!B:B,Clients!W:W,FALSE())</f>
        <v>0</v>
      </c>
      <c r="J165" s="116" t="str">
        <f aca="false">_xlfn.xlookup(C165,Clients!$B$1:$B$1001,Clients!$M$1:$M$1001,FALSE())</f>
        <v>Net 30 jours</v>
      </c>
      <c r="K165" s="100" t="str">
        <f aca="false">_xlfn.xlookup(C165,Clients!B:B,Clients!R:R,FALSE())</f>
        <v>Livraison incluse</v>
      </c>
      <c r="L165" s="117" t="n">
        <v>45681</v>
      </c>
      <c r="M165" s="98" t="str">
        <f aca="false">_xlfn.xlookup(C165,Clients!B:B,Clients!X:X,FALSE())</f>
        <v>CAD</v>
      </c>
      <c r="N165" s="98" t="str">
        <f aca="false">_xlfn.xlookup(C165,Clients!B:B,Clients!Y:Y,FALSE())</f>
        <v>CAD</v>
      </c>
      <c r="O165" s="106" t="n">
        <v>40246</v>
      </c>
      <c r="P165" s="106" t="str">
        <f aca="false">_xlfn.xlookup(O165,'Prix vente'!A:A,'Prix vente'!H:H)&amp;"/"&amp;_xlfn.xlookup(O165,'Prix vente'!A:A,'Prix vente'!P:P)&amp;"/"&amp;_xlfn.xlookup(O165,'Prix vente'!A:A,'Prix vente'!Q:Q)/1000</f>
        <v>S21/4/10</v>
      </c>
      <c r="Q165" s="106" t="n">
        <v>1</v>
      </c>
      <c r="R165" s="106" t="n">
        <f aca="false">Q165*_xlfn.xlookup(O165,'Prix vente'!A:A,'Prix vente'!R:R)</f>
        <v>480</v>
      </c>
      <c r="S165" s="118" t="n">
        <v>40247</v>
      </c>
      <c r="T165" s="118" t="str">
        <f aca="false">_xlfn.xlookup(S165,'Prix vente'!$A:$A,'Prix vente'!$H:$H)&amp;"/"&amp;_xlfn.xlookup(S165,'Prix vente'!A:A,'Prix vente'!P:P)&amp;"/"&amp;_xlfn.xlookup(S165,'Prix vente'!A:A,'Prix vente'!Q:Q)/1000</f>
        <v>S21/8.125/10</v>
      </c>
      <c r="U165" s="118" t="n">
        <v>2</v>
      </c>
      <c r="V165" s="118" t="n">
        <f aca="false">IFERROR(U165*_xlfn.xlookup(S165,'Prix vente'!$A:$A,'Prix vente'!$R:$R),"")</f>
        <v>1950</v>
      </c>
      <c r="W165" s="106" t="n">
        <v>40247</v>
      </c>
      <c r="X165" s="106" t="str">
        <f aca="false">_xlfn.xlookup(W165,'Prix vente'!$A:$A,'Prix vente'!$H:$H)&amp;"/"&amp;_xlfn.xlookup(W165,'Prix vente'!A:A,'Prix vente'!P:P)&amp;"/"&amp;_xlfn.xlookup(W165,'Prix vente'!A:A,'Prix vente'!Q:Q)/1000</f>
        <v>S21/8.125/10</v>
      </c>
      <c r="Y165" s="106" t="n">
        <v>2</v>
      </c>
      <c r="Z165" s="106" t="n">
        <f aca="false">IFERROR(Y165*_xlfn.xlookup(W165,'Prix vente'!$A:$A,'Prix vente'!$R:$R),"")</f>
        <v>1950</v>
      </c>
      <c r="AA165" s="118" t="n">
        <v>40248</v>
      </c>
      <c r="AB165" s="118" t="str">
        <f aca="false">_xlfn.xlookup(AA165,'Prix vente'!$A:$A,'Prix vente'!$H:$H)&amp;"/"&amp;_xlfn.xlookup(AA165,'Prix vente'!A:A,'Prix vente'!P:P)&amp;"/"&amp;_xlfn.xlookup(AA165,'Prix vente'!A:A,'Prix vente'!Q:Q)/1000</f>
        <v>S21/6.75/10</v>
      </c>
      <c r="AC165" s="118" t="n">
        <v>3</v>
      </c>
      <c r="AD165" s="118" t="n">
        <f aca="false">IFERROR(AC165*_xlfn.xlookup(AA165,'Prix vente'!$A:$A,'Prix vente'!$R:$R),"")</f>
        <v>2430</v>
      </c>
      <c r="AE165" s="106" t="n">
        <v>40249</v>
      </c>
      <c r="AF165" s="106" t="str">
        <f aca="false">_xlfn.xlookup(AE165,'Prix vente'!$A:$A,'Prix vente'!$H:$H)&amp;"/"&amp;_xlfn.xlookup(AE165,'Prix vente'!$A:$A,'Prix vente'!$P:$P)&amp;"/"&amp;_xlfn.xlookup(AE165,'Prix vente'!A:A,'Prix vente'!Q:Q)/1000</f>
        <v>S21/3.25/10</v>
      </c>
      <c r="AG165" s="106" t="n">
        <v>1</v>
      </c>
      <c r="AH165" s="106" t="n">
        <f aca="false">IFERROR(AG165*_xlfn.xlookup(AE165,'Prix vente'!$A:$A,'Prix vente'!$R:$R),"")</f>
        <v>390</v>
      </c>
      <c r="AI165" s="118"/>
      <c r="AJ165" s="118" t="str">
        <f aca="false">_xlfn.xlookup(AI165,'Prix vente'!$A:$A,'Prix vente'!$H:$H)&amp;"/"&amp;_xlfn.xlookup(AI165,'Prix vente'!$A:$A,'Prix vente'!$P:$P)&amp;"/"&amp;_xlfn.xlookup(AI165,'Prix vente'!A:A,'Prix vente'!Q:Q)/1000</f>
        <v>//0</v>
      </c>
      <c r="AK165" s="118"/>
      <c r="AL165" s="118" t="n">
        <f aca="false">IFERROR(AK165*_xlfn.xlookup(AI165,'Prix vente'!$A:$A,'Prix vente'!$R:$R),"")</f>
        <v>0</v>
      </c>
      <c r="AM165" s="106"/>
      <c r="AN165" s="106" t="str">
        <f aca="false">_xlfn.xlookup(AM165,'Prix vente'!$A:$A,'Prix vente'!$H:$H)&amp;"/"&amp;_xlfn.xlookup(AM165,'Prix vente'!$A:$A,'Prix vente'!$P:$P)&amp;"/"&amp;_xlfn.xlookup(AM165,'Prix vente'!A:A,'Prix vente'!Q:Q)/1000</f>
        <v>//0</v>
      </c>
      <c r="AO165" s="106"/>
      <c r="AP165" s="106" t="n">
        <f aca="false">IFERROR(AO165*_xlfn.xlookup(AM165,'Prix vente'!$A:$A,'Prix vente'!$R:$R),"")</f>
        <v>0</v>
      </c>
      <c r="AQ165" s="118"/>
      <c r="AR165" s="118" t="str">
        <f aca="false">_xlfn.xlookup(AQ165,'Prix vente'!$A:$A,'Prix vente'!$H:$H)&amp;"/"&amp;_xlfn.xlookup(AQ165,'Prix vente'!$A:$A,'Prix vente'!$P:$P)&amp;"/"&amp;_xlfn.xlookup(AQ165,'Prix vente'!A:A,'Prix vente'!Q:Q)/1000</f>
        <v>//0</v>
      </c>
      <c r="AS165" s="118"/>
      <c r="AT165" s="118" t="n">
        <f aca="false">IFERROR(AS165*_xlfn.xlookup(AQ165,'Prix vente'!$A:$A,'Prix vente'!$R:$R),"")</f>
        <v>0</v>
      </c>
      <c r="AU165" s="106"/>
      <c r="AV165" s="106"/>
      <c r="AW165" s="106"/>
      <c r="AX165" s="106"/>
      <c r="AY165" s="118"/>
      <c r="AZ165" s="118"/>
      <c r="BA165" s="118"/>
      <c r="BB165" s="118"/>
    </row>
    <row r="166" customFormat="false" ht="14.25" hidden="false" customHeight="false" outlineLevel="0" collapsed="false">
      <c r="A166" s="107" t="n">
        <v>314</v>
      </c>
      <c r="B166" s="107" t="s">
        <v>33</v>
      </c>
      <c r="C166" s="11" t="s">
        <v>296</v>
      </c>
      <c r="D166" s="11" t="s">
        <v>296</v>
      </c>
      <c r="E166" s="114" t="n">
        <v>45679</v>
      </c>
      <c r="F166" s="115" t="s">
        <v>841</v>
      </c>
      <c r="G166" s="115"/>
      <c r="H166" s="115"/>
      <c r="I166" s="100" t="n">
        <f aca="false">_xlfn.xlookup(C166,Clients!B:B,Clients!W:W,FALSE())</f>
        <v>0</v>
      </c>
      <c r="J166" s="116" t="str">
        <f aca="false">_xlfn.xlookup(C166,Clients!$B$1:$B$1001,Clients!$M$1:$M$1001,FALSE())</f>
        <v>Net 30 jours</v>
      </c>
      <c r="K166" s="100" t="str">
        <f aca="false">_xlfn.xlookup(C166,Clients!B:B,Clients!R:R,FALSE())</f>
        <v>Livraison incluse</v>
      </c>
      <c r="L166" s="117" t="n">
        <v>45687</v>
      </c>
      <c r="M166" s="98" t="str">
        <f aca="false">_xlfn.xlookup(C166,Clients!B:B,Clients!X:X,FALSE())</f>
        <v>CAD</v>
      </c>
      <c r="N166" s="98" t="str">
        <f aca="false">_xlfn.xlookup(C166,Clients!B:B,Clients!Y:Y,FALSE())</f>
        <v>CAD</v>
      </c>
      <c r="O166" s="106" t="n">
        <v>40250</v>
      </c>
      <c r="P166" s="106" t="str">
        <f aca="false">_xlfn.xlookup(O166,'Prix vente'!A:A,'Prix vente'!H:H)&amp;"/"&amp;_xlfn.xlookup(O166,'Prix vente'!A:A,'Prix vente'!P:P)&amp;"/"&amp;_xlfn.xlookup(O166,'Prix vente'!A:A,'Prix vente'!Q:Q)/1000</f>
        <v>D11/6.625/10</v>
      </c>
      <c r="Q166" s="106" t="n">
        <v>3</v>
      </c>
      <c r="R166" s="106" t="n">
        <f aca="false">Q166*_xlfn.xlookup(O166,'Prix vente'!A:A,'Prix vente'!R:R)</f>
        <v>2385</v>
      </c>
      <c r="S166" s="118" t="n">
        <v>40251</v>
      </c>
      <c r="T166" s="118" t="str">
        <f aca="false">_xlfn.xlookup(S166,'Prix vente'!$A:$A,'Prix vente'!$H:$H)&amp;"/"&amp;_xlfn.xlookup(S166,'Prix vente'!A:A,'Prix vente'!P:P)&amp;"/"&amp;_xlfn.xlookup(S166,'Prix vente'!A:A,'Prix vente'!Q:Q)/1000</f>
        <v>D11/9.5/10</v>
      </c>
      <c r="U166" s="118" t="n">
        <v>4</v>
      </c>
      <c r="V166" s="118" t="n">
        <f aca="false">IFERROR(U166*_xlfn.xlookup(S166,'Prix vente'!$A:$A,'Prix vente'!$R:$R),"")</f>
        <v>4560</v>
      </c>
      <c r="W166" s="106" t="n">
        <v>40252</v>
      </c>
      <c r="X166" s="106" t="str">
        <f aca="false">_xlfn.xlookup(W166,'Prix vente'!$A:$A,'Prix vente'!$H:$H)&amp;"/"&amp;_xlfn.xlookup(W166,'Prix vente'!A:A,'Prix vente'!P:P)&amp;"/"&amp;_xlfn.xlookup(W166,'Prix vente'!A:A,'Prix vente'!Q:Q)/1000</f>
        <v>D11/2.125/10</v>
      </c>
      <c r="Y166" s="106" t="n">
        <v>1</v>
      </c>
      <c r="Z166" s="106" t="n">
        <f aca="false">IFERROR(Y166*_xlfn.xlookup(W166,'Prix vente'!$A:$A,'Prix vente'!$R:$R),"")</f>
        <v>255</v>
      </c>
      <c r="AA166" s="118" t="n">
        <v>40260</v>
      </c>
      <c r="AB166" s="118" t="str">
        <f aca="false">_xlfn.xlookup(AA166,'Prix vente'!$A:$A,'Prix vente'!$H:$H)&amp;"/"&amp;_xlfn.xlookup(AA166,'Prix vente'!A:A,'Prix vente'!P:P)&amp;"/"&amp;_xlfn.xlookup(AA166,'Prix vente'!A:A,'Prix vente'!Q:Q)/1000</f>
        <v>D11/9.5/5</v>
      </c>
      <c r="AC166" s="118" t="n">
        <v>4</v>
      </c>
      <c r="AD166" s="118" t="n">
        <f aca="false">IFERROR(AC166*_xlfn.xlookup(AA166,'Prix vente'!$A:$A,'Prix vente'!$R:$R),"")</f>
        <v>2280</v>
      </c>
      <c r="AE166" s="106" t="n">
        <v>40253</v>
      </c>
      <c r="AF166" s="106" t="str">
        <f aca="false">_xlfn.xlookup(AE166,'Prix vente'!$A:$A,'Prix vente'!$H:$H)&amp;"/"&amp;_xlfn.xlookup(AE166,'Prix vente'!$A:$A,'Prix vente'!$P:$P)&amp;"/"&amp;_xlfn.xlookup(AE166,'Prix vente'!A:A,'Prix vente'!Q:Q)/1000</f>
        <v>D11/9/5</v>
      </c>
      <c r="AG166" s="106" t="n">
        <v>1</v>
      </c>
      <c r="AH166" s="106" t="n">
        <f aca="false">IFERROR(AG166*_xlfn.xlookup(AE166,'Prix vente'!$A:$A,'Prix vente'!$R:$R),"")</f>
        <v>540</v>
      </c>
      <c r="AI166" s="118" t="n">
        <v>40254</v>
      </c>
      <c r="AJ166" s="118" t="str">
        <f aca="false">_xlfn.xlookup(AI166,'Prix vente'!$A:$A,'Prix vente'!$H:$H)&amp;"/"&amp;_xlfn.xlookup(AI166,'Prix vente'!$A:$A,'Prix vente'!$P:$P)&amp;"/"&amp;_xlfn.xlookup(AI166,'Prix vente'!A:A,'Prix vente'!Q:Q)/1000</f>
        <v>D11/5.25/5</v>
      </c>
      <c r="AK166" s="118" t="n">
        <v>2</v>
      </c>
      <c r="AL166" s="118" t="n">
        <f aca="false">IFERROR(AK166*_xlfn.xlookup(AI166,'Prix vente'!$A:$A,'Prix vente'!$R:$R),"")</f>
        <v>630</v>
      </c>
      <c r="AM166" s="106" t="n">
        <v>40255</v>
      </c>
      <c r="AN166" s="106" t="str">
        <f aca="false">_xlfn.xlookup(AM166,'Prix vente'!$A:$A,'Prix vente'!$H:$H)&amp;"/"&amp;_xlfn.xlookup(AM166,'Prix vente'!$A:$A,'Prix vente'!$P:$P)&amp;"/"&amp;_xlfn.xlookup(AM166,'Prix vente'!A:A,'Prix vente'!Q:Q)/1000</f>
        <v>D11/2.5/5</v>
      </c>
      <c r="AO166" s="106" t="n">
        <v>1</v>
      </c>
      <c r="AP166" s="106" t="n">
        <f aca="false">IFERROR(AO166*_xlfn.xlookup(AM166,'Prix vente'!$A:$A,'Prix vente'!$R:$R),"")</f>
        <v>150</v>
      </c>
      <c r="AQ166" s="118" t="n">
        <v>40256</v>
      </c>
      <c r="AR166" s="118" t="str">
        <f aca="false">_xlfn.xlookup(AQ166,'Prix vente'!$A:$A,'Prix vente'!$H:$H)&amp;"/"&amp;_xlfn.xlookup(AQ166,'Prix vente'!$A:$A,'Prix vente'!$P:$P)&amp;"/"&amp;_xlfn.xlookup(AQ166,'Prix vente'!A:A,'Prix vente'!Q:Q)/1000</f>
        <v>S21/6/2.5</v>
      </c>
      <c r="AS166" s="118" t="n">
        <v>1</v>
      </c>
      <c r="AT166" s="118" t="n">
        <f aca="false">IFERROR(AS166*_xlfn.xlookup(AQ166,'Prix vente'!$A:$A,'Prix vente'!$R:$R),"")</f>
        <v>180</v>
      </c>
      <c r="AU166" s="106"/>
      <c r="AV166" s="106"/>
      <c r="AW166" s="106"/>
      <c r="AX166" s="106"/>
      <c r="AY166" s="118"/>
      <c r="AZ166" s="118"/>
      <c r="BA166" s="118"/>
      <c r="BB166" s="118"/>
    </row>
    <row r="167" customFormat="false" ht="14.25" hidden="false" customHeight="false" outlineLevel="0" collapsed="false">
      <c r="A167" s="107" t="n">
        <v>315</v>
      </c>
      <c r="B167" s="107" t="s">
        <v>33</v>
      </c>
      <c r="C167" s="11" t="s">
        <v>31</v>
      </c>
      <c r="D167" s="11" t="s">
        <v>31</v>
      </c>
      <c r="E167" s="114" t="n">
        <v>45680</v>
      </c>
      <c r="F167" s="115" t="n">
        <v>50009083</v>
      </c>
      <c r="G167" s="115" t="s">
        <v>761</v>
      </c>
      <c r="H167" s="115"/>
      <c r="I167" s="100" t="n">
        <f aca="false">_xlfn.xlookup(C167,Clients!B:B,Clients!W:W,FALSE())</f>
        <v>0</v>
      </c>
      <c r="J167" s="116" t="str">
        <f aca="false">_xlfn.xlookup(C167,Clients!$B$1:$B$1001,Clients!$M$1:$M$1001,FALSE())</f>
        <v>Net 30 days</v>
      </c>
      <c r="K167" s="100" t="str">
        <f aca="false">_xlfn.xlookup(C167,Clients!B:B,Clients!R:R,FALSE())</f>
        <v>EXW Boucherville</v>
      </c>
      <c r="L167" s="117" t="n">
        <v>45687</v>
      </c>
      <c r="M167" s="98" t="str">
        <f aca="false">_xlfn.xlookup(C167,Clients!B:B,Clients!X:X,FALSE())</f>
        <v>USD</v>
      </c>
      <c r="N167" s="98" t="str">
        <f aca="false">_xlfn.xlookup(C167,Clients!B:B,Clients!Y:Y,FALSE())</f>
        <v>USD</v>
      </c>
      <c r="O167" s="106" t="n">
        <v>40033</v>
      </c>
      <c r="P167" s="106" t="str">
        <f aca="false">_xlfn.xlookup(O167,'Prix vente'!A:A,'Prix vente'!H:H)&amp;"/"&amp;_xlfn.xlookup(O167,'Prix vente'!A:A,'Prix vente'!P:P)&amp;"/"&amp;_xlfn.xlookup(O167,'Prix vente'!A:A,'Prix vente'!Q:Q)/1000</f>
        <v>D16/10/5</v>
      </c>
      <c r="Q167" s="106" t="n">
        <v>72</v>
      </c>
      <c r="R167" s="106" t="n">
        <f aca="false">Q167*_xlfn.xlookup(O167,'Prix vente'!A:A,'Prix vente'!R:R)</f>
        <v>43200</v>
      </c>
      <c r="S167" s="118" t="n">
        <v>40257</v>
      </c>
      <c r="T167" s="118" t="str">
        <f aca="false">_xlfn.xlookup(S167,'Prix vente'!$A:$A,'Prix vente'!$H:$H)&amp;"/"&amp;_xlfn.xlookup(S167,'Prix vente'!A:A,'Prix vente'!P:P)&amp;"/"&amp;_xlfn.xlookup(S167,'Prix vente'!A:A,'Prix vente'!Q:Q)/1000</f>
        <v>D16/9.5/5</v>
      </c>
      <c r="U167" s="118" t="n">
        <v>24</v>
      </c>
      <c r="V167" s="118" t="n">
        <f aca="false">IFERROR(U167*_xlfn.xlookup(S167,'Prix vente'!$A:$A,'Prix vente'!$R:$R),"")</f>
        <v>13680</v>
      </c>
      <c r="W167" s="106"/>
      <c r="X167" s="106" t="str">
        <f aca="false">_xlfn.xlookup(W167,'Prix vente'!$A:$A,'Prix vente'!$H:$H)&amp;"/"&amp;_xlfn.xlookup(W167,'Prix vente'!A:A,'Prix vente'!P:P)&amp;"/"&amp;_xlfn.xlookup(W167,'Prix vente'!A:A,'Prix vente'!Q:Q)/1000</f>
        <v>//0</v>
      </c>
      <c r="Y167" s="106"/>
      <c r="Z167" s="106" t="n">
        <f aca="false">IFERROR(Y167*_xlfn.xlookup(W167,'Prix vente'!$A:$A,'Prix vente'!$R:$R),"")</f>
        <v>0</v>
      </c>
      <c r="AA167" s="118"/>
      <c r="AB167" s="118" t="str">
        <f aca="false">_xlfn.xlookup(AA167,'Prix vente'!$A:$A,'Prix vente'!$H:$H)&amp;"/"&amp;_xlfn.xlookup(AA167,'Prix vente'!A:A,'Prix vente'!P:P)&amp;"/"&amp;_xlfn.xlookup(AA167,'Prix vente'!A:A,'Prix vente'!Q:Q)/1000</f>
        <v>//0</v>
      </c>
      <c r="AC167" s="118"/>
      <c r="AD167" s="118" t="n">
        <f aca="false">IFERROR(AC167*_xlfn.xlookup(AA167,'Prix vente'!$A:$A,'Prix vente'!$R:$R),"")</f>
        <v>0</v>
      </c>
      <c r="AE167" s="106"/>
      <c r="AF167" s="106" t="str">
        <f aca="false">_xlfn.xlookup(AE167,'Prix vente'!$A:$A,'Prix vente'!$H:$H)&amp;"/"&amp;_xlfn.xlookup(AE167,'Prix vente'!$A:$A,'Prix vente'!$P:$P)&amp;"/"&amp;_xlfn.xlookup(AE167,'Prix vente'!A:A,'Prix vente'!Q:Q)/1000</f>
        <v>//0</v>
      </c>
      <c r="AG167" s="106"/>
      <c r="AH167" s="106" t="n">
        <f aca="false">IFERROR(AG167*_xlfn.xlookup(AE167,'Prix vente'!$A:$A,'Prix vente'!$R:$R),"")</f>
        <v>0</v>
      </c>
      <c r="AI167" s="118"/>
      <c r="AJ167" s="118" t="str">
        <f aca="false">_xlfn.xlookup(AI167,'Prix vente'!$A:$A,'Prix vente'!$H:$H)&amp;"/"&amp;_xlfn.xlookup(AI167,'Prix vente'!$A:$A,'Prix vente'!$P:$P)&amp;"/"&amp;_xlfn.xlookup(AI167,'Prix vente'!A:A,'Prix vente'!Q:Q)/1000</f>
        <v>//0</v>
      </c>
      <c r="AK167" s="118"/>
      <c r="AL167" s="118" t="n">
        <f aca="false">IFERROR(AK167*_xlfn.xlookup(AI167,'Prix vente'!$A:$A,'Prix vente'!$R:$R),"")</f>
        <v>0</v>
      </c>
      <c r="AM167" s="106"/>
      <c r="AN167" s="106" t="str">
        <f aca="false">_xlfn.xlookup(AM167,'Prix vente'!$A:$A,'Prix vente'!$H:$H)&amp;"/"&amp;_xlfn.xlookup(AM167,'Prix vente'!$A:$A,'Prix vente'!$P:$P)&amp;"/"&amp;_xlfn.xlookup(AM167,'Prix vente'!A:A,'Prix vente'!Q:Q)/1000</f>
        <v>//0</v>
      </c>
      <c r="AO167" s="106"/>
      <c r="AP167" s="106" t="n">
        <f aca="false">IFERROR(AO167*_xlfn.xlookup(AM167,'Prix vente'!$A:$A,'Prix vente'!$R:$R),"")</f>
        <v>0</v>
      </c>
      <c r="AQ167" s="118"/>
      <c r="AR167" s="118" t="str">
        <f aca="false">_xlfn.xlookup(AQ167,'Prix vente'!$A:$A,'Prix vente'!$H:$H)&amp;"/"&amp;_xlfn.xlookup(AQ167,'Prix vente'!$A:$A,'Prix vente'!$P:$P)&amp;"/"&amp;_xlfn.xlookup(AQ167,'Prix vente'!A:A,'Prix vente'!Q:Q)/1000</f>
        <v>//0</v>
      </c>
      <c r="AS167" s="118"/>
      <c r="AT167" s="118" t="n">
        <f aca="false">IFERROR(AS167*_xlfn.xlookup(AQ167,'Prix vente'!$A:$A,'Prix vente'!$R:$R),"")</f>
        <v>0</v>
      </c>
      <c r="AU167" s="106"/>
      <c r="AV167" s="106"/>
      <c r="AW167" s="106"/>
      <c r="AX167" s="106"/>
      <c r="AY167" s="118"/>
      <c r="AZ167" s="118"/>
      <c r="BA167" s="118"/>
      <c r="BB167" s="118"/>
    </row>
    <row r="168" customFormat="false" ht="14.25" hidden="false" customHeight="false" outlineLevel="0" collapsed="false">
      <c r="A168" s="107" t="n">
        <v>316</v>
      </c>
      <c r="B168" s="107" t="s">
        <v>33</v>
      </c>
      <c r="C168" s="11" t="s">
        <v>31</v>
      </c>
      <c r="D168" s="11" t="s">
        <v>31</v>
      </c>
      <c r="E168" s="114" t="n">
        <v>45680</v>
      </c>
      <c r="F168" s="115" t="n">
        <v>50009084</v>
      </c>
      <c r="G168" s="115" t="s">
        <v>761</v>
      </c>
      <c r="H168" s="115"/>
      <c r="I168" s="100" t="n">
        <f aca="false">_xlfn.xlookup(C168,Clients!B:B,Clients!W:W,FALSE())</f>
        <v>0</v>
      </c>
      <c r="J168" s="116" t="str">
        <f aca="false">_xlfn.xlookup(C168,Clients!$B$1:$B$1001,Clients!$M$1:$M$1001,FALSE())</f>
        <v>Net 30 days</v>
      </c>
      <c r="K168" s="100" t="str">
        <f aca="false">_xlfn.xlookup(C168,Clients!B:B,Clients!R:R,FALSE())</f>
        <v>EXW Boucherville</v>
      </c>
      <c r="L168" s="117" t="n">
        <v>45691</v>
      </c>
      <c r="M168" s="98" t="str">
        <f aca="false">_xlfn.xlookup(C168,Clients!B:B,Clients!X:X,FALSE())</f>
        <v>USD</v>
      </c>
      <c r="N168" s="98" t="str">
        <f aca="false">_xlfn.xlookup(C168,Clients!B:B,Clients!Y:Y,FALSE())</f>
        <v>USD</v>
      </c>
      <c r="O168" s="106" t="n">
        <v>40033</v>
      </c>
      <c r="P168" s="106" t="str">
        <f aca="false">_xlfn.xlookup(O168,'Prix vente'!A:A,'Prix vente'!H:H)&amp;"/"&amp;_xlfn.xlookup(O168,'Prix vente'!A:A,'Prix vente'!P:P)&amp;"/"&amp;_xlfn.xlookup(O168,'Prix vente'!A:A,'Prix vente'!Q:Q)/1000</f>
        <v>D16/10/5</v>
      </c>
      <c r="Q168" s="106" t="n">
        <v>72</v>
      </c>
      <c r="R168" s="106" t="n">
        <f aca="false">Q168*_xlfn.xlookup(O168,'Prix vente'!A:A,'Prix vente'!R:R)</f>
        <v>43200</v>
      </c>
      <c r="S168" s="118" t="n">
        <v>40257</v>
      </c>
      <c r="T168" s="118" t="str">
        <f aca="false">_xlfn.xlookup(S168,'Prix vente'!$A:$A,'Prix vente'!$H:$H)&amp;"/"&amp;_xlfn.xlookup(S168,'Prix vente'!A:A,'Prix vente'!P:P)&amp;"/"&amp;_xlfn.xlookup(S168,'Prix vente'!A:A,'Prix vente'!Q:Q)/1000</f>
        <v>D16/9.5/5</v>
      </c>
      <c r="U168" s="118" t="n">
        <v>12</v>
      </c>
      <c r="V168" s="118" t="n">
        <f aca="false">IFERROR(U168*_xlfn.xlookup(S168,'Prix vente'!$A:$A,'Prix vente'!$R:$R),"")</f>
        <v>6840</v>
      </c>
      <c r="W168" s="106" t="n">
        <v>40170</v>
      </c>
      <c r="X168" s="106" t="str">
        <f aca="false">_xlfn.xlookup(W168,'Prix vente'!$A:$A,'Prix vente'!$H:$H)&amp;"/"&amp;_xlfn.xlookup(W168,'Prix vente'!A:A,'Prix vente'!P:P)&amp;"/"&amp;_xlfn.xlookup(W168,'Prix vente'!A:A,'Prix vente'!Q:Q)/1000</f>
        <v>D16/5.875/5</v>
      </c>
      <c r="Y168" s="106" t="n">
        <v>12</v>
      </c>
      <c r="Z168" s="106" t="n">
        <f aca="false">IFERROR(Y168*_xlfn.xlookup(W168,'Prix vente'!$A:$A,'Prix vente'!$R:$R),"")</f>
        <v>4230</v>
      </c>
      <c r="AA168" s="118"/>
      <c r="AB168" s="118" t="str">
        <f aca="false">_xlfn.xlookup(AA168,'Prix vente'!$A:$A,'Prix vente'!$H:$H)&amp;"/"&amp;_xlfn.xlookup(AA168,'Prix vente'!A:A,'Prix vente'!P:P)&amp;"/"&amp;_xlfn.xlookup(AA168,'Prix vente'!A:A,'Prix vente'!Q:Q)/1000</f>
        <v>//0</v>
      </c>
      <c r="AC168" s="118"/>
      <c r="AD168" s="118" t="n">
        <f aca="false">IFERROR(AC168*_xlfn.xlookup(AA168,'Prix vente'!$A:$A,'Prix vente'!$R:$R),"")</f>
        <v>0</v>
      </c>
      <c r="AE168" s="106"/>
      <c r="AF168" s="106" t="str">
        <f aca="false">_xlfn.xlookup(AE168,'Prix vente'!$A:$A,'Prix vente'!$H:$H)&amp;"/"&amp;_xlfn.xlookup(AE168,'Prix vente'!$A:$A,'Prix vente'!$P:$P)&amp;"/"&amp;_xlfn.xlookup(AE168,'Prix vente'!A:A,'Prix vente'!Q:Q)/1000</f>
        <v>//0</v>
      </c>
      <c r="AG168" s="106"/>
      <c r="AH168" s="106" t="n">
        <f aca="false">IFERROR(AG168*_xlfn.xlookup(AE168,'Prix vente'!$A:$A,'Prix vente'!$R:$R),"")</f>
        <v>0</v>
      </c>
      <c r="AI168" s="118"/>
      <c r="AJ168" s="118" t="str">
        <f aca="false">_xlfn.xlookup(AI168,'Prix vente'!$A:$A,'Prix vente'!$H:$H)&amp;"/"&amp;_xlfn.xlookup(AI168,'Prix vente'!$A:$A,'Prix vente'!$P:$P)&amp;"/"&amp;_xlfn.xlookup(AI168,'Prix vente'!A:A,'Prix vente'!Q:Q)/1000</f>
        <v>//0</v>
      </c>
      <c r="AK168" s="118"/>
      <c r="AL168" s="118" t="n">
        <f aca="false">IFERROR(AK168*_xlfn.xlookup(AI168,'Prix vente'!$A:$A,'Prix vente'!$R:$R),"")</f>
        <v>0</v>
      </c>
      <c r="AM168" s="106"/>
      <c r="AN168" s="106" t="str">
        <f aca="false">_xlfn.xlookup(AM168,'Prix vente'!$A:$A,'Prix vente'!$H:$H)&amp;"/"&amp;_xlfn.xlookup(AM168,'Prix vente'!$A:$A,'Prix vente'!$P:$P)&amp;"/"&amp;_xlfn.xlookup(AM168,'Prix vente'!A:A,'Prix vente'!Q:Q)/1000</f>
        <v>//0</v>
      </c>
      <c r="AO168" s="106"/>
      <c r="AP168" s="106" t="n">
        <f aca="false">IFERROR(AO168*_xlfn.xlookup(AM168,'Prix vente'!$A:$A,'Prix vente'!$R:$R),"")</f>
        <v>0</v>
      </c>
      <c r="AQ168" s="118"/>
      <c r="AR168" s="118" t="str">
        <f aca="false">_xlfn.xlookup(AQ168,'Prix vente'!$A:$A,'Prix vente'!$H:$H)&amp;"/"&amp;_xlfn.xlookup(AQ168,'Prix vente'!$A:$A,'Prix vente'!$P:$P)&amp;"/"&amp;_xlfn.xlookup(AQ168,'Prix vente'!A:A,'Prix vente'!Q:Q)/1000</f>
        <v>//0</v>
      </c>
      <c r="AS168" s="118"/>
      <c r="AT168" s="118" t="n">
        <f aca="false">IFERROR(AS168*_xlfn.xlookup(AQ168,'Prix vente'!$A:$A,'Prix vente'!$R:$R),"")</f>
        <v>0</v>
      </c>
      <c r="AU168" s="106"/>
      <c r="AV168" s="106"/>
      <c r="AW168" s="106"/>
      <c r="AX168" s="106"/>
      <c r="AY168" s="118"/>
      <c r="AZ168" s="118"/>
      <c r="BA168" s="118"/>
      <c r="BB168" s="118"/>
    </row>
    <row r="169" customFormat="false" ht="14.25" hidden="false" customHeight="false" outlineLevel="0" collapsed="false">
      <c r="A169" s="107" t="n">
        <v>317</v>
      </c>
      <c r="B169" s="107" t="s">
        <v>33</v>
      </c>
      <c r="C169" s="11" t="s">
        <v>124</v>
      </c>
      <c r="D169" s="11" t="s">
        <v>124</v>
      </c>
      <c r="E169" s="114" t="n">
        <v>45680</v>
      </c>
      <c r="F169" s="115" t="n">
        <v>107081</v>
      </c>
      <c r="G169" s="115" t="s">
        <v>788</v>
      </c>
      <c r="H169" s="115"/>
      <c r="I169" s="100" t="n">
        <f aca="false">_xlfn.xlookup(C169,Clients!B:B,Clients!W:W,FALSE())</f>
        <v>0</v>
      </c>
      <c r="J169" s="116" t="str">
        <f aca="false">_xlfn.xlookup(C169,Clients!$B$1:$B$1001,Clients!$M$1:$M$1001,FALSE())</f>
        <v>Net 30 jours</v>
      </c>
      <c r="K169" s="100" t="str">
        <f aca="false">_xlfn.xlookup(C169,Clients!B:B,Clients!R:R,FALSE())</f>
        <v>EXW Boucherville</v>
      </c>
      <c r="L169" s="117" t="n">
        <v>45687</v>
      </c>
      <c r="M169" s="98" t="str">
        <f aca="false">_xlfn.xlookup(C169,Clients!B:B,Clients!X:X,FALSE())</f>
        <v>USD</v>
      </c>
      <c r="N169" s="98" t="str">
        <f aca="false">_xlfn.xlookup(C169,Clients!B:B,Clients!Y:Y,FALSE())</f>
        <v>USD</v>
      </c>
      <c r="O169" s="106" t="n">
        <v>40117</v>
      </c>
      <c r="P169" s="106" t="str">
        <f aca="false">_xlfn.xlookup(O169,'Prix vente'!A:A,'Prix vente'!H:H)&amp;"/"&amp;_xlfn.xlookup(O169,'Prix vente'!A:A,'Prix vente'!P:P)&amp;"/"&amp;_xlfn.xlookup(O169,'Prix vente'!A:A,'Prix vente'!Q:Q)/1000</f>
        <v>S15/10/5</v>
      </c>
      <c r="Q169" s="106" t="n">
        <v>6</v>
      </c>
      <c r="R169" s="106" t="n">
        <f aca="false">Q169*_xlfn.xlookup(O169,'Prix vente'!A:A,'Prix vente'!R:R)</f>
        <v>3600</v>
      </c>
      <c r="S169" s="118" t="n">
        <v>40177</v>
      </c>
      <c r="T169" s="118" t="str">
        <f aca="false">_xlfn.xlookup(S169,'Prix vente'!$A:$A,'Prix vente'!$H:$H)&amp;"/"&amp;_xlfn.xlookup(S169,'Prix vente'!A:A,'Prix vente'!P:P)&amp;"/"&amp;_xlfn.xlookup(S169,'Prix vente'!A:A,'Prix vente'!Q:Q)/1000</f>
        <v>S15/13/10</v>
      </c>
      <c r="U169" s="118" t="n">
        <v>8</v>
      </c>
      <c r="V169" s="118" t="n">
        <f aca="false">IFERROR(U169*_xlfn.xlookup(S169,'Prix vente'!$A:$A,'Prix vente'!$R:$R),"")</f>
        <v>12480</v>
      </c>
      <c r="W169" s="106" t="n">
        <v>40178</v>
      </c>
      <c r="X169" s="106" t="str">
        <f aca="false">_xlfn.xlookup(W169,'Prix vente'!$A:$A,'Prix vente'!$H:$H)&amp;"/"&amp;_xlfn.xlookup(W169,'Prix vente'!A:A,'Prix vente'!P:P)&amp;"/"&amp;_xlfn.xlookup(W169,'Prix vente'!A:A,'Prix vente'!Q:Q)/1000</f>
        <v>S15/8/10</v>
      </c>
      <c r="Y169" s="106" t="n">
        <v>2</v>
      </c>
      <c r="Z169" s="106" t="n">
        <f aca="false">IFERROR(Y169*_xlfn.xlookup(W169,'Prix vente'!$A:$A,'Prix vente'!$R:$R),"")</f>
        <v>1920</v>
      </c>
      <c r="AA169" s="118"/>
      <c r="AB169" s="118" t="str">
        <f aca="false">_xlfn.xlookup(AA169,'Prix vente'!$A:$A,'Prix vente'!$H:$H)&amp;"/"&amp;_xlfn.xlookup(AA169,'Prix vente'!A:A,'Prix vente'!P:P)&amp;"/"&amp;_xlfn.xlookup(AA169,'Prix vente'!A:A,'Prix vente'!Q:Q)/1000</f>
        <v>//0</v>
      </c>
      <c r="AC169" s="118"/>
      <c r="AD169" s="118" t="n">
        <f aca="false">IFERROR(AC169*_xlfn.xlookup(AA169,'Prix vente'!$A:$A,'Prix vente'!$R:$R),"")</f>
        <v>0</v>
      </c>
      <c r="AE169" s="106"/>
      <c r="AF169" s="106" t="str">
        <f aca="false">_xlfn.xlookup(AE169,'Prix vente'!$A:$A,'Prix vente'!$H:$H)&amp;"/"&amp;_xlfn.xlookup(AE169,'Prix vente'!$A:$A,'Prix vente'!$P:$P)&amp;"/"&amp;_xlfn.xlookup(AE169,'Prix vente'!A:A,'Prix vente'!Q:Q)/1000</f>
        <v>//0</v>
      </c>
      <c r="AG169" s="106"/>
      <c r="AH169" s="106" t="n">
        <f aca="false">IFERROR(AG169*_xlfn.xlookup(AE169,'Prix vente'!$A:$A,'Prix vente'!$R:$R),"")</f>
        <v>0</v>
      </c>
      <c r="AI169" s="118"/>
      <c r="AJ169" s="118" t="str">
        <f aca="false">_xlfn.xlookup(AI169,'Prix vente'!$A:$A,'Prix vente'!$H:$H)&amp;"/"&amp;_xlfn.xlookup(AI169,'Prix vente'!$A:$A,'Prix vente'!$P:$P)&amp;"/"&amp;_xlfn.xlookup(AI169,'Prix vente'!A:A,'Prix vente'!Q:Q)/1000</f>
        <v>//0</v>
      </c>
      <c r="AK169" s="118"/>
      <c r="AL169" s="118" t="n">
        <f aca="false">IFERROR(AK169*_xlfn.xlookup(AI169,'Prix vente'!$A:$A,'Prix vente'!$R:$R),"")</f>
        <v>0</v>
      </c>
      <c r="AM169" s="106"/>
      <c r="AN169" s="106" t="str">
        <f aca="false">_xlfn.xlookup(AM169,'Prix vente'!$A:$A,'Prix vente'!$H:$H)&amp;"/"&amp;_xlfn.xlookup(AM169,'Prix vente'!$A:$A,'Prix vente'!$P:$P)&amp;"/"&amp;_xlfn.xlookup(AM169,'Prix vente'!A:A,'Prix vente'!Q:Q)/1000</f>
        <v>//0</v>
      </c>
      <c r="AO169" s="106"/>
      <c r="AP169" s="106" t="n">
        <f aca="false">IFERROR(AO169*_xlfn.xlookup(AM169,'Prix vente'!$A:$A,'Prix vente'!$R:$R),"")</f>
        <v>0</v>
      </c>
      <c r="AQ169" s="118"/>
      <c r="AR169" s="118" t="str">
        <f aca="false">_xlfn.xlookup(AQ169,'Prix vente'!$A:$A,'Prix vente'!$H:$H)&amp;"/"&amp;_xlfn.xlookup(AQ169,'Prix vente'!$A:$A,'Prix vente'!$P:$P)&amp;"/"&amp;_xlfn.xlookup(AQ169,'Prix vente'!A:A,'Prix vente'!Q:Q)/1000</f>
        <v>//0</v>
      </c>
      <c r="AS169" s="118"/>
      <c r="AT169" s="118" t="n">
        <f aca="false">IFERROR(AS169*_xlfn.xlookup(AQ169,'Prix vente'!$A:$A,'Prix vente'!$R:$R),"")</f>
        <v>0</v>
      </c>
      <c r="AU169" s="106"/>
      <c r="AV169" s="106"/>
      <c r="AW169" s="106"/>
      <c r="AX169" s="106"/>
      <c r="AY169" s="118"/>
      <c r="AZ169" s="118"/>
      <c r="BA169" s="118"/>
      <c r="BB169" s="118"/>
    </row>
    <row r="170" customFormat="false" ht="14.25" hidden="false" customHeight="false" outlineLevel="0" collapsed="false">
      <c r="A170" s="107" t="n">
        <v>318</v>
      </c>
      <c r="B170" s="107" t="s">
        <v>33</v>
      </c>
      <c r="C170" s="11" t="s">
        <v>124</v>
      </c>
      <c r="D170" s="11" t="s">
        <v>124</v>
      </c>
      <c r="E170" s="114" t="n">
        <v>45680</v>
      </c>
      <c r="F170" s="115" t="n">
        <v>107085</v>
      </c>
      <c r="G170" s="115" t="s">
        <v>788</v>
      </c>
      <c r="H170" s="115"/>
      <c r="I170" s="100" t="n">
        <f aca="false">_xlfn.xlookup(C170,Clients!B:B,Clients!W:W,FALSE())</f>
        <v>0</v>
      </c>
      <c r="J170" s="116" t="str">
        <f aca="false">_xlfn.xlookup(C170,Clients!$B$1:$B$1001,Clients!$M$1:$M$1001,FALSE())</f>
        <v>Net 30 jours</v>
      </c>
      <c r="K170" s="100" t="str">
        <f aca="false">_xlfn.xlookup(C170,Clients!B:B,Clients!R:R,FALSE())</f>
        <v>EXW Boucherville</v>
      </c>
      <c r="L170" s="117" t="n">
        <v>45687</v>
      </c>
      <c r="M170" s="98" t="str">
        <f aca="false">_xlfn.xlookup(C170,Clients!B:B,Clients!X:X,FALSE())</f>
        <v>USD</v>
      </c>
      <c r="N170" s="98" t="str">
        <f aca="false">_xlfn.xlookup(C170,Clients!B:B,Clients!Y:Y,FALSE())</f>
        <v>USD</v>
      </c>
      <c r="O170" s="106" t="n">
        <v>40258</v>
      </c>
      <c r="P170" s="106" t="str">
        <f aca="false">_xlfn.xlookup(O170,'Prix vente'!A:A,'Prix vente'!H:H)&amp;"/"&amp;_xlfn.xlookup(O170,'Prix vente'!A:A,'Prix vente'!P:P)&amp;"/"&amp;_xlfn.xlookup(O170,'Prix vente'!A:A,'Prix vente'!Q:Q)/1000</f>
        <v>S21/16/5</v>
      </c>
      <c r="Q170" s="106" t="n">
        <v>1</v>
      </c>
      <c r="R170" s="106" t="n">
        <f aca="false">Q170*_xlfn.xlookup(O170,'Prix vente'!A:A,'Prix vente'!R:R)</f>
        <v>960</v>
      </c>
      <c r="S170" s="118" t="n">
        <v>40082</v>
      </c>
      <c r="T170" s="118" t="str">
        <f aca="false">_xlfn.xlookup(S170,'Prix vente'!$A:$A,'Prix vente'!$H:$H)&amp;"/"&amp;_xlfn.xlookup(S170,'Prix vente'!A:A,'Prix vente'!P:P)&amp;"/"&amp;_xlfn.xlookup(S170,'Prix vente'!A:A,'Prix vente'!Q:Q)/1000</f>
        <v>S21/13/5</v>
      </c>
      <c r="U170" s="118" t="n">
        <v>3</v>
      </c>
      <c r="V170" s="118" t="n">
        <f aca="false">IFERROR(U170*_xlfn.xlookup(S170,'Prix vente'!$A:$A,'Prix vente'!$R:$R),"")</f>
        <v>2340</v>
      </c>
      <c r="W170" s="106" t="n">
        <v>40259</v>
      </c>
      <c r="X170" s="106" t="str">
        <f aca="false">_xlfn.xlookup(W170,'Prix vente'!$A:$A,'Prix vente'!$H:$H)&amp;"/"&amp;_xlfn.xlookup(W170,'Prix vente'!A:A,'Prix vente'!P:P)&amp;"/"&amp;_xlfn.xlookup(W170,'Prix vente'!A:A,'Prix vente'!Q:Q)/1000</f>
        <v>S21/5/5</v>
      </c>
      <c r="Y170" s="106" t="n">
        <v>1</v>
      </c>
      <c r="Z170" s="106" t="n">
        <f aca="false">IFERROR(Y170*_xlfn.xlookup(W170,'Prix vente'!$A:$A,'Prix vente'!$R:$R),"")</f>
        <v>300</v>
      </c>
      <c r="AA170" s="118"/>
      <c r="AB170" s="118" t="str">
        <f aca="false">_xlfn.xlookup(AA170,'Prix vente'!$A:$A,'Prix vente'!$H:$H)&amp;"/"&amp;_xlfn.xlookup(AA170,'Prix vente'!A:A,'Prix vente'!P:P)&amp;"/"&amp;_xlfn.xlookup(AA170,'Prix vente'!A:A,'Prix vente'!Q:Q)/1000</f>
        <v>//0</v>
      </c>
      <c r="AC170" s="118"/>
      <c r="AD170" s="118" t="n">
        <f aca="false">IFERROR(AC170*_xlfn.xlookup(AA170,'Prix vente'!$A:$A,'Prix vente'!$R:$R),"")</f>
        <v>0</v>
      </c>
      <c r="AE170" s="106"/>
      <c r="AF170" s="106" t="str">
        <f aca="false">_xlfn.xlookup(AE170,'Prix vente'!$A:$A,'Prix vente'!$H:$H)&amp;"/"&amp;_xlfn.xlookup(AE170,'Prix vente'!$A:$A,'Prix vente'!$P:$P)&amp;"/"&amp;_xlfn.xlookup(AE170,'Prix vente'!A:A,'Prix vente'!Q:Q)/1000</f>
        <v>//0</v>
      </c>
      <c r="AG170" s="106"/>
      <c r="AH170" s="106" t="n">
        <f aca="false">IFERROR(AG170*_xlfn.xlookup(AE170,'Prix vente'!$A:$A,'Prix vente'!$R:$R),"")</f>
        <v>0</v>
      </c>
      <c r="AI170" s="118"/>
      <c r="AJ170" s="118" t="str">
        <f aca="false">_xlfn.xlookup(AI170,'Prix vente'!$A:$A,'Prix vente'!$H:$H)&amp;"/"&amp;_xlfn.xlookup(AI170,'Prix vente'!$A:$A,'Prix vente'!$P:$P)&amp;"/"&amp;_xlfn.xlookup(AI170,'Prix vente'!A:A,'Prix vente'!Q:Q)/1000</f>
        <v>//0</v>
      </c>
      <c r="AK170" s="118"/>
      <c r="AL170" s="118" t="n">
        <f aca="false">IFERROR(AK170*_xlfn.xlookup(AI170,'Prix vente'!$A:$A,'Prix vente'!$R:$R),"")</f>
        <v>0</v>
      </c>
      <c r="AM170" s="106"/>
      <c r="AN170" s="106" t="str">
        <f aca="false">_xlfn.xlookup(AM170,'Prix vente'!$A:$A,'Prix vente'!$H:$H)&amp;"/"&amp;_xlfn.xlookup(AM170,'Prix vente'!$A:$A,'Prix vente'!$P:$P)&amp;"/"&amp;_xlfn.xlookup(AM170,'Prix vente'!A:A,'Prix vente'!Q:Q)/1000</f>
        <v>//0</v>
      </c>
      <c r="AO170" s="106"/>
      <c r="AP170" s="106" t="n">
        <f aca="false">IFERROR(AO170*_xlfn.xlookup(AM170,'Prix vente'!$A:$A,'Prix vente'!$R:$R),"")</f>
        <v>0</v>
      </c>
      <c r="AQ170" s="118"/>
      <c r="AR170" s="118" t="str">
        <f aca="false">_xlfn.xlookup(AQ170,'Prix vente'!$A:$A,'Prix vente'!$H:$H)&amp;"/"&amp;_xlfn.xlookup(AQ170,'Prix vente'!$A:$A,'Prix vente'!$P:$P)&amp;"/"&amp;_xlfn.xlookup(AQ170,'Prix vente'!A:A,'Prix vente'!Q:Q)/1000</f>
        <v>//0</v>
      </c>
      <c r="AS170" s="118"/>
      <c r="AT170" s="118" t="n">
        <f aca="false">IFERROR(AS170*_xlfn.xlookup(AQ170,'Prix vente'!$A:$A,'Prix vente'!$R:$R),"")</f>
        <v>0</v>
      </c>
      <c r="AU170" s="106"/>
      <c r="AV170" s="106"/>
      <c r="AW170" s="106"/>
      <c r="AX170" s="106"/>
      <c r="AY170" s="118"/>
      <c r="AZ170" s="118"/>
      <c r="BA170" s="118"/>
      <c r="BB170" s="118"/>
    </row>
    <row r="171" customFormat="false" ht="14.25" hidden="false" customHeight="false" outlineLevel="0" collapsed="false">
      <c r="A171" s="107" t="n">
        <v>319</v>
      </c>
      <c r="B171" s="107"/>
      <c r="C171" s="11"/>
      <c r="D171" s="11"/>
      <c r="E171" s="114"/>
      <c r="F171" s="115"/>
      <c r="G171" s="115"/>
      <c r="H171" s="115"/>
      <c r="I171" s="100" t="n">
        <f aca="false">_xlfn.xlookup(C171,Clients!B:B,Clients!W:W,FALSE())</f>
        <v>0</v>
      </c>
      <c r="J171" s="116" t="n">
        <f aca="false">_xlfn.xlookup(C171,Clients!$B$1:$B$1001,Clients!$M$1:$M$1001,FALSE())</f>
        <v>0</v>
      </c>
      <c r="K171" s="100" t="n">
        <f aca="false">_xlfn.xlookup(C171,Clients!B:B,Clients!R:R,FALSE())</f>
        <v>0</v>
      </c>
      <c r="L171" s="117"/>
      <c r="M171" s="98" t="n">
        <f aca="false">_xlfn.xlookup(C171,Clients!B:B,Clients!X:X,FALSE())</f>
        <v>0</v>
      </c>
      <c r="N171" s="98" t="n">
        <f aca="false">_xlfn.xlookup(C171,Clients!B:B,Clients!Y:Y,FALSE())</f>
        <v>0</v>
      </c>
      <c r="O171" s="106"/>
      <c r="P171" s="106" t="str">
        <f aca="false">_xlfn.xlookup(O171,'Prix vente'!A:A,'Prix vente'!H:H)&amp;"/"&amp;_xlfn.xlookup(O171,'Prix vente'!A:A,'Prix vente'!P:P)&amp;"/"&amp;_xlfn.xlookup(O171,'Prix vente'!A:A,'Prix vente'!Q:Q)/1000</f>
        <v>//0</v>
      </c>
      <c r="Q171" s="106"/>
      <c r="R171" s="106" t="n">
        <f aca="false">Q171*_xlfn.xlookup(O171,'Prix vente'!A:A,'Prix vente'!R:R)</f>
        <v>0</v>
      </c>
      <c r="S171" s="118"/>
      <c r="T171" s="118" t="str">
        <f aca="false">_xlfn.xlookup(S171,'Prix vente'!$A:$A,'Prix vente'!$H:$H)&amp;"/"&amp;_xlfn.xlookup(S171,'Prix vente'!A:A,'Prix vente'!P:P)&amp;"/"&amp;_xlfn.xlookup(S171,'Prix vente'!A:A,'Prix vente'!Q:Q)/1000</f>
        <v>//0</v>
      </c>
      <c r="U171" s="118"/>
      <c r="V171" s="118" t="n">
        <f aca="false">IFERROR(U171*_xlfn.xlookup(S171,'Prix vente'!$A:$A,'Prix vente'!$R:$R),"")</f>
        <v>0</v>
      </c>
      <c r="W171" s="106"/>
      <c r="X171" s="106" t="str">
        <f aca="false">_xlfn.xlookup(W171,'Prix vente'!$A:$A,'Prix vente'!$H:$H)&amp;"/"&amp;_xlfn.xlookup(W171,'Prix vente'!A:A,'Prix vente'!P:P)&amp;"/"&amp;_xlfn.xlookup(W171,'Prix vente'!A:A,'Prix vente'!Q:Q)/1000</f>
        <v>//0</v>
      </c>
      <c r="Y171" s="106"/>
      <c r="Z171" s="106" t="n">
        <f aca="false">IFERROR(Y171*_xlfn.xlookup(W171,'Prix vente'!$A:$A,'Prix vente'!$R:$R),"")</f>
        <v>0</v>
      </c>
      <c r="AA171" s="118"/>
      <c r="AB171" s="118" t="str">
        <f aca="false">_xlfn.xlookup(AA171,'Prix vente'!$A:$A,'Prix vente'!$H:$H)&amp;"/"&amp;_xlfn.xlookup(AA171,'Prix vente'!A:A,'Prix vente'!P:P)&amp;"/"&amp;_xlfn.xlookup(AA171,'Prix vente'!A:A,'Prix vente'!Q:Q)/1000</f>
        <v>//0</v>
      </c>
      <c r="AC171" s="118"/>
      <c r="AD171" s="118" t="n">
        <f aca="false">IFERROR(AC171*_xlfn.xlookup(AA171,'Prix vente'!$A:$A,'Prix vente'!$R:$R),"")</f>
        <v>0</v>
      </c>
      <c r="AE171" s="106"/>
      <c r="AF171" s="106" t="str">
        <f aca="false">_xlfn.xlookup(AE171,'Prix vente'!$A:$A,'Prix vente'!$H:$H)&amp;"/"&amp;_xlfn.xlookup(AE171,'Prix vente'!$A:$A,'Prix vente'!$P:$P)&amp;"/"&amp;_xlfn.xlookup(AE171,'Prix vente'!A:A,'Prix vente'!Q:Q)/1000</f>
        <v>//0</v>
      </c>
      <c r="AG171" s="106"/>
      <c r="AH171" s="106" t="n">
        <f aca="false">IFERROR(AG171*_xlfn.xlookup(AE171,'Prix vente'!$A:$A,'Prix vente'!$R:$R),"")</f>
        <v>0</v>
      </c>
      <c r="AI171" s="118"/>
      <c r="AJ171" s="118" t="str">
        <f aca="false">_xlfn.xlookup(AI171,'Prix vente'!$A:$A,'Prix vente'!$H:$H)&amp;"/"&amp;_xlfn.xlookup(AI171,'Prix vente'!$A:$A,'Prix vente'!$P:$P)&amp;"/"&amp;_xlfn.xlookup(AI171,'Prix vente'!A:A,'Prix vente'!Q:Q)/1000</f>
        <v>//0</v>
      </c>
      <c r="AK171" s="118"/>
      <c r="AL171" s="118" t="n">
        <f aca="false">IFERROR(AK171*_xlfn.xlookup(AI171,'Prix vente'!$A:$A,'Prix vente'!$R:$R),"")</f>
        <v>0</v>
      </c>
      <c r="AM171" s="106"/>
      <c r="AN171" s="106" t="str">
        <f aca="false">_xlfn.xlookup(AM171,'Prix vente'!$A:$A,'Prix vente'!$H:$H)&amp;"/"&amp;_xlfn.xlookup(AM171,'Prix vente'!$A:$A,'Prix vente'!$P:$P)&amp;"/"&amp;_xlfn.xlookup(AM171,'Prix vente'!A:A,'Prix vente'!Q:Q)/1000</f>
        <v>//0</v>
      </c>
      <c r="AO171" s="106"/>
      <c r="AP171" s="106" t="n">
        <f aca="false">IFERROR(AO171*_xlfn.xlookup(AM171,'Prix vente'!$A:$A,'Prix vente'!$R:$R),"")</f>
        <v>0</v>
      </c>
      <c r="AQ171" s="118"/>
      <c r="AR171" s="118" t="str">
        <f aca="false">_xlfn.xlookup(AQ171,'Prix vente'!$A:$A,'Prix vente'!$H:$H)&amp;"/"&amp;_xlfn.xlookup(AQ171,'Prix vente'!$A:$A,'Prix vente'!$P:$P)&amp;"/"&amp;_xlfn.xlookup(AQ171,'Prix vente'!A:A,'Prix vente'!Q:Q)/1000</f>
        <v>//0</v>
      </c>
      <c r="AS171" s="118"/>
      <c r="AT171" s="118" t="n">
        <f aca="false">IFERROR(AS171*_xlfn.xlookup(AQ171,'Prix vente'!$A:$A,'Prix vente'!$R:$R),"")</f>
        <v>0</v>
      </c>
      <c r="AU171" s="106"/>
      <c r="AV171" s="106"/>
      <c r="AW171" s="106"/>
      <c r="AX171" s="106"/>
      <c r="AY171" s="118"/>
      <c r="AZ171" s="118"/>
      <c r="BA171" s="118"/>
      <c r="BB171" s="118"/>
    </row>
    <row r="172" customFormat="false" ht="14.25" hidden="false" customHeight="false" outlineLevel="0" collapsed="false">
      <c r="A172" s="107" t="n">
        <v>320</v>
      </c>
      <c r="B172" s="107"/>
      <c r="C172" s="11"/>
      <c r="D172" s="11"/>
      <c r="E172" s="114"/>
      <c r="F172" s="115"/>
      <c r="G172" s="115"/>
      <c r="H172" s="115"/>
      <c r="I172" s="100" t="n">
        <f aca="false">_xlfn.xlookup(C172,Clients!B:B,Clients!W:W,FALSE())</f>
        <v>0</v>
      </c>
      <c r="J172" s="116" t="n">
        <f aca="false">_xlfn.xlookup(C172,Clients!$B$1:$B$1001,Clients!$M$1:$M$1001,FALSE())</f>
        <v>0</v>
      </c>
      <c r="K172" s="100" t="n">
        <f aca="false">_xlfn.xlookup(C172,Clients!B:B,Clients!R:R,FALSE())</f>
        <v>0</v>
      </c>
      <c r="L172" s="117"/>
      <c r="M172" s="98" t="n">
        <f aca="false">_xlfn.xlookup(C172,Clients!B:B,Clients!X:X,FALSE())</f>
        <v>0</v>
      </c>
      <c r="N172" s="98" t="n">
        <f aca="false">_xlfn.xlookup(C172,Clients!B:B,Clients!Y:Y,FALSE())</f>
        <v>0</v>
      </c>
      <c r="O172" s="106"/>
      <c r="P172" s="106" t="str">
        <f aca="false">_xlfn.xlookup(O172,'Prix vente'!A:A,'Prix vente'!H:H)&amp;"/"&amp;_xlfn.xlookup(O172,'Prix vente'!A:A,'Prix vente'!P:P)&amp;"/"&amp;_xlfn.xlookup(O172,'Prix vente'!A:A,'Prix vente'!Q:Q)/1000</f>
        <v>//0</v>
      </c>
      <c r="Q172" s="106"/>
      <c r="R172" s="106" t="n">
        <f aca="false">Q172*_xlfn.xlookup(O172,'Prix vente'!A:A,'Prix vente'!R:R)</f>
        <v>0</v>
      </c>
      <c r="S172" s="118"/>
      <c r="T172" s="118" t="str">
        <f aca="false">_xlfn.xlookup(S172,'Prix vente'!$A:$A,'Prix vente'!$H:$H)&amp;"/"&amp;_xlfn.xlookup(S172,'Prix vente'!A:A,'Prix vente'!P:P)&amp;"/"&amp;_xlfn.xlookup(S172,'Prix vente'!A:A,'Prix vente'!Q:Q)/1000</f>
        <v>//0</v>
      </c>
      <c r="U172" s="118"/>
      <c r="V172" s="118" t="n">
        <f aca="false">IFERROR(U172*_xlfn.xlookup(S172,'Prix vente'!$A:$A,'Prix vente'!$R:$R),"")</f>
        <v>0</v>
      </c>
      <c r="W172" s="106"/>
      <c r="X172" s="106" t="str">
        <f aca="false">_xlfn.xlookup(W172,'Prix vente'!$A:$A,'Prix vente'!$H:$H)&amp;"/"&amp;_xlfn.xlookup(W172,'Prix vente'!A:A,'Prix vente'!P:P)&amp;"/"&amp;_xlfn.xlookup(W172,'Prix vente'!A:A,'Prix vente'!Q:Q)/1000</f>
        <v>//0</v>
      </c>
      <c r="Y172" s="106"/>
      <c r="Z172" s="106" t="n">
        <f aca="false">IFERROR(Y172*_xlfn.xlookup(W172,'Prix vente'!$A:$A,'Prix vente'!$R:$R),"")</f>
        <v>0</v>
      </c>
      <c r="AA172" s="118"/>
      <c r="AB172" s="118" t="str">
        <f aca="false">_xlfn.xlookup(AA172,'Prix vente'!$A:$A,'Prix vente'!$H:$H)&amp;"/"&amp;_xlfn.xlookup(AA172,'Prix vente'!A:A,'Prix vente'!P:P)&amp;"/"&amp;_xlfn.xlookup(AA172,'Prix vente'!A:A,'Prix vente'!Q:Q)/1000</f>
        <v>//0</v>
      </c>
      <c r="AC172" s="118"/>
      <c r="AD172" s="118" t="n">
        <f aca="false">IFERROR(AC172*_xlfn.xlookup(AA172,'Prix vente'!$A:$A,'Prix vente'!$R:$R),"")</f>
        <v>0</v>
      </c>
      <c r="AE172" s="106"/>
      <c r="AF172" s="106" t="str">
        <f aca="false">_xlfn.xlookup(AE172,'Prix vente'!$A:$A,'Prix vente'!$H:$H)&amp;"/"&amp;_xlfn.xlookup(AE172,'Prix vente'!$A:$A,'Prix vente'!$P:$P)&amp;"/"&amp;_xlfn.xlookup(AE172,'Prix vente'!A:A,'Prix vente'!Q:Q)/1000</f>
        <v>//0</v>
      </c>
      <c r="AG172" s="106"/>
      <c r="AH172" s="106" t="n">
        <f aca="false">IFERROR(AG172*_xlfn.xlookup(AE172,'Prix vente'!$A:$A,'Prix vente'!$R:$R),"")</f>
        <v>0</v>
      </c>
      <c r="AI172" s="118"/>
      <c r="AJ172" s="118" t="str">
        <f aca="false">_xlfn.xlookup(AI172,'Prix vente'!$A:$A,'Prix vente'!$H:$H)&amp;"/"&amp;_xlfn.xlookup(AI172,'Prix vente'!$A:$A,'Prix vente'!$P:$P)&amp;"/"&amp;_xlfn.xlookup(AI172,'Prix vente'!A:A,'Prix vente'!Q:Q)/1000</f>
        <v>//0</v>
      </c>
      <c r="AK172" s="118"/>
      <c r="AL172" s="118" t="n">
        <f aca="false">IFERROR(AK172*_xlfn.xlookup(AI172,'Prix vente'!$A:$A,'Prix vente'!$R:$R),"")</f>
        <v>0</v>
      </c>
      <c r="AM172" s="106"/>
      <c r="AN172" s="106" t="str">
        <f aca="false">_xlfn.xlookup(AM172,'Prix vente'!$A:$A,'Prix vente'!$H:$H)&amp;"/"&amp;_xlfn.xlookup(AM172,'Prix vente'!$A:$A,'Prix vente'!$P:$P)&amp;"/"&amp;_xlfn.xlookup(AM172,'Prix vente'!A:A,'Prix vente'!Q:Q)/1000</f>
        <v>//0</v>
      </c>
      <c r="AO172" s="106"/>
      <c r="AP172" s="106" t="n">
        <f aca="false">IFERROR(AO172*_xlfn.xlookup(AM172,'Prix vente'!$A:$A,'Prix vente'!$R:$R),"")</f>
        <v>0</v>
      </c>
      <c r="AQ172" s="118"/>
      <c r="AR172" s="118" t="str">
        <f aca="false">_xlfn.xlookup(AQ172,'Prix vente'!$A:$A,'Prix vente'!$H:$H)&amp;"/"&amp;_xlfn.xlookup(AQ172,'Prix vente'!$A:$A,'Prix vente'!$P:$P)&amp;"/"&amp;_xlfn.xlookup(AQ172,'Prix vente'!A:A,'Prix vente'!Q:Q)/1000</f>
        <v>//0</v>
      </c>
      <c r="AS172" s="118"/>
      <c r="AT172" s="118" t="n">
        <f aca="false">IFERROR(AS172*_xlfn.xlookup(AQ172,'Prix vente'!$A:$A,'Prix vente'!$R:$R),"")</f>
        <v>0</v>
      </c>
      <c r="AU172" s="106"/>
      <c r="AV172" s="106"/>
      <c r="AW172" s="106"/>
      <c r="AX172" s="106"/>
      <c r="AY172" s="118"/>
      <c r="AZ172" s="118"/>
      <c r="BA172" s="118"/>
      <c r="BB172" s="118"/>
    </row>
    <row r="173" customFormat="false" ht="14.25" hidden="false" customHeight="false" outlineLevel="0" collapsed="false">
      <c r="A173" s="107" t="n">
        <v>321</v>
      </c>
      <c r="B173" s="107"/>
      <c r="C173" s="11"/>
      <c r="D173" s="11"/>
      <c r="E173" s="114"/>
      <c r="F173" s="115"/>
      <c r="G173" s="115"/>
      <c r="H173" s="115"/>
      <c r="I173" s="100" t="n">
        <f aca="false">_xlfn.xlookup(C173,Clients!B:B,Clients!W:W,FALSE())</f>
        <v>0</v>
      </c>
      <c r="J173" s="116" t="n">
        <f aca="false">_xlfn.xlookup(C173,Clients!$B$1:$B$1001,Clients!$M$1:$M$1001,FALSE())</f>
        <v>0</v>
      </c>
      <c r="K173" s="100" t="n">
        <f aca="false">_xlfn.xlookup(C173,Clients!B:B,Clients!R:R,FALSE())</f>
        <v>0</v>
      </c>
      <c r="L173" s="117"/>
      <c r="M173" s="98" t="n">
        <f aca="false">_xlfn.xlookup(C173,Clients!B:B,Clients!X:X,FALSE())</f>
        <v>0</v>
      </c>
      <c r="N173" s="98" t="n">
        <f aca="false">_xlfn.xlookup(C173,Clients!B:B,Clients!Y:Y,FALSE())</f>
        <v>0</v>
      </c>
      <c r="O173" s="106"/>
      <c r="P173" s="106" t="str">
        <f aca="false">_xlfn.xlookup(O173,'Prix vente'!A:A,'Prix vente'!H:H)&amp;"/"&amp;_xlfn.xlookup(O173,'Prix vente'!A:A,'Prix vente'!P:P)&amp;"/"&amp;_xlfn.xlookup(O173,'Prix vente'!A:A,'Prix vente'!Q:Q)/1000</f>
        <v>//0</v>
      </c>
      <c r="Q173" s="106"/>
      <c r="R173" s="106" t="n">
        <f aca="false">Q173*_xlfn.xlookup(O173,'Prix vente'!A:A,'Prix vente'!R:R)</f>
        <v>0</v>
      </c>
      <c r="S173" s="118"/>
      <c r="T173" s="118" t="str">
        <f aca="false">_xlfn.xlookup(S173,'Prix vente'!$A:$A,'Prix vente'!$H:$H)&amp;"/"&amp;_xlfn.xlookup(S173,'Prix vente'!A:A,'Prix vente'!P:P)&amp;"/"&amp;_xlfn.xlookup(S173,'Prix vente'!A:A,'Prix vente'!Q:Q)/1000</f>
        <v>//0</v>
      </c>
      <c r="U173" s="118"/>
      <c r="V173" s="118" t="n">
        <f aca="false">IFERROR(U173*_xlfn.xlookup(S173,'Prix vente'!$A:$A,'Prix vente'!$R:$R),"")</f>
        <v>0</v>
      </c>
      <c r="W173" s="106"/>
      <c r="X173" s="106" t="str">
        <f aca="false">_xlfn.xlookup(W173,'Prix vente'!$A:$A,'Prix vente'!$H:$H)&amp;"/"&amp;_xlfn.xlookup(W173,'Prix vente'!A:A,'Prix vente'!P:P)&amp;"/"&amp;_xlfn.xlookup(W173,'Prix vente'!A:A,'Prix vente'!Q:Q)/1000</f>
        <v>//0</v>
      </c>
      <c r="Y173" s="106"/>
      <c r="Z173" s="106" t="n">
        <f aca="false">IFERROR(Y173*_xlfn.xlookup(W173,'Prix vente'!$A:$A,'Prix vente'!$R:$R),"")</f>
        <v>0</v>
      </c>
      <c r="AA173" s="118"/>
      <c r="AB173" s="118" t="str">
        <f aca="false">_xlfn.xlookup(AA173,'Prix vente'!$A:$A,'Prix vente'!$H:$H)&amp;"/"&amp;_xlfn.xlookup(AA173,'Prix vente'!A:A,'Prix vente'!P:P)&amp;"/"&amp;_xlfn.xlookup(AA173,'Prix vente'!A:A,'Prix vente'!Q:Q)/1000</f>
        <v>//0</v>
      </c>
      <c r="AC173" s="118"/>
      <c r="AD173" s="118" t="n">
        <f aca="false">IFERROR(AC173*_xlfn.xlookup(AA173,'Prix vente'!$A:$A,'Prix vente'!$R:$R),"")</f>
        <v>0</v>
      </c>
      <c r="AE173" s="106"/>
      <c r="AF173" s="106" t="str">
        <f aca="false">_xlfn.xlookup(AE173,'Prix vente'!$A:$A,'Prix vente'!$H:$H)&amp;"/"&amp;_xlfn.xlookup(AE173,'Prix vente'!$A:$A,'Prix vente'!$P:$P)&amp;"/"&amp;_xlfn.xlookup(AE173,'Prix vente'!A:A,'Prix vente'!Q:Q)/1000</f>
        <v>//0</v>
      </c>
      <c r="AG173" s="106"/>
      <c r="AH173" s="106" t="n">
        <f aca="false">IFERROR(AG173*_xlfn.xlookup(AE173,'Prix vente'!$A:$A,'Prix vente'!$R:$R),"")</f>
        <v>0</v>
      </c>
      <c r="AI173" s="118"/>
      <c r="AJ173" s="118" t="str">
        <f aca="false">_xlfn.xlookup(AI173,'Prix vente'!$A:$A,'Prix vente'!$H:$H)&amp;"/"&amp;_xlfn.xlookup(AI173,'Prix vente'!$A:$A,'Prix vente'!$P:$P)&amp;"/"&amp;_xlfn.xlookup(AI173,'Prix vente'!A:A,'Prix vente'!Q:Q)/1000</f>
        <v>//0</v>
      </c>
      <c r="AK173" s="118"/>
      <c r="AL173" s="118" t="n">
        <f aca="false">IFERROR(AK173*_xlfn.xlookup(AI173,'Prix vente'!$A:$A,'Prix vente'!$R:$R),"")</f>
        <v>0</v>
      </c>
      <c r="AM173" s="106"/>
      <c r="AN173" s="106" t="str">
        <f aca="false">_xlfn.xlookup(AM173,'Prix vente'!$A:$A,'Prix vente'!$H:$H)&amp;"/"&amp;_xlfn.xlookup(AM173,'Prix vente'!$A:$A,'Prix vente'!$P:$P)&amp;"/"&amp;_xlfn.xlookup(AM173,'Prix vente'!A:A,'Prix vente'!Q:Q)/1000</f>
        <v>//0</v>
      </c>
      <c r="AO173" s="106"/>
      <c r="AP173" s="106" t="n">
        <f aca="false">IFERROR(AO173*_xlfn.xlookup(AM173,'Prix vente'!$A:$A,'Prix vente'!$R:$R),"")</f>
        <v>0</v>
      </c>
      <c r="AQ173" s="118"/>
      <c r="AR173" s="118" t="str">
        <f aca="false">_xlfn.xlookup(AQ173,'Prix vente'!$A:$A,'Prix vente'!$H:$H)&amp;"/"&amp;_xlfn.xlookup(AQ173,'Prix vente'!$A:$A,'Prix vente'!$P:$P)&amp;"/"&amp;_xlfn.xlookup(AQ173,'Prix vente'!A:A,'Prix vente'!Q:Q)/1000</f>
        <v>//0</v>
      </c>
      <c r="AS173" s="118"/>
      <c r="AT173" s="118" t="n">
        <f aca="false">IFERROR(AS173*_xlfn.xlookup(AQ173,'Prix vente'!$A:$A,'Prix vente'!$R:$R),"")</f>
        <v>0</v>
      </c>
      <c r="AU173" s="106"/>
      <c r="AV173" s="106"/>
      <c r="AW173" s="106"/>
      <c r="AX173" s="106"/>
      <c r="AY173" s="118"/>
      <c r="AZ173" s="118"/>
      <c r="BA173" s="118"/>
      <c r="BB173" s="118"/>
    </row>
    <row r="174" customFormat="false" ht="14.25" hidden="false" customHeight="false" outlineLevel="0" collapsed="false">
      <c r="A174" s="107" t="n">
        <v>322</v>
      </c>
      <c r="B174" s="107"/>
      <c r="C174" s="11"/>
      <c r="D174" s="11"/>
      <c r="E174" s="114"/>
      <c r="F174" s="115"/>
      <c r="G174" s="115"/>
      <c r="H174" s="115"/>
      <c r="I174" s="100" t="n">
        <f aca="false">_xlfn.xlookup(C174,Clients!B:B,Clients!W:W,FALSE())</f>
        <v>0</v>
      </c>
      <c r="J174" s="116" t="n">
        <f aca="false">_xlfn.xlookup(C174,Clients!$B$1:$B$1001,Clients!$M$1:$M$1001,FALSE())</f>
        <v>0</v>
      </c>
      <c r="K174" s="100" t="n">
        <f aca="false">_xlfn.xlookup(C174,Clients!B:B,Clients!R:R,FALSE())</f>
        <v>0</v>
      </c>
      <c r="L174" s="117"/>
      <c r="M174" s="98" t="n">
        <f aca="false">_xlfn.xlookup(C174,Clients!B:B,Clients!X:X,FALSE())</f>
        <v>0</v>
      </c>
      <c r="N174" s="98" t="n">
        <f aca="false">_xlfn.xlookup(C174,Clients!B:B,Clients!Y:Y,FALSE())</f>
        <v>0</v>
      </c>
      <c r="O174" s="106"/>
      <c r="P174" s="106" t="str">
        <f aca="false">_xlfn.xlookup(O174,'Prix vente'!A:A,'Prix vente'!H:H)&amp;"/"&amp;_xlfn.xlookup(O174,'Prix vente'!A:A,'Prix vente'!P:P)&amp;"/"&amp;_xlfn.xlookup(O174,'Prix vente'!A:A,'Prix vente'!Q:Q)/1000</f>
        <v>//0</v>
      </c>
      <c r="Q174" s="106"/>
      <c r="R174" s="106" t="n">
        <f aca="false">Q174*_xlfn.xlookup(O174,'Prix vente'!A:A,'Prix vente'!R:R)</f>
        <v>0</v>
      </c>
      <c r="S174" s="118"/>
      <c r="T174" s="118" t="str">
        <f aca="false">_xlfn.xlookup(S174,'Prix vente'!$A:$A,'Prix vente'!$H:$H)&amp;"/"&amp;_xlfn.xlookup(S174,'Prix vente'!A:A,'Prix vente'!P:P)&amp;"/"&amp;_xlfn.xlookup(S174,'Prix vente'!A:A,'Prix vente'!Q:Q)/1000</f>
        <v>//0</v>
      </c>
      <c r="U174" s="118"/>
      <c r="V174" s="118" t="n">
        <f aca="false">IFERROR(U174*_xlfn.xlookup(S174,'Prix vente'!$A:$A,'Prix vente'!$R:$R),"")</f>
        <v>0</v>
      </c>
      <c r="W174" s="106"/>
      <c r="X174" s="106" t="str">
        <f aca="false">_xlfn.xlookup(W174,'Prix vente'!$A:$A,'Prix vente'!$H:$H)&amp;"/"&amp;_xlfn.xlookup(W174,'Prix vente'!A:A,'Prix vente'!P:P)&amp;"/"&amp;_xlfn.xlookup(W174,'Prix vente'!A:A,'Prix vente'!Q:Q)/1000</f>
        <v>//0</v>
      </c>
      <c r="Y174" s="106"/>
      <c r="Z174" s="106" t="n">
        <f aca="false">IFERROR(Y174*_xlfn.xlookup(W174,'Prix vente'!$A:$A,'Prix vente'!$R:$R),"")</f>
        <v>0</v>
      </c>
      <c r="AA174" s="118"/>
      <c r="AB174" s="118" t="str">
        <f aca="false">_xlfn.xlookup(AA174,'Prix vente'!$A:$A,'Prix vente'!$H:$H)&amp;"/"&amp;_xlfn.xlookup(AA174,'Prix vente'!A:A,'Prix vente'!P:P)&amp;"/"&amp;_xlfn.xlookup(AA174,'Prix vente'!A:A,'Prix vente'!Q:Q)/1000</f>
        <v>//0</v>
      </c>
      <c r="AC174" s="118"/>
      <c r="AD174" s="118" t="n">
        <f aca="false">IFERROR(AC174*_xlfn.xlookup(AA174,'Prix vente'!$A:$A,'Prix vente'!$R:$R),"")</f>
        <v>0</v>
      </c>
      <c r="AE174" s="106"/>
      <c r="AF174" s="106" t="str">
        <f aca="false">_xlfn.xlookup(AE174,'Prix vente'!$A:$A,'Prix vente'!$H:$H)&amp;"/"&amp;_xlfn.xlookup(AE174,'Prix vente'!$A:$A,'Prix vente'!$P:$P)&amp;"/"&amp;_xlfn.xlookup(AE174,'Prix vente'!A:A,'Prix vente'!Q:Q)/1000</f>
        <v>//0</v>
      </c>
      <c r="AG174" s="106"/>
      <c r="AH174" s="106" t="n">
        <f aca="false">IFERROR(AG174*_xlfn.xlookup(AE174,'Prix vente'!$A:$A,'Prix vente'!$R:$R),"")</f>
        <v>0</v>
      </c>
      <c r="AI174" s="118"/>
      <c r="AJ174" s="118" t="str">
        <f aca="false">_xlfn.xlookup(AI174,'Prix vente'!$A:$A,'Prix vente'!$H:$H)&amp;"/"&amp;_xlfn.xlookup(AI174,'Prix vente'!$A:$A,'Prix vente'!$P:$P)&amp;"/"&amp;_xlfn.xlookup(AI174,'Prix vente'!A:A,'Prix vente'!Q:Q)/1000</f>
        <v>//0</v>
      </c>
      <c r="AK174" s="118"/>
      <c r="AL174" s="118" t="n">
        <f aca="false">IFERROR(AK174*_xlfn.xlookup(AI174,'Prix vente'!$A:$A,'Prix vente'!$R:$R),"")</f>
        <v>0</v>
      </c>
      <c r="AM174" s="106"/>
      <c r="AN174" s="106" t="str">
        <f aca="false">_xlfn.xlookup(AM174,'Prix vente'!$A:$A,'Prix vente'!$H:$H)&amp;"/"&amp;_xlfn.xlookup(AM174,'Prix vente'!$A:$A,'Prix vente'!$P:$P)&amp;"/"&amp;_xlfn.xlookup(AM174,'Prix vente'!A:A,'Prix vente'!Q:Q)/1000</f>
        <v>//0</v>
      </c>
      <c r="AO174" s="106"/>
      <c r="AP174" s="106" t="n">
        <f aca="false">IFERROR(AO174*_xlfn.xlookup(AM174,'Prix vente'!$A:$A,'Prix vente'!$R:$R),"")</f>
        <v>0</v>
      </c>
      <c r="AQ174" s="118"/>
      <c r="AR174" s="118" t="str">
        <f aca="false">_xlfn.xlookup(AQ174,'Prix vente'!$A:$A,'Prix vente'!$H:$H)&amp;"/"&amp;_xlfn.xlookup(AQ174,'Prix vente'!$A:$A,'Prix vente'!$P:$P)&amp;"/"&amp;_xlfn.xlookup(AQ174,'Prix vente'!A:A,'Prix vente'!Q:Q)/1000</f>
        <v>//0</v>
      </c>
      <c r="AS174" s="118"/>
      <c r="AT174" s="118" t="n">
        <f aca="false">IFERROR(AS174*_xlfn.xlookup(AQ174,'Prix vente'!$A:$A,'Prix vente'!$R:$R),"")</f>
        <v>0</v>
      </c>
      <c r="AU174" s="106"/>
      <c r="AV174" s="106"/>
      <c r="AW174" s="106"/>
      <c r="AX174" s="106"/>
      <c r="AY174" s="118"/>
      <c r="AZ174" s="118"/>
      <c r="BA174" s="118"/>
      <c r="BB174" s="118"/>
    </row>
    <row r="175" customFormat="false" ht="14.25" hidden="false" customHeight="false" outlineLevel="0" collapsed="false">
      <c r="A175" s="107" t="n">
        <v>323</v>
      </c>
      <c r="B175" s="107"/>
      <c r="C175" s="11"/>
      <c r="D175" s="11"/>
      <c r="E175" s="114"/>
      <c r="F175" s="115"/>
      <c r="G175" s="115"/>
      <c r="H175" s="115"/>
      <c r="I175" s="100" t="n">
        <f aca="false">_xlfn.xlookup(C175,Clients!B:B,Clients!W:W,FALSE())</f>
        <v>0</v>
      </c>
      <c r="J175" s="116" t="n">
        <f aca="false">_xlfn.xlookup(C175,Clients!$B$1:$B$1001,Clients!$M$1:$M$1001,FALSE())</f>
        <v>0</v>
      </c>
      <c r="K175" s="100" t="n">
        <f aca="false">_xlfn.xlookup(C175,Clients!B:B,Clients!R:R,FALSE())</f>
        <v>0</v>
      </c>
      <c r="L175" s="117"/>
      <c r="M175" s="98" t="n">
        <f aca="false">_xlfn.xlookup(C175,Clients!B:B,Clients!X:X,FALSE())</f>
        <v>0</v>
      </c>
      <c r="N175" s="98" t="n">
        <f aca="false">_xlfn.xlookup(C175,Clients!B:B,Clients!Y:Y,FALSE())</f>
        <v>0</v>
      </c>
      <c r="O175" s="106"/>
      <c r="P175" s="106" t="str">
        <f aca="false">_xlfn.xlookup(O175,'Prix vente'!A:A,'Prix vente'!H:H)&amp;"/"&amp;_xlfn.xlookup(O175,'Prix vente'!A:A,'Prix vente'!P:P)&amp;"/"&amp;_xlfn.xlookup(O175,'Prix vente'!A:A,'Prix vente'!Q:Q)/1000</f>
        <v>//0</v>
      </c>
      <c r="Q175" s="106"/>
      <c r="R175" s="106" t="n">
        <f aca="false">Q175*_xlfn.xlookup(O175,'Prix vente'!A:A,'Prix vente'!R:R)</f>
        <v>0</v>
      </c>
      <c r="S175" s="118"/>
      <c r="T175" s="118" t="str">
        <f aca="false">_xlfn.xlookup(S175,'Prix vente'!$A:$A,'Prix vente'!$H:$H)&amp;"/"&amp;_xlfn.xlookup(S175,'Prix vente'!A:A,'Prix vente'!P:P)&amp;"/"&amp;_xlfn.xlookup(S175,'Prix vente'!A:A,'Prix vente'!Q:Q)/1000</f>
        <v>//0</v>
      </c>
      <c r="U175" s="118"/>
      <c r="V175" s="118" t="n">
        <f aca="false">IFERROR(U175*_xlfn.xlookup(S175,'Prix vente'!$A:$A,'Prix vente'!$R:$R),"")</f>
        <v>0</v>
      </c>
      <c r="W175" s="106"/>
      <c r="X175" s="106" t="str">
        <f aca="false">_xlfn.xlookup(W175,'Prix vente'!$A:$A,'Prix vente'!$H:$H)&amp;"/"&amp;_xlfn.xlookup(W175,'Prix vente'!A:A,'Prix vente'!P:P)&amp;"/"&amp;_xlfn.xlookup(W175,'Prix vente'!A:A,'Prix vente'!Q:Q)/1000</f>
        <v>//0</v>
      </c>
      <c r="Y175" s="106"/>
      <c r="Z175" s="106" t="n">
        <f aca="false">IFERROR(Y175*_xlfn.xlookup(W175,'Prix vente'!$A:$A,'Prix vente'!$R:$R),"")</f>
        <v>0</v>
      </c>
      <c r="AA175" s="118"/>
      <c r="AB175" s="118" t="str">
        <f aca="false">_xlfn.xlookup(AA175,'Prix vente'!$A:$A,'Prix vente'!$H:$H)&amp;"/"&amp;_xlfn.xlookup(AA175,'Prix vente'!A:A,'Prix vente'!P:P)&amp;"/"&amp;_xlfn.xlookup(AA175,'Prix vente'!A:A,'Prix vente'!Q:Q)/1000</f>
        <v>//0</v>
      </c>
      <c r="AC175" s="118"/>
      <c r="AD175" s="118" t="n">
        <f aca="false">IFERROR(AC175*_xlfn.xlookup(AA175,'Prix vente'!$A:$A,'Prix vente'!$R:$R),"")</f>
        <v>0</v>
      </c>
      <c r="AE175" s="106"/>
      <c r="AF175" s="106" t="str">
        <f aca="false">_xlfn.xlookup(AE175,'Prix vente'!$A:$A,'Prix vente'!$H:$H)&amp;"/"&amp;_xlfn.xlookup(AE175,'Prix vente'!$A:$A,'Prix vente'!$P:$P)&amp;"/"&amp;_xlfn.xlookup(AE175,'Prix vente'!A:A,'Prix vente'!Q:Q)/1000</f>
        <v>//0</v>
      </c>
      <c r="AG175" s="106"/>
      <c r="AH175" s="106" t="n">
        <f aca="false">IFERROR(AG175*_xlfn.xlookup(AE175,'Prix vente'!$A:$A,'Prix vente'!$R:$R),"")</f>
        <v>0</v>
      </c>
      <c r="AI175" s="118"/>
      <c r="AJ175" s="118" t="str">
        <f aca="false">_xlfn.xlookup(AI175,'Prix vente'!$A:$A,'Prix vente'!$H:$H)&amp;"/"&amp;_xlfn.xlookup(AI175,'Prix vente'!$A:$A,'Prix vente'!$P:$P)&amp;"/"&amp;_xlfn.xlookup(AI175,'Prix vente'!A:A,'Prix vente'!Q:Q)/1000</f>
        <v>//0</v>
      </c>
      <c r="AK175" s="118"/>
      <c r="AL175" s="118" t="n">
        <f aca="false">IFERROR(AK175*_xlfn.xlookup(AI175,'Prix vente'!$A:$A,'Prix vente'!$R:$R),"")</f>
        <v>0</v>
      </c>
      <c r="AM175" s="106"/>
      <c r="AN175" s="106" t="str">
        <f aca="false">_xlfn.xlookup(AM175,'Prix vente'!$A:$A,'Prix vente'!$H:$H)&amp;"/"&amp;_xlfn.xlookup(AM175,'Prix vente'!$A:$A,'Prix vente'!$P:$P)&amp;"/"&amp;_xlfn.xlookup(AM175,'Prix vente'!A:A,'Prix vente'!Q:Q)/1000</f>
        <v>//0</v>
      </c>
      <c r="AO175" s="106"/>
      <c r="AP175" s="106" t="n">
        <f aca="false">IFERROR(AO175*_xlfn.xlookup(AM175,'Prix vente'!$A:$A,'Prix vente'!$R:$R),"")</f>
        <v>0</v>
      </c>
      <c r="AQ175" s="118"/>
      <c r="AR175" s="118" t="str">
        <f aca="false">_xlfn.xlookup(AQ175,'Prix vente'!$A:$A,'Prix vente'!$H:$H)&amp;"/"&amp;_xlfn.xlookup(AQ175,'Prix vente'!$A:$A,'Prix vente'!$P:$P)&amp;"/"&amp;_xlfn.xlookup(AQ175,'Prix vente'!A:A,'Prix vente'!Q:Q)/1000</f>
        <v>//0</v>
      </c>
      <c r="AS175" s="118"/>
      <c r="AT175" s="118" t="n">
        <f aca="false">IFERROR(AS175*_xlfn.xlookup(AQ175,'Prix vente'!$A:$A,'Prix vente'!$R:$R),"")</f>
        <v>0</v>
      </c>
      <c r="AU175" s="106"/>
      <c r="AV175" s="106"/>
      <c r="AW175" s="106"/>
      <c r="AX175" s="106"/>
      <c r="AY175" s="118"/>
      <c r="AZ175" s="118"/>
      <c r="BA175" s="118"/>
      <c r="BB175" s="118"/>
    </row>
    <row r="176" customFormat="false" ht="14.25" hidden="false" customHeight="false" outlineLevel="0" collapsed="false">
      <c r="A176" s="107" t="n">
        <v>324</v>
      </c>
      <c r="B176" s="107"/>
      <c r="C176" s="11"/>
      <c r="D176" s="11"/>
      <c r="E176" s="114"/>
      <c r="F176" s="115"/>
      <c r="G176" s="115"/>
      <c r="H176" s="115"/>
      <c r="I176" s="100" t="n">
        <f aca="false">_xlfn.xlookup(C176,Clients!B:B,Clients!W:W,FALSE())</f>
        <v>0</v>
      </c>
      <c r="J176" s="116" t="n">
        <f aca="false">_xlfn.xlookup(C176,Clients!$B$1:$B$1001,Clients!$M$1:$M$1001,FALSE())</f>
        <v>0</v>
      </c>
      <c r="K176" s="100" t="n">
        <f aca="false">_xlfn.xlookup(C176,Clients!B:B,Clients!R:R,FALSE())</f>
        <v>0</v>
      </c>
      <c r="L176" s="117"/>
      <c r="M176" s="98" t="n">
        <f aca="false">_xlfn.xlookup(C176,Clients!B:B,Clients!X:X,FALSE())</f>
        <v>0</v>
      </c>
      <c r="N176" s="98" t="n">
        <f aca="false">_xlfn.xlookup(C176,Clients!B:B,Clients!Y:Y,FALSE())</f>
        <v>0</v>
      </c>
      <c r="O176" s="106"/>
      <c r="P176" s="106" t="str">
        <f aca="false">_xlfn.xlookup(O176,'Prix vente'!A:A,'Prix vente'!H:H)&amp;"/"&amp;_xlfn.xlookup(O176,'Prix vente'!A:A,'Prix vente'!P:P)&amp;"/"&amp;_xlfn.xlookup(O176,'Prix vente'!A:A,'Prix vente'!Q:Q)/1000</f>
        <v>//0</v>
      </c>
      <c r="Q176" s="106"/>
      <c r="R176" s="106" t="n">
        <f aca="false">Q176*_xlfn.xlookup(O176,'Prix vente'!A:A,'Prix vente'!R:R)</f>
        <v>0</v>
      </c>
      <c r="S176" s="118"/>
      <c r="T176" s="118" t="str">
        <f aca="false">_xlfn.xlookup(S176,'Prix vente'!$A:$A,'Prix vente'!$H:$H)&amp;"/"&amp;_xlfn.xlookup(S176,'Prix vente'!A:A,'Prix vente'!P:P)&amp;"/"&amp;_xlfn.xlookup(S176,'Prix vente'!A:A,'Prix vente'!Q:Q)/1000</f>
        <v>//0</v>
      </c>
      <c r="U176" s="118"/>
      <c r="V176" s="118" t="n">
        <f aca="false">IFERROR(U176*_xlfn.xlookup(S176,'Prix vente'!$A:$A,'Prix vente'!$R:$R),"")</f>
        <v>0</v>
      </c>
      <c r="W176" s="106"/>
      <c r="X176" s="106" t="str">
        <f aca="false">_xlfn.xlookup(W176,'Prix vente'!$A:$A,'Prix vente'!$H:$H)&amp;"/"&amp;_xlfn.xlookup(W176,'Prix vente'!A:A,'Prix vente'!P:P)&amp;"/"&amp;_xlfn.xlookup(W176,'Prix vente'!A:A,'Prix vente'!Q:Q)/1000</f>
        <v>//0</v>
      </c>
      <c r="Y176" s="106"/>
      <c r="Z176" s="106" t="n">
        <f aca="false">IFERROR(Y176*_xlfn.xlookup(W176,'Prix vente'!$A:$A,'Prix vente'!$R:$R),"")</f>
        <v>0</v>
      </c>
      <c r="AA176" s="118"/>
      <c r="AB176" s="118" t="str">
        <f aca="false">_xlfn.xlookup(AA176,'Prix vente'!$A:$A,'Prix vente'!$H:$H)&amp;"/"&amp;_xlfn.xlookup(AA176,'Prix vente'!A:A,'Prix vente'!P:P)&amp;"/"&amp;_xlfn.xlookup(AA176,'Prix vente'!A:A,'Prix vente'!Q:Q)/1000</f>
        <v>//0</v>
      </c>
      <c r="AC176" s="118"/>
      <c r="AD176" s="118" t="n">
        <f aca="false">IFERROR(AC176*_xlfn.xlookup(AA176,'Prix vente'!$A:$A,'Prix vente'!$R:$R),"")</f>
        <v>0</v>
      </c>
      <c r="AE176" s="106"/>
      <c r="AF176" s="106" t="str">
        <f aca="false">_xlfn.xlookup(AE176,'Prix vente'!$A:$A,'Prix vente'!$H:$H)&amp;"/"&amp;_xlfn.xlookup(AE176,'Prix vente'!$A:$A,'Prix vente'!$P:$P)&amp;"/"&amp;_xlfn.xlookup(AE176,'Prix vente'!A:A,'Prix vente'!Q:Q)/1000</f>
        <v>//0</v>
      </c>
      <c r="AG176" s="106"/>
      <c r="AH176" s="106" t="n">
        <f aca="false">IFERROR(AG176*_xlfn.xlookup(AE176,'Prix vente'!$A:$A,'Prix vente'!$R:$R),"")</f>
        <v>0</v>
      </c>
      <c r="AI176" s="118"/>
      <c r="AJ176" s="118" t="str">
        <f aca="false">_xlfn.xlookup(AI176,'Prix vente'!$A:$A,'Prix vente'!$H:$H)&amp;"/"&amp;_xlfn.xlookup(AI176,'Prix vente'!$A:$A,'Prix vente'!$P:$P)&amp;"/"&amp;_xlfn.xlookup(AI176,'Prix vente'!A:A,'Prix vente'!Q:Q)/1000</f>
        <v>//0</v>
      </c>
      <c r="AK176" s="118"/>
      <c r="AL176" s="118" t="n">
        <f aca="false">IFERROR(AK176*_xlfn.xlookup(AI176,'Prix vente'!$A:$A,'Prix vente'!$R:$R),"")</f>
        <v>0</v>
      </c>
      <c r="AM176" s="106"/>
      <c r="AN176" s="106" t="str">
        <f aca="false">_xlfn.xlookup(AM176,'Prix vente'!$A:$A,'Prix vente'!$H:$H)&amp;"/"&amp;_xlfn.xlookup(AM176,'Prix vente'!$A:$A,'Prix vente'!$P:$P)&amp;"/"&amp;_xlfn.xlookup(AM176,'Prix vente'!A:A,'Prix vente'!Q:Q)/1000</f>
        <v>//0</v>
      </c>
      <c r="AO176" s="106"/>
      <c r="AP176" s="106" t="n">
        <f aca="false">IFERROR(AO176*_xlfn.xlookup(AM176,'Prix vente'!$A:$A,'Prix vente'!$R:$R),"")</f>
        <v>0</v>
      </c>
      <c r="AQ176" s="118"/>
      <c r="AR176" s="118" t="str">
        <f aca="false">_xlfn.xlookup(AQ176,'Prix vente'!$A:$A,'Prix vente'!$H:$H)&amp;"/"&amp;_xlfn.xlookup(AQ176,'Prix vente'!$A:$A,'Prix vente'!$P:$P)&amp;"/"&amp;_xlfn.xlookup(AQ176,'Prix vente'!A:A,'Prix vente'!Q:Q)/1000</f>
        <v>//0</v>
      </c>
      <c r="AS176" s="118"/>
      <c r="AT176" s="118" t="n">
        <f aca="false">IFERROR(AS176*_xlfn.xlookup(AQ176,'Prix vente'!$A:$A,'Prix vente'!$R:$R),"")</f>
        <v>0</v>
      </c>
      <c r="AU176" s="106"/>
      <c r="AV176" s="106"/>
      <c r="AW176" s="106"/>
      <c r="AX176" s="106"/>
      <c r="AY176" s="118"/>
      <c r="AZ176" s="118"/>
      <c r="BA176" s="118"/>
      <c r="BB176" s="118"/>
    </row>
    <row r="177" customFormat="false" ht="14.25" hidden="false" customHeight="false" outlineLevel="0" collapsed="false">
      <c r="A177" s="107" t="n">
        <v>325</v>
      </c>
      <c r="B177" s="107"/>
      <c r="C177" s="11"/>
      <c r="D177" s="11"/>
      <c r="E177" s="114"/>
      <c r="F177" s="115"/>
      <c r="G177" s="115"/>
      <c r="H177" s="115"/>
      <c r="I177" s="100" t="n">
        <f aca="false">_xlfn.xlookup(C177,Clients!B:B,Clients!W:W,FALSE())</f>
        <v>0</v>
      </c>
      <c r="J177" s="116" t="n">
        <f aca="false">_xlfn.xlookup(C177,Clients!$B$1:$B$1001,Clients!$M$1:$M$1001,FALSE())</f>
        <v>0</v>
      </c>
      <c r="K177" s="100" t="n">
        <f aca="false">_xlfn.xlookup(C177,Clients!B:B,Clients!R:R,FALSE())</f>
        <v>0</v>
      </c>
      <c r="L177" s="117"/>
      <c r="M177" s="98" t="n">
        <f aca="false">_xlfn.xlookup(C177,Clients!B:B,Clients!X:X,FALSE())</f>
        <v>0</v>
      </c>
      <c r="N177" s="98" t="n">
        <f aca="false">_xlfn.xlookup(C177,Clients!B:B,Clients!Y:Y,FALSE())</f>
        <v>0</v>
      </c>
      <c r="O177" s="106"/>
      <c r="P177" s="106" t="str">
        <f aca="false">_xlfn.xlookup(O177,'Prix vente'!A:A,'Prix vente'!H:H)&amp;"/"&amp;_xlfn.xlookup(O177,'Prix vente'!A:A,'Prix vente'!P:P)&amp;"/"&amp;_xlfn.xlookup(O177,'Prix vente'!A:A,'Prix vente'!Q:Q)/1000</f>
        <v>//0</v>
      </c>
      <c r="Q177" s="106"/>
      <c r="R177" s="106" t="n">
        <f aca="false">Q177*_xlfn.xlookup(O177,'Prix vente'!A:A,'Prix vente'!R:R)</f>
        <v>0</v>
      </c>
      <c r="S177" s="118"/>
      <c r="T177" s="118" t="str">
        <f aca="false">_xlfn.xlookup(S177,'Prix vente'!$A:$A,'Prix vente'!$H:$H)&amp;"/"&amp;_xlfn.xlookup(S177,'Prix vente'!A:A,'Prix vente'!P:P)&amp;"/"&amp;_xlfn.xlookup(S177,'Prix vente'!A:A,'Prix vente'!Q:Q)/1000</f>
        <v>//0</v>
      </c>
      <c r="U177" s="118"/>
      <c r="V177" s="118" t="n">
        <f aca="false">IFERROR(U177*_xlfn.xlookup(S177,'Prix vente'!$A:$A,'Prix vente'!$R:$R),"")</f>
        <v>0</v>
      </c>
      <c r="W177" s="106"/>
      <c r="X177" s="106" t="str">
        <f aca="false">_xlfn.xlookup(W177,'Prix vente'!$A:$A,'Prix vente'!$H:$H)&amp;"/"&amp;_xlfn.xlookup(W177,'Prix vente'!A:A,'Prix vente'!P:P)&amp;"/"&amp;_xlfn.xlookup(W177,'Prix vente'!A:A,'Prix vente'!Q:Q)/1000</f>
        <v>//0</v>
      </c>
      <c r="Y177" s="106"/>
      <c r="Z177" s="106" t="n">
        <f aca="false">IFERROR(Y177*_xlfn.xlookup(W177,'Prix vente'!$A:$A,'Prix vente'!$R:$R),"")</f>
        <v>0</v>
      </c>
      <c r="AA177" s="118"/>
      <c r="AB177" s="118" t="str">
        <f aca="false">_xlfn.xlookup(AA177,'Prix vente'!$A:$A,'Prix vente'!$H:$H)&amp;"/"&amp;_xlfn.xlookup(AA177,'Prix vente'!A:A,'Prix vente'!P:P)&amp;"/"&amp;_xlfn.xlookup(AA177,'Prix vente'!A:A,'Prix vente'!Q:Q)/1000</f>
        <v>//0</v>
      </c>
      <c r="AC177" s="118"/>
      <c r="AD177" s="118" t="n">
        <f aca="false">IFERROR(AC177*_xlfn.xlookup(AA177,'Prix vente'!$A:$A,'Prix vente'!$R:$R),"")</f>
        <v>0</v>
      </c>
      <c r="AE177" s="106"/>
      <c r="AF177" s="106" t="str">
        <f aca="false">_xlfn.xlookup(AE177,'Prix vente'!$A:$A,'Prix vente'!$H:$H)&amp;"/"&amp;_xlfn.xlookup(AE177,'Prix vente'!$A:$A,'Prix vente'!$P:$P)&amp;"/"&amp;_xlfn.xlookup(AE177,'Prix vente'!A:A,'Prix vente'!Q:Q)/1000</f>
        <v>//0</v>
      </c>
      <c r="AG177" s="106"/>
      <c r="AH177" s="106" t="n">
        <f aca="false">IFERROR(AG177*_xlfn.xlookup(AE177,'Prix vente'!$A:$A,'Prix vente'!$R:$R),"")</f>
        <v>0</v>
      </c>
      <c r="AI177" s="118"/>
      <c r="AJ177" s="118" t="str">
        <f aca="false">_xlfn.xlookup(AI177,'Prix vente'!$A:$A,'Prix vente'!$H:$H)&amp;"/"&amp;_xlfn.xlookup(AI177,'Prix vente'!$A:$A,'Prix vente'!$P:$P)&amp;"/"&amp;_xlfn.xlookup(AI177,'Prix vente'!A:A,'Prix vente'!Q:Q)/1000</f>
        <v>//0</v>
      </c>
      <c r="AK177" s="118"/>
      <c r="AL177" s="118" t="n">
        <f aca="false">IFERROR(AK177*_xlfn.xlookup(AI177,'Prix vente'!$A:$A,'Prix vente'!$R:$R),"")</f>
        <v>0</v>
      </c>
      <c r="AM177" s="106"/>
      <c r="AN177" s="106" t="str">
        <f aca="false">_xlfn.xlookup(AM177,'Prix vente'!$A:$A,'Prix vente'!$H:$H)&amp;"/"&amp;_xlfn.xlookup(AM177,'Prix vente'!$A:$A,'Prix vente'!$P:$P)&amp;"/"&amp;_xlfn.xlookup(AM177,'Prix vente'!A:A,'Prix vente'!Q:Q)/1000</f>
        <v>//0</v>
      </c>
      <c r="AO177" s="106"/>
      <c r="AP177" s="106" t="n">
        <f aca="false">IFERROR(AO177*_xlfn.xlookup(AM177,'Prix vente'!$A:$A,'Prix vente'!$R:$R),"")</f>
        <v>0</v>
      </c>
      <c r="AQ177" s="118"/>
      <c r="AR177" s="118" t="str">
        <f aca="false">_xlfn.xlookup(AQ177,'Prix vente'!$A:$A,'Prix vente'!$H:$H)&amp;"/"&amp;_xlfn.xlookup(AQ177,'Prix vente'!$A:$A,'Prix vente'!$P:$P)&amp;"/"&amp;_xlfn.xlookup(AQ177,'Prix vente'!A:A,'Prix vente'!Q:Q)/1000</f>
        <v>//0</v>
      </c>
      <c r="AS177" s="118"/>
      <c r="AT177" s="118" t="n">
        <f aca="false">IFERROR(AS177*_xlfn.xlookup(AQ177,'Prix vente'!$A:$A,'Prix vente'!$R:$R),"")</f>
        <v>0</v>
      </c>
      <c r="AU177" s="106"/>
      <c r="AV177" s="106"/>
      <c r="AW177" s="106"/>
      <c r="AX177" s="106"/>
      <c r="AY177" s="118"/>
      <c r="AZ177" s="118"/>
      <c r="BA177" s="118"/>
      <c r="BB177" s="118"/>
    </row>
    <row r="178" customFormat="false" ht="14.25" hidden="false" customHeight="false" outlineLevel="0" collapsed="false">
      <c r="A178" s="107" t="n">
        <v>326</v>
      </c>
      <c r="B178" s="107"/>
      <c r="C178" s="11"/>
      <c r="D178" s="11"/>
      <c r="E178" s="114"/>
      <c r="F178" s="115"/>
      <c r="G178" s="115"/>
      <c r="H178" s="115"/>
      <c r="I178" s="100" t="n">
        <f aca="false">_xlfn.xlookup(C178,Clients!B:B,Clients!W:W,FALSE())</f>
        <v>0</v>
      </c>
      <c r="J178" s="116" t="n">
        <f aca="false">_xlfn.xlookup(C178,Clients!$B$1:$B$1001,Clients!$M$1:$M$1001,FALSE())</f>
        <v>0</v>
      </c>
      <c r="K178" s="100" t="n">
        <f aca="false">_xlfn.xlookup(C178,Clients!B:B,Clients!R:R,FALSE())</f>
        <v>0</v>
      </c>
      <c r="L178" s="117"/>
      <c r="M178" s="98" t="n">
        <f aca="false">_xlfn.xlookup(C178,Clients!B:B,Clients!X:X,FALSE())</f>
        <v>0</v>
      </c>
      <c r="N178" s="98" t="n">
        <f aca="false">_xlfn.xlookup(C178,Clients!B:B,Clients!Y:Y,FALSE())</f>
        <v>0</v>
      </c>
      <c r="O178" s="106"/>
      <c r="P178" s="106" t="str">
        <f aca="false">_xlfn.xlookup(O178,'Prix vente'!A:A,'Prix vente'!H:H)&amp;"/"&amp;_xlfn.xlookup(O178,'Prix vente'!A:A,'Prix vente'!P:P)&amp;"/"&amp;_xlfn.xlookup(O178,'Prix vente'!A:A,'Prix vente'!Q:Q)/1000</f>
        <v>//0</v>
      </c>
      <c r="Q178" s="106"/>
      <c r="R178" s="106" t="n">
        <f aca="false">Q178*_xlfn.xlookup(O178,'Prix vente'!A:A,'Prix vente'!R:R)</f>
        <v>0</v>
      </c>
      <c r="S178" s="118"/>
      <c r="T178" s="118" t="str">
        <f aca="false">_xlfn.xlookup(S178,'Prix vente'!$A:$A,'Prix vente'!$H:$H)&amp;"/"&amp;_xlfn.xlookup(S178,'Prix vente'!A:A,'Prix vente'!P:P)&amp;"/"&amp;_xlfn.xlookup(S178,'Prix vente'!A:A,'Prix vente'!Q:Q)/1000</f>
        <v>//0</v>
      </c>
      <c r="U178" s="118"/>
      <c r="V178" s="118" t="n">
        <f aca="false">IFERROR(U178*_xlfn.xlookup(S178,'Prix vente'!$A:$A,'Prix vente'!$R:$R),"")</f>
        <v>0</v>
      </c>
      <c r="W178" s="106"/>
      <c r="X178" s="106" t="str">
        <f aca="false">_xlfn.xlookup(W178,'Prix vente'!$A:$A,'Prix vente'!$H:$H)&amp;"/"&amp;_xlfn.xlookup(W178,'Prix vente'!A:A,'Prix vente'!P:P)&amp;"/"&amp;_xlfn.xlookup(W178,'Prix vente'!A:A,'Prix vente'!Q:Q)/1000</f>
        <v>//0</v>
      </c>
      <c r="Y178" s="106"/>
      <c r="Z178" s="106" t="n">
        <f aca="false">IFERROR(Y178*_xlfn.xlookup(W178,'Prix vente'!$A:$A,'Prix vente'!$R:$R),"")</f>
        <v>0</v>
      </c>
      <c r="AA178" s="118"/>
      <c r="AB178" s="118" t="str">
        <f aca="false">_xlfn.xlookup(AA178,'Prix vente'!$A:$A,'Prix vente'!$H:$H)&amp;"/"&amp;_xlfn.xlookup(AA178,'Prix vente'!A:A,'Prix vente'!P:P)&amp;"/"&amp;_xlfn.xlookup(AA178,'Prix vente'!A:A,'Prix vente'!Q:Q)/1000</f>
        <v>//0</v>
      </c>
      <c r="AC178" s="118"/>
      <c r="AD178" s="118" t="n">
        <f aca="false">IFERROR(AC178*_xlfn.xlookup(AA178,'Prix vente'!$A:$A,'Prix vente'!$R:$R),"")</f>
        <v>0</v>
      </c>
      <c r="AE178" s="106"/>
      <c r="AF178" s="106" t="str">
        <f aca="false">_xlfn.xlookup(AE178,'Prix vente'!$A:$A,'Prix vente'!$H:$H)&amp;"/"&amp;_xlfn.xlookup(AE178,'Prix vente'!$A:$A,'Prix vente'!$P:$P)&amp;"/"&amp;_xlfn.xlookup(AE178,'Prix vente'!A:A,'Prix vente'!Q:Q)/1000</f>
        <v>//0</v>
      </c>
      <c r="AG178" s="106"/>
      <c r="AH178" s="106" t="n">
        <f aca="false">IFERROR(AG178*_xlfn.xlookup(AE178,'Prix vente'!$A:$A,'Prix vente'!$R:$R),"")</f>
        <v>0</v>
      </c>
      <c r="AI178" s="118"/>
      <c r="AJ178" s="118" t="str">
        <f aca="false">_xlfn.xlookup(AI178,'Prix vente'!$A:$A,'Prix vente'!$H:$H)&amp;"/"&amp;_xlfn.xlookup(AI178,'Prix vente'!$A:$A,'Prix vente'!$P:$P)&amp;"/"&amp;_xlfn.xlookup(AI178,'Prix vente'!A:A,'Prix vente'!Q:Q)/1000</f>
        <v>//0</v>
      </c>
      <c r="AK178" s="118"/>
      <c r="AL178" s="118" t="n">
        <f aca="false">IFERROR(AK178*_xlfn.xlookup(AI178,'Prix vente'!$A:$A,'Prix vente'!$R:$R),"")</f>
        <v>0</v>
      </c>
      <c r="AM178" s="106"/>
      <c r="AN178" s="106" t="str">
        <f aca="false">_xlfn.xlookup(AM178,'Prix vente'!$A:$A,'Prix vente'!$H:$H)&amp;"/"&amp;_xlfn.xlookup(AM178,'Prix vente'!$A:$A,'Prix vente'!$P:$P)&amp;"/"&amp;_xlfn.xlookup(AM178,'Prix vente'!A:A,'Prix vente'!Q:Q)/1000</f>
        <v>//0</v>
      </c>
      <c r="AO178" s="106"/>
      <c r="AP178" s="106" t="n">
        <f aca="false">IFERROR(AO178*_xlfn.xlookup(AM178,'Prix vente'!$A:$A,'Prix vente'!$R:$R),"")</f>
        <v>0</v>
      </c>
      <c r="AQ178" s="118"/>
      <c r="AR178" s="118" t="str">
        <f aca="false">_xlfn.xlookup(AQ178,'Prix vente'!$A:$A,'Prix vente'!$H:$H)&amp;"/"&amp;_xlfn.xlookup(AQ178,'Prix vente'!$A:$A,'Prix vente'!$P:$P)&amp;"/"&amp;_xlfn.xlookup(AQ178,'Prix vente'!A:A,'Prix vente'!Q:Q)/1000</f>
        <v>//0</v>
      </c>
      <c r="AS178" s="118"/>
      <c r="AT178" s="118" t="n">
        <f aca="false">IFERROR(AS178*_xlfn.xlookup(AQ178,'Prix vente'!$A:$A,'Prix vente'!$R:$R),"")</f>
        <v>0</v>
      </c>
      <c r="AU178" s="106"/>
      <c r="AV178" s="106"/>
      <c r="AW178" s="106"/>
      <c r="AX178" s="106"/>
      <c r="AY178" s="118"/>
      <c r="AZ178" s="118"/>
      <c r="BA178" s="118"/>
      <c r="BB178" s="118"/>
    </row>
    <row r="179" customFormat="false" ht="14.25" hidden="false" customHeight="false" outlineLevel="0" collapsed="false">
      <c r="A179" s="107" t="n">
        <v>327</v>
      </c>
      <c r="B179" s="107"/>
      <c r="C179" s="11"/>
      <c r="D179" s="11"/>
      <c r="E179" s="114"/>
      <c r="F179" s="115"/>
      <c r="G179" s="115"/>
      <c r="H179" s="115"/>
      <c r="I179" s="100" t="n">
        <f aca="false">_xlfn.xlookup(C179,Clients!B:B,Clients!W:W,FALSE())</f>
        <v>0</v>
      </c>
      <c r="J179" s="116" t="n">
        <f aca="false">_xlfn.xlookup(C179,Clients!$B$1:$B$1001,Clients!$M$1:$M$1001,FALSE())</f>
        <v>0</v>
      </c>
      <c r="K179" s="100" t="n">
        <f aca="false">_xlfn.xlookup(C179,Clients!B:B,Clients!R:R,FALSE())</f>
        <v>0</v>
      </c>
      <c r="L179" s="117"/>
      <c r="M179" s="98" t="n">
        <f aca="false">_xlfn.xlookup(C179,Clients!B:B,Clients!X:X,FALSE())</f>
        <v>0</v>
      </c>
      <c r="N179" s="98" t="n">
        <f aca="false">_xlfn.xlookup(C179,Clients!B:B,Clients!Y:Y,FALSE())</f>
        <v>0</v>
      </c>
      <c r="O179" s="106"/>
      <c r="P179" s="106" t="str">
        <f aca="false">_xlfn.xlookup(O179,'Prix vente'!A:A,'Prix vente'!H:H)&amp;"/"&amp;_xlfn.xlookup(O179,'Prix vente'!A:A,'Prix vente'!P:P)&amp;"/"&amp;_xlfn.xlookup(O179,'Prix vente'!A:A,'Prix vente'!Q:Q)/1000</f>
        <v>//0</v>
      </c>
      <c r="Q179" s="106"/>
      <c r="R179" s="106" t="n">
        <f aca="false">Q179*_xlfn.xlookup(O179,'Prix vente'!A:A,'Prix vente'!R:R)</f>
        <v>0</v>
      </c>
      <c r="S179" s="118"/>
      <c r="T179" s="118" t="str">
        <f aca="false">_xlfn.xlookup(S179,'Prix vente'!$A:$A,'Prix vente'!$H:$H)&amp;"/"&amp;_xlfn.xlookup(S179,'Prix vente'!A:A,'Prix vente'!P:P)&amp;"/"&amp;_xlfn.xlookup(S179,'Prix vente'!A:A,'Prix vente'!Q:Q)/1000</f>
        <v>//0</v>
      </c>
      <c r="U179" s="118"/>
      <c r="V179" s="118" t="n">
        <f aca="false">IFERROR(U179*_xlfn.xlookup(S179,'Prix vente'!$A:$A,'Prix vente'!$R:$R),"")</f>
        <v>0</v>
      </c>
      <c r="W179" s="106"/>
      <c r="X179" s="106" t="str">
        <f aca="false">_xlfn.xlookup(W179,'Prix vente'!$A:$A,'Prix vente'!$H:$H)&amp;"/"&amp;_xlfn.xlookup(W179,'Prix vente'!A:A,'Prix vente'!P:P)&amp;"/"&amp;_xlfn.xlookup(W179,'Prix vente'!A:A,'Prix vente'!Q:Q)/1000</f>
        <v>//0</v>
      </c>
      <c r="Y179" s="106"/>
      <c r="Z179" s="106" t="n">
        <f aca="false">IFERROR(Y179*_xlfn.xlookup(W179,'Prix vente'!$A:$A,'Prix vente'!$R:$R),"")</f>
        <v>0</v>
      </c>
      <c r="AA179" s="118"/>
      <c r="AB179" s="118" t="str">
        <f aca="false">_xlfn.xlookup(AA179,'Prix vente'!$A:$A,'Prix vente'!$H:$H)&amp;"/"&amp;_xlfn.xlookup(AA179,'Prix vente'!A:A,'Prix vente'!P:P)&amp;"/"&amp;_xlfn.xlookup(AA179,'Prix vente'!A:A,'Prix vente'!Q:Q)/1000</f>
        <v>//0</v>
      </c>
      <c r="AC179" s="118"/>
      <c r="AD179" s="118" t="n">
        <f aca="false">IFERROR(AC179*_xlfn.xlookup(AA179,'Prix vente'!$A:$A,'Prix vente'!$R:$R),"")</f>
        <v>0</v>
      </c>
      <c r="AE179" s="106"/>
      <c r="AF179" s="106" t="str">
        <f aca="false">_xlfn.xlookup(AE179,'Prix vente'!$A:$A,'Prix vente'!$H:$H)&amp;"/"&amp;_xlfn.xlookup(AE179,'Prix vente'!$A:$A,'Prix vente'!$P:$P)&amp;"/"&amp;_xlfn.xlookup(AE179,'Prix vente'!A:A,'Prix vente'!Q:Q)/1000</f>
        <v>//0</v>
      </c>
      <c r="AG179" s="106"/>
      <c r="AH179" s="106" t="n">
        <f aca="false">IFERROR(AG179*_xlfn.xlookup(AE179,'Prix vente'!$A:$A,'Prix vente'!$R:$R),"")</f>
        <v>0</v>
      </c>
      <c r="AI179" s="118"/>
      <c r="AJ179" s="118" t="str">
        <f aca="false">_xlfn.xlookup(AI179,'Prix vente'!$A:$A,'Prix vente'!$H:$H)&amp;"/"&amp;_xlfn.xlookup(AI179,'Prix vente'!$A:$A,'Prix vente'!$P:$P)&amp;"/"&amp;_xlfn.xlookup(AI179,'Prix vente'!A:A,'Prix vente'!Q:Q)/1000</f>
        <v>//0</v>
      </c>
      <c r="AK179" s="118"/>
      <c r="AL179" s="118" t="n">
        <f aca="false">IFERROR(AK179*_xlfn.xlookup(AI179,'Prix vente'!$A:$A,'Prix vente'!$R:$R),"")</f>
        <v>0</v>
      </c>
      <c r="AM179" s="106"/>
      <c r="AN179" s="106" t="str">
        <f aca="false">_xlfn.xlookup(AM179,'Prix vente'!$A:$A,'Prix vente'!$H:$H)&amp;"/"&amp;_xlfn.xlookup(AM179,'Prix vente'!$A:$A,'Prix vente'!$P:$P)&amp;"/"&amp;_xlfn.xlookup(AM179,'Prix vente'!A:A,'Prix vente'!Q:Q)/1000</f>
        <v>//0</v>
      </c>
      <c r="AO179" s="106"/>
      <c r="AP179" s="106" t="n">
        <f aca="false">IFERROR(AO179*_xlfn.xlookup(AM179,'Prix vente'!$A:$A,'Prix vente'!$R:$R),"")</f>
        <v>0</v>
      </c>
      <c r="AQ179" s="118"/>
      <c r="AR179" s="118" t="str">
        <f aca="false">_xlfn.xlookup(AQ179,'Prix vente'!$A:$A,'Prix vente'!$H:$H)&amp;"/"&amp;_xlfn.xlookup(AQ179,'Prix vente'!$A:$A,'Prix vente'!$P:$P)&amp;"/"&amp;_xlfn.xlookup(AQ179,'Prix vente'!A:A,'Prix vente'!Q:Q)/1000</f>
        <v>//0</v>
      </c>
      <c r="AS179" s="118"/>
      <c r="AT179" s="118" t="n">
        <f aca="false">IFERROR(AS179*_xlfn.xlookup(AQ179,'Prix vente'!$A:$A,'Prix vente'!$R:$R),"")</f>
        <v>0</v>
      </c>
      <c r="AU179" s="106"/>
      <c r="AV179" s="106"/>
      <c r="AW179" s="106"/>
      <c r="AX179" s="106"/>
      <c r="AY179" s="118"/>
      <c r="AZ179" s="118"/>
      <c r="BA179" s="118"/>
      <c r="BB179" s="118"/>
    </row>
    <row r="180" customFormat="false" ht="14.25" hidden="false" customHeight="false" outlineLevel="0" collapsed="false">
      <c r="A180" s="107" t="n">
        <v>328</v>
      </c>
      <c r="B180" s="107"/>
      <c r="C180" s="11"/>
      <c r="D180" s="11"/>
      <c r="E180" s="114"/>
      <c r="F180" s="115"/>
      <c r="G180" s="115"/>
      <c r="H180" s="115"/>
      <c r="I180" s="100" t="n">
        <f aca="false">_xlfn.xlookup(C180,Clients!B:B,Clients!W:W,FALSE())</f>
        <v>0</v>
      </c>
      <c r="J180" s="116" t="n">
        <f aca="false">_xlfn.xlookup(C180,Clients!$B$1:$B$1001,Clients!$M$1:$M$1001,FALSE())</f>
        <v>0</v>
      </c>
      <c r="K180" s="100" t="n">
        <f aca="false">_xlfn.xlookup(C180,Clients!B:B,Clients!R:R,FALSE())</f>
        <v>0</v>
      </c>
      <c r="L180" s="117"/>
      <c r="M180" s="98" t="n">
        <f aca="false">_xlfn.xlookup(C180,Clients!B:B,Clients!X:X,FALSE())</f>
        <v>0</v>
      </c>
      <c r="N180" s="98" t="n">
        <f aca="false">_xlfn.xlookup(C180,Clients!B:B,Clients!Y:Y,FALSE())</f>
        <v>0</v>
      </c>
      <c r="O180" s="106"/>
      <c r="P180" s="106" t="str">
        <f aca="false">_xlfn.xlookup(O180,'Prix vente'!A:A,'Prix vente'!H:H)&amp;"/"&amp;_xlfn.xlookup(O180,'Prix vente'!A:A,'Prix vente'!P:P)&amp;"/"&amp;_xlfn.xlookup(O180,'Prix vente'!A:A,'Prix vente'!Q:Q)/1000</f>
        <v>//0</v>
      </c>
      <c r="Q180" s="106"/>
      <c r="R180" s="106" t="n">
        <f aca="false">Q180*_xlfn.xlookup(O180,'Prix vente'!A:A,'Prix vente'!R:R)</f>
        <v>0</v>
      </c>
      <c r="S180" s="118"/>
      <c r="T180" s="118" t="str">
        <f aca="false">_xlfn.xlookup(S180,'Prix vente'!$A:$A,'Prix vente'!$H:$H)&amp;"/"&amp;_xlfn.xlookup(S180,'Prix vente'!A:A,'Prix vente'!P:P)&amp;"/"&amp;_xlfn.xlookup(S180,'Prix vente'!A:A,'Prix vente'!Q:Q)/1000</f>
        <v>//0</v>
      </c>
      <c r="U180" s="118"/>
      <c r="V180" s="118" t="n">
        <f aca="false">IFERROR(U180*_xlfn.xlookup(S180,'Prix vente'!$A:$A,'Prix vente'!$R:$R),"")</f>
        <v>0</v>
      </c>
      <c r="W180" s="106"/>
      <c r="X180" s="106" t="str">
        <f aca="false">_xlfn.xlookup(W180,'Prix vente'!$A:$A,'Prix vente'!$H:$H)&amp;"/"&amp;_xlfn.xlookup(W180,'Prix vente'!A:A,'Prix vente'!P:P)&amp;"/"&amp;_xlfn.xlookup(W180,'Prix vente'!A:A,'Prix vente'!Q:Q)/1000</f>
        <v>//0</v>
      </c>
      <c r="Y180" s="106"/>
      <c r="Z180" s="106" t="n">
        <f aca="false">IFERROR(Y180*_xlfn.xlookup(W180,'Prix vente'!$A:$A,'Prix vente'!$R:$R),"")</f>
        <v>0</v>
      </c>
      <c r="AA180" s="118"/>
      <c r="AB180" s="118" t="str">
        <f aca="false">_xlfn.xlookup(AA180,'Prix vente'!$A:$A,'Prix vente'!$H:$H)&amp;"/"&amp;_xlfn.xlookup(AA180,'Prix vente'!A:A,'Prix vente'!P:P)&amp;"/"&amp;_xlfn.xlookup(AA180,'Prix vente'!A:A,'Prix vente'!Q:Q)/1000</f>
        <v>//0</v>
      </c>
      <c r="AC180" s="118"/>
      <c r="AD180" s="118" t="n">
        <f aca="false">IFERROR(AC180*_xlfn.xlookup(AA180,'Prix vente'!$A:$A,'Prix vente'!$R:$R),"")</f>
        <v>0</v>
      </c>
      <c r="AE180" s="106"/>
      <c r="AF180" s="106" t="str">
        <f aca="false">_xlfn.xlookup(AE180,'Prix vente'!$A:$A,'Prix vente'!$H:$H)&amp;"/"&amp;_xlfn.xlookup(AE180,'Prix vente'!$A:$A,'Prix vente'!$P:$P)&amp;"/"&amp;_xlfn.xlookup(AE180,'Prix vente'!A:A,'Prix vente'!Q:Q)/1000</f>
        <v>//0</v>
      </c>
      <c r="AG180" s="106"/>
      <c r="AH180" s="106" t="n">
        <f aca="false">IFERROR(AG180*_xlfn.xlookup(AE180,'Prix vente'!$A:$A,'Prix vente'!$R:$R),"")</f>
        <v>0</v>
      </c>
      <c r="AI180" s="118"/>
      <c r="AJ180" s="118" t="str">
        <f aca="false">_xlfn.xlookup(AI180,'Prix vente'!$A:$A,'Prix vente'!$H:$H)&amp;"/"&amp;_xlfn.xlookup(AI180,'Prix vente'!$A:$A,'Prix vente'!$P:$P)&amp;"/"&amp;_xlfn.xlookup(AI180,'Prix vente'!A:A,'Prix vente'!Q:Q)/1000</f>
        <v>//0</v>
      </c>
      <c r="AK180" s="118"/>
      <c r="AL180" s="118" t="n">
        <f aca="false">IFERROR(AK180*_xlfn.xlookup(AI180,'Prix vente'!$A:$A,'Prix vente'!$R:$R),"")</f>
        <v>0</v>
      </c>
      <c r="AM180" s="106"/>
      <c r="AN180" s="106" t="str">
        <f aca="false">_xlfn.xlookup(AM180,'Prix vente'!$A:$A,'Prix vente'!$H:$H)&amp;"/"&amp;_xlfn.xlookup(AM180,'Prix vente'!$A:$A,'Prix vente'!$P:$P)&amp;"/"&amp;_xlfn.xlookup(AM180,'Prix vente'!A:A,'Prix vente'!Q:Q)/1000</f>
        <v>//0</v>
      </c>
      <c r="AO180" s="106"/>
      <c r="AP180" s="106" t="n">
        <f aca="false">IFERROR(AO180*_xlfn.xlookup(AM180,'Prix vente'!$A:$A,'Prix vente'!$R:$R),"")</f>
        <v>0</v>
      </c>
      <c r="AQ180" s="118"/>
      <c r="AR180" s="118" t="str">
        <f aca="false">_xlfn.xlookup(AQ180,'Prix vente'!$A:$A,'Prix vente'!$H:$H)&amp;"/"&amp;_xlfn.xlookup(AQ180,'Prix vente'!$A:$A,'Prix vente'!$P:$P)&amp;"/"&amp;_xlfn.xlookup(AQ180,'Prix vente'!A:A,'Prix vente'!Q:Q)/1000</f>
        <v>//0</v>
      </c>
      <c r="AS180" s="118"/>
      <c r="AT180" s="118" t="n">
        <f aca="false">IFERROR(AS180*_xlfn.xlookup(AQ180,'Prix vente'!$A:$A,'Prix vente'!$R:$R),"")</f>
        <v>0</v>
      </c>
      <c r="AU180" s="106"/>
      <c r="AV180" s="106"/>
      <c r="AW180" s="106"/>
      <c r="AX180" s="106"/>
      <c r="AY180" s="118"/>
      <c r="AZ180" s="118"/>
      <c r="BA180" s="118"/>
      <c r="BB180" s="118"/>
    </row>
    <row r="181" customFormat="false" ht="14.25" hidden="false" customHeight="false" outlineLevel="0" collapsed="false">
      <c r="A181" s="107" t="n">
        <v>329</v>
      </c>
      <c r="B181" s="107"/>
      <c r="C181" s="11"/>
      <c r="D181" s="11"/>
      <c r="E181" s="114"/>
      <c r="F181" s="115"/>
      <c r="G181" s="115"/>
      <c r="H181" s="115"/>
      <c r="I181" s="100" t="n">
        <f aca="false">_xlfn.xlookup(C181,Clients!B:B,Clients!W:W,FALSE())</f>
        <v>0</v>
      </c>
      <c r="J181" s="116" t="n">
        <f aca="false">_xlfn.xlookup(C181,Clients!$B$1:$B$1001,Clients!$M$1:$M$1001,FALSE())</f>
        <v>0</v>
      </c>
      <c r="K181" s="100" t="n">
        <f aca="false">_xlfn.xlookup(C181,Clients!B:B,Clients!R:R,FALSE())</f>
        <v>0</v>
      </c>
      <c r="L181" s="117"/>
      <c r="M181" s="98" t="n">
        <f aca="false">_xlfn.xlookup(C181,Clients!B:B,Clients!X:X,FALSE())</f>
        <v>0</v>
      </c>
      <c r="N181" s="98" t="n">
        <f aca="false">_xlfn.xlookup(C181,Clients!B:B,Clients!Y:Y,FALSE())</f>
        <v>0</v>
      </c>
      <c r="O181" s="106"/>
      <c r="P181" s="106" t="str">
        <f aca="false">_xlfn.xlookup(O181,'Prix vente'!A:A,'Prix vente'!H:H)&amp;"/"&amp;_xlfn.xlookup(O181,'Prix vente'!A:A,'Prix vente'!P:P)&amp;"/"&amp;_xlfn.xlookup(O181,'Prix vente'!A:A,'Prix vente'!Q:Q)/1000</f>
        <v>//0</v>
      </c>
      <c r="Q181" s="106"/>
      <c r="R181" s="106" t="n">
        <f aca="false">Q181*_xlfn.xlookup(O181,'Prix vente'!A:A,'Prix vente'!R:R)</f>
        <v>0</v>
      </c>
      <c r="S181" s="118"/>
      <c r="T181" s="118" t="str">
        <f aca="false">_xlfn.xlookup(S181,'Prix vente'!$A:$A,'Prix vente'!$H:$H)&amp;"/"&amp;_xlfn.xlookup(S181,'Prix vente'!A:A,'Prix vente'!P:P)&amp;"/"&amp;_xlfn.xlookup(S181,'Prix vente'!A:A,'Prix vente'!Q:Q)/1000</f>
        <v>//0</v>
      </c>
      <c r="U181" s="118"/>
      <c r="V181" s="118" t="n">
        <f aca="false">IFERROR(U181*_xlfn.xlookup(S181,'Prix vente'!$A:$A,'Prix vente'!$R:$R),"")</f>
        <v>0</v>
      </c>
      <c r="W181" s="106"/>
      <c r="X181" s="106" t="str">
        <f aca="false">_xlfn.xlookup(W181,'Prix vente'!$A:$A,'Prix vente'!$H:$H)&amp;"/"&amp;_xlfn.xlookup(W181,'Prix vente'!A:A,'Prix vente'!P:P)&amp;"/"&amp;_xlfn.xlookup(W181,'Prix vente'!A:A,'Prix vente'!Q:Q)/1000</f>
        <v>//0</v>
      </c>
      <c r="Y181" s="106"/>
      <c r="Z181" s="106" t="n">
        <f aca="false">IFERROR(Y181*_xlfn.xlookup(W181,'Prix vente'!$A:$A,'Prix vente'!$R:$R),"")</f>
        <v>0</v>
      </c>
      <c r="AA181" s="118"/>
      <c r="AB181" s="118" t="str">
        <f aca="false">_xlfn.xlookup(AA181,'Prix vente'!$A:$A,'Prix vente'!$H:$H)&amp;"/"&amp;_xlfn.xlookup(AA181,'Prix vente'!A:A,'Prix vente'!P:P)&amp;"/"&amp;_xlfn.xlookup(AA181,'Prix vente'!A:A,'Prix vente'!Q:Q)/1000</f>
        <v>//0</v>
      </c>
      <c r="AC181" s="118"/>
      <c r="AD181" s="118" t="n">
        <f aca="false">IFERROR(AC181*_xlfn.xlookup(AA181,'Prix vente'!$A:$A,'Prix vente'!$R:$R),"")</f>
        <v>0</v>
      </c>
      <c r="AE181" s="106"/>
      <c r="AF181" s="106" t="str">
        <f aca="false">_xlfn.xlookup(AE181,'Prix vente'!$A:$A,'Prix vente'!$H:$H)&amp;"/"&amp;_xlfn.xlookup(AE181,'Prix vente'!$A:$A,'Prix vente'!$P:$P)&amp;"/"&amp;_xlfn.xlookup(AE181,'Prix vente'!A:A,'Prix vente'!Q:Q)/1000</f>
        <v>//0</v>
      </c>
      <c r="AG181" s="106"/>
      <c r="AH181" s="106" t="n">
        <f aca="false">IFERROR(AG181*_xlfn.xlookup(AE181,'Prix vente'!$A:$A,'Prix vente'!$R:$R),"")</f>
        <v>0</v>
      </c>
      <c r="AI181" s="118"/>
      <c r="AJ181" s="118" t="str">
        <f aca="false">_xlfn.xlookup(AI181,'Prix vente'!$A:$A,'Prix vente'!$H:$H)&amp;"/"&amp;_xlfn.xlookup(AI181,'Prix vente'!$A:$A,'Prix vente'!$P:$P)&amp;"/"&amp;_xlfn.xlookup(AI181,'Prix vente'!A:A,'Prix vente'!Q:Q)/1000</f>
        <v>//0</v>
      </c>
      <c r="AK181" s="118"/>
      <c r="AL181" s="118" t="n">
        <f aca="false">IFERROR(AK181*_xlfn.xlookup(AI181,'Prix vente'!$A:$A,'Prix vente'!$R:$R),"")</f>
        <v>0</v>
      </c>
      <c r="AM181" s="106"/>
      <c r="AN181" s="106" t="str">
        <f aca="false">_xlfn.xlookup(AM181,'Prix vente'!$A:$A,'Prix vente'!$H:$H)&amp;"/"&amp;_xlfn.xlookup(AM181,'Prix vente'!$A:$A,'Prix vente'!$P:$P)&amp;"/"&amp;_xlfn.xlookup(AM181,'Prix vente'!A:A,'Prix vente'!Q:Q)/1000</f>
        <v>//0</v>
      </c>
      <c r="AO181" s="106"/>
      <c r="AP181" s="106" t="n">
        <f aca="false">IFERROR(AO181*_xlfn.xlookup(AM181,'Prix vente'!$A:$A,'Prix vente'!$R:$R),"")</f>
        <v>0</v>
      </c>
      <c r="AQ181" s="118"/>
      <c r="AR181" s="118" t="str">
        <f aca="false">_xlfn.xlookup(AQ181,'Prix vente'!$A:$A,'Prix vente'!$H:$H)&amp;"/"&amp;_xlfn.xlookup(AQ181,'Prix vente'!$A:$A,'Prix vente'!$P:$P)&amp;"/"&amp;_xlfn.xlookup(AQ181,'Prix vente'!A:A,'Prix vente'!Q:Q)/1000</f>
        <v>//0</v>
      </c>
      <c r="AS181" s="118"/>
      <c r="AT181" s="118" t="n">
        <f aca="false">IFERROR(AS181*_xlfn.xlookup(AQ181,'Prix vente'!$A:$A,'Prix vente'!$R:$R),"")</f>
        <v>0</v>
      </c>
      <c r="AU181" s="106"/>
      <c r="AV181" s="106"/>
      <c r="AW181" s="106"/>
      <c r="AX181" s="106"/>
      <c r="AY181" s="118"/>
      <c r="AZ181" s="118"/>
      <c r="BA181" s="118"/>
      <c r="BB181" s="118"/>
    </row>
    <row r="182" customFormat="false" ht="14.25" hidden="false" customHeight="false" outlineLevel="0" collapsed="false">
      <c r="A182" s="107" t="n">
        <v>330</v>
      </c>
      <c r="B182" s="107"/>
      <c r="C182" s="11"/>
      <c r="D182" s="11"/>
      <c r="E182" s="114"/>
      <c r="F182" s="115"/>
      <c r="G182" s="115"/>
      <c r="H182" s="115"/>
      <c r="I182" s="100" t="n">
        <f aca="false">_xlfn.xlookup(C182,Clients!B:B,Clients!W:W,FALSE())</f>
        <v>0</v>
      </c>
      <c r="J182" s="116" t="n">
        <f aca="false">_xlfn.xlookup(C182,Clients!$B$1:$B$1001,Clients!$M$1:$M$1001,FALSE())</f>
        <v>0</v>
      </c>
      <c r="K182" s="100" t="n">
        <f aca="false">_xlfn.xlookup(C182,Clients!B:B,Clients!R:R,FALSE())</f>
        <v>0</v>
      </c>
      <c r="L182" s="117"/>
      <c r="M182" s="98" t="n">
        <f aca="false">_xlfn.xlookup(C182,Clients!B:B,Clients!X:X,FALSE())</f>
        <v>0</v>
      </c>
      <c r="N182" s="98" t="n">
        <f aca="false">_xlfn.xlookup(C182,Clients!B:B,Clients!Y:Y,FALSE())</f>
        <v>0</v>
      </c>
      <c r="O182" s="106"/>
      <c r="P182" s="106" t="str">
        <f aca="false">_xlfn.xlookup(O182,'Prix vente'!A:A,'Prix vente'!H:H)&amp;"/"&amp;_xlfn.xlookup(O182,'Prix vente'!A:A,'Prix vente'!P:P)&amp;"/"&amp;_xlfn.xlookup(O182,'Prix vente'!A:A,'Prix vente'!Q:Q)/1000</f>
        <v>//0</v>
      </c>
      <c r="Q182" s="106"/>
      <c r="R182" s="106" t="n">
        <f aca="false">Q182*_xlfn.xlookup(O182,'Prix vente'!A:A,'Prix vente'!R:R)</f>
        <v>0</v>
      </c>
      <c r="S182" s="118"/>
      <c r="T182" s="118" t="str">
        <f aca="false">_xlfn.xlookup(S182,'Prix vente'!$A:$A,'Prix vente'!$H:$H)&amp;"/"&amp;_xlfn.xlookup(S182,'Prix vente'!A:A,'Prix vente'!P:P)&amp;"/"&amp;_xlfn.xlookup(S182,'Prix vente'!A:A,'Prix vente'!Q:Q)/1000</f>
        <v>//0</v>
      </c>
      <c r="U182" s="118"/>
      <c r="V182" s="118" t="n">
        <f aca="false">IFERROR(U182*_xlfn.xlookup(S182,'Prix vente'!$A:$A,'Prix vente'!$R:$R),"")</f>
        <v>0</v>
      </c>
      <c r="W182" s="106"/>
      <c r="X182" s="106" t="str">
        <f aca="false">_xlfn.xlookup(W182,'Prix vente'!$A:$A,'Prix vente'!$H:$H)&amp;"/"&amp;_xlfn.xlookup(W182,'Prix vente'!A:A,'Prix vente'!P:P)&amp;"/"&amp;_xlfn.xlookup(W182,'Prix vente'!A:A,'Prix vente'!Q:Q)/1000</f>
        <v>//0</v>
      </c>
      <c r="Y182" s="106"/>
      <c r="Z182" s="106" t="n">
        <f aca="false">IFERROR(Y182*_xlfn.xlookup(W182,'Prix vente'!$A:$A,'Prix vente'!$R:$R),"")</f>
        <v>0</v>
      </c>
      <c r="AA182" s="118"/>
      <c r="AB182" s="118" t="str">
        <f aca="false">_xlfn.xlookup(AA182,'Prix vente'!$A:$A,'Prix vente'!$H:$H)&amp;"/"&amp;_xlfn.xlookup(AA182,'Prix vente'!A:A,'Prix vente'!P:P)&amp;"/"&amp;_xlfn.xlookup(AA182,'Prix vente'!A:A,'Prix vente'!Q:Q)/1000</f>
        <v>//0</v>
      </c>
      <c r="AC182" s="118"/>
      <c r="AD182" s="118" t="n">
        <f aca="false">IFERROR(AC182*_xlfn.xlookup(AA182,'Prix vente'!$A:$A,'Prix vente'!$R:$R),"")</f>
        <v>0</v>
      </c>
      <c r="AE182" s="106"/>
      <c r="AF182" s="106" t="str">
        <f aca="false">_xlfn.xlookup(AE182,'Prix vente'!$A:$A,'Prix vente'!$H:$H)&amp;"/"&amp;_xlfn.xlookup(AE182,'Prix vente'!$A:$A,'Prix vente'!$P:$P)&amp;"/"&amp;_xlfn.xlookup(AE182,'Prix vente'!A:A,'Prix vente'!Q:Q)/1000</f>
        <v>//0</v>
      </c>
      <c r="AG182" s="106"/>
      <c r="AH182" s="106" t="n">
        <f aca="false">IFERROR(AG182*_xlfn.xlookup(AE182,'Prix vente'!$A:$A,'Prix vente'!$R:$R),"")</f>
        <v>0</v>
      </c>
      <c r="AI182" s="118"/>
      <c r="AJ182" s="118" t="str">
        <f aca="false">_xlfn.xlookup(AI182,'Prix vente'!$A:$A,'Prix vente'!$H:$H)&amp;"/"&amp;_xlfn.xlookup(AI182,'Prix vente'!$A:$A,'Prix vente'!$P:$P)&amp;"/"&amp;_xlfn.xlookup(AI182,'Prix vente'!A:A,'Prix vente'!Q:Q)/1000</f>
        <v>//0</v>
      </c>
      <c r="AK182" s="118"/>
      <c r="AL182" s="118" t="n">
        <f aca="false">IFERROR(AK182*_xlfn.xlookup(AI182,'Prix vente'!$A:$A,'Prix vente'!$R:$R),"")</f>
        <v>0</v>
      </c>
      <c r="AM182" s="106"/>
      <c r="AN182" s="106" t="str">
        <f aca="false">_xlfn.xlookup(AM182,'Prix vente'!$A:$A,'Prix vente'!$H:$H)&amp;"/"&amp;_xlfn.xlookup(AM182,'Prix vente'!$A:$A,'Prix vente'!$P:$P)&amp;"/"&amp;_xlfn.xlookup(AM182,'Prix vente'!A:A,'Prix vente'!Q:Q)/1000</f>
        <v>//0</v>
      </c>
      <c r="AO182" s="106"/>
      <c r="AP182" s="106" t="n">
        <f aca="false">IFERROR(AO182*_xlfn.xlookup(AM182,'Prix vente'!$A:$A,'Prix vente'!$R:$R),"")</f>
        <v>0</v>
      </c>
      <c r="AQ182" s="118"/>
      <c r="AR182" s="118" t="str">
        <f aca="false">_xlfn.xlookup(AQ182,'Prix vente'!$A:$A,'Prix vente'!$H:$H)&amp;"/"&amp;_xlfn.xlookup(AQ182,'Prix vente'!$A:$A,'Prix vente'!$P:$P)&amp;"/"&amp;_xlfn.xlookup(AQ182,'Prix vente'!A:A,'Prix vente'!Q:Q)/1000</f>
        <v>//0</v>
      </c>
      <c r="AS182" s="118"/>
      <c r="AT182" s="118" t="n">
        <f aca="false">IFERROR(AS182*_xlfn.xlookup(AQ182,'Prix vente'!$A:$A,'Prix vente'!$R:$R),"")</f>
        <v>0</v>
      </c>
      <c r="AU182" s="106"/>
      <c r="AV182" s="106"/>
      <c r="AW182" s="106"/>
      <c r="AX182" s="106"/>
      <c r="AY182" s="118"/>
      <c r="AZ182" s="118"/>
      <c r="BA182" s="118"/>
      <c r="BB182" s="118"/>
    </row>
    <row r="183" customFormat="false" ht="14.25" hidden="false" customHeight="false" outlineLevel="0" collapsed="false">
      <c r="A183" s="107" t="n">
        <v>331</v>
      </c>
      <c r="B183" s="107"/>
      <c r="C183" s="11"/>
      <c r="D183" s="11"/>
      <c r="E183" s="114"/>
      <c r="F183" s="115"/>
      <c r="G183" s="115"/>
      <c r="H183" s="115"/>
      <c r="I183" s="100" t="n">
        <f aca="false">_xlfn.xlookup(C183,Clients!B:B,Clients!W:W,FALSE())</f>
        <v>0</v>
      </c>
      <c r="J183" s="116" t="n">
        <f aca="false">_xlfn.xlookup(C183,Clients!$B$1:$B$1001,Clients!$M$1:$M$1001,FALSE())</f>
        <v>0</v>
      </c>
      <c r="K183" s="100" t="n">
        <f aca="false">_xlfn.xlookup(C183,Clients!B:B,Clients!R:R,FALSE())</f>
        <v>0</v>
      </c>
      <c r="L183" s="117"/>
      <c r="M183" s="98" t="n">
        <f aca="false">_xlfn.xlookup(C183,Clients!B:B,Clients!X:X,FALSE())</f>
        <v>0</v>
      </c>
      <c r="N183" s="98" t="n">
        <f aca="false">_xlfn.xlookup(C183,Clients!B:B,Clients!Y:Y,FALSE())</f>
        <v>0</v>
      </c>
      <c r="O183" s="106"/>
      <c r="P183" s="106" t="str">
        <f aca="false">_xlfn.xlookup(O183,'Prix vente'!A:A,'Prix vente'!H:H)&amp;"/"&amp;_xlfn.xlookup(O183,'Prix vente'!A:A,'Prix vente'!P:P)&amp;"/"&amp;_xlfn.xlookup(O183,'Prix vente'!A:A,'Prix vente'!Q:Q)/1000</f>
        <v>//0</v>
      </c>
      <c r="Q183" s="106"/>
      <c r="R183" s="106" t="n">
        <f aca="false">Q183*_xlfn.xlookup(O183,'Prix vente'!A:A,'Prix vente'!R:R)</f>
        <v>0</v>
      </c>
      <c r="S183" s="118"/>
      <c r="T183" s="118" t="str">
        <f aca="false">_xlfn.xlookup(S183,'Prix vente'!$A:$A,'Prix vente'!$H:$H)&amp;"/"&amp;_xlfn.xlookup(S183,'Prix vente'!A:A,'Prix vente'!P:P)&amp;"/"&amp;_xlfn.xlookup(S183,'Prix vente'!A:A,'Prix vente'!Q:Q)/1000</f>
        <v>//0</v>
      </c>
      <c r="U183" s="118"/>
      <c r="V183" s="118" t="n">
        <f aca="false">IFERROR(U183*_xlfn.xlookup(S183,'Prix vente'!$A:$A,'Prix vente'!$R:$R),"")</f>
        <v>0</v>
      </c>
      <c r="W183" s="106"/>
      <c r="X183" s="106" t="str">
        <f aca="false">_xlfn.xlookup(W183,'Prix vente'!$A:$A,'Prix vente'!$H:$H)&amp;"/"&amp;_xlfn.xlookup(W183,'Prix vente'!A:A,'Prix vente'!P:P)&amp;"/"&amp;_xlfn.xlookup(W183,'Prix vente'!A:A,'Prix vente'!Q:Q)/1000</f>
        <v>//0</v>
      </c>
      <c r="Y183" s="106"/>
      <c r="Z183" s="106" t="n">
        <f aca="false">IFERROR(Y183*_xlfn.xlookup(W183,'Prix vente'!$A:$A,'Prix vente'!$R:$R),"")</f>
        <v>0</v>
      </c>
      <c r="AA183" s="118"/>
      <c r="AB183" s="118" t="str">
        <f aca="false">_xlfn.xlookup(AA183,'Prix vente'!$A:$A,'Prix vente'!$H:$H)&amp;"/"&amp;_xlfn.xlookup(AA183,'Prix vente'!A:A,'Prix vente'!P:P)&amp;"/"&amp;_xlfn.xlookup(AA183,'Prix vente'!A:A,'Prix vente'!Q:Q)/1000</f>
        <v>//0</v>
      </c>
      <c r="AC183" s="118"/>
      <c r="AD183" s="118" t="n">
        <f aca="false">IFERROR(AC183*_xlfn.xlookup(AA183,'Prix vente'!$A:$A,'Prix vente'!$R:$R),"")</f>
        <v>0</v>
      </c>
      <c r="AE183" s="106"/>
      <c r="AF183" s="106" t="str">
        <f aca="false">_xlfn.xlookup(AE183,'Prix vente'!$A:$A,'Prix vente'!$H:$H)&amp;"/"&amp;_xlfn.xlookup(AE183,'Prix vente'!$A:$A,'Prix vente'!$P:$P)&amp;"/"&amp;_xlfn.xlookup(AE183,'Prix vente'!A:A,'Prix vente'!Q:Q)/1000</f>
        <v>//0</v>
      </c>
      <c r="AG183" s="106"/>
      <c r="AH183" s="106" t="n">
        <f aca="false">IFERROR(AG183*_xlfn.xlookup(AE183,'Prix vente'!$A:$A,'Prix vente'!$R:$R),"")</f>
        <v>0</v>
      </c>
      <c r="AI183" s="118"/>
      <c r="AJ183" s="118" t="str">
        <f aca="false">_xlfn.xlookup(AI183,'Prix vente'!$A:$A,'Prix vente'!$H:$H)&amp;"/"&amp;_xlfn.xlookup(AI183,'Prix vente'!$A:$A,'Prix vente'!$P:$P)&amp;"/"&amp;_xlfn.xlookup(AI183,'Prix vente'!A:A,'Prix vente'!Q:Q)/1000</f>
        <v>//0</v>
      </c>
      <c r="AK183" s="118"/>
      <c r="AL183" s="118" t="n">
        <f aca="false">IFERROR(AK183*_xlfn.xlookup(AI183,'Prix vente'!$A:$A,'Prix vente'!$R:$R),"")</f>
        <v>0</v>
      </c>
      <c r="AM183" s="106"/>
      <c r="AN183" s="106" t="str">
        <f aca="false">_xlfn.xlookup(AM183,'Prix vente'!$A:$A,'Prix vente'!$H:$H)&amp;"/"&amp;_xlfn.xlookup(AM183,'Prix vente'!$A:$A,'Prix vente'!$P:$P)&amp;"/"&amp;_xlfn.xlookup(AM183,'Prix vente'!A:A,'Prix vente'!Q:Q)/1000</f>
        <v>//0</v>
      </c>
      <c r="AO183" s="106"/>
      <c r="AP183" s="106" t="n">
        <f aca="false">IFERROR(AO183*_xlfn.xlookup(AM183,'Prix vente'!$A:$A,'Prix vente'!$R:$R),"")</f>
        <v>0</v>
      </c>
      <c r="AQ183" s="118"/>
      <c r="AR183" s="118" t="str">
        <f aca="false">_xlfn.xlookup(AQ183,'Prix vente'!$A:$A,'Prix vente'!$H:$H)&amp;"/"&amp;_xlfn.xlookup(AQ183,'Prix vente'!$A:$A,'Prix vente'!$P:$P)&amp;"/"&amp;_xlfn.xlookup(AQ183,'Prix vente'!A:A,'Prix vente'!Q:Q)/1000</f>
        <v>//0</v>
      </c>
      <c r="AS183" s="118"/>
      <c r="AT183" s="118" t="n">
        <f aca="false">IFERROR(AS183*_xlfn.xlookup(AQ183,'Prix vente'!$A:$A,'Prix vente'!$R:$R),"")</f>
        <v>0</v>
      </c>
      <c r="AU183" s="106"/>
      <c r="AV183" s="106"/>
      <c r="AW183" s="106"/>
      <c r="AX183" s="106"/>
      <c r="AY183" s="118"/>
      <c r="AZ183" s="118"/>
      <c r="BA183" s="118"/>
      <c r="BB183" s="118"/>
    </row>
    <row r="184" customFormat="false" ht="14.25" hidden="false" customHeight="false" outlineLevel="0" collapsed="false">
      <c r="A184" s="107" t="n">
        <v>332</v>
      </c>
      <c r="B184" s="107"/>
      <c r="C184" s="11"/>
      <c r="D184" s="11"/>
      <c r="E184" s="114"/>
      <c r="F184" s="115"/>
      <c r="G184" s="115"/>
      <c r="H184" s="115"/>
      <c r="I184" s="100" t="n">
        <f aca="false">_xlfn.xlookup(C184,Clients!B:B,Clients!W:W,FALSE())</f>
        <v>0</v>
      </c>
      <c r="J184" s="116" t="n">
        <f aca="false">_xlfn.xlookup(C184,Clients!$B$1:$B$1001,Clients!$M$1:$M$1001,FALSE())</f>
        <v>0</v>
      </c>
      <c r="K184" s="100" t="n">
        <f aca="false">_xlfn.xlookup(C184,Clients!B:B,Clients!R:R,FALSE())</f>
        <v>0</v>
      </c>
      <c r="L184" s="117"/>
      <c r="M184" s="98" t="n">
        <f aca="false">_xlfn.xlookup(C184,Clients!B:B,Clients!X:X,FALSE())</f>
        <v>0</v>
      </c>
      <c r="N184" s="98" t="n">
        <f aca="false">_xlfn.xlookup(C184,Clients!B:B,Clients!Y:Y,FALSE())</f>
        <v>0</v>
      </c>
      <c r="O184" s="106"/>
      <c r="P184" s="106" t="str">
        <f aca="false">_xlfn.xlookup(O184,'Prix vente'!A:A,'Prix vente'!H:H)&amp;"/"&amp;_xlfn.xlookup(O184,'Prix vente'!A:A,'Prix vente'!P:P)&amp;"/"&amp;_xlfn.xlookup(O184,'Prix vente'!A:A,'Prix vente'!Q:Q)/1000</f>
        <v>//0</v>
      </c>
      <c r="Q184" s="106"/>
      <c r="R184" s="106" t="n">
        <f aca="false">Q184*_xlfn.xlookup(O184,'Prix vente'!A:A,'Prix vente'!R:R)</f>
        <v>0</v>
      </c>
      <c r="S184" s="118"/>
      <c r="T184" s="118" t="str">
        <f aca="false">_xlfn.xlookup(S184,'Prix vente'!$A:$A,'Prix vente'!$H:$H)&amp;"/"&amp;_xlfn.xlookup(S184,'Prix vente'!A:A,'Prix vente'!P:P)&amp;"/"&amp;_xlfn.xlookup(S184,'Prix vente'!A:A,'Prix vente'!Q:Q)/1000</f>
        <v>//0</v>
      </c>
      <c r="U184" s="118"/>
      <c r="V184" s="118" t="n">
        <f aca="false">IFERROR(U184*_xlfn.xlookup(S184,'Prix vente'!$A:$A,'Prix vente'!$R:$R),"")</f>
        <v>0</v>
      </c>
      <c r="W184" s="106"/>
      <c r="X184" s="106" t="str">
        <f aca="false">_xlfn.xlookup(W184,'Prix vente'!$A:$A,'Prix vente'!$H:$H)&amp;"/"&amp;_xlfn.xlookup(W184,'Prix vente'!A:A,'Prix vente'!P:P)&amp;"/"&amp;_xlfn.xlookup(W184,'Prix vente'!A:A,'Prix vente'!Q:Q)/1000</f>
        <v>//0</v>
      </c>
      <c r="Y184" s="106"/>
      <c r="Z184" s="106" t="n">
        <f aca="false">IFERROR(Y184*_xlfn.xlookup(W184,'Prix vente'!$A:$A,'Prix vente'!$R:$R),"")</f>
        <v>0</v>
      </c>
      <c r="AA184" s="118"/>
      <c r="AB184" s="118" t="str">
        <f aca="false">_xlfn.xlookup(AA184,'Prix vente'!$A:$A,'Prix vente'!$H:$H)&amp;"/"&amp;_xlfn.xlookup(AA184,'Prix vente'!A:A,'Prix vente'!P:P)&amp;"/"&amp;_xlfn.xlookup(AA184,'Prix vente'!A:A,'Prix vente'!Q:Q)/1000</f>
        <v>//0</v>
      </c>
      <c r="AC184" s="118"/>
      <c r="AD184" s="118" t="n">
        <f aca="false">IFERROR(AC184*_xlfn.xlookup(AA184,'Prix vente'!$A:$A,'Prix vente'!$R:$R),"")</f>
        <v>0</v>
      </c>
      <c r="AE184" s="106"/>
      <c r="AF184" s="106" t="str">
        <f aca="false">_xlfn.xlookup(AE184,'Prix vente'!$A:$A,'Prix vente'!$H:$H)&amp;"/"&amp;_xlfn.xlookup(AE184,'Prix vente'!$A:$A,'Prix vente'!$P:$P)&amp;"/"&amp;_xlfn.xlookup(AE184,'Prix vente'!A:A,'Prix vente'!Q:Q)/1000</f>
        <v>//0</v>
      </c>
      <c r="AG184" s="106"/>
      <c r="AH184" s="106" t="n">
        <f aca="false">IFERROR(AG184*_xlfn.xlookup(AE184,'Prix vente'!$A:$A,'Prix vente'!$R:$R),"")</f>
        <v>0</v>
      </c>
      <c r="AI184" s="118"/>
      <c r="AJ184" s="118" t="str">
        <f aca="false">_xlfn.xlookup(AI184,'Prix vente'!$A:$A,'Prix vente'!$H:$H)&amp;"/"&amp;_xlfn.xlookup(AI184,'Prix vente'!$A:$A,'Prix vente'!$P:$P)&amp;"/"&amp;_xlfn.xlookup(AI184,'Prix vente'!A:A,'Prix vente'!Q:Q)/1000</f>
        <v>//0</v>
      </c>
      <c r="AK184" s="118"/>
      <c r="AL184" s="118" t="n">
        <f aca="false">IFERROR(AK184*_xlfn.xlookup(AI184,'Prix vente'!$A:$A,'Prix vente'!$R:$R),"")</f>
        <v>0</v>
      </c>
      <c r="AM184" s="106"/>
      <c r="AN184" s="106" t="str">
        <f aca="false">_xlfn.xlookup(AM184,'Prix vente'!$A:$A,'Prix vente'!$H:$H)&amp;"/"&amp;_xlfn.xlookup(AM184,'Prix vente'!$A:$A,'Prix vente'!$P:$P)&amp;"/"&amp;_xlfn.xlookup(AM184,'Prix vente'!A:A,'Prix vente'!Q:Q)/1000</f>
        <v>//0</v>
      </c>
      <c r="AO184" s="106"/>
      <c r="AP184" s="106" t="n">
        <f aca="false">IFERROR(AO184*_xlfn.xlookup(AM184,'Prix vente'!$A:$A,'Prix vente'!$R:$R),"")</f>
        <v>0</v>
      </c>
      <c r="AQ184" s="118"/>
      <c r="AR184" s="118" t="str">
        <f aca="false">_xlfn.xlookup(AQ184,'Prix vente'!$A:$A,'Prix vente'!$H:$H)&amp;"/"&amp;_xlfn.xlookup(AQ184,'Prix vente'!$A:$A,'Prix vente'!$P:$P)&amp;"/"&amp;_xlfn.xlookup(AQ184,'Prix vente'!A:A,'Prix vente'!Q:Q)/1000</f>
        <v>//0</v>
      </c>
      <c r="AS184" s="118"/>
      <c r="AT184" s="118" t="n">
        <f aca="false">IFERROR(AS184*_xlfn.xlookup(AQ184,'Prix vente'!$A:$A,'Prix vente'!$R:$R),"")</f>
        <v>0</v>
      </c>
      <c r="AU184" s="106"/>
      <c r="AV184" s="106"/>
      <c r="AW184" s="106"/>
      <c r="AX184" s="106"/>
      <c r="AY184" s="118"/>
      <c r="AZ184" s="118"/>
      <c r="BA184" s="118"/>
      <c r="BB184" s="118"/>
    </row>
    <row r="185" customFormat="false" ht="14.25" hidden="false" customHeight="false" outlineLevel="0" collapsed="false">
      <c r="A185" s="107" t="n">
        <v>333</v>
      </c>
      <c r="B185" s="107"/>
      <c r="C185" s="11"/>
      <c r="D185" s="11"/>
      <c r="E185" s="114"/>
      <c r="F185" s="115"/>
      <c r="G185" s="115"/>
      <c r="H185" s="115"/>
      <c r="I185" s="100" t="n">
        <f aca="false">_xlfn.xlookup(C185,Clients!B:B,Clients!W:W,FALSE())</f>
        <v>0</v>
      </c>
      <c r="J185" s="116" t="n">
        <f aca="false">_xlfn.xlookup(C185,Clients!$B$1:$B$1001,Clients!$M$1:$M$1001,FALSE())</f>
        <v>0</v>
      </c>
      <c r="K185" s="100" t="n">
        <f aca="false">_xlfn.xlookup(C185,Clients!B:B,Clients!R:R,FALSE())</f>
        <v>0</v>
      </c>
      <c r="L185" s="117"/>
      <c r="M185" s="98" t="n">
        <f aca="false">_xlfn.xlookup(C185,Clients!B:B,Clients!X:X,FALSE())</f>
        <v>0</v>
      </c>
      <c r="N185" s="98" t="n">
        <f aca="false">_xlfn.xlookup(C185,Clients!B:B,Clients!Y:Y,FALSE())</f>
        <v>0</v>
      </c>
      <c r="O185" s="106"/>
      <c r="P185" s="106" t="str">
        <f aca="false">_xlfn.xlookup(O185,'Prix vente'!A:A,'Prix vente'!H:H)&amp;"/"&amp;_xlfn.xlookup(O185,'Prix vente'!A:A,'Prix vente'!P:P)&amp;"/"&amp;_xlfn.xlookup(O185,'Prix vente'!A:A,'Prix vente'!Q:Q)/1000</f>
        <v>//0</v>
      </c>
      <c r="Q185" s="106"/>
      <c r="R185" s="106" t="n">
        <f aca="false">Q185*_xlfn.xlookup(O185,'Prix vente'!A:A,'Prix vente'!R:R)</f>
        <v>0</v>
      </c>
      <c r="S185" s="118"/>
      <c r="T185" s="118" t="str">
        <f aca="false">_xlfn.xlookup(S185,'Prix vente'!$A:$A,'Prix vente'!$H:$H)&amp;"/"&amp;_xlfn.xlookup(S185,'Prix vente'!A:A,'Prix vente'!P:P)&amp;"/"&amp;_xlfn.xlookup(S185,'Prix vente'!A:A,'Prix vente'!Q:Q)/1000</f>
        <v>//0</v>
      </c>
      <c r="U185" s="118"/>
      <c r="V185" s="118" t="n">
        <f aca="false">IFERROR(U185*_xlfn.xlookup(S185,'Prix vente'!$A:$A,'Prix vente'!$R:$R),"")</f>
        <v>0</v>
      </c>
      <c r="W185" s="106"/>
      <c r="X185" s="106" t="str">
        <f aca="false">_xlfn.xlookup(W185,'Prix vente'!$A:$A,'Prix vente'!$H:$H)&amp;"/"&amp;_xlfn.xlookup(W185,'Prix vente'!A:A,'Prix vente'!P:P)&amp;"/"&amp;_xlfn.xlookup(W185,'Prix vente'!A:A,'Prix vente'!Q:Q)/1000</f>
        <v>//0</v>
      </c>
      <c r="Y185" s="106"/>
      <c r="Z185" s="106" t="n">
        <f aca="false">IFERROR(Y185*_xlfn.xlookup(W185,'Prix vente'!$A:$A,'Prix vente'!$R:$R),"")</f>
        <v>0</v>
      </c>
      <c r="AA185" s="118"/>
      <c r="AB185" s="118" t="str">
        <f aca="false">_xlfn.xlookup(AA185,'Prix vente'!$A:$A,'Prix vente'!$H:$H)&amp;"/"&amp;_xlfn.xlookup(AA185,'Prix vente'!A:A,'Prix vente'!P:P)&amp;"/"&amp;_xlfn.xlookup(AA185,'Prix vente'!A:A,'Prix vente'!Q:Q)/1000</f>
        <v>//0</v>
      </c>
      <c r="AC185" s="118"/>
      <c r="AD185" s="118" t="n">
        <f aca="false">IFERROR(AC185*_xlfn.xlookup(AA185,'Prix vente'!$A:$A,'Prix vente'!$R:$R),"")</f>
        <v>0</v>
      </c>
      <c r="AE185" s="106"/>
      <c r="AF185" s="106" t="str">
        <f aca="false">_xlfn.xlookup(AE185,'Prix vente'!$A:$A,'Prix vente'!$H:$H)&amp;"/"&amp;_xlfn.xlookup(AE185,'Prix vente'!$A:$A,'Prix vente'!$P:$P)&amp;"/"&amp;_xlfn.xlookup(AE185,'Prix vente'!A:A,'Prix vente'!Q:Q)/1000</f>
        <v>//0</v>
      </c>
      <c r="AG185" s="106"/>
      <c r="AH185" s="106" t="n">
        <f aca="false">IFERROR(AG185*_xlfn.xlookup(AE185,'Prix vente'!$A:$A,'Prix vente'!$R:$R),"")</f>
        <v>0</v>
      </c>
      <c r="AI185" s="118"/>
      <c r="AJ185" s="118" t="str">
        <f aca="false">_xlfn.xlookup(AI185,'Prix vente'!$A:$A,'Prix vente'!$H:$H)&amp;"/"&amp;_xlfn.xlookup(AI185,'Prix vente'!$A:$A,'Prix vente'!$P:$P)&amp;"/"&amp;_xlfn.xlookup(AI185,'Prix vente'!A:A,'Prix vente'!Q:Q)/1000</f>
        <v>//0</v>
      </c>
      <c r="AK185" s="118"/>
      <c r="AL185" s="118" t="n">
        <f aca="false">IFERROR(AK185*_xlfn.xlookup(AI185,'Prix vente'!$A:$A,'Prix vente'!$R:$R),"")</f>
        <v>0</v>
      </c>
      <c r="AM185" s="106"/>
      <c r="AN185" s="106" t="str">
        <f aca="false">_xlfn.xlookup(AM185,'Prix vente'!$A:$A,'Prix vente'!$H:$H)&amp;"/"&amp;_xlfn.xlookup(AM185,'Prix vente'!$A:$A,'Prix vente'!$P:$P)&amp;"/"&amp;_xlfn.xlookup(AM185,'Prix vente'!A:A,'Prix vente'!Q:Q)/1000</f>
        <v>//0</v>
      </c>
      <c r="AO185" s="106"/>
      <c r="AP185" s="106" t="n">
        <f aca="false">IFERROR(AO185*_xlfn.xlookup(AM185,'Prix vente'!$A:$A,'Prix vente'!$R:$R),"")</f>
        <v>0</v>
      </c>
      <c r="AQ185" s="118"/>
      <c r="AR185" s="118" t="str">
        <f aca="false">_xlfn.xlookup(AQ185,'Prix vente'!$A:$A,'Prix vente'!$H:$H)&amp;"/"&amp;_xlfn.xlookup(AQ185,'Prix vente'!$A:$A,'Prix vente'!$P:$P)&amp;"/"&amp;_xlfn.xlookup(AQ185,'Prix vente'!A:A,'Prix vente'!Q:Q)/1000</f>
        <v>//0</v>
      </c>
      <c r="AS185" s="118"/>
      <c r="AT185" s="118" t="n">
        <f aca="false">IFERROR(AS185*_xlfn.xlookup(AQ185,'Prix vente'!$A:$A,'Prix vente'!$R:$R),"")</f>
        <v>0</v>
      </c>
      <c r="AU185" s="106"/>
      <c r="AV185" s="106"/>
      <c r="AW185" s="106"/>
      <c r="AX185" s="106"/>
      <c r="AY185" s="118"/>
      <c r="AZ185" s="118"/>
      <c r="BA185" s="118"/>
      <c r="BB185" s="118"/>
    </row>
    <row r="186" customFormat="false" ht="14.25" hidden="false" customHeight="false" outlineLevel="0" collapsed="false">
      <c r="A186" s="107" t="n">
        <v>334</v>
      </c>
      <c r="B186" s="107"/>
      <c r="C186" s="11"/>
      <c r="D186" s="11"/>
      <c r="E186" s="114"/>
      <c r="F186" s="115"/>
      <c r="G186" s="115"/>
      <c r="H186" s="115"/>
      <c r="I186" s="100" t="n">
        <f aca="false">_xlfn.xlookup(C186,Clients!B:B,Clients!W:W,FALSE())</f>
        <v>0</v>
      </c>
      <c r="J186" s="116" t="n">
        <f aca="false">_xlfn.xlookup(C186,Clients!$B$1:$B$1001,Clients!$M$1:$M$1001,FALSE())</f>
        <v>0</v>
      </c>
      <c r="K186" s="100" t="n">
        <f aca="false">_xlfn.xlookup(C186,Clients!B:B,Clients!R:R,FALSE())</f>
        <v>0</v>
      </c>
      <c r="L186" s="117"/>
      <c r="M186" s="98" t="n">
        <f aca="false">_xlfn.xlookup(C186,Clients!B:B,Clients!X:X,FALSE())</f>
        <v>0</v>
      </c>
      <c r="N186" s="98" t="n">
        <f aca="false">_xlfn.xlookup(C186,Clients!B:B,Clients!Y:Y,FALSE())</f>
        <v>0</v>
      </c>
      <c r="O186" s="106"/>
      <c r="P186" s="106" t="str">
        <f aca="false">_xlfn.xlookup(O186,'Prix vente'!A:A,'Prix vente'!H:H)&amp;"/"&amp;_xlfn.xlookup(O186,'Prix vente'!A:A,'Prix vente'!P:P)&amp;"/"&amp;_xlfn.xlookup(O186,'Prix vente'!A:A,'Prix vente'!Q:Q)/1000</f>
        <v>//0</v>
      </c>
      <c r="Q186" s="106"/>
      <c r="R186" s="106" t="n">
        <f aca="false">Q186*_xlfn.xlookup(O186,'Prix vente'!A:A,'Prix vente'!R:R)</f>
        <v>0</v>
      </c>
      <c r="S186" s="118"/>
      <c r="T186" s="118" t="str">
        <f aca="false">_xlfn.xlookup(S186,'Prix vente'!$A:$A,'Prix vente'!$H:$H)&amp;"/"&amp;_xlfn.xlookup(S186,'Prix vente'!A:A,'Prix vente'!P:P)&amp;"/"&amp;_xlfn.xlookup(S186,'Prix vente'!A:A,'Prix vente'!Q:Q)/1000</f>
        <v>//0</v>
      </c>
      <c r="U186" s="118"/>
      <c r="V186" s="118" t="n">
        <f aca="false">IFERROR(U186*_xlfn.xlookup(S186,'Prix vente'!$A:$A,'Prix vente'!$R:$R),"")</f>
        <v>0</v>
      </c>
      <c r="W186" s="106"/>
      <c r="X186" s="106" t="str">
        <f aca="false">_xlfn.xlookup(W186,'Prix vente'!$A:$A,'Prix vente'!$H:$H)&amp;"/"&amp;_xlfn.xlookup(W186,'Prix vente'!A:A,'Prix vente'!P:P)&amp;"/"&amp;_xlfn.xlookup(W186,'Prix vente'!A:A,'Prix vente'!Q:Q)/1000</f>
        <v>//0</v>
      </c>
      <c r="Y186" s="106"/>
      <c r="Z186" s="106" t="n">
        <f aca="false">IFERROR(Y186*_xlfn.xlookup(W186,'Prix vente'!$A:$A,'Prix vente'!$R:$R),"")</f>
        <v>0</v>
      </c>
      <c r="AA186" s="118"/>
      <c r="AB186" s="118" t="str">
        <f aca="false">_xlfn.xlookup(AA186,'Prix vente'!$A:$A,'Prix vente'!$H:$H)&amp;"/"&amp;_xlfn.xlookup(AA186,'Prix vente'!A:A,'Prix vente'!P:P)&amp;"/"&amp;_xlfn.xlookup(AA186,'Prix vente'!A:A,'Prix vente'!Q:Q)/1000</f>
        <v>//0</v>
      </c>
      <c r="AC186" s="118"/>
      <c r="AD186" s="118" t="n">
        <f aca="false">IFERROR(AC186*_xlfn.xlookup(AA186,'Prix vente'!$A:$A,'Prix vente'!$R:$R),"")</f>
        <v>0</v>
      </c>
      <c r="AE186" s="106"/>
      <c r="AF186" s="106" t="str">
        <f aca="false">_xlfn.xlookup(AE186,'Prix vente'!$A:$A,'Prix vente'!$H:$H)&amp;"/"&amp;_xlfn.xlookup(AE186,'Prix vente'!$A:$A,'Prix vente'!$P:$P)&amp;"/"&amp;_xlfn.xlookup(AE186,'Prix vente'!A:A,'Prix vente'!Q:Q)/1000</f>
        <v>//0</v>
      </c>
      <c r="AG186" s="106"/>
      <c r="AH186" s="106" t="n">
        <f aca="false">IFERROR(AG186*_xlfn.xlookup(AE186,'Prix vente'!$A:$A,'Prix vente'!$R:$R),"")</f>
        <v>0</v>
      </c>
      <c r="AI186" s="118"/>
      <c r="AJ186" s="118" t="str">
        <f aca="false">_xlfn.xlookup(AI186,'Prix vente'!$A:$A,'Prix vente'!$H:$H)&amp;"/"&amp;_xlfn.xlookup(AI186,'Prix vente'!$A:$A,'Prix vente'!$P:$P)&amp;"/"&amp;_xlfn.xlookup(AI186,'Prix vente'!A:A,'Prix vente'!Q:Q)/1000</f>
        <v>//0</v>
      </c>
      <c r="AK186" s="118"/>
      <c r="AL186" s="118" t="n">
        <f aca="false">IFERROR(AK186*_xlfn.xlookup(AI186,'Prix vente'!$A:$A,'Prix vente'!$R:$R),"")</f>
        <v>0</v>
      </c>
      <c r="AM186" s="106"/>
      <c r="AN186" s="106" t="str">
        <f aca="false">_xlfn.xlookup(AM186,'Prix vente'!$A:$A,'Prix vente'!$H:$H)&amp;"/"&amp;_xlfn.xlookup(AM186,'Prix vente'!$A:$A,'Prix vente'!$P:$P)&amp;"/"&amp;_xlfn.xlookup(AM186,'Prix vente'!A:A,'Prix vente'!Q:Q)/1000</f>
        <v>//0</v>
      </c>
      <c r="AO186" s="106"/>
      <c r="AP186" s="106" t="n">
        <f aca="false">IFERROR(AO186*_xlfn.xlookup(AM186,'Prix vente'!$A:$A,'Prix vente'!$R:$R),"")</f>
        <v>0</v>
      </c>
      <c r="AQ186" s="118"/>
      <c r="AR186" s="118" t="str">
        <f aca="false">_xlfn.xlookup(AQ186,'Prix vente'!$A:$A,'Prix vente'!$H:$H)&amp;"/"&amp;_xlfn.xlookup(AQ186,'Prix vente'!$A:$A,'Prix vente'!$P:$P)&amp;"/"&amp;_xlfn.xlookup(AQ186,'Prix vente'!A:A,'Prix vente'!Q:Q)/1000</f>
        <v>//0</v>
      </c>
      <c r="AS186" s="118"/>
      <c r="AT186" s="118" t="n">
        <f aca="false">IFERROR(AS186*_xlfn.xlookup(AQ186,'Prix vente'!$A:$A,'Prix vente'!$R:$R),"")</f>
        <v>0</v>
      </c>
      <c r="AU186" s="106"/>
      <c r="AV186" s="106"/>
      <c r="AW186" s="106"/>
      <c r="AX186" s="106"/>
      <c r="AY186" s="118"/>
      <c r="AZ186" s="118"/>
      <c r="BA186" s="118"/>
      <c r="BB186" s="118"/>
    </row>
    <row r="187" customFormat="false" ht="14.25" hidden="false" customHeight="false" outlineLevel="0" collapsed="false">
      <c r="A187" s="107" t="n">
        <v>335</v>
      </c>
      <c r="B187" s="107"/>
      <c r="C187" s="11"/>
      <c r="D187" s="11"/>
      <c r="E187" s="114"/>
      <c r="F187" s="115"/>
      <c r="G187" s="115"/>
      <c r="H187" s="115"/>
      <c r="I187" s="100" t="n">
        <f aca="false">_xlfn.xlookup(C187,Clients!B:B,Clients!W:W,FALSE())</f>
        <v>0</v>
      </c>
      <c r="J187" s="116" t="n">
        <f aca="false">_xlfn.xlookup(C187,Clients!$B$1:$B$1001,Clients!$M$1:$M$1001,FALSE())</f>
        <v>0</v>
      </c>
      <c r="K187" s="100" t="n">
        <f aca="false">_xlfn.xlookup(C187,Clients!B:B,Clients!R:R,FALSE())</f>
        <v>0</v>
      </c>
      <c r="L187" s="117"/>
      <c r="M187" s="98" t="n">
        <f aca="false">_xlfn.xlookup(C187,Clients!B:B,Clients!X:X,FALSE())</f>
        <v>0</v>
      </c>
      <c r="N187" s="98" t="n">
        <f aca="false">_xlfn.xlookup(C187,Clients!B:B,Clients!Y:Y,FALSE())</f>
        <v>0</v>
      </c>
      <c r="O187" s="106"/>
      <c r="P187" s="106" t="str">
        <f aca="false">_xlfn.xlookup(O187,'Prix vente'!A:A,'Prix vente'!H:H)&amp;"/"&amp;_xlfn.xlookup(O187,'Prix vente'!A:A,'Prix vente'!P:P)&amp;"/"&amp;_xlfn.xlookup(O187,'Prix vente'!A:A,'Prix vente'!Q:Q)/1000</f>
        <v>//0</v>
      </c>
      <c r="Q187" s="106"/>
      <c r="R187" s="106" t="n">
        <f aca="false">Q187*_xlfn.xlookup(O187,'Prix vente'!A:A,'Prix vente'!R:R)</f>
        <v>0</v>
      </c>
      <c r="S187" s="118"/>
      <c r="T187" s="118" t="str">
        <f aca="false">_xlfn.xlookup(S187,'Prix vente'!$A:$A,'Prix vente'!$H:$H)&amp;"/"&amp;_xlfn.xlookup(S187,'Prix vente'!A:A,'Prix vente'!P:P)&amp;"/"&amp;_xlfn.xlookup(S187,'Prix vente'!A:A,'Prix vente'!Q:Q)/1000</f>
        <v>//0</v>
      </c>
      <c r="U187" s="118"/>
      <c r="V187" s="118" t="n">
        <f aca="false">IFERROR(U187*_xlfn.xlookup(S187,'Prix vente'!$A:$A,'Prix vente'!$R:$R),"")</f>
        <v>0</v>
      </c>
      <c r="W187" s="106"/>
      <c r="X187" s="106" t="str">
        <f aca="false">_xlfn.xlookup(W187,'Prix vente'!$A:$A,'Prix vente'!$H:$H)&amp;"/"&amp;_xlfn.xlookup(W187,'Prix vente'!A:A,'Prix vente'!P:P)&amp;"/"&amp;_xlfn.xlookup(W187,'Prix vente'!A:A,'Prix vente'!Q:Q)/1000</f>
        <v>//0</v>
      </c>
      <c r="Y187" s="106"/>
      <c r="Z187" s="106" t="n">
        <f aca="false">IFERROR(Y187*_xlfn.xlookup(W187,'Prix vente'!$A:$A,'Prix vente'!$R:$R),"")</f>
        <v>0</v>
      </c>
      <c r="AA187" s="118"/>
      <c r="AB187" s="118" t="str">
        <f aca="false">_xlfn.xlookup(AA187,'Prix vente'!$A:$A,'Prix vente'!$H:$H)&amp;"/"&amp;_xlfn.xlookup(AA187,'Prix vente'!A:A,'Prix vente'!P:P)&amp;"/"&amp;_xlfn.xlookup(AA187,'Prix vente'!A:A,'Prix vente'!Q:Q)/1000</f>
        <v>//0</v>
      </c>
      <c r="AC187" s="118"/>
      <c r="AD187" s="118" t="n">
        <f aca="false">IFERROR(AC187*_xlfn.xlookup(AA187,'Prix vente'!$A:$A,'Prix vente'!$R:$R),"")</f>
        <v>0</v>
      </c>
      <c r="AE187" s="106"/>
      <c r="AF187" s="106" t="str">
        <f aca="false">_xlfn.xlookup(AE187,'Prix vente'!$A:$A,'Prix vente'!$H:$H)&amp;"/"&amp;_xlfn.xlookup(AE187,'Prix vente'!$A:$A,'Prix vente'!$P:$P)&amp;"/"&amp;_xlfn.xlookup(AE187,'Prix vente'!A:A,'Prix vente'!Q:Q)/1000</f>
        <v>//0</v>
      </c>
      <c r="AG187" s="106"/>
      <c r="AH187" s="106" t="n">
        <f aca="false">IFERROR(AG187*_xlfn.xlookup(AE187,'Prix vente'!$A:$A,'Prix vente'!$R:$R),"")</f>
        <v>0</v>
      </c>
      <c r="AI187" s="118"/>
      <c r="AJ187" s="118" t="str">
        <f aca="false">_xlfn.xlookup(AI187,'Prix vente'!$A:$A,'Prix vente'!$H:$H)&amp;"/"&amp;_xlfn.xlookup(AI187,'Prix vente'!$A:$A,'Prix vente'!$P:$P)&amp;"/"&amp;_xlfn.xlookup(AI187,'Prix vente'!A:A,'Prix vente'!Q:Q)/1000</f>
        <v>//0</v>
      </c>
      <c r="AK187" s="118"/>
      <c r="AL187" s="118" t="n">
        <f aca="false">IFERROR(AK187*_xlfn.xlookup(AI187,'Prix vente'!$A:$A,'Prix vente'!$R:$R),"")</f>
        <v>0</v>
      </c>
      <c r="AM187" s="106"/>
      <c r="AN187" s="106" t="str">
        <f aca="false">_xlfn.xlookup(AM187,'Prix vente'!$A:$A,'Prix vente'!$H:$H)&amp;"/"&amp;_xlfn.xlookup(AM187,'Prix vente'!$A:$A,'Prix vente'!$P:$P)&amp;"/"&amp;_xlfn.xlookup(AM187,'Prix vente'!A:A,'Prix vente'!Q:Q)/1000</f>
        <v>//0</v>
      </c>
      <c r="AO187" s="106"/>
      <c r="AP187" s="106" t="n">
        <f aca="false">IFERROR(AO187*_xlfn.xlookup(AM187,'Prix vente'!$A:$A,'Prix vente'!$R:$R),"")</f>
        <v>0</v>
      </c>
      <c r="AQ187" s="118"/>
      <c r="AR187" s="118" t="str">
        <f aca="false">_xlfn.xlookup(AQ187,'Prix vente'!$A:$A,'Prix vente'!$H:$H)&amp;"/"&amp;_xlfn.xlookup(AQ187,'Prix vente'!$A:$A,'Prix vente'!$P:$P)&amp;"/"&amp;_xlfn.xlookup(AQ187,'Prix vente'!A:A,'Prix vente'!Q:Q)/1000</f>
        <v>//0</v>
      </c>
      <c r="AS187" s="118"/>
      <c r="AT187" s="118" t="n">
        <f aca="false">IFERROR(AS187*_xlfn.xlookup(AQ187,'Prix vente'!$A:$A,'Prix vente'!$R:$R),"")</f>
        <v>0</v>
      </c>
      <c r="AU187" s="106"/>
      <c r="AV187" s="106"/>
      <c r="AW187" s="106"/>
      <c r="AX187" s="106"/>
      <c r="AY187" s="118"/>
      <c r="AZ187" s="118"/>
      <c r="BA187" s="118"/>
      <c r="BB187" s="118"/>
    </row>
    <row r="188" customFormat="false" ht="14.25" hidden="false" customHeight="false" outlineLevel="0" collapsed="false">
      <c r="A188" s="107" t="n">
        <v>336</v>
      </c>
      <c r="B188" s="107"/>
      <c r="C188" s="11"/>
      <c r="D188" s="11"/>
      <c r="E188" s="114"/>
      <c r="F188" s="115"/>
      <c r="G188" s="115"/>
      <c r="H188" s="115"/>
      <c r="I188" s="100" t="n">
        <f aca="false">_xlfn.xlookup(C188,Clients!B:B,Clients!W:W,FALSE())</f>
        <v>0</v>
      </c>
      <c r="J188" s="116" t="n">
        <f aca="false">_xlfn.xlookup(C188,Clients!$B$1:$B$1001,Clients!$M$1:$M$1001,FALSE())</f>
        <v>0</v>
      </c>
      <c r="K188" s="100" t="n">
        <f aca="false">_xlfn.xlookup(C188,Clients!B:B,Clients!R:R,FALSE())</f>
        <v>0</v>
      </c>
      <c r="L188" s="117"/>
      <c r="M188" s="98" t="n">
        <f aca="false">_xlfn.xlookup(C188,Clients!B:B,Clients!X:X,FALSE())</f>
        <v>0</v>
      </c>
      <c r="N188" s="98" t="n">
        <f aca="false">_xlfn.xlookup(C188,Clients!B:B,Clients!Y:Y,FALSE())</f>
        <v>0</v>
      </c>
      <c r="O188" s="106"/>
      <c r="P188" s="106" t="str">
        <f aca="false">_xlfn.xlookup(O188,'Prix vente'!A:A,'Prix vente'!H:H)&amp;"/"&amp;_xlfn.xlookup(O188,'Prix vente'!A:A,'Prix vente'!P:P)&amp;"/"&amp;_xlfn.xlookup(O188,'Prix vente'!A:A,'Prix vente'!Q:Q)/1000</f>
        <v>//0</v>
      </c>
      <c r="Q188" s="106"/>
      <c r="R188" s="106" t="n">
        <f aca="false">Q188*_xlfn.xlookup(O188,'Prix vente'!A:A,'Prix vente'!R:R)</f>
        <v>0</v>
      </c>
      <c r="S188" s="118"/>
      <c r="T188" s="118" t="str">
        <f aca="false">_xlfn.xlookup(S188,'Prix vente'!$A:$A,'Prix vente'!$H:$H)&amp;"/"&amp;_xlfn.xlookup(S188,'Prix vente'!A:A,'Prix vente'!P:P)&amp;"/"&amp;_xlfn.xlookup(S188,'Prix vente'!A:A,'Prix vente'!Q:Q)/1000</f>
        <v>//0</v>
      </c>
      <c r="U188" s="118"/>
      <c r="V188" s="118" t="n">
        <f aca="false">IFERROR(U188*_xlfn.xlookup(S188,'Prix vente'!$A:$A,'Prix vente'!$R:$R),"")</f>
        <v>0</v>
      </c>
      <c r="W188" s="106"/>
      <c r="X188" s="106" t="str">
        <f aca="false">_xlfn.xlookup(W188,'Prix vente'!$A:$A,'Prix vente'!$H:$H)&amp;"/"&amp;_xlfn.xlookup(W188,'Prix vente'!A:A,'Prix vente'!P:P)&amp;"/"&amp;_xlfn.xlookup(W188,'Prix vente'!A:A,'Prix vente'!Q:Q)/1000</f>
        <v>//0</v>
      </c>
      <c r="Y188" s="106"/>
      <c r="Z188" s="106" t="n">
        <f aca="false">IFERROR(Y188*_xlfn.xlookup(W188,'Prix vente'!$A:$A,'Prix vente'!$R:$R),"")</f>
        <v>0</v>
      </c>
      <c r="AA188" s="118"/>
      <c r="AB188" s="118" t="str">
        <f aca="false">_xlfn.xlookup(AA188,'Prix vente'!$A:$A,'Prix vente'!$H:$H)&amp;"/"&amp;_xlfn.xlookup(AA188,'Prix vente'!A:A,'Prix vente'!P:P)&amp;"/"&amp;_xlfn.xlookup(AA188,'Prix vente'!A:A,'Prix vente'!Q:Q)/1000</f>
        <v>//0</v>
      </c>
      <c r="AC188" s="118"/>
      <c r="AD188" s="118" t="n">
        <f aca="false">IFERROR(AC188*_xlfn.xlookup(AA188,'Prix vente'!$A:$A,'Prix vente'!$R:$R),"")</f>
        <v>0</v>
      </c>
      <c r="AE188" s="106"/>
      <c r="AF188" s="106" t="str">
        <f aca="false">_xlfn.xlookup(AE188,'Prix vente'!$A:$A,'Prix vente'!$H:$H)&amp;"/"&amp;_xlfn.xlookup(AE188,'Prix vente'!$A:$A,'Prix vente'!$P:$P)&amp;"/"&amp;_xlfn.xlookup(AE188,'Prix vente'!A:A,'Prix vente'!Q:Q)/1000</f>
        <v>//0</v>
      </c>
      <c r="AG188" s="106"/>
      <c r="AH188" s="106" t="n">
        <f aca="false">IFERROR(AG188*_xlfn.xlookup(AE188,'Prix vente'!$A:$A,'Prix vente'!$R:$R),"")</f>
        <v>0</v>
      </c>
      <c r="AI188" s="118"/>
      <c r="AJ188" s="118" t="str">
        <f aca="false">_xlfn.xlookup(AI188,'Prix vente'!$A:$A,'Prix vente'!$H:$H)&amp;"/"&amp;_xlfn.xlookup(AI188,'Prix vente'!$A:$A,'Prix vente'!$P:$P)&amp;"/"&amp;_xlfn.xlookup(AI188,'Prix vente'!A:A,'Prix vente'!Q:Q)/1000</f>
        <v>//0</v>
      </c>
      <c r="AK188" s="118"/>
      <c r="AL188" s="118" t="n">
        <f aca="false">IFERROR(AK188*_xlfn.xlookup(AI188,'Prix vente'!$A:$A,'Prix vente'!$R:$R),"")</f>
        <v>0</v>
      </c>
      <c r="AM188" s="106"/>
      <c r="AN188" s="106" t="str">
        <f aca="false">_xlfn.xlookup(AM188,'Prix vente'!$A:$A,'Prix vente'!$H:$H)&amp;"/"&amp;_xlfn.xlookup(AM188,'Prix vente'!$A:$A,'Prix vente'!$P:$P)&amp;"/"&amp;_xlfn.xlookup(AM188,'Prix vente'!A:A,'Prix vente'!Q:Q)/1000</f>
        <v>//0</v>
      </c>
      <c r="AO188" s="106"/>
      <c r="AP188" s="106" t="n">
        <f aca="false">IFERROR(AO188*_xlfn.xlookup(AM188,'Prix vente'!$A:$A,'Prix vente'!$R:$R),"")</f>
        <v>0</v>
      </c>
      <c r="AQ188" s="118"/>
      <c r="AR188" s="118" t="str">
        <f aca="false">_xlfn.xlookup(AQ188,'Prix vente'!$A:$A,'Prix vente'!$H:$H)&amp;"/"&amp;_xlfn.xlookup(AQ188,'Prix vente'!$A:$A,'Prix vente'!$P:$P)&amp;"/"&amp;_xlfn.xlookup(AQ188,'Prix vente'!A:A,'Prix vente'!Q:Q)/1000</f>
        <v>//0</v>
      </c>
      <c r="AS188" s="118"/>
      <c r="AT188" s="118" t="n">
        <f aca="false">IFERROR(AS188*_xlfn.xlookup(AQ188,'Prix vente'!$A:$A,'Prix vente'!$R:$R),"")</f>
        <v>0</v>
      </c>
      <c r="AU188" s="106"/>
      <c r="AV188" s="106"/>
      <c r="AW188" s="106"/>
      <c r="AX188" s="106"/>
      <c r="AY188" s="118"/>
      <c r="AZ188" s="118"/>
      <c r="BA188" s="118"/>
      <c r="BB188" s="118"/>
    </row>
    <row r="189" customFormat="false" ht="14.25" hidden="false" customHeight="false" outlineLevel="0" collapsed="false">
      <c r="A189" s="107" t="n">
        <v>337</v>
      </c>
      <c r="B189" s="107"/>
      <c r="C189" s="11"/>
      <c r="D189" s="11"/>
      <c r="E189" s="114"/>
      <c r="F189" s="115"/>
      <c r="G189" s="115"/>
      <c r="H189" s="115"/>
      <c r="I189" s="100" t="n">
        <f aca="false">_xlfn.xlookup(C189,Clients!B:B,Clients!W:W,FALSE())</f>
        <v>0</v>
      </c>
      <c r="J189" s="116" t="n">
        <f aca="false">_xlfn.xlookup(C189,Clients!$B$1:$B$1001,Clients!$M$1:$M$1001,FALSE())</f>
        <v>0</v>
      </c>
      <c r="K189" s="100" t="n">
        <f aca="false">_xlfn.xlookup(C189,Clients!B:B,Clients!R:R,FALSE())</f>
        <v>0</v>
      </c>
      <c r="L189" s="117"/>
      <c r="M189" s="98" t="n">
        <f aca="false">_xlfn.xlookup(C189,Clients!B:B,Clients!X:X,FALSE())</f>
        <v>0</v>
      </c>
      <c r="N189" s="98" t="n">
        <f aca="false">_xlfn.xlookup(C189,Clients!B:B,Clients!Y:Y,FALSE())</f>
        <v>0</v>
      </c>
      <c r="O189" s="106"/>
      <c r="P189" s="106" t="str">
        <f aca="false">_xlfn.xlookup(O189,'Prix vente'!A:A,'Prix vente'!H:H)&amp;"/"&amp;_xlfn.xlookup(O189,'Prix vente'!A:A,'Prix vente'!P:P)&amp;"/"&amp;_xlfn.xlookup(O189,'Prix vente'!A:A,'Prix vente'!Q:Q)/1000</f>
        <v>//0</v>
      </c>
      <c r="Q189" s="106"/>
      <c r="R189" s="106" t="n">
        <f aca="false">Q189*_xlfn.xlookup(O189,'Prix vente'!A:A,'Prix vente'!R:R)</f>
        <v>0</v>
      </c>
      <c r="S189" s="118"/>
      <c r="T189" s="118" t="str">
        <f aca="false">_xlfn.xlookup(S189,'Prix vente'!$A:$A,'Prix vente'!$H:$H)&amp;"/"&amp;_xlfn.xlookup(S189,'Prix vente'!A:A,'Prix vente'!P:P)&amp;"/"&amp;_xlfn.xlookup(S189,'Prix vente'!A:A,'Prix vente'!Q:Q)/1000</f>
        <v>//0</v>
      </c>
      <c r="U189" s="118"/>
      <c r="V189" s="118" t="n">
        <f aca="false">IFERROR(U189*_xlfn.xlookup(S189,'Prix vente'!$A:$A,'Prix vente'!$R:$R),"")</f>
        <v>0</v>
      </c>
      <c r="W189" s="106"/>
      <c r="X189" s="106" t="str">
        <f aca="false">_xlfn.xlookup(W189,'Prix vente'!$A:$A,'Prix vente'!$H:$H)&amp;"/"&amp;_xlfn.xlookup(W189,'Prix vente'!A:A,'Prix vente'!P:P)&amp;"/"&amp;_xlfn.xlookup(W189,'Prix vente'!A:A,'Prix vente'!Q:Q)/1000</f>
        <v>//0</v>
      </c>
      <c r="Y189" s="106"/>
      <c r="Z189" s="106" t="n">
        <f aca="false">IFERROR(Y189*_xlfn.xlookup(W189,'Prix vente'!$A:$A,'Prix vente'!$R:$R),"")</f>
        <v>0</v>
      </c>
      <c r="AA189" s="118"/>
      <c r="AB189" s="118" t="str">
        <f aca="false">_xlfn.xlookup(AA189,'Prix vente'!$A:$A,'Prix vente'!$H:$H)&amp;"/"&amp;_xlfn.xlookup(AA189,'Prix vente'!A:A,'Prix vente'!P:P)&amp;"/"&amp;_xlfn.xlookup(AA189,'Prix vente'!A:A,'Prix vente'!Q:Q)/1000</f>
        <v>//0</v>
      </c>
      <c r="AC189" s="118"/>
      <c r="AD189" s="118" t="n">
        <f aca="false">IFERROR(AC189*_xlfn.xlookup(AA189,'Prix vente'!$A:$A,'Prix vente'!$R:$R),"")</f>
        <v>0</v>
      </c>
      <c r="AE189" s="106"/>
      <c r="AF189" s="106" t="str">
        <f aca="false">_xlfn.xlookup(AE189,'Prix vente'!$A:$A,'Prix vente'!$H:$H)&amp;"/"&amp;_xlfn.xlookup(AE189,'Prix vente'!$A:$A,'Prix vente'!$P:$P)&amp;"/"&amp;_xlfn.xlookup(AE189,'Prix vente'!A:A,'Prix vente'!Q:Q)/1000</f>
        <v>//0</v>
      </c>
      <c r="AG189" s="106"/>
      <c r="AH189" s="106" t="n">
        <f aca="false">IFERROR(AG189*_xlfn.xlookup(AE189,'Prix vente'!$A:$A,'Prix vente'!$R:$R),"")</f>
        <v>0</v>
      </c>
      <c r="AI189" s="118"/>
      <c r="AJ189" s="118" t="str">
        <f aca="false">_xlfn.xlookup(AI189,'Prix vente'!$A:$A,'Prix vente'!$H:$H)&amp;"/"&amp;_xlfn.xlookup(AI189,'Prix vente'!$A:$A,'Prix vente'!$P:$P)&amp;"/"&amp;_xlfn.xlookup(AI189,'Prix vente'!A:A,'Prix vente'!Q:Q)/1000</f>
        <v>//0</v>
      </c>
      <c r="AK189" s="118"/>
      <c r="AL189" s="118" t="n">
        <f aca="false">IFERROR(AK189*_xlfn.xlookup(AI189,'Prix vente'!$A:$A,'Prix vente'!$R:$R),"")</f>
        <v>0</v>
      </c>
      <c r="AM189" s="106"/>
      <c r="AN189" s="106" t="str">
        <f aca="false">_xlfn.xlookup(AM189,'Prix vente'!$A:$A,'Prix vente'!$H:$H)&amp;"/"&amp;_xlfn.xlookup(AM189,'Prix vente'!$A:$A,'Prix vente'!$P:$P)&amp;"/"&amp;_xlfn.xlookup(AM189,'Prix vente'!A:A,'Prix vente'!Q:Q)/1000</f>
        <v>//0</v>
      </c>
      <c r="AO189" s="106"/>
      <c r="AP189" s="106" t="n">
        <f aca="false">IFERROR(AO189*_xlfn.xlookup(AM189,'Prix vente'!$A:$A,'Prix vente'!$R:$R),"")</f>
        <v>0</v>
      </c>
      <c r="AQ189" s="118"/>
      <c r="AR189" s="118" t="str">
        <f aca="false">_xlfn.xlookup(AQ189,'Prix vente'!$A:$A,'Prix vente'!$H:$H)&amp;"/"&amp;_xlfn.xlookup(AQ189,'Prix vente'!$A:$A,'Prix vente'!$P:$P)&amp;"/"&amp;_xlfn.xlookup(AQ189,'Prix vente'!A:A,'Prix vente'!Q:Q)/1000</f>
        <v>//0</v>
      </c>
      <c r="AS189" s="118"/>
      <c r="AT189" s="118" t="n">
        <f aca="false">IFERROR(AS189*_xlfn.xlookup(AQ189,'Prix vente'!$A:$A,'Prix vente'!$R:$R),"")</f>
        <v>0</v>
      </c>
      <c r="AU189" s="106"/>
      <c r="AV189" s="106"/>
      <c r="AW189" s="106"/>
      <c r="AX189" s="106"/>
      <c r="AY189" s="118"/>
      <c r="AZ189" s="118"/>
      <c r="BA189" s="118"/>
      <c r="BB189" s="118"/>
    </row>
    <row r="190" customFormat="false" ht="14.25" hidden="false" customHeight="false" outlineLevel="0" collapsed="false">
      <c r="A190" s="107" t="n">
        <v>338</v>
      </c>
      <c r="B190" s="107"/>
      <c r="C190" s="11"/>
      <c r="D190" s="11"/>
      <c r="E190" s="114"/>
      <c r="F190" s="115"/>
      <c r="G190" s="115"/>
      <c r="H190" s="115"/>
      <c r="I190" s="100" t="n">
        <f aca="false">_xlfn.xlookup(C190,Clients!B:B,Clients!W:W,FALSE())</f>
        <v>0</v>
      </c>
      <c r="J190" s="116" t="n">
        <f aca="false">_xlfn.xlookup(C190,Clients!$B$1:$B$1001,Clients!$M$1:$M$1001,FALSE())</f>
        <v>0</v>
      </c>
      <c r="K190" s="100" t="n">
        <f aca="false">_xlfn.xlookup(C190,Clients!B:B,Clients!R:R,FALSE())</f>
        <v>0</v>
      </c>
      <c r="L190" s="117"/>
      <c r="M190" s="98" t="n">
        <f aca="false">_xlfn.xlookup(C190,Clients!B:B,Clients!X:X,FALSE())</f>
        <v>0</v>
      </c>
      <c r="N190" s="98" t="n">
        <f aca="false">_xlfn.xlookup(C190,Clients!B:B,Clients!Y:Y,FALSE())</f>
        <v>0</v>
      </c>
      <c r="O190" s="106"/>
      <c r="P190" s="106" t="str">
        <f aca="false">_xlfn.xlookup(O190,'Prix vente'!A:A,'Prix vente'!H:H)&amp;"/"&amp;_xlfn.xlookup(O190,'Prix vente'!A:A,'Prix vente'!P:P)&amp;"/"&amp;_xlfn.xlookup(O190,'Prix vente'!A:A,'Prix vente'!Q:Q)/1000</f>
        <v>//0</v>
      </c>
      <c r="Q190" s="106"/>
      <c r="R190" s="106" t="n">
        <f aca="false">Q190*_xlfn.xlookup(O190,'Prix vente'!A:A,'Prix vente'!R:R)</f>
        <v>0</v>
      </c>
      <c r="S190" s="118"/>
      <c r="T190" s="118" t="str">
        <f aca="false">_xlfn.xlookup(S190,'Prix vente'!$A:$A,'Prix vente'!$H:$H)&amp;"/"&amp;_xlfn.xlookup(S190,'Prix vente'!A:A,'Prix vente'!P:P)&amp;"/"&amp;_xlfn.xlookup(S190,'Prix vente'!A:A,'Prix vente'!Q:Q)/1000</f>
        <v>//0</v>
      </c>
      <c r="U190" s="118"/>
      <c r="V190" s="118" t="n">
        <f aca="false">IFERROR(U190*_xlfn.xlookup(S190,'Prix vente'!$A:$A,'Prix vente'!$R:$R),"")</f>
        <v>0</v>
      </c>
      <c r="W190" s="106"/>
      <c r="X190" s="106" t="str">
        <f aca="false">_xlfn.xlookup(W190,'Prix vente'!$A:$A,'Prix vente'!$H:$H)&amp;"/"&amp;_xlfn.xlookup(W190,'Prix vente'!A:A,'Prix vente'!P:P)&amp;"/"&amp;_xlfn.xlookup(W190,'Prix vente'!A:A,'Prix vente'!Q:Q)/1000</f>
        <v>//0</v>
      </c>
      <c r="Y190" s="106"/>
      <c r="Z190" s="106" t="n">
        <f aca="false">IFERROR(Y190*_xlfn.xlookup(W190,'Prix vente'!$A:$A,'Prix vente'!$R:$R),"")</f>
        <v>0</v>
      </c>
      <c r="AA190" s="118"/>
      <c r="AB190" s="118" t="str">
        <f aca="false">_xlfn.xlookup(AA190,'Prix vente'!$A:$A,'Prix vente'!$H:$H)&amp;"/"&amp;_xlfn.xlookup(AA190,'Prix vente'!A:A,'Prix vente'!P:P)&amp;"/"&amp;_xlfn.xlookup(AA190,'Prix vente'!A:A,'Prix vente'!Q:Q)/1000</f>
        <v>//0</v>
      </c>
      <c r="AC190" s="118"/>
      <c r="AD190" s="118" t="n">
        <f aca="false">IFERROR(AC190*_xlfn.xlookup(AA190,'Prix vente'!$A:$A,'Prix vente'!$R:$R),"")</f>
        <v>0</v>
      </c>
      <c r="AE190" s="106"/>
      <c r="AF190" s="106" t="str">
        <f aca="false">_xlfn.xlookup(AE190,'Prix vente'!$A:$A,'Prix vente'!$H:$H)&amp;"/"&amp;_xlfn.xlookup(AE190,'Prix vente'!$A:$A,'Prix vente'!$P:$P)&amp;"/"&amp;_xlfn.xlookup(AE190,'Prix vente'!A:A,'Prix vente'!Q:Q)/1000</f>
        <v>//0</v>
      </c>
      <c r="AG190" s="106"/>
      <c r="AH190" s="106" t="n">
        <f aca="false">IFERROR(AG190*_xlfn.xlookup(AE190,'Prix vente'!$A:$A,'Prix vente'!$R:$R),"")</f>
        <v>0</v>
      </c>
      <c r="AI190" s="118"/>
      <c r="AJ190" s="118" t="str">
        <f aca="false">_xlfn.xlookup(AI190,'Prix vente'!$A:$A,'Prix vente'!$H:$H)&amp;"/"&amp;_xlfn.xlookup(AI190,'Prix vente'!$A:$A,'Prix vente'!$P:$P)&amp;"/"&amp;_xlfn.xlookup(AI190,'Prix vente'!A:A,'Prix vente'!Q:Q)/1000</f>
        <v>//0</v>
      </c>
      <c r="AK190" s="118"/>
      <c r="AL190" s="118" t="n">
        <f aca="false">IFERROR(AK190*_xlfn.xlookup(AI190,'Prix vente'!$A:$A,'Prix vente'!$R:$R),"")</f>
        <v>0</v>
      </c>
      <c r="AM190" s="106"/>
      <c r="AN190" s="106" t="str">
        <f aca="false">_xlfn.xlookup(AM190,'Prix vente'!$A:$A,'Prix vente'!$H:$H)&amp;"/"&amp;_xlfn.xlookup(AM190,'Prix vente'!$A:$A,'Prix vente'!$P:$P)&amp;"/"&amp;_xlfn.xlookup(AM190,'Prix vente'!A:A,'Prix vente'!Q:Q)/1000</f>
        <v>//0</v>
      </c>
      <c r="AO190" s="106"/>
      <c r="AP190" s="106" t="n">
        <f aca="false">IFERROR(AO190*_xlfn.xlookup(AM190,'Prix vente'!$A:$A,'Prix vente'!$R:$R),"")</f>
        <v>0</v>
      </c>
      <c r="AQ190" s="118"/>
      <c r="AR190" s="118" t="str">
        <f aca="false">_xlfn.xlookup(AQ190,'Prix vente'!$A:$A,'Prix vente'!$H:$H)&amp;"/"&amp;_xlfn.xlookup(AQ190,'Prix vente'!$A:$A,'Prix vente'!$P:$P)&amp;"/"&amp;_xlfn.xlookup(AQ190,'Prix vente'!A:A,'Prix vente'!Q:Q)/1000</f>
        <v>//0</v>
      </c>
      <c r="AS190" s="118"/>
      <c r="AT190" s="118" t="n">
        <f aca="false">IFERROR(AS190*_xlfn.xlookup(AQ190,'Prix vente'!$A:$A,'Prix vente'!$R:$R),"")</f>
        <v>0</v>
      </c>
      <c r="AU190" s="106"/>
      <c r="AV190" s="106"/>
      <c r="AW190" s="106"/>
      <c r="AX190" s="106"/>
      <c r="AY190" s="118"/>
      <c r="AZ190" s="118"/>
      <c r="BA190" s="118"/>
      <c r="BB190" s="118"/>
    </row>
    <row r="191" customFormat="false" ht="14.25" hidden="false" customHeight="false" outlineLevel="0" collapsed="false">
      <c r="A191" s="107" t="n">
        <v>339</v>
      </c>
      <c r="B191" s="107"/>
      <c r="C191" s="11"/>
      <c r="D191" s="11"/>
      <c r="E191" s="114"/>
      <c r="F191" s="115"/>
      <c r="G191" s="115"/>
      <c r="H191" s="115"/>
      <c r="I191" s="100" t="n">
        <f aca="false">_xlfn.xlookup(C191,Clients!B:B,Clients!W:W,FALSE())</f>
        <v>0</v>
      </c>
      <c r="J191" s="116" t="n">
        <f aca="false">_xlfn.xlookup(C191,Clients!$B$1:$B$1001,Clients!$M$1:$M$1001,FALSE())</f>
        <v>0</v>
      </c>
      <c r="K191" s="100" t="n">
        <f aca="false">_xlfn.xlookup(C191,Clients!B:B,Clients!R:R,FALSE())</f>
        <v>0</v>
      </c>
      <c r="L191" s="117"/>
      <c r="M191" s="98" t="n">
        <f aca="false">_xlfn.xlookup(C191,Clients!B:B,Clients!X:X,FALSE())</f>
        <v>0</v>
      </c>
      <c r="N191" s="98" t="n">
        <f aca="false">_xlfn.xlookup(C191,Clients!B:B,Clients!Y:Y,FALSE())</f>
        <v>0</v>
      </c>
      <c r="O191" s="106"/>
      <c r="P191" s="106" t="str">
        <f aca="false">_xlfn.xlookup(O191,'Prix vente'!A:A,'Prix vente'!H:H)&amp;"/"&amp;_xlfn.xlookup(O191,'Prix vente'!A:A,'Prix vente'!P:P)&amp;"/"&amp;_xlfn.xlookup(O191,'Prix vente'!A:A,'Prix vente'!Q:Q)/1000</f>
        <v>//0</v>
      </c>
      <c r="Q191" s="106"/>
      <c r="R191" s="106" t="n">
        <f aca="false">Q191*_xlfn.xlookup(O191,'Prix vente'!A:A,'Prix vente'!R:R)</f>
        <v>0</v>
      </c>
      <c r="S191" s="118"/>
      <c r="T191" s="118" t="str">
        <f aca="false">_xlfn.xlookup(S191,'Prix vente'!$A:$A,'Prix vente'!$H:$H)&amp;"/"&amp;_xlfn.xlookup(S191,'Prix vente'!A:A,'Prix vente'!P:P)&amp;"/"&amp;_xlfn.xlookup(S191,'Prix vente'!A:A,'Prix vente'!Q:Q)/1000</f>
        <v>//0</v>
      </c>
      <c r="U191" s="118"/>
      <c r="V191" s="118" t="n">
        <f aca="false">IFERROR(U191*_xlfn.xlookup(S191,'Prix vente'!$A:$A,'Prix vente'!$R:$R),"")</f>
        <v>0</v>
      </c>
      <c r="W191" s="106"/>
      <c r="X191" s="106" t="str">
        <f aca="false">_xlfn.xlookup(W191,'Prix vente'!$A:$A,'Prix vente'!$H:$H)&amp;"/"&amp;_xlfn.xlookup(W191,'Prix vente'!A:A,'Prix vente'!P:P)&amp;"/"&amp;_xlfn.xlookup(W191,'Prix vente'!A:A,'Prix vente'!Q:Q)/1000</f>
        <v>//0</v>
      </c>
      <c r="Y191" s="106"/>
      <c r="Z191" s="106" t="n">
        <f aca="false">IFERROR(Y191*_xlfn.xlookup(W191,'Prix vente'!$A:$A,'Prix vente'!$R:$R),"")</f>
        <v>0</v>
      </c>
      <c r="AA191" s="118"/>
      <c r="AB191" s="118" t="str">
        <f aca="false">_xlfn.xlookup(AA191,'Prix vente'!$A:$A,'Prix vente'!$H:$H)&amp;"/"&amp;_xlfn.xlookup(AA191,'Prix vente'!A:A,'Prix vente'!P:P)&amp;"/"&amp;_xlfn.xlookup(AA191,'Prix vente'!A:A,'Prix vente'!Q:Q)/1000</f>
        <v>//0</v>
      </c>
      <c r="AC191" s="118"/>
      <c r="AD191" s="118" t="n">
        <f aca="false">IFERROR(AC191*_xlfn.xlookup(AA191,'Prix vente'!$A:$A,'Prix vente'!$R:$R),"")</f>
        <v>0</v>
      </c>
      <c r="AE191" s="106"/>
      <c r="AF191" s="106" t="str">
        <f aca="false">_xlfn.xlookup(AE191,'Prix vente'!$A:$A,'Prix vente'!$H:$H)&amp;"/"&amp;_xlfn.xlookup(AE191,'Prix vente'!$A:$A,'Prix vente'!$P:$P)&amp;"/"&amp;_xlfn.xlookup(AE191,'Prix vente'!A:A,'Prix vente'!Q:Q)/1000</f>
        <v>//0</v>
      </c>
      <c r="AG191" s="106"/>
      <c r="AH191" s="106" t="n">
        <f aca="false">IFERROR(AG191*_xlfn.xlookup(AE191,'Prix vente'!$A:$A,'Prix vente'!$R:$R),"")</f>
        <v>0</v>
      </c>
      <c r="AI191" s="118"/>
      <c r="AJ191" s="118" t="str">
        <f aca="false">_xlfn.xlookup(AI191,'Prix vente'!$A:$A,'Prix vente'!$H:$H)&amp;"/"&amp;_xlfn.xlookup(AI191,'Prix vente'!$A:$A,'Prix vente'!$P:$P)&amp;"/"&amp;_xlfn.xlookup(AI191,'Prix vente'!A:A,'Prix vente'!Q:Q)/1000</f>
        <v>//0</v>
      </c>
      <c r="AK191" s="118"/>
      <c r="AL191" s="118" t="n">
        <f aca="false">IFERROR(AK191*_xlfn.xlookup(AI191,'Prix vente'!$A:$A,'Prix vente'!$R:$R),"")</f>
        <v>0</v>
      </c>
      <c r="AM191" s="106"/>
      <c r="AN191" s="106" t="str">
        <f aca="false">_xlfn.xlookup(AM191,'Prix vente'!$A:$A,'Prix vente'!$H:$H)&amp;"/"&amp;_xlfn.xlookup(AM191,'Prix vente'!$A:$A,'Prix vente'!$P:$P)&amp;"/"&amp;_xlfn.xlookup(AM191,'Prix vente'!A:A,'Prix vente'!Q:Q)/1000</f>
        <v>//0</v>
      </c>
      <c r="AO191" s="106"/>
      <c r="AP191" s="106" t="n">
        <f aca="false">IFERROR(AO191*_xlfn.xlookup(AM191,'Prix vente'!$A:$A,'Prix vente'!$R:$R),"")</f>
        <v>0</v>
      </c>
      <c r="AQ191" s="118"/>
      <c r="AR191" s="118" t="str">
        <f aca="false">_xlfn.xlookup(AQ191,'Prix vente'!$A:$A,'Prix vente'!$H:$H)&amp;"/"&amp;_xlfn.xlookup(AQ191,'Prix vente'!$A:$A,'Prix vente'!$P:$P)&amp;"/"&amp;_xlfn.xlookup(AQ191,'Prix vente'!A:A,'Prix vente'!Q:Q)/1000</f>
        <v>//0</v>
      </c>
      <c r="AS191" s="118"/>
      <c r="AT191" s="118" t="n">
        <f aca="false">IFERROR(AS191*_xlfn.xlookup(AQ191,'Prix vente'!$A:$A,'Prix vente'!$R:$R),"")</f>
        <v>0</v>
      </c>
      <c r="AU191" s="106"/>
      <c r="AV191" s="106"/>
      <c r="AW191" s="106"/>
      <c r="AX191" s="106"/>
      <c r="AY191" s="118"/>
      <c r="AZ191" s="118"/>
      <c r="BA191" s="118"/>
      <c r="BB191" s="118"/>
    </row>
    <row r="192" customFormat="false" ht="14.25" hidden="false" customHeight="false" outlineLevel="0" collapsed="false">
      <c r="A192" s="107" t="n">
        <v>340</v>
      </c>
      <c r="B192" s="107"/>
      <c r="C192" s="11"/>
      <c r="D192" s="11"/>
      <c r="E192" s="114"/>
      <c r="F192" s="115"/>
      <c r="G192" s="115"/>
      <c r="H192" s="115"/>
      <c r="I192" s="100" t="n">
        <f aca="false">_xlfn.xlookup(C192,Clients!B:B,Clients!W:W,FALSE())</f>
        <v>0</v>
      </c>
      <c r="J192" s="116" t="n">
        <f aca="false">_xlfn.xlookup(C192,Clients!$B$1:$B$1001,Clients!$M$1:$M$1001,FALSE())</f>
        <v>0</v>
      </c>
      <c r="K192" s="100" t="n">
        <f aca="false">_xlfn.xlookup(C192,Clients!B:B,Clients!R:R,FALSE())</f>
        <v>0</v>
      </c>
      <c r="L192" s="117"/>
      <c r="M192" s="98" t="n">
        <f aca="false">_xlfn.xlookup(C192,Clients!B:B,Clients!X:X,FALSE())</f>
        <v>0</v>
      </c>
      <c r="N192" s="98" t="n">
        <f aca="false">_xlfn.xlookup(C192,Clients!B:B,Clients!Y:Y,FALSE())</f>
        <v>0</v>
      </c>
      <c r="O192" s="106"/>
      <c r="P192" s="106" t="str">
        <f aca="false">_xlfn.xlookup(O192,'Prix vente'!A:A,'Prix vente'!H:H)&amp;"/"&amp;_xlfn.xlookup(O192,'Prix vente'!A:A,'Prix vente'!P:P)&amp;"/"&amp;_xlfn.xlookup(O192,'Prix vente'!A:A,'Prix vente'!Q:Q)/1000</f>
        <v>//0</v>
      </c>
      <c r="Q192" s="106"/>
      <c r="R192" s="106" t="n">
        <f aca="false">Q192*_xlfn.xlookup(O192,'Prix vente'!A:A,'Prix vente'!R:R)</f>
        <v>0</v>
      </c>
      <c r="S192" s="118"/>
      <c r="T192" s="118" t="str">
        <f aca="false">_xlfn.xlookup(S192,'Prix vente'!$A:$A,'Prix vente'!$H:$H)&amp;"/"&amp;_xlfn.xlookup(S192,'Prix vente'!A:A,'Prix vente'!P:P)&amp;"/"&amp;_xlfn.xlookup(S192,'Prix vente'!A:A,'Prix vente'!Q:Q)/1000</f>
        <v>//0</v>
      </c>
      <c r="U192" s="118"/>
      <c r="V192" s="118" t="n">
        <f aca="false">IFERROR(U192*_xlfn.xlookup(S192,'Prix vente'!$A:$A,'Prix vente'!$R:$R),"")</f>
        <v>0</v>
      </c>
      <c r="W192" s="106"/>
      <c r="X192" s="106" t="str">
        <f aca="false">_xlfn.xlookup(W192,'Prix vente'!$A:$A,'Prix vente'!$H:$H)&amp;"/"&amp;_xlfn.xlookup(W192,'Prix vente'!A:A,'Prix vente'!P:P)&amp;"/"&amp;_xlfn.xlookup(W192,'Prix vente'!A:A,'Prix vente'!Q:Q)/1000</f>
        <v>//0</v>
      </c>
      <c r="Y192" s="106"/>
      <c r="Z192" s="106" t="n">
        <f aca="false">IFERROR(Y192*_xlfn.xlookup(W192,'Prix vente'!$A:$A,'Prix vente'!$R:$R),"")</f>
        <v>0</v>
      </c>
      <c r="AA192" s="118"/>
      <c r="AB192" s="118" t="str">
        <f aca="false">_xlfn.xlookup(AA192,'Prix vente'!$A:$A,'Prix vente'!$H:$H)&amp;"/"&amp;_xlfn.xlookup(AA192,'Prix vente'!A:A,'Prix vente'!P:P)&amp;"/"&amp;_xlfn.xlookup(AA192,'Prix vente'!A:A,'Prix vente'!Q:Q)/1000</f>
        <v>//0</v>
      </c>
      <c r="AC192" s="118"/>
      <c r="AD192" s="118" t="n">
        <f aca="false">IFERROR(AC192*_xlfn.xlookup(AA192,'Prix vente'!$A:$A,'Prix vente'!$R:$R),"")</f>
        <v>0</v>
      </c>
      <c r="AE192" s="106"/>
      <c r="AF192" s="106" t="str">
        <f aca="false">_xlfn.xlookup(AE192,'Prix vente'!$A:$A,'Prix vente'!$H:$H)&amp;"/"&amp;_xlfn.xlookup(AE192,'Prix vente'!$A:$A,'Prix vente'!$P:$P)&amp;"/"&amp;_xlfn.xlookup(AE192,'Prix vente'!A:A,'Prix vente'!Q:Q)/1000</f>
        <v>//0</v>
      </c>
      <c r="AG192" s="106"/>
      <c r="AH192" s="106" t="n">
        <f aca="false">IFERROR(AG192*_xlfn.xlookup(AE192,'Prix vente'!$A:$A,'Prix vente'!$R:$R),"")</f>
        <v>0</v>
      </c>
      <c r="AI192" s="118"/>
      <c r="AJ192" s="118" t="str">
        <f aca="false">_xlfn.xlookup(AI192,'Prix vente'!$A:$A,'Prix vente'!$H:$H)&amp;"/"&amp;_xlfn.xlookup(AI192,'Prix vente'!$A:$A,'Prix vente'!$P:$P)&amp;"/"&amp;_xlfn.xlookup(AI192,'Prix vente'!A:A,'Prix vente'!Q:Q)/1000</f>
        <v>//0</v>
      </c>
      <c r="AK192" s="118"/>
      <c r="AL192" s="118" t="n">
        <f aca="false">IFERROR(AK192*_xlfn.xlookup(AI192,'Prix vente'!$A:$A,'Prix vente'!$R:$R),"")</f>
        <v>0</v>
      </c>
      <c r="AM192" s="106"/>
      <c r="AN192" s="106" t="str">
        <f aca="false">_xlfn.xlookup(AM192,'Prix vente'!$A:$A,'Prix vente'!$H:$H)&amp;"/"&amp;_xlfn.xlookup(AM192,'Prix vente'!$A:$A,'Prix vente'!$P:$P)&amp;"/"&amp;_xlfn.xlookup(AM192,'Prix vente'!A:A,'Prix vente'!Q:Q)/1000</f>
        <v>//0</v>
      </c>
      <c r="AO192" s="106"/>
      <c r="AP192" s="106" t="n">
        <f aca="false">IFERROR(AO192*_xlfn.xlookup(AM192,'Prix vente'!$A:$A,'Prix vente'!$R:$R),"")</f>
        <v>0</v>
      </c>
      <c r="AQ192" s="118"/>
      <c r="AR192" s="118" t="str">
        <f aca="false">_xlfn.xlookup(AQ192,'Prix vente'!$A:$A,'Prix vente'!$H:$H)&amp;"/"&amp;_xlfn.xlookup(AQ192,'Prix vente'!$A:$A,'Prix vente'!$P:$P)&amp;"/"&amp;_xlfn.xlookup(AQ192,'Prix vente'!A:A,'Prix vente'!Q:Q)/1000</f>
        <v>//0</v>
      </c>
      <c r="AS192" s="118"/>
      <c r="AT192" s="118" t="n">
        <f aca="false">IFERROR(AS192*_xlfn.xlookup(AQ192,'Prix vente'!$A:$A,'Prix vente'!$R:$R),"")</f>
        <v>0</v>
      </c>
      <c r="AU192" s="106"/>
      <c r="AV192" s="106"/>
      <c r="AW192" s="106"/>
      <c r="AX192" s="106"/>
      <c r="AY192" s="118"/>
      <c r="AZ192" s="118"/>
      <c r="BA192" s="118"/>
      <c r="BB192" s="118"/>
    </row>
    <row r="193" customFormat="false" ht="14.25" hidden="false" customHeight="false" outlineLevel="0" collapsed="false">
      <c r="A193" s="107" t="n">
        <v>341</v>
      </c>
      <c r="B193" s="107"/>
      <c r="C193" s="11"/>
      <c r="D193" s="11"/>
      <c r="E193" s="114"/>
      <c r="F193" s="115"/>
      <c r="G193" s="115"/>
      <c r="H193" s="115"/>
      <c r="I193" s="100" t="n">
        <f aca="false">_xlfn.xlookup(C193,Clients!B:B,Clients!W:W,FALSE())</f>
        <v>0</v>
      </c>
      <c r="J193" s="116" t="n">
        <f aca="false">_xlfn.xlookup(C193,Clients!$B$1:$B$1001,Clients!$M$1:$M$1001,FALSE())</f>
        <v>0</v>
      </c>
      <c r="K193" s="100" t="n">
        <f aca="false">_xlfn.xlookup(C193,Clients!B:B,Clients!R:R,FALSE())</f>
        <v>0</v>
      </c>
      <c r="L193" s="117"/>
      <c r="M193" s="98" t="n">
        <f aca="false">_xlfn.xlookup(C193,Clients!B:B,Clients!X:X,FALSE())</f>
        <v>0</v>
      </c>
      <c r="N193" s="98" t="n">
        <f aca="false">_xlfn.xlookup(C193,Clients!B:B,Clients!Y:Y,FALSE())</f>
        <v>0</v>
      </c>
      <c r="O193" s="106"/>
      <c r="P193" s="106" t="str">
        <f aca="false">_xlfn.xlookup(O193,'Prix vente'!A:A,'Prix vente'!H:H)&amp;"/"&amp;_xlfn.xlookup(O193,'Prix vente'!A:A,'Prix vente'!P:P)&amp;"/"&amp;_xlfn.xlookup(O193,'Prix vente'!A:A,'Prix vente'!Q:Q)/1000</f>
        <v>//0</v>
      </c>
      <c r="Q193" s="106"/>
      <c r="R193" s="106" t="n">
        <f aca="false">Q193*_xlfn.xlookup(O193,'Prix vente'!A:A,'Prix vente'!R:R)</f>
        <v>0</v>
      </c>
      <c r="S193" s="118"/>
      <c r="T193" s="118" t="str">
        <f aca="false">_xlfn.xlookup(S193,'Prix vente'!$A:$A,'Prix vente'!$H:$H)&amp;"/"&amp;_xlfn.xlookup(S193,'Prix vente'!A:A,'Prix vente'!P:P)&amp;"/"&amp;_xlfn.xlookup(S193,'Prix vente'!A:A,'Prix vente'!Q:Q)/1000</f>
        <v>//0</v>
      </c>
      <c r="U193" s="118"/>
      <c r="V193" s="118" t="n">
        <f aca="false">IFERROR(U193*_xlfn.xlookup(S193,'Prix vente'!$A:$A,'Prix vente'!$R:$R),"")</f>
        <v>0</v>
      </c>
      <c r="W193" s="106"/>
      <c r="X193" s="106" t="str">
        <f aca="false">_xlfn.xlookup(W193,'Prix vente'!$A:$A,'Prix vente'!$H:$H)&amp;"/"&amp;_xlfn.xlookup(W193,'Prix vente'!A:A,'Prix vente'!P:P)&amp;"/"&amp;_xlfn.xlookup(W193,'Prix vente'!A:A,'Prix vente'!Q:Q)/1000</f>
        <v>//0</v>
      </c>
      <c r="Y193" s="106"/>
      <c r="Z193" s="106" t="n">
        <f aca="false">IFERROR(Y193*_xlfn.xlookup(W193,'Prix vente'!$A:$A,'Prix vente'!$R:$R),"")</f>
        <v>0</v>
      </c>
      <c r="AA193" s="118"/>
      <c r="AB193" s="118" t="str">
        <f aca="false">_xlfn.xlookup(AA193,'Prix vente'!$A:$A,'Prix vente'!$H:$H)&amp;"/"&amp;_xlfn.xlookup(AA193,'Prix vente'!A:A,'Prix vente'!P:P)&amp;"/"&amp;_xlfn.xlookup(AA193,'Prix vente'!A:A,'Prix vente'!Q:Q)/1000</f>
        <v>//0</v>
      </c>
      <c r="AC193" s="118"/>
      <c r="AD193" s="118" t="n">
        <f aca="false">IFERROR(AC193*_xlfn.xlookup(AA193,'Prix vente'!$A:$A,'Prix vente'!$R:$R),"")</f>
        <v>0</v>
      </c>
      <c r="AE193" s="106"/>
      <c r="AF193" s="106" t="str">
        <f aca="false">_xlfn.xlookup(AE193,'Prix vente'!$A:$A,'Prix vente'!$H:$H)&amp;"/"&amp;_xlfn.xlookup(AE193,'Prix vente'!$A:$A,'Prix vente'!$P:$P)&amp;"/"&amp;_xlfn.xlookup(AE193,'Prix vente'!A:A,'Prix vente'!Q:Q)/1000</f>
        <v>//0</v>
      </c>
      <c r="AG193" s="106"/>
      <c r="AH193" s="106" t="n">
        <f aca="false">IFERROR(AG193*_xlfn.xlookup(AE193,'Prix vente'!$A:$A,'Prix vente'!$R:$R),"")</f>
        <v>0</v>
      </c>
      <c r="AI193" s="118"/>
      <c r="AJ193" s="118" t="str">
        <f aca="false">_xlfn.xlookup(AI193,'Prix vente'!$A:$A,'Prix vente'!$H:$H)&amp;"/"&amp;_xlfn.xlookup(AI193,'Prix vente'!$A:$A,'Prix vente'!$P:$P)&amp;"/"&amp;_xlfn.xlookup(AI193,'Prix vente'!A:A,'Prix vente'!Q:Q)/1000</f>
        <v>//0</v>
      </c>
      <c r="AK193" s="118"/>
      <c r="AL193" s="118" t="n">
        <f aca="false">IFERROR(AK193*_xlfn.xlookup(AI193,'Prix vente'!$A:$A,'Prix vente'!$R:$R),"")</f>
        <v>0</v>
      </c>
      <c r="AM193" s="106"/>
      <c r="AN193" s="106" t="str">
        <f aca="false">_xlfn.xlookup(AM193,'Prix vente'!$A:$A,'Prix vente'!$H:$H)&amp;"/"&amp;_xlfn.xlookup(AM193,'Prix vente'!$A:$A,'Prix vente'!$P:$P)&amp;"/"&amp;_xlfn.xlookup(AM193,'Prix vente'!A:A,'Prix vente'!Q:Q)/1000</f>
        <v>//0</v>
      </c>
      <c r="AO193" s="106"/>
      <c r="AP193" s="106" t="n">
        <f aca="false">IFERROR(AO193*_xlfn.xlookup(AM193,'Prix vente'!$A:$A,'Prix vente'!$R:$R),"")</f>
        <v>0</v>
      </c>
      <c r="AQ193" s="118"/>
      <c r="AR193" s="118" t="str">
        <f aca="false">_xlfn.xlookup(AQ193,'Prix vente'!$A:$A,'Prix vente'!$H:$H)&amp;"/"&amp;_xlfn.xlookup(AQ193,'Prix vente'!$A:$A,'Prix vente'!$P:$P)&amp;"/"&amp;_xlfn.xlookup(AQ193,'Prix vente'!A:A,'Prix vente'!Q:Q)/1000</f>
        <v>//0</v>
      </c>
      <c r="AS193" s="118"/>
      <c r="AT193" s="118" t="n">
        <f aca="false">IFERROR(AS193*_xlfn.xlookup(AQ193,'Prix vente'!$A:$A,'Prix vente'!$R:$R),"")</f>
        <v>0</v>
      </c>
      <c r="AU193" s="106"/>
      <c r="AV193" s="106"/>
      <c r="AW193" s="106"/>
      <c r="AX193" s="106"/>
      <c r="AY193" s="118"/>
      <c r="AZ193" s="118"/>
      <c r="BA193" s="118"/>
      <c r="BB193" s="118"/>
    </row>
    <row r="194" customFormat="false" ht="14.25" hidden="false" customHeight="false" outlineLevel="0" collapsed="false">
      <c r="A194" s="107" t="n">
        <v>342</v>
      </c>
      <c r="B194" s="107"/>
      <c r="C194" s="11"/>
      <c r="D194" s="11"/>
      <c r="E194" s="114"/>
      <c r="F194" s="115"/>
      <c r="G194" s="115"/>
      <c r="H194" s="115"/>
      <c r="I194" s="100" t="n">
        <f aca="false">_xlfn.xlookup(C194,Clients!B:B,Clients!W:W,FALSE())</f>
        <v>0</v>
      </c>
      <c r="J194" s="116" t="n">
        <f aca="false">_xlfn.xlookup(C194,Clients!$B$1:$B$1001,Clients!$M$1:$M$1001,FALSE())</f>
        <v>0</v>
      </c>
      <c r="K194" s="100" t="n">
        <f aca="false">_xlfn.xlookup(C194,Clients!B:B,Clients!R:R,FALSE())</f>
        <v>0</v>
      </c>
      <c r="L194" s="117"/>
      <c r="M194" s="98" t="n">
        <f aca="false">_xlfn.xlookup(C194,Clients!B:B,Clients!X:X,FALSE())</f>
        <v>0</v>
      </c>
      <c r="N194" s="98" t="n">
        <f aca="false">_xlfn.xlookup(C194,Clients!B:B,Clients!Y:Y,FALSE())</f>
        <v>0</v>
      </c>
      <c r="O194" s="106"/>
      <c r="P194" s="106" t="str">
        <f aca="false">_xlfn.xlookup(O194,'Prix vente'!A:A,'Prix vente'!H:H)&amp;"/"&amp;_xlfn.xlookup(O194,'Prix vente'!A:A,'Prix vente'!P:P)&amp;"/"&amp;_xlfn.xlookup(O194,'Prix vente'!A:A,'Prix vente'!Q:Q)/1000</f>
        <v>//0</v>
      </c>
      <c r="Q194" s="106"/>
      <c r="R194" s="106" t="n">
        <f aca="false">Q194*_xlfn.xlookup(O194,'Prix vente'!A:A,'Prix vente'!R:R)</f>
        <v>0</v>
      </c>
      <c r="S194" s="118"/>
      <c r="T194" s="118" t="str">
        <f aca="false">_xlfn.xlookup(S194,'Prix vente'!$A:$A,'Prix vente'!$H:$H)&amp;"/"&amp;_xlfn.xlookup(S194,'Prix vente'!A:A,'Prix vente'!P:P)&amp;"/"&amp;_xlfn.xlookup(S194,'Prix vente'!A:A,'Prix vente'!Q:Q)/1000</f>
        <v>//0</v>
      </c>
      <c r="U194" s="118"/>
      <c r="V194" s="118" t="n">
        <f aca="false">IFERROR(U194*_xlfn.xlookup(S194,'Prix vente'!$A:$A,'Prix vente'!$R:$R),"")</f>
        <v>0</v>
      </c>
      <c r="W194" s="106"/>
      <c r="X194" s="106" t="str">
        <f aca="false">_xlfn.xlookup(W194,'Prix vente'!$A:$A,'Prix vente'!$H:$H)&amp;"/"&amp;_xlfn.xlookup(W194,'Prix vente'!A:A,'Prix vente'!P:P)&amp;"/"&amp;_xlfn.xlookup(W194,'Prix vente'!A:A,'Prix vente'!Q:Q)/1000</f>
        <v>//0</v>
      </c>
      <c r="Y194" s="106"/>
      <c r="Z194" s="106" t="n">
        <f aca="false">IFERROR(Y194*_xlfn.xlookup(W194,'Prix vente'!$A:$A,'Prix vente'!$R:$R),"")</f>
        <v>0</v>
      </c>
      <c r="AA194" s="118"/>
      <c r="AB194" s="118" t="str">
        <f aca="false">_xlfn.xlookup(AA194,'Prix vente'!$A:$A,'Prix vente'!$H:$H)&amp;"/"&amp;_xlfn.xlookup(AA194,'Prix vente'!A:A,'Prix vente'!P:P)&amp;"/"&amp;_xlfn.xlookup(AA194,'Prix vente'!A:A,'Prix vente'!Q:Q)/1000</f>
        <v>//0</v>
      </c>
      <c r="AC194" s="118"/>
      <c r="AD194" s="118" t="n">
        <f aca="false">IFERROR(AC194*_xlfn.xlookup(AA194,'Prix vente'!$A:$A,'Prix vente'!$R:$R),"")</f>
        <v>0</v>
      </c>
      <c r="AE194" s="106"/>
      <c r="AF194" s="106" t="str">
        <f aca="false">_xlfn.xlookup(AE194,'Prix vente'!$A:$A,'Prix vente'!$H:$H)&amp;"/"&amp;_xlfn.xlookup(AE194,'Prix vente'!$A:$A,'Prix vente'!$P:$P)&amp;"/"&amp;_xlfn.xlookup(AE194,'Prix vente'!A:A,'Prix vente'!Q:Q)/1000</f>
        <v>//0</v>
      </c>
      <c r="AG194" s="106"/>
      <c r="AH194" s="106" t="n">
        <f aca="false">IFERROR(AG194*_xlfn.xlookup(AE194,'Prix vente'!$A:$A,'Prix vente'!$R:$R),"")</f>
        <v>0</v>
      </c>
      <c r="AI194" s="118"/>
      <c r="AJ194" s="118" t="str">
        <f aca="false">_xlfn.xlookup(AI194,'Prix vente'!$A:$A,'Prix vente'!$H:$H)&amp;"/"&amp;_xlfn.xlookup(AI194,'Prix vente'!$A:$A,'Prix vente'!$P:$P)&amp;"/"&amp;_xlfn.xlookup(AI194,'Prix vente'!A:A,'Prix vente'!Q:Q)/1000</f>
        <v>//0</v>
      </c>
      <c r="AK194" s="118"/>
      <c r="AL194" s="118" t="n">
        <f aca="false">IFERROR(AK194*_xlfn.xlookup(AI194,'Prix vente'!$A:$A,'Prix vente'!$R:$R),"")</f>
        <v>0</v>
      </c>
      <c r="AM194" s="106"/>
      <c r="AN194" s="106" t="str">
        <f aca="false">_xlfn.xlookup(AM194,'Prix vente'!$A:$A,'Prix vente'!$H:$H)&amp;"/"&amp;_xlfn.xlookup(AM194,'Prix vente'!$A:$A,'Prix vente'!$P:$P)&amp;"/"&amp;_xlfn.xlookup(AM194,'Prix vente'!A:A,'Prix vente'!Q:Q)/1000</f>
        <v>//0</v>
      </c>
      <c r="AO194" s="106"/>
      <c r="AP194" s="106" t="n">
        <f aca="false">IFERROR(AO194*_xlfn.xlookup(AM194,'Prix vente'!$A:$A,'Prix vente'!$R:$R),"")</f>
        <v>0</v>
      </c>
      <c r="AQ194" s="118"/>
      <c r="AR194" s="118" t="str">
        <f aca="false">_xlfn.xlookup(AQ194,'Prix vente'!$A:$A,'Prix vente'!$H:$H)&amp;"/"&amp;_xlfn.xlookup(AQ194,'Prix vente'!$A:$A,'Prix vente'!$P:$P)&amp;"/"&amp;_xlfn.xlookup(AQ194,'Prix vente'!A:A,'Prix vente'!Q:Q)/1000</f>
        <v>//0</v>
      </c>
      <c r="AS194" s="118"/>
      <c r="AT194" s="118" t="n">
        <f aca="false">IFERROR(AS194*_xlfn.xlookup(AQ194,'Prix vente'!$A:$A,'Prix vente'!$R:$R),"")</f>
        <v>0</v>
      </c>
      <c r="AU194" s="106"/>
      <c r="AV194" s="106"/>
      <c r="AW194" s="106"/>
      <c r="AX194" s="106"/>
      <c r="AY194" s="118"/>
      <c r="AZ194" s="118"/>
      <c r="BA194" s="118"/>
      <c r="BB194" s="118"/>
    </row>
    <row r="195" customFormat="false" ht="14.25" hidden="false" customHeight="false" outlineLevel="0" collapsed="false">
      <c r="A195" s="107" t="n">
        <v>343</v>
      </c>
      <c r="B195" s="107"/>
      <c r="C195" s="11"/>
      <c r="D195" s="11"/>
      <c r="E195" s="114"/>
      <c r="F195" s="115"/>
      <c r="G195" s="115"/>
      <c r="H195" s="115"/>
      <c r="I195" s="100" t="n">
        <f aca="false">_xlfn.xlookup(C195,Clients!B:B,Clients!W:W,FALSE())</f>
        <v>0</v>
      </c>
      <c r="J195" s="116" t="n">
        <f aca="false">_xlfn.xlookup(C195,Clients!$B$1:$B$1001,Clients!$M$1:$M$1001,FALSE())</f>
        <v>0</v>
      </c>
      <c r="K195" s="100" t="n">
        <f aca="false">_xlfn.xlookup(C195,Clients!B:B,Clients!R:R,FALSE())</f>
        <v>0</v>
      </c>
      <c r="L195" s="117"/>
      <c r="M195" s="98" t="n">
        <f aca="false">_xlfn.xlookup(C195,Clients!B:B,Clients!X:X,FALSE())</f>
        <v>0</v>
      </c>
      <c r="N195" s="98" t="n">
        <f aca="false">_xlfn.xlookup(C195,Clients!B:B,Clients!Y:Y,FALSE())</f>
        <v>0</v>
      </c>
      <c r="O195" s="106"/>
      <c r="P195" s="106" t="str">
        <f aca="false">_xlfn.xlookup(O195,'Prix vente'!A:A,'Prix vente'!H:H)&amp;"/"&amp;_xlfn.xlookup(O195,'Prix vente'!A:A,'Prix vente'!P:P)&amp;"/"&amp;_xlfn.xlookup(O195,'Prix vente'!A:A,'Prix vente'!Q:Q)/1000</f>
        <v>//0</v>
      </c>
      <c r="Q195" s="106"/>
      <c r="R195" s="106" t="n">
        <f aca="false">Q195*_xlfn.xlookup(O195,'Prix vente'!A:A,'Prix vente'!R:R)</f>
        <v>0</v>
      </c>
      <c r="S195" s="118"/>
      <c r="T195" s="118" t="str">
        <f aca="false">_xlfn.xlookup(S195,'Prix vente'!$A:$A,'Prix vente'!$H:$H)&amp;"/"&amp;_xlfn.xlookup(S195,'Prix vente'!A:A,'Prix vente'!P:P)&amp;"/"&amp;_xlfn.xlookup(S195,'Prix vente'!A:A,'Prix vente'!Q:Q)/1000</f>
        <v>//0</v>
      </c>
      <c r="U195" s="118"/>
      <c r="V195" s="118" t="n">
        <f aca="false">IFERROR(U195*_xlfn.xlookup(S195,'Prix vente'!$A:$A,'Prix vente'!$R:$R),"")</f>
        <v>0</v>
      </c>
      <c r="W195" s="106"/>
      <c r="X195" s="106" t="str">
        <f aca="false">_xlfn.xlookup(W195,'Prix vente'!$A:$A,'Prix vente'!$H:$H)&amp;"/"&amp;_xlfn.xlookup(W195,'Prix vente'!A:A,'Prix vente'!P:P)&amp;"/"&amp;_xlfn.xlookup(W195,'Prix vente'!A:A,'Prix vente'!Q:Q)/1000</f>
        <v>//0</v>
      </c>
      <c r="Y195" s="106"/>
      <c r="Z195" s="106" t="n">
        <f aca="false">IFERROR(Y195*_xlfn.xlookup(W195,'Prix vente'!$A:$A,'Prix vente'!$R:$R),"")</f>
        <v>0</v>
      </c>
      <c r="AA195" s="118"/>
      <c r="AB195" s="118" t="str">
        <f aca="false">_xlfn.xlookup(AA195,'Prix vente'!$A:$A,'Prix vente'!$H:$H)&amp;"/"&amp;_xlfn.xlookup(AA195,'Prix vente'!A:A,'Prix vente'!P:P)&amp;"/"&amp;_xlfn.xlookup(AA195,'Prix vente'!A:A,'Prix vente'!Q:Q)/1000</f>
        <v>//0</v>
      </c>
      <c r="AC195" s="118"/>
      <c r="AD195" s="118" t="n">
        <f aca="false">IFERROR(AC195*_xlfn.xlookup(AA195,'Prix vente'!$A:$A,'Prix vente'!$R:$R),"")</f>
        <v>0</v>
      </c>
      <c r="AE195" s="106"/>
      <c r="AF195" s="106" t="str">
        <f aca="false">_xlfn.xlookup(AE195,'Prix vente'!$A:$A,'Prix vente'!$H:$H)&amp;"/"&amp;_xlfn.xlookup(AE195,'Prix vente'!$A:$A,'Prix vente'!$P:$P)&amp;"/"&amp;_xlfn.xlookup(AE195,'Prix vente'!A:A,'Prix vente'!Q:Q)/1000</f>
        <v>//0</v>
      </c>
      <c r="AG195" s="106"/>
      <c r="AH195" s="106" t="n">
        <f aca="false">IFERROR(AG195*_xlfn.xlookup(AE195,'Prix vente'!$A:$A,'Prix vente'!$R:$R),"")</f>
        <v>0</v>
      </c>
      <c r="AI195" s="118"/>
      <c r="AJ195" s="118" t="str">
        <f aca="false">_xlfn.xlookup(AI195,'Prix vente'!$A:$A,'Prix vente'!$H:$H)&amp;"/"&amp;_xlfn.xlookup(AI195,'Prix vente'!$A:$A,'Prix vente'!$P:$P)&amp;"/"&amp;_xlfn.xlookup(AI195,'Prix vente'!A:A,'Prix vente'!Q:Q)/1000</f>
        <v>//0</v>
      </c>
      <c r="AK195" s="118"/>
      <c r="AL195" s="118" t="n">
        <f aca="false">IFERROR(AK195*_xlfn.xlookup(AI195,'Prix vente'!$A:$A,'Prix vente'!$R:$R),"")</f>
        <v>0</v>
      </c>
      <c r="AM195" s="106"/>
      <c r="AN195" s="106" t="str">
        <f aca="false">_xlfn.xlookup(AM195,'Prix vente'!$A:$A,'Prix vente'!$H:$H)&amp;"/"&amp;_xlfn.xlookup(AM195,'Prix vente'!$A:$A,'Prix vente'!$P:$P)&amp;"/"&amp;_xlfn.xlookup(AM195,'Prix vente'!A:A,'Prix vente'!Q:Q)/1000</f>
        <v>//0</v>
      </c>
      <c r="AO195" s="106"/>
      <c r="AP195" s="106" t="n">
        <f aca="false">IFERROR(AO195*_xlfn.xlookup(AM195,'Prix vente'!$A:$A,'Prix vente'!$R:$R),"")</f>
        <v>0</v>
      </c>
      <c r="AQ195" s="118"/>
      <c r="AR195" s="118" t="str">
        <f aca="false">_xlfn.xlookup(AQ195,'Prix vente'!$A:$A,'Prix vente'!$H:$H)&amp;"/"&amp;_xlfn.xlookup(AQ195,'Prix vente'!$A:$A,'Prix vente'!$P:$P)&amp;"/"&amp;_xlfn.xlookup(AQ195,'Prix vente'!A:A,'Prix vente'!Q:Q)/1000</f>
        <v>//0</v>
      </c>
      <c r="AS195" s="118"/>
      <c r="AT195" s="118" t="n">
        <f aca="false">IFERROR(AS195*_xlfn.xlookup(AQ195,'Prix vente'!$A:$A,'Prix vente'!$R:$R),"")</f>
        <v>0</v>
      </c>
      <c r="AU195" s="106"/>
      <c r="AV195" s="106"/>
      <c r="AW195" s="106"/>
      <c r="AX195" s="106"/>
      <c r="AY195" s="118"/>
      <c r="AZ195" s="118"/>
      <c r="BA195" s="118"/>
      <c r="BB195" s="118"/>
    </row>
    <row r="196" customFormat="false" ht="14.25" hidden="false" customHeight="false" outlineLevel="0" collapsed="false">
      <c r="A196" s="107" t="n">
        <v>344</v>
      </c>
      <c r="B196" s="107"/>
      <c r="C196" s="11"/>
      <c r="D196" s="11"/>
      <c r="E196" s="114"/>
      <c r="F196" s="115"/>
      <c r="G196" s="115"/>
      <c r="H196" s="115"/>
      <c r="I196" s="100" t="n">
        <f aca="false">_xlfn.xlookup(C196,Clients!B:B,Clients!W:W,FALSE())</f>
        <v>0</v>
      </c>
      <c r="J196" s="116" t="n">
        <f aca="false">_xlfn.xlookup(C196,Clients!$B$1:$B$1001,Clients!$M$1:$M$1001,FALSE())</f>
        <v>0</v>
      </c>
      <c r="K196" s="100" t="n">
        <f aca="false">_xlfn.xlookup(C196,Clients!B:B,Clients!R:R,FALSE())</f>
        <v>0</v>
      </c>
      <c r="L196" s="117"/>
      <c r="M196" s="98" t="n">
        <f aca="false">_xlfn.xlookup(C196,Clients!B:B,Clients!X:X,FALSE())</f>
        <v>0</v>
      </c>
      <c r="N196" s="98" t="n">
        <f aca="false">_xlfn.xlookup(C196,Clients!B:B,Clients!Y:Y,FALSE())</f>
        <v>0</v>
      </c>
      <c r="O196" s="106"/>
      <c r="P196" s="106" t="str">
        <f aca="false">_xlfn.xlookup(O196,'Prix vente'!A:A,'Prix vente'!H:H)&amp;"/"&amp;_xlfn.xlookup(O196,'Prix vente'!A:A,'Prix vente'!P:P)&amp;"/"&amp;_xlfn.xlookup(O196,'Prix vente'!A:A,'Prix vente'!Q:Q)/1000</f>
        <v>//0</v>
      </c>
      <c r="Q196" s="106"/>
      <c r="R196" s="106" t="n">
        <f aca="false">Q196*_xlfn.xlookup(O196,'Prix vente'!A:A,'Prix vente'!R:R)</f>
        <v>0</v>
      </c>
      <c r="S196" s="118"/>
      <c r="T196" s="118" t="str">
        <f aca="false">_xlfn.xlookup(S196,'Prix vente'!$A:$A,'Prix vente'!$H:$H)&amp;"/"&amp;_xlfn.xlookup(S196,'Prix vente'!A:A,'Prix vente'!P:P)&amp;"/"&amp;_xlfn.xlookup(S196,'Prix vente'!A:A,'Prix vente'!Q:Q)/1000</f>
        <v>//0</v>
      </c>
      <c r="U196" s="118"/>
      <c r="V196" s="118" t="n">
        <f aca="false">IFERROR(U196*_xlfn.xlookup(S196,'Prix vente'!$A:$A,'Prix vente'!$R:$R),"")</f>
        <v>0</v>
      </c>
      <c r="W196" s="106"/>
      <c r="X196" s="106" t="str">
        <f aca="false">_xlfn.xlookup(W196,'Prix vente'!$A:$A,'Prix vente'!$H:$H)&amp;"/"&amp;_xlfn.xlookup(W196,'Prix vente'!A:A,'Prix vente'!P:P)&amp;"/"&amp;_xlfn.xlookup(W196,'Prix vente'!A:A,'Prix vente'!Q:Q)/1000</f>
        <v>//0</v>
      </c>
      <c r="Y196" s="106"/>
      <c r="Z196" s="106" t="n">
        <f aca="false">IFERROR(Y196*_xlfn.xlookup(W196,'Prix vente'!$A:$A,'Prix vente'!$R:$R),"")</f>
        <v>0</v>
      </c>
      <c r="AA196" s="118"/>
      <c r="AB196" s="118" t="str">
        <f aca="false">_xlfn.xlookup(AA196,'Prix vente'!$A:$A,'Prix vente'!$H:$H)&amp;"/"&amp;_xlfn.xlookup(AA196,'Prix vente'!A:A,'Prix vente'!P:P)&amp;"/"&amp;_xlfn.xlookup(AA196,'Prix vente'!A:A,'Prix vente'!Q:Q)/1000</f>
        <v>//0</v>
      </c>
      <c r="AC196" s="118"/>
      <c r="AD196" s="118" t="n">
        <f aca="false">IFERROR(AC196*_xlfn.xlookup(AA196,'Prix vente'!$A:$A,'Prix vente'!$R:$R),"")</f>
        <v>0</v>
      </c>
      <c r="AE196" s="106"/>
      <c r="AF196" s="106" t="str">
        <f aca="false">_xlfn.xlookup(AE196,'Prix vente'!$A:$A,'Prix vente'!$H:$H)&amp;"/"&amp;_xlfn.xlookup(AE196,'Prix vente'!$A:$A,'Prix vente'!$P:$P)&amp;"/"&amp;_xlfn.xlookup(AE196,'Prix vente'!A:A,'Prix vente'!Q:Q)/1000</f>
        <v>//0</v>
      </c>
      <c r="AG196" s="106"/>
      <c r="AH196" s="106" t="n">
        <f aca="false">IFERROR(AG196*_xlfn.xlookup(AE196,'Prix vente'!$A:$A,'Prix vente'!$R:$R),"")</f>
        <v>0</v>
      </c>
      <c r="AI196" s="118"/>
      <c r="AJ196" s="118" t="str">
        <f aca="false">_xlfn.xlookup(AI196,'Prix vente'!$A:$A,'Prix vente'!$H:$H)&amp;"/"&amp;_xlfn.xlookup(AI196,'Prix vente'!$A:$A,'Prix vente'!$P:$P)&amp;"/"&amp;_xlfn.xlookup(AI196,'Prix vente'!A:A,'Prix vente'!Q:Q)/1000</f>
        <v>//0</v>
      </c>
      <c r="AK196" s="118"/>
      <c r="AL196" s="118" t="n">
        <f aca="false">IFERROR(AK196*_xlfn.xlookup(AI196,'Prix vente'!$A:$A,'Prix vente'!$R:$R),"")</f>
        <v>0</v>
      </c>
      <c r="AM196" s="106"/>
      <c r="AN196" s="106" t="str">
        <f aca="false">_xlfn.xlookup(AM196,'Prix vente'!$A:$A,'Prix vente'!$H:$H)&amp;"/"&amp;_xlfn.xlookup(AM196,'Prix vente'!$A:$A,'Prix vente'!$P:$P)&amp;"/"&amp;_xlfn.xlookup(AM196,'Prix vente'!A:A,'Prix vente'!Q:Q)/1000</f>
        <v>//0</v>
      </c>
      <c r="AO196" s="106"/>
      <c r="AP196" s="106" t="n">
        <f aca="false">IFERROR(AO196*_xlfn.xlookup(AM196,'Prix vente'!$A:$A,'Prix vente'!$R:$R),"")</f>
        <v>0</v>
      </c>
      <c r="AQ196" s="118"/>
      <c r="AR196" s="118" t="str">
        <f aca="false">_xlfn.xlookup(AQ196,'Prix vente'!$A:$A,'Prix vente'!$H:$H)&amp;"/"&amp;_xlfn.xlookup(AQ196,'Prix vente'!$A:$A,'Prix vente'!$P:$P)&amp;"/"&amp;_xlfn.xlookup(AQ196,'Prix vente'!A:A,'Prix vente'!Q:Q)/1000</f>
        <v>//0</v>
      </c>
      <c r="AS196" s="118"/>
      <c r="AT196" s="118" t="n">
        <f aca="false">IFERROR(AS196*_xlfn.xlookup(AQ196,'Prix vente'!$A:$A,'Prix vente'!$R:$R),"")</f>
        <v>0</v>
      </c>
      <c r="AU196" s="106"/>
      <c r="AV196" s="106"/>
      <c r="AW196" s="106"/>
      <c r="AX196" s="106"/>
      <c r="AY196" s="118"/>
      <c r="AZ196" s="118"/>
      <c r="BA196" s="118"/>
      <c r="BB196" s="118"/>
    </row>
    <row r="197" customFormat="false" ht="14.25" hidden="false" customHeight="false" outlineLevel="0" collapsed="false">
      <c r="A197" s="107" t="n">
        <v>345</v>
      </c>
      <c r="B197" s="107"/>
      <c r="C197" s="11"/>
      <c r="D197" s="11"/>
      <c r="E197" s="114"/>
      <c r="F197" s="115"/>
      <c r="G197" s="115"/>
      <c r="H197" s="115"/>
      <c r="I197" s="100" t="n">
        <f aca="false">_xlfn.xlookup(C197,Clients!B:B,Clients!W:W,FALSE())</f>
        <v>0</v>
      </c>
      <c r="J197" s="116" t="n">
        <f aca="false">_xlfn.xlookup(C197,Clients!$B$1:$B$1001,Clients!$M$1:$M$1001,FALSE())</f>
        <v>0</v>
      </c>
      <c r="K197" s="100" t="n">
        <f aca="false">_xlfn.xlookup(C197,Clients!B:B,Clients!R:R,FALSE())</f>
        <v>0</v>
      </c>
      <c r="L197" s="117"/>
      <c r="M197" s="98" t="n">
        <f aca="false">_xlfn.xlookup(C197,Clients!B:B,Clients!X:X,FALSE())</f>
        <v>0</v>
      </c>
      <c r="N197" s="98" t="n">
        <f aca="false">_xlfn.xlookup(C197,Clients!B:B,Clients!Y:Y,FALSE())</f>
        <v>0</v>
      </c>
      <c r="O197" s="106"/>
      <c r="P197" s="106" t="str">
        <f aca="false">_xlfn.xlookup(O197,'Prix vente'!A:A,'Prix vente'!H:H)&amp;"/"&amp;_xlfn.xlookup(O197,'Prix vente'!A:A,'Prix vente'!P:P)&amp;"/"&amp;_xlfn.xlookup(O197,'Prix vente'!A:A,'Prix vente'!Q:Q)/1000</f>
        <v>//0</v>
      </c>
      <c r="Q197" s="106"/>
      <c r="R197" s="106" t="n">
        <f aca="false">Q197*_xlfn.xlookup(O197,'Prix vente'!A:A,'Prix vente'!R:R)</f>
        <v>0</v>
      </c>
      <c r="S197" s="118"/>
      <c r="T197" s="118" t="str">
        <f aca="false">_xlfn.xlookup(S197,'Prix vente'!$A:$A,'Prix vente'!$H:$H)&amp;"/"&amp;_xlfn.xlookup(S197,'Prix vente'!A:A,'Prix vente'!P:P)&amp;"/"&amp;_xlfn.xlookup(S197,'Prix vente'!A:A,'Prix vente'!Q:Q)/1000</f>
        <v>//0</v>
      </c>
      <c r="U197" s="118"/>
      <c r="V197" s="118" t="n">
        <f aca="false">IFERROR(U197*_xlfn.xlookup(S197,'Prix vente'!$A:$A,'Prix vente'!$R:$R),"")</f>
        <v>0</v>
      </c>
      <c r="W197" s="106"/>
      <c r="X197" s="106" t="str">
        <f aca="false">_xlfn.xlookup(W197,'Prix vente'!$A:$A,'Prix vente'!$H:$H)&amp;"/"&amp;_xlfn.xlookup(W197,'Prix vente'!A:A,'Prix vente'!P:P)&amp;"/"&amp;_xlfn.xlookup(W197,'Prix vente'!A:A,'Prix vente'!Q:Q)/1000</f>
        <v>//0</v>
      </c>
      <c r="Y197" s="106"/>
      <c r="Z197" s="106" t="n">
        <f aca="false">IFERROR(Y197*_xlfn.xlookup(W197,'Prix vente'!$A:$A,'Prix vente'!$R:$R),"")</f>
        <v>0</v>
      </c>
      <c r="AA197" s="118"/>
      <c r="AB197" s="118" t="str">
        <f aca="false">_xlfn.xlookup(AA197,'Prix vente'!$A:$A,'Prix vente'!$H:$H)&amp;"/"&amp;_xlfn.xlookup(AA197,'Prix vente'!A:A,'Prix vente'!P:P)&amp;"/"&amp;_xlfn.xlookup(AA197,'Prix vente'!A:A,'Prix vente'!Q:Q)/1000</f>
        <v>//0</v>
      </c>
      <c r="AC197" s="118"/>
      <c r="AD197" s="118" t="n">
        <f aca="false">IFERROR(AC197*_xlfn.xlookup(AA197,'Prix vente'!$A:$A,'Prix vente'!$R:$R),"")</f>
        <v>0</v>
      </c>
      <c r="AE197" s="106"/>
      <c r="AF197" s="106" t="str">
        <f aca="false">_xlfn.xlookup(AE197,'Prix vente'!$A:$A,'Prix vente'!$H:$H)&amp;"/"&amp;_xlfn.xlookup(AE197,'Prix vente'!$A:$A,'Prix vente'!$P:$P)&amp;"/"&amp;_xlfn.xlookup(AE197,'Prix vente'!A:A,'Prix vente'!Q:Q)/1000</f>
        <v>//0</v>
      </c>
      <c r="AG197" s="106"/>
      <c r="AH197" s="106" t="n">
        <f aca="false">IFERROR(AG197*_xlfn.xlookup(AE197,'Prix vente'!$A:$A,'Prix vente'!$R:$R),"")</f>
        <v>0</v>
      </c>
      <c r="AI197" s="118"/>
      <c r="AJ197" s="118" t="str">
        <f aca="false">_xlfn.xlookup(AI197,'Prix vente'!$A:$A,'Prix vente'!$H:$H)&amp;"/"&amp;_xlfn.xlookup(AI197,'Prix vente'!$A:$A,'Prix vente'!$P:$P)&amp;"/"&amp;_xlfn.xlookup(AI197,'Prix vente'!A:A,'Prix vente'!Q:Q)/1000</f>
        <v>//0</v>
      </c>
      <c r="AK197" s="118"/>
      <c r="AL197" s="118" t="n">
        <f aca="false">IFERROR(AK197*_xlfn.xlookup(AI197,'Prix vente'!$A:$A,'Prix vente'!$R:$R),"")</f>
        <v>0</v>
      </c>
      <c r="AM197" s="106"/>
      <c r="AN197" s="106" t="str">
        <f aca="false">_xlfn.xlookup(AM197,'Prix vente'!$A:$A,'Prix vente'!$H:$H)&amp;"/"&amp;_xlfn.xlookup(AM197,'Prix vente'!$A:$A,'Prix vente'!$P:$P)&amp;"/"&amp;_xlfn.xlookup(AM197,'Prix vente'!A:A,'Prix vente'!Q:Q)/1000</f>
        <v>//0</v>
      </c>
      <c r="AO197" s="106"/>
      <c r="AP197" s="106" t="n">
        <f aca="false">IFERROR(AO197*_xlfn.xlookup(AM197,'Prix vente'!$A:$A,'Prix vente'!$R:$R),"")</f>
        <v>0</v>
      </c>
      <c r="AQ197" s="118"/>
      <c r="AR197" s="118" t="str">
        <f aca="false">_xlfn.xlookup(AQ197,'Prix vente'!$A:$A,'Prix vente'!$H:$H)&amp;"/"&amp;_xlfn.xlookup(AQ197,'Prix vente'!$A:$A,'Prix vente'!$P:$P)&amp;"/"&amp;_xlfn.xlookup(AQ197,'Prix vente'!A:A,'Prix vente'!Q:Q)/1000</f>
        <v>//0</v>
      </c>
      <c r="AS197" s="118"/>
      <c r="AT197" s="118" t="n">
        <f aca="false">IFERROR(AS197*_xlfn.xlookup(AQ197,'Prix vente'!$A:$A,'Prix vente'!$R:$R),"")</f>
        <v>0</v>
      </c>
      <c r="AU197" s="106"/>
      <c r="AV197" s="106"/>
      <c r="AW197" s="106"/>
      <c r="AX197" s="106"/>
      <c r="AY197" s="118"/>
      <c r="AZ197" s="118"/>
      <c r="BA197" s="118"/>
      <c r="BB197" s="118"/>
    </row>
    <row r="198" customFormat="false" ht="14.25" hidden="false" customHeight="false" outlineLevel="0" collapsed="false">
      <c r="A198" s="107" t="n">
        <v>346</v>
      </c>
      <c r="B198" s="107"/>
      <c r="C198" s="11"/>
      <c r="D198" s="11"/>
      <c r="E198" s="114"/>
      <c r="F198" s="115"/>
      <c r="G198" s="115"/>
      <c r="H198" s="115"/>
      <c r="I198" s="100" t="n">
        <f aca="false">_xlfn.xlookup(C198,Clients!B:B,Clients!W:W,FALSE())</f>
        <v>0</v>
      </c>
      <c r="J198" s="116" t="n">
        <f aca="false">_xlfn.xlookup(C198,Clients!$B$1:$B$1001,Clients!$M$1:$M$1001,FALSE())</f>
        <v>0</v>
      </c>
      <c r="K198" s="100" t="n">
        <f aca="false">_xlfn.xlookup(C198,Clients!B:B,Clients!R:R,FALSE())</f>
        <v>0</v>
      </c>
      <c r="L198" s="117"/>
      <c r="M198" s="98" t="n">
        <f aca="false">_xlfn.xlookup(C198,Clients!B:B,Clients!X:X,FALSE())</f>
        <v>0</v>
      </c>
      <c r="N198" s="98" t="n">
        <f aca="false">_xlfn.xlookup(C198,Clients!B:B,Clients!Y:Y,FALSE())</f>
        <v>0</v>
      </c>
      <c r="O198" s="106"/>
      <c r="P198" s="106" t="str">
        <f aca="false">_xlfn.xlookup(O198,'Prix vente'!A:A,'Prix vente'!H:H)&amp;"/"&amp;_xlfn.xlookup(O198,'Prix vente'!A:A,'Prix vente'!P:P)&amp;"/"&amp;_xlfn.xlookup(O198,'Prix vente'!A:A,'Prix vente'!Q:Q)/1000</f>
        <v>//0</v>
      </c>
      <c r="Q198" s="106"/>
      <c r="R198" s="106" t="n">
        <f aca="false">Q198*_xlfn.xlookup(O198,'Prix vente'!A:A,'Prix vente'!R:R)</f>
        <v>0</v>
      </c>
      <c r="S198" s="118"/>
      <c r="T198" s="118" t="str">
        <f aca="false">_xlfn.xlookup(S198,'Prix vente'!$A:$A,'Prix vente'!$H:$H)&amp;"/"&amp;_xlfn.xlookup(S198,'Prix vente'!A:A,'Prix vente'!P:P)&amp;"/"&amp;_xlfn.xlookup(S198,'Prix vente'!A:A,'Prix vente'!Q:Q)/1000</f>
        <v>//0</v>
      </c>
      <c r="U198" s="118"/>
      <c r="V198" s="118" t="n">
        <f aca="false">IFERROR(U198*_xlfn.xlookup(S198,'Prix vente'!$A:$A,'Prix vente'!$R:$R),"")</f>
        <v>0</v>
      </c>
      <c r="W198" s="106"/>
      <c r="X198" s="106" t="str">
        <f aca="false">_xlfn.xlookup(W198,'Prix vente'!$A:$A,'Prix vente'!$H:$H)&amp;"/"&amp;_xlfn.xlookup(W198,'Prix vente'!A:A,'Prix vente'!P:P)&amp;"/"&amp;_xlfn.xlookup(W198,'Prix vente'!A:A,'Prix vente'!Q:Q)/1000</f>
        <v>//0</v>
      </c>
      <c r="Y198" s="106"/>
      <c r="Z198" s="106" t="n">
        <f aca="false">IFERROR(Y198*_xlfn.xlookup(W198,'Prix vente'!$A:$A,'Prix vente'!$R:$R),"")</f>
        <v>0</v>
      </c>
      <c r="AA198" s="118"/>
      <c r="AB198" s="118" t="str">
        <f aca="false">_xlfn.xlookup(AA198,'Prix vente'!$A:$A,'Prix vente'!$H:$H)&amp;"/"&amp;_xlfn.xlookup(AA198,'Prix vente'!A:A,'Prix vente'!P:P)&amp;"/"&amp;_xlfn.xlookup(AA198,'Prix vente'!A:A,'Prix vente'!Q:Q)/1000</f>
        <v>//0</v>
      </c>
      <c r="AC198" s="118"/>
      <c r="AD198" s="118" t="n">
        <f aca="false">IFERROR(AC198*_xlfn.xlookup(AA198,'Prix vente'!$A:$A,'Prix vente'!$R:$R),"")</f>
        <v>0</v>
      </c>
      <c r="AE198" s="106"/>
      <c r="AF198" s="106" t="str">
        <f aca="false">_xlfn.xlookup(AE198,'Prix vente'!$A:$A,'Prix vente'!$H:$H)&amp;"/"&amp;_xlfn.xlookup(AE198,'Prix vente'!$A:$A,'Prix vente'!$P:$P)&amp;"/"&amp;_xlfn.xlookup(AE198,'Prix vente'!A:A,'Prix vente'!Q:Q)/1000</f>
        <v>//0</v>
      </c>
      <c r="AG198" s="106"/>
      <c r="AH198" s="106" t="n">
        <f aca="false">IFERROR(AG198*_xlfn.xlookup(AE198,'Prix vente'!$A:$A,'Prix vente'!$R:$R),"")</f>
        <v>0</v>
      </c>
      <c r="AI198" s="118"/>
      <c r="AJ198" s="118" t="str">
        <f aca="false">_xlfn.xlookup(AI198,'Prix vente'!$A:$A,'Prix vente'!$H:$H)&amp;"/"&amp;_xlfn.xlookup(AI198,'Prix vente'!$A:$A,'Prix vente'!$P:$P)&amp;"/"&amp;_xlfn.xlookup(AI198,'Prix vente'!A:A,'Prix vente'!Q:Q)/1000</f>
        <v>//0</v>
      </c>
      <c r="AK198" s="118"/>
      <c r="AL198" s="118" t="n">
        <f aca="false">IFERROR(AK198*_xlfn.xlookup(AI198,'Prix vente'!$A:$A,'Prix vente'!$R:$R),"")</f>
        <v>0</v>
      </c>
      <c r="AM198" s="106"/>
      <c r="AN198" s="106" t="str">
        <f aca="false">_xlfn.xlookup(AM198,'Prix vente'!$A:$A,'Prix vente'!$H:$H)&amp;"/"&amp;_xlfn.xlookup(AM198,'Prix vente'!$A:$A,'Prix vente'!$P:$P)&amp;"/"&amp;_xlfn.xlookup(AM198,'Prix vente'!A:A,'Prix vente'!Q:Q)/1000</f>
        <v>//0</v>
      </c>
      <c r="AO198" s="106"/>
      <c r="AP198" s="106" t="n">
        <f aca="false">IFERROR(AO198*_xlfn.xlookup(AM198,'Prix vente'!$A:$A,'Prix vente'!$R:$R),"")</f>
        <v>0</v>
      </c>
      <c r="AQ198" s="118"/>
      <c r="AR198" s="118" t="str">
        <f aca="false">_xlfn.xlookup(AQ198,'Prix vente'!$A:$A,'Prix vente'!$H:$H)&amp;"/"&amp;_xlfn.xlookup(AQ198,'Prix vente'!$A:$A,'Prix vente'!$P:$P)&amp;"/"&amp;_xlfn.xlookup(AQ198,'Prix vente'!A:A,'Prix vente'!Q:Q)/1000</f>
        <v>//0</v>
      </c>
      <c r="AS198" s="118"/>
      <c r="AT198" s="118" t="n">
        <f aca="false">IFERROR(AS198*_xlfn.xlookup(AQ198,'Prix vente'!$A:$A,'Prix vente'!$R:$R),"")</f>
        <v>0</v>
      </c>
      <c r="AU198" s="106"/>
      <c r="AV198" s="106"/>
      <c r="AW198" s="106"/>
      <c r="AX198" s="106"/>
      <c r="AY198" s="118"/>
      <c r="AZ198" s="118"/>
      <c r="BA198" s="118"/>
      <c r="BB198" s="118"/>
    </row>
    <row r="199" customFormat="false" ht="14.25" hidden="false" customHeight="false" outlineLevel="0" collapsed="false">
      <c r="A199" s="107" t="n">
        <v>347</v>
      </c>
      <c r="B199" s="107"/>
      <c r="C199" s="11"/>
      <c r="D199" s="11"/>
      <c r="E199" s="114"/>
      <c r="F199" s="115"/>
      <c r="G199" s="115"/>
      <c r="H199" s="115"/>
      <c r="I199" s="100" t="n">
        <f aca="false">_xlfn.xlookup(C199,Clients!B:B,Clients!W:W,FALSE())</f>
        <v>0</v>
      </c>
      <c r="J199" s="116" t="n">
        <f aca="false">_xlfn.xlookup(C199,Clients!$B$1:$B$1001,Clients!$M$1:$M$1001,FALSE())</f>
        <v>0</v>
      </c>
      <c r="K199" s="100" t="n">
        <f aca="false">_xlfn.xlookup(C199,Clients!B:B,Clients!R:R,FALSE())</f>
        <v>0</v>
      </c>
      <c r="L199" s="117"/>
      <c r="M199" s="98" t="n">
        <f aca="false">_xlfn.xlookup(C199,Clients!B:B,Clients!X:X,FALSE())</f>
        <v>0</v>
      </c>
      <c r="N199" s="98" t="n">
        <f aca="false">_xlfn.xlookup(C199,Clients!B:B,Clients!Y:Y,FALSE())</f>
        <v>0</v>
      </c>
      <c r="O199" s="106"/>
      <c r="P199" s="106" t="str">
        <f aca="false">_xlfn.xlookup(O199,'Prix vente'!A:A,'Prix vente'!H:H)&amp;"/"&amp;_xlfn.xlookup(O199,'Prix vente'!A:A,'Prix vente'!P:P)&amp;"/"&amp;_xlfn.xlookup(O199,'Prix vente'!A:A,'Prix vente'!Q:Q)/1000</f>
        <v>//0</v>
      </c>
      <c r="Q199" s="106"/>
      <c r="R199" s="106" t="n">
        <f aca="false">Q199*_xlfn.xlookup(O199,'Prix vente'!A:A,'Prix vente'!R:R)</f>
        <v>0</v>
      </c>
      <c r="S199" s="118"/>
      <c r="T199" s="118" t="str">
        <f aca="false">_xlfn.xlookup(S199,'Prix vente'!$A:$A,'Prix vente'!$H:$H)&amp;"/"&amp;_xlfn.xlookup(S199,'Prix vente'!A:A,'Prix vente'!P:P)&amp;"/"&amp;_xlfn.xlookup(S199,'Prix vente'!A:A,'Prix vente'!Q:Q)/1000</f>
        <v>//0</v>
      </c>
      <c r="U199" s="118"/>
      <c r="V199" s="118" t="n">
        <f aca="false">IFERROR(U199*_xlfn.xlookup(S199,'Prix vente'!$A:$A,'Prix vente'!$R:$R),"")</f>
        <v>0</v>
      </c>
      <c r="W199" s="106"/>
      <c r="X199" s="106" t="str">
        <f aca="false">_xlfn.xlookup(W199,'Prix vente'!$A:$A,'Prix vente'!$H:$H)&amp;"/"&amp;_xlfn.xlookup(W199,'Prix vente'!A:A,'Prix vente'!P:P)&amp;"/"&amp;_xlfn.xlookup(W199,'Prix vente'!A:A,'Prix vente'!Q:Q)/1000</f>
        <v>//0</v>
      </c>
      <c r="Y199" s="106"/>
      <c r="Z199" s="106" t="n">
        <f aca="false">IFERROR(Y199*_xlfn.xlookup(W199,'Prix vente'!$A:$A,'Prix vente'!$R:$R),"")</f>
        <v>0</v>
      </c>
      <c r="AA199" s="118"/>
      <c r="AB199" s="118" t="str">
        <f aca="false">_xlfn.xlookup(AA199,'Prix vente'!$A:$A,'Prix vente'!$H:$H)&amp;"/"&amp;_xlfn.xlookup(AA199,'Prix vente'!A:A,'Prix vente'!P:P)&amp;"/"&amp;_xlfn.xlookup(AA199,'Prix vente'!A:A,'Prix vente'!Q:Q)/1000</f>
        <v>//0</v>
      </c>
      <c r="AC199" s="118"/>
      <c r="AD199" s="118" t="n">
        <f aca="false">IFERROR(AC199*_xlfn.xlookup(AA199,'Prix vente'!$A:$A,'Prix vente'!$R:$R),"")</f>
        <v>0</v>
      </c>
      <c r="AE199" s="106"/>
      <c r="AF199" s="106" t="str">
        <f aca="false">_xlfn.xlookup(AE199,'Prix vente'!$A:$A,'Prix vente'!$H:$H)&amp;"/"&amp;_xlfn.xlookup(AE199,'Prix vente'!$A:$A,'Prix vente'!$P:$P)&amp;"/"&amp;_xlfn.xlookup(AE199,'Prix vente'!A:A,'Prix vente'!Q:Q)/1000</f>
        <v>//0</v>
      </c>
      <c r="AG199" s="106"/>
      <c r="AH199" s="106" t="n">
        <f aca="false">IFERROR(AG199*_xlfn.xlookup(AE199,'Prix vente'!$A:$A,'Prix vente'!$R:$R),"")</f>
        <v>0</v>
      </c>
      <c r="AI199" s="118"/>
      <c r="AJ199" s="118" t="str">
        <f aca="false">_xlfn.xlookup(AI199,'Prix vente'!$A:$A,'Prix vente'!$H:$H)&amp;"/"&amp;_xlfn.xlookup(AI199,'Prix vente'!$A:$A,'Prix vente'!$P:$P)&amp;"/"&amp;_xlfn.xlookup(AI199,'Prix vente'!A:A,'Prix vente'!Q:Q)/1000</f>
        <v>//0</v>
      </c>
      <c r="AK199" s="118"/>
      <c r="AL199" s="118" t="n">
        <f aca="false">IFERROR(AK199*_xlfn.xlookup(AI199,'Prix vente'!$A:$A,'Prix vente'!$R:$R),"")</f>
        <v>0</v>
      </c>
      <c r="AM199" s="106"/>
      <c r="AN199" s="106" t="str">
        <f aca="false">_xlfn.xlookup(AM199,'Prix vente'!$A:$A,'Prix vente'!$H:$H)&amp;"/"&amp;_xlfn.xlookup(AM199,'Prix vente'!$A:$A,'Prix vente'!$P:$P)&amp;"/"&amp;_xlfn.xlookup(AM199,'Prix vente'!A:A,'Prix vente'!Q:Q)/1000</f>
        <v>//0</v>
      </c>
      <c r="AO199" s="106"/>
      <c r="AP199" s="106" t="n">
        <f aca="false">IFERROR(AO199*_xlfn.xlookup(AM199,'Prix vente'!$A:$A,'Prix vente'!$R:$R),"")</f>
        <v>0</v>
      </c>
      <c r="AQ199" s="118"/>
      <c r="AR199" s="118" t="str">
        <f aca="false">_xlfn.xlookup(AQ199,'Prix vente'!$A:$A,'Prix vente'!$H:$H)&amp;"/"&amp;_xlfn.xlookup(AQ199,'Prix vente'!$A:$A,'Prix vente'!$P:$P)&amp;"/"&amp;_xlfn.xlookup(AQ199,'Prix vente'!A:A,'Prix vente'!Q:Q)/1000</f>
        <v>//0</v>
      </c>
      <c r="AS199" s="118"/>
      <c r="AT199" s="118" t="n">
        <f aca="false">IFERROR(AS199*_xlfn.xlookup(AQ199,'Prix vente'!$A:$A,'Prix vente'!$R:$R),"")</f>
        <v>0</v>
      </c>
      <c r="AU199" s="106"/>
      <c r="AV199" s="106"/>
      <c r="AW199" s="106"/>
      <c r="AX199" s="106"/>
      <c r="AY199" s="118"/>
      <c r="AZ199" s="118"/>
      <c r="BA199" s="118"/>
      <c r="BB199" s="118"/>
    </row>
    <row r="200" customFormat="false" ht="14.25" hidden="false" customHeight="false" outlineLevel="0" collapsed="false">
      <c r="A200" s="107" t="n">
        <v>348</v>
      </c>
      <c r="B200" s="107"/>
      <c r="C200" s="11"/>
      <c r="D200" s="11"/>
      <c r="E200" s="114"/>
      <c r="F200" s="115"/>
      <c r="G200" s="115"/>
      <c r="H200" s="115"/>
      <c r="I200" s="100" t="n">
        <f aca="false">_xlfn.xlookup(C200,Clients!B:B,Clients!W:W,FALSE())</f>
        <v>0</v>
      </c>
      <c r="J200" s="116" t="n">
        <f aca="false">_xlfn.xlookup(C200,Clients!$B$1:$B$1001,Clients!$M$1:$M$1001,FALSE())</f>
        <v>0</v>
      </c>
      <c r="K200" s="100" t="n">
        <f aca="false">_xlfn.xlookup(C200,Clients!B:B,Clients!R:R,FALSE())</f>
        <v>0</v>
      </c>
      <c r="L200" s="117"/>
      <c r="M200" s="98" t="n">
        <f aca="false">_xlfn.xlookup(C200,Clients!B:B,Clients!X:X,FALSE())</f>
        <v>0</v>
      </c>
      <c r="N200" s="98" t="n">
        <f aca="false">_xlfn.xlookup(C200,Clients!B:B,Clients!Y:Y,FALSE())</f>
        <v>0</v>
      </c>
      <c r="O200" s="106"/>
      <c r="P200" s="106" t="str">
        <f aca="false">_xlfn.xlookup(O200,'Prix vente'!A:A,'Prix vente'!H:H)&amp;"/"&amp;_xlfn.xlookup(O200,'Prix vente'!A:A,'Prix vente'!P:P)&amp;"/"&amp;_xlfn.xlookup(O200,'Prix vente'!A:A,'Prix vente'!Q:Q)/1000</f>
        <v>//0</v>
      </c>
      <c r="Q200" s="106"/>
      <c r="R200" s="106" t="n">
        <f aca="false">Q200*_xlfn.xlookup(O200,'Prix vente'!A:A,'Prix vente'!R:R)</f>
        <v>0</v>
      </c>
      <c r="S200" s="118"/>
      <c r="T200" s="118" t="str">
        <f aca="false">_xlfn.xlookup(S200,'Prix vente'!$A:$A,'Prix vente'!$H:$H)&amp;"/"&amp;_xlfn.xlookup(S200,'Prix vente'!A:A,'Prix vente'!P:P)&amp;"/"&amp;_xlfn.xlookup(S200,'Prix vente'!A:A,'Prix vente'!Q:Q)/1000</f>
        <v>//0</v>
      </c>
      <c r="U200" s="118"/>
      <c r="V200" s="118" t="n">
        <f aca="false">IFERROR(U200*_xlfn.xlookup(S200,'Prix vente'!$A:$A,'Prix vente'!$R:$R),"")</f>
        <v>0</v>
      </c>
      <c r="W200" s="106"/>
      <c r="X200" s="106" t="str">
        <f aca="false">_xlfn.xlookup(W200,'Prix vente'!$A:$A,'Prix vente'!$H:$H)&amp;"/"&amp;_xlfn.xlookup(W200,'Prix vente'!A:A,'Prix vente'!P:P)&amp;"/"&amp;_xlfn.xlookup(W200,'Prix vente'!A:A,'Prix vente'!Q:Q)/1000</f>
        <v>//0</v>
      </c>
      <c r="Y200" s="106"/>
      <c r="Z200" s="106" t="n">
        <f aca="false">IFERROR(Y200*_xlfn.xlookup(W200,'Prix vente'!$A:$A,'Prix vente'!$R:$R),"")</f>
        <v>0</v>
      </c>
      <c r="AA200" s="118"/>
      <c r="AB200" s="118" t="str">
        <f aca="false">_xlfn.xlookup(AA200,'Prix vente'!$A:$A,'Prix vente'!$H:$H)&amp;"/"&amp;_xlfn.xlookup(AA200,'Prix vente'!A:A,'Prix vente'!P:P)&amp;"/"&amp;_xlfn.xlookup(AA200,'Prix vente'!A:A,'Prix vente'!Q:Q)/1000</f>
        <v>//0</v>
      </c>
      <c r="AC200" s="118"/>
      <c r="AD200" s="118" t="n">
        <f aca="false">IFERROR(AC200*_xlfn.xlookup(AA200,'Prix vente'!$A:$A,'Prix vente'!$R:$R),"")</f>
        <v>0</v>
      </c>
      <c r="AE200" s="106"/>
      <c r="AF200" s="106" t="str">
        <f aca="false">_xlfn.xlookup(AE200,'Prix vente'!$A:$A,'Prix vente'!$H:$H)&amp;"/"&amp;_xlfn.xlookup(AE200,'Prix vente'!$A:$A,'Prix vente'!$P:$P)&amp;"/"&amp;_xlfn.xlookup(AE200,'Prix vente'!A:A,'Prix vente'!Q:Q)/1000</f>
        <v>//0</v>
      </c>
      <c r="AG200" s="106"/>
      <c r="AH200" s="106" t="n">
        <f aca="false">IFERROR(AG200*_xlfn.xlookup(AE200,'Prix vente'!$A:$A,'Prix vente'!$R:$R),"")</f>
        <v>0</v>
      </c>
      <c r="AI200" s="118"/>
      <c r="AJ200" s="118" t="str">
        <f aca="false">_xlfn.xlookup(AI200,'Prix vente'!$A:$A,'Prix vente'!$H:$H)&amp;"/"&amp;_xlfn.xlookup(AI200,'Prix vente'!$A:$A,'Prix vente'!$P:$P)&amp;"/"&amp;_xlfn.xlookup(AI200,'Prix vente'!A:A,'Prix vente'!Q:Q)/1000</f>
        <v>//0</v>
      </c>
      <c r="AK200" s="118"/>
      <c r="AL200" s="118" t="n">
        <f aca="false">IFERROR(AK200*_xlfn.xlookup(AI200,'Prix vente'!$A:$A,'Prix vente'!$R:$R),"")</f>
        <v>0</v>
      </c>
      <c r="AM200" s="106"/>
      <c r="AN200" s="106" t="str">
        <f aca="false">_xlfn.xlookup(AM200,'Prix vente'!$A:$A,'Prix vente'!$H:$H)&amp;"/"&amp;_xlfn.xlookup(AM200,'Prix vente'!$A:$A,'Prix vente'!$P:$P)&amp;"/"&amp;_xlfn.xlookup(AM200,'Prix vente'!A:A,'Prix vente'!Q:Q)/1000</f>
        <v>//0</v>
      </c>
      <c r="AO200" s="106"/>
      <c r="AP200" s="106" t="n">
        <f aca="false">IFERROR(AO200*_xlfn.xlookup(AM200,'Prix vente'!$A:$A,'Prix vente'!$R:$R),"")</f>
        <v>0</v>
      </c>
      <c r="AQ200" s="118"/>
      <c r="AR200" s="118" t="str">
        <f aca="false">_xlfn.xlookup(AQ200,'Prix vente'!$A:$A,'Prix vente'!$H:$H)&amp;"/"&amp;_xlfn.xlookup(AQ200,'Prix vente'!$A:$A,'Prix vente'!$P:$P)&amp;"/"&amp;_xlfn.xlookup(AQ200,'Prix vente'!A:A,'Prix vente'!Q:Q)/1000</f>
        <v>//0</v>
      </c>
      <c r="AS200" s="118"/>
      <c r="AT200" s="118" t="n">
        <f aca="false">IFERROR(AS200*_xlfn.xlookup(AQ200,'Prix vente'!$A:$A,'Prix vente'!$R:$R),"")</f>
        <v>0</v>
      </c>
      <c r="AU200" s="106"/>
      <c r="AV200" s="106"/>
      <c r="AW200" s="106"/>
      <c r="AX200" s="106"/>
      <c r="AY200" s="118"/>
      <c r="AZ200" s="118"/>
      <c r="BA200" s="118"/>
      <c r="BB200" s="118"/>
    </row>
    <row r="201" customFormat="false" ht="14.25" hidden="false" customHeight="false" outlineLevel="0" collapsed="false">
      <c r="A201" s="107" t="n">
        <v>349</v>
      </c>
      <c r="B201" s="107"/>
      <c r="C201" s="11"/>
      <c r="D201" s="11"/>
      <c r="E201" s="114"/>
      <c r="F201" s="115"/>
      <c r="G201" s="115"/>
      <c r="H201" s="115"/>
      <c r="I201" s="100" t="n">
        <f aca="false">_xlfn.xlookup(C201,Clients!B:B,Clients!W:W,FALSE())</f>
        <v>0</v>
      </c>
      <c r="J201" s="116" t="n">
        <f aca="false">_xlfn.xlookup(C201,Clients!$B$1:$B$1001,Clients!$M$1:$M$1001,FALSE())</f>
        <v>0</v>
      </c>
      <c r="K201" s="100" t="n">
        <f aca="false">_xlfn.xlookup(C201,Clients!B:B,Clients!R:R,FALSE())</f>
        <v>0</v>
      </c>
      <c r="L201" s="117"/>
      <c r="M201" s="98" t="n">
        <f aca="false">_xlfn.xlookup(C201,Clients!B:B,Clients!X:X,FALSE())</f>
        <v>0</v>
      </c>
      <c r="N201" s="98" t="n">
        <f aca="false">_xlfn.xlookup(C201,Clients!B:B,Clients!Y:Y,FALSE())</f>
        <v>0</v>
      </c>
      <c r="O201" s="106"/>
      <c r="P201" s="106" t="str">
        <f aca="false">_xlfn.xlookup(O201,'Prix vente'!A:A,'Prix vente'!H:H)&amp;"/"&amp;_xlfn.xlookup(O201,'Prix vente'!A:A,'Prix vente'!P:P)&amp;"/"&amp;_xlfn.xlookup(O201,'Prix vente'!A:A,'Prix vente'!Q:Q)/1000</f>
        <v>//0</v>
      </c>
      <c r="Q201" s="106"/>
      <c r="R201" s="106" t="n">
        <f aca="false">Q201*_xlfn.xlookup(O201,'Prix vente'!A:A,'Prix vente'!R:R)</f>
        <v>0</v>
      </c>
      <c r="S201" s="118"/>
      <c r="T201" s="118" t="str">
        <f aca="false">_xlfn.xlookup(S201,'Prix vente'!$A:$A,'Prix vente'!$H:$H)&amp;"/"&amp;_xlfn.xlookup(S201,'Prix vente'!A:A,'Prix vente'!P:P)&amp;"/"&amp;_xlfn.xlookup(S201,'Prix vente'!A:A,'Prix vente'!Q:Q)/1000</f>
        <v>//0</v>
      </c>
      <c r="U201" s="118"/>
      <c r="V201" s="118" t="n">
        <f aca="false">IFERROR(U201*_xlfn.xlookup(S201,'Prix vente'!$A:$A,'Prix vente'!$R:$R),"")</f>
        <v>0</v>
      </c>
      <c r="W201" s="106"/>
      <c r="X201" s="106" t="str">
        <f aca="false">_xlfn.xlookup(W201,'Prix vente'!$A:$A,'Prix vente'!$H:$H)&amp;"/"&amp;_xlfn.xlookup(W201,'Prix vente'!A:A,'Prix vente'!P:P)&amp;"/"&amp;_xlfn.xlookup(W201,'Prix vente'!A:A,'Prix vente'!Q:Q)/1000</f>
        <v>//0</v>
      </c>
      <c r="Y201" s="106"/>
      <c r="Z201" s="106" t="n">
        <f aca="false">IFERROR(Y201*_xlfn.xlookup(W201,'Prix vente'!$A:$A,'Prix vente'!$R:$R),"")</f>
        <v>0</v>
      </c>
      <c r="AA201" s="118"/>
      <c r="AB201" s="118" t="str">
        <f aca="false">_xlfn.xlookup(AA201,'Prix vente'!$A:$A,'Prix vente'!$H:$H)&amp;"/"&amp;_xlfn.xlookup(AA201,'Prix vente'!A:A,'Prix vente'!P:P)&amp;"/"&amp;_xlfn.xlookup(AA201,'Prix vente'!A:A,'Prix vente'!Q:Q)/1000</f>
        <v>//0</v>
      </c>
      <c r="AC201" s="118"/>
      <c r="AD201" s="118" t="n">
        <f aca="false">IFERROR(AC201*_xlfn.xlookup(AA201,'Prix vente'!$A:$A,'Prix vente'!$R:$R),"")</f>
        <v>0</v>
      </c>
      <c r="AE201" s="106"/>
      <c r="AF201" s="106" t="str">
        <f aca="false">_xlfn.xlookup(AE201,'Prix vente'!$A:$A,'Prix vente'!$H:$H)&amp;"/"&amp;_xlfn.xlookup(AE201,'Prix vente'!$A:$A,'Prix vente'!$P:$P)&amp;"/"&amp;_xlfn.xlookup(AE201,'Prix vente'!A:A,'Prix vente'!Q:Q)/1000</f>
        <v>//0</v>
      </c>
      <c r="AG201" s="106"/>
      <c r="AH201" s="106" t="n">
        <f aca="false">IFERROR(AG201*_xlfn.xlookup(AE201,'Prix vente'!$A:$A,'Prix vente'!$R:$R),"")</f>
        <v>0</v>
      </c>
      <c r="AI201" s="118"/>
      <c r="AJ201" s="118" t="str">
        <f aca="false">_xlfn.xlookup(AI201,'Prix vente'!$A:$A,'Prix vente'!$H:$H)&amp;"/"&amp;_xlfn.xlookup(AI201,'Prix vente'!$A:$A,'Prix vente'!$P:$P)&amp;"/"&amp;_xlfn.xlookup(AI201,'Prix vente'!A:A,'Prix vente'!Q:Q)/1000</f>
        <v>//0</v>
      </c>
      <c r="AK201" s="118"/>
      <c r="AL201" s="118" t="n">
        <f aca="false">IFERROR(AK201*_xlfn.xlookup(AI201,'Prix vente'!$A:$A,'Prix vente'!$R:$R),"")</f>
        <v>0</v>
      </c>
      <c r="AM201" s="106"/>
      <c r="AN201" s="106" t="str">
        <f aca="false">_xlfn.xlookup(AM201,'Prix vente'!$A:$A,'Prix vente'!$H:$H)&amp;"/"&amp;_xlfn.xlookup(AM201,'Prix vente'!$A:$A,'Prix vente'!$P:$P)&amp;"/"&amp;_xlfn.xlookup(AM201,'Prix vente'!A:A,'Prix vente'!Q:Q)/1000</f>
        <v>//0</v>
      </c>
      <c r="AO201" s="106"/>
      <c r="AP201" s="106" t="n">
        <f aca="false">IFERROR(AO201*_xlfn.xlookup(AM201,'Prix vente'!$A:$A,'Prix vente'!$R:$R),"")</f>
        <v>0</v>
      </c>
      <c r="AQ201" s="118"/>
      <c r="AR201" s="118" t="str">
        <f aca="false">_xlfn.xlookup(AQ201,'Prix vente'!$A:$A,'Prix vente'!$H:$H)&amp;"/"&amp;_xlfn.xlookup(AQ201,'Prix vente'!$A:$A,'Prix vente'!$P:$P)&amp;"/"&amp;_xlfn.xlookup(AQ201,'Prix vente'!A:A,'Prix vente'!Q:Q)/1000</f>
        <v>//0</v>
      </c>
      <c r="AS201" s="118"/>
      <c r="AT201" s="118" t="n">
        <f aca="false">IFERROR(AS201*_xlfn.xlookup(AQ201,'Prix vente'!$A:$A,'Prix vente'!$R:$R),"")</f>
        <v>0</v>
      </c>
      <c r="AU201" s="106"/>
      <c r="AV201" s="106"/>
      <c r="AW201" s="106"/>
      <c r="AX201" s="106"/>
      <c r="AY201" s="118"/>
      <c r="AZ201" s="118"/>
      <c r="BA201" s="118"/>
      <c r="BB201" s="118"/>
    </row>
    <row r="202" customFormat="false" ht="14.25" hidden="false" customHeight="false" outlineLevel="0" collapsed="false">
      <c r="A202" s="107" t="n">
        <v>350</v>
      </c>
      <c r="B202" s="107"/>
      <c r="C202" s="11"/>
      <c r="D202" s="11"/>
      <c r="E202" s="114"/>
      <c r="F202" s="115"/>
      <c r="G202" s="115"/>
      <c r="H202" s="115"/>
      <c r="I202" s="100" t="n">
        <f aca="false">_xlfn.xlookup(C202,Clients!B:B,Clients!W:W,FALSE())</f>
        <v>0</v>
      </c>
      <c r="J202" s="116" t="n">
        <f aca="false">_xlfn.xlookup(C202,Clients!$B$1:$B$1001,Clients!$M$1:$M$1001,FALSE())</f>
        <v>0</v>
      </c>
      <c r="K202" s="100" t="n">
        <f aca="false">_xlfn.xlookup(C202,Clients!B:B,Clients!R:R,FALSE())</f>
        <v>0</v>
      </c>
      <c r="L202" s="117"/>
      <c r="M202" s="98" t="n">
        <f aca="false">_xlfn.xlookup(C202,Clients!B:B,Clients!X:X,FALSE())</f>
        <v>0</v>
      </c>
      <c r="N202" s="98" t="n">
        <f aca="false">_xlfn.xlookup(C202,Clients!B:B,Clients!Y:Y,FALSE())</f>
        <v>0</v>
      </c>
      <c r="O202" s="106"/>
      <c r="P202" s="106" t="str">
        <f aca="false">_xlfn.xlookup(O202,'Prix vente'!A:A,'Prix vente'!H:H)&amp;"/"&amp;_xlfn.xlookup(O202,'Prix vente'!A:A,'Prix vente'!P:P)&amp;"/"&amp;_xlfn.xlookup(O202,'Prix vente'!A:A,'Prix vente'!Q:Q)/1000</f>
        <v>//0</v>
      </c>
      <c r="Q202" s="106"/>
      <c r="R202" s="106" t="n">
        <f aca="false">Q202*_xlfn.xlookup(O202,'Prix vente'!A:A,'Prix vente'!R:R)</f>
        <v>0</v>
      </c>
      <c r="S202" s="118"/>
      <c r="T202" s="118" t="str">
        <f aca="false">_xlfn.xlookup(S202,'Prix vente'!$A:$A,'Prix vente'!$H:$H)&amp;"/"&amp;_xlfn.xlookup(S202,'Prix vente'!A:A,'Prix vente'!P:P)&amp;"/"&amp;_xlfn.xlookup(S202,'Prix vente'!A:A,'Prix vente'!Q:Q)/1000</f>
        <v>//0</v>
      </c>
      <c r="U202" s="118"/>
      <c r="V202" s="118" t="n">
        <f aca="false">IFERROR(U202*_xlfn.xlookup(S202,'Prix vente'!$A:$A,'Prix vente'!$R:$R),"")</f>
        <v>0</v>
      </c>
      <c r="W202" s="106"/>
      <c r="X202" s="106" t="str">
        <f aca="false">_xlfn.xlookup(W202,'Prix vente'!$A:$A,'Prix vente'!$H:$H)&amp;"/"&amp;_xlfn.xlookup(W202,'Prix vente'!A:A,'Prix vente'!P:P)&amp;"/"&amp;_xlfn.xlookup(W202,'Prix vente'!A:A,'Prix vente'!Q:Q)/1000</f>
        <v>//0</v>
      </c>
      <c r="Y202" s="106"/>
      <c r="Z202" s="106" t="n">
        <f aca="false">IFERROR(Y202*_xlfn.xlookup(W202,'Prix vente'!$A:$A,'Prix vente'!$R:$R),"")</f>
        <v>0</v>
      </c>
      <c r="AA202" s="118"/>
      <c r="AB202" s="118" t="str">
        <f aca="false">_xlfn.xlookup(AA202,'Prix vente'!$A:$A,'Prix vente'!$H:$H)&amp;"/"&amp;_xlfn.xlookup(AA202,'Prix vente'!A:A,'Prix vente'!P:P)&amp;"/"&amp;_xlfn.xlookup(AA202,'Prix vente'!A:A,'Prix vente'!Q:Q)/1000</f>
        <v>//0</v>
      </c>
      <c r="AC202" s="118"/>
      <c r="AD202" s="118" t="n">
        <f aca="false">IFERROR(AC202*_xlfn.xlookup(AA202,'Prix vente'!$A:$A,'Prix vente'!$R:$R),"")</f>
        <v>0</v>
      </c>
      <c r="AE202" s="106"/>
      <c r="AF202" s="106" t="str">
        <f aca="false">_xlfn.xlookup(AE202,'Prix vente'!$A:$A,'Prix vente'!$H:$H)&amp;"/"&amp;_xlfn.xlookup(AE202,'Prix vente'!$A:$A,'Prix vente'!$P:$P)&amp;"/"&amp;_xlfn.xlookup(AE202,'Prix vente'!A:A,'Prix vente'!Q:Q)/1000</f>
        <v>//0</v>
      </c>
      <c r="AG202" s="106"/>
      <c r="AH202" s="106" t="n">
        <f aca="false">IFERROR(AG202*_xlfn.xlookup(AE202,'Prix vente'!$A:$A,'Prix vente'!$R:$R),"")</f>
        <v>0</v>
      </c>
      <c r="AI202" s="118"/>
      <c r="AJ202" s="118" t="str">
        <f aca="false">_xlfn.xlookup(AI202,'Prix vente'!$A:$A,'Prix vente'!$H:$H)&amp;"/"&amp;_xlfn.xlookup(AI202,'Prix vente'!$A:$A,'Prix vente'!$P:$P)&amp;"/"&amp;_xlfn.xlookup(AI202,'Prix vente'!A:A,'Prix vente'!Q:Q)/1000</f>
        <v>//0</v>
      </c>
      <c r="AK202" s="118"/>
      <c r="AL202" s="118" t="n">
        <f aca="false">IFERROR(AK202*_xlfn.xlookup(AI202,'Prix vente'!$A:$A,'Prix vente'!$R:$R),"")</f>
        <v>0</v>
      </c>
      <c r="AM202" s="106"/>
      <c r="AN202" s="106" t="str">
        <f aca="false">_xlfn.xlookup(AM202,'Prix vente'!$A:$A,'Prix vente'!$H:$H)&amp;"/"&amp;_xlfn.xlookup(AM202,'Prix vente'!$A:$A,'Prix vente'!$P:$P)&amp;"/"&amp;_xlfn.xlookup(AM202,'Prix vente'!A:A,'Prix vente'!Q:Q)/1000</f>
        <v>//0</v>
      </c>
      <c r="AO202" s="106"/>
      <c r="AP202" s="106" t="n">
        <f aca="false">IFERROR(AO202*_xlfn.xlookup(AM202,'Prix vente'!$A:$A,'Prix vente'!$R:$R),"")</f>
        <v>0</v>
      </c>
      <c r="AQ202" s="118"/>
      <c r="AR202" s="118" t="str">
        <f aca="false">_xlfn.xlookup(AQ202,'Prix vente'!$A:$A,'Prix vente'!$H:$H)&amp;"/"&amp;_xlfn.xlookup(AQ202,'Prix vente'!$A:$A,'Prix vente'!$P:$P)&amp;"/"&amp;_xlfn.xlookup(AQ202,'Prix vente'!A:A,'Prix vente'!Q:Q)/1000</f>
        <v>//0</v>
      </c>
      <c r="AS202" s="118"/>
      <c r="AT202" s="118" t="n">
        <f aca="false">IFERROR(AS202*_xlfn.xlookup(AQ202,'Prix vente'!$A:$A,'Prix vente'!$R:$R),"")</f>
        <v>0</v>
      </c>
      <c r="AU202" s="106"/>
      <c r="AV202" s="106"/>
      <c r="AW202" s="106"/>
      <c r="AX202" s="106"/>
      <c r="AY202" s="118"/>
      <c r="AZ202" s="118"/>
      <c r="BA202" s="118"/>
      <c r="BB202" s="118"/>
    </row>
    <row r="203" customFormat="false" ht="14.25" hidden="false" customHeight="false" outlineLevel="0" collapsed="false">
      <c r="A203" s="107" t="n">
        <v>351</v>
      </c>
      <c r="B203" s="107"/>
      <c r="C203" s="11"/>
      <c r="D203" s="11"/>
      <c r="E203" s="114"/>
      <c r="F203" s="115"/>
      <c r="G203" s="115"/>
      <c r="H203" s="115"/>
      <c r="I203" s="100" t="n">
        <f aca="false">_xlfn.xlookup(C203,Clients!B:B,Clients!W:W,FALSE())</f>
        <v>0</v>
      </c>
      <c r="J203" s="116" t="n">
        <f aca="false">_xlfn.xlookup(C203,Clients!$B$1:$B$1001,Clients!$M$1:$M$1001,FALSE())</f>
        <v>0</v>
      </c>
      <c r="K203" s="100" t="n">
        <f aca="false">_xlfn.xlookup(C203,Clients!B:B,Clients!R:R,FALSE())</f>
        <v>0</v>
      </c>
      <c r="L203" s="117"/>
      <c r="M203" s="98" t="n">
        <f aca="false">_xlfn.xlookup(C203,Clients!B:B,Clients!X:X,FALSE())</f>
        <v>0</v>
      </c>
      <c r="N203" s="98" t="n">
        <f aca="false">_xlfn.xlookup(C203,Clients!B:B,Clients!Y:Y,FALSE())</f>
        <v>0</v>
      </c>
      <c r="O203" s="106"/>
      <c r="P203" s="106" t="str">
        <f aca="false">_xlfn.xlookup(O203,'Prix vente'!A:A,'Prix vente'!H:H)&amp;"/"&amp;_xlfn.xlookup(O203,'Prix vente'!A:A,'Prix vente'!P:P)&amp;"/"&amp;_xlfn.xlookup(O203,'Prix vente'!A:A,'Prix vente'!Q:Q)/1000</f>
        <v>//0</v>
      </c>
      <c r="Q203" s="106"/>
      <c r="R203" s="106" t="n">
        <f aca="false">Q203*_xlfn.xlookup(O203,'Prix vente'!A:A,'Prix vente'!R:R)</f>
        <v>0</v>
      </c>
      <c r="S203" s="118"/>
      <c r="T203" s="118" t="str">
        <f aca="false">_xlfn.xlookup(S203,'Prix vente'!$A:$A,'Prix vente'!$H:$H)&amp;"/"&amp;_xlfn.xlookup(S203,'Prix vente'!A:A,'Prix vente'!P:P)&amp;"/"&amp;_xlfn.xlookup(S203,'Prix vente'!A:A,'Prix vente'!Q:Q)/1000</f>
        <v>//0</v>
      </c>
      <c r="U203" s="118"/>
      <c r="V203" s="118" t="n">
        <f aca="false">IFERROR(U203*_xlfn.xlookup(S203,'Prix vente'!$A:$A,'Prix vente'!$R:$R),"")</f>
        <v>0</v>
      </c>
      <c r="W203" s="106"/>
      <c r="X203" s="106" t="str">
        <f aca="false">_xlfn.xlookup(W203,'Prix vente'!$A:$A,'Prix vente'!$H:$H)&amp;"/"&amp;_xlfn.xlookup(W203,'Prix vente'!A:A,'Prix vente'!P:P)&amp;"/"&amp;_xlfn.xlookup(W203,'Prix vente'!A:A,'Prix vente'!Q:Q)/1000</f>
        <v>//0</v>
      </c>
      <c r="Y203" s="106"/>
      <c r="Z203" s="106" t="n">
        <f aca="false">IFERROR(Y203*_xlfn.xlookup(W203,'Prix vente'!$A:$A,'Prix vente'!$R:$R),"")</f>
        <v>0</v>
      </c>
      <c r="AA203" s="118"/>
      <c r="AB203" s="118" t="str">
        <f aca="false">_xlfn.xlookup(AA203,'Prix vente'!$A:$A,'Prix vente'!$H:$H)&amp;"/"&amp;_xlfn.xlookup(AA203,'Prix vente'!A:A,'Prix vente'!P:P)&amp;"/"&amp;_xlfn.xlookup(AA203,'Prix vente'!A:A,'Prix vente'!Q:Q)/1000</f>
        <v>//0</v>
      </c>
      <c r="AC203" s="118"/>
      <c r="AD203" s="118" t="n">
        <f aca="false">IFERROR(AC203*_xlfn.xlookup(AA203,'Prix vente'!$A:$A,'Prix vente'!$R:$R),"")</f>
        <v>0</v>
      </c>
      <c r="AE203" s="106"/>
      <c r="AF203" s="106" t="str">
        <f aca="false">_xlfn.xlookup(AE203,'Prix vente'!$A:$A,'Prix vente'!$H:$H)&amp;"/"&amp;_xlfn.xlookup(AE203,'Prix vente'!$A:$A,'Prix vente'!$P:$P)&amp;"/"&amp;_xlfn.xlookup(AE203,'Prix vente'!A:A,'Prix vente'!Q:Q)/1000</f>
        <v>//0</v>
      </c>
      <c r="AG203" s="106"/>
      <c r="AH203" s="106" t="n">
        <f aca="false">IFERROR(AG203*_xlfn.xlookup(AE203,'Prix vente'!$A:$A,'Prix vente'!$R:$R),"")</f>
        <v>0</v>
      </c>
      <c r="AI203" s="118"/>
      <c r="AJ203" s="118" t="str">
        <f aca="false">_xlfn.xlookup(AI203,'Prix vente'!$A:$A,'Prix vente'!$H:$H)&amp;"/"&amp;_xlfn.xlookup(AI203,'Prix vente'!$A:$A,'Prix vente'!$P:$P)&amp;"/"&amp;_xlfn.xlookup(AI203,'Prix vente'!A:A,'Prix vente'!Q:Q)/1000</f>
        <v>//0</v>
      </c>
      <c r="AK203" s="118"/>
      <c r="AL203" s="118" t="n">
        <f aca="false">IFERROR(AK203*_xlfn.xlookup(AI203,'Prix vente'!$A:$A,'Prix vente'!$R:$R),"")</f>
        <v>0</v>
      </c>
      <c r="AM203" s="106"/>
      <c r="AN203" s="106" t="str">
        <f aca="false">_xlfn.xlookup(AM203,'Prix vente'!$A:$A,'Prix vente'!$H:$H)&amp;"/"&amp;_xlfn.xlookup(AM203,'Prix vente'!$A:$A,'Prix vente'!$P:$P)&amp;"/"&amp;_xlfn.xlookup(AM203,'Prix vente'!A:A,'Prix vente'!Q:Q)/1000</f>
        <v>//0</v>
      </c>
      <c r="AO203" s="106"/>
      <c r="AP203" s="106" t="n">
        <f aca="false">IFERROR(AO203*_xlfn.xlookup(AM203,'Prix vente'!$A:$A,'Prix vente'!$R:$R),"")</f>
        <v>0</v>
      </c>
      <c r="AQ203" s="118"/>
      <c r="AR203" s="118" t="str">
        <f aca="false">_xlfn.xlookup(AQ203,'Prix vente'!$A:$A,'Prix vente'!$H:$H)&amp;"/"&amp;_xlfn.xlookup(AQ203,'Prix vente'!$A:$A,'Prix vente'!$P:$P)&amp;"/"&amp;_xlfn.xlookup(AQ203,'Prix vente'!A:A,'Prix vente'!Q:Q)/1000</f>
        <v>//0</v>
      </c>
      <c r="AS203" s="118"/>
      <c r="AT203" s="118" t="n">
        <f aca="false">IFERROR(AS203*_xlfn.xlookup(AQ203,'Prix vente'!$A:$A,'Prix vente'!$R:$R),"")</f>
        <v>0</v>
      </c>
      <c r="AU203" s="106"/>
      <c r="AV203" s="106"/>
      <c r="AW203" s="106"/>
      <c r="AX203" s="106"/>
      <c r="AY203" s="118"/>
      <c r="AZ203" s="118"/>
      <c r="BA203" s="118"/>
      <c r="BB203" s="118"/>
    </row>
  </sheetData>
  <dataValidations count="5">
    <dataValidation allowBlank="true" errorStyle="stop" operator="between" showDropDown="false" showErrorMessage="true" showInputMessage="true" sqref="C2:D10 C12:D13 C17:D17" type="list">
      <formula1>Clients!$B$2:$B$6</formula1>
      <formula2>0</formula2>
    </dataValidation>
    <dataValidation allowBlank="true" errorStyle="stop" operator="between" showDropDown="false" showErrorMessage="true" showInputMessage="true" sqref="C11 C14:C16 C18 C22 C24:D24 C30:C31 D31 C34:D34 C64:D64 C70:D70" type="list">
      <formula1>Clients!$B$2:$B$19</formula1>
      <formula2>0</formula2>
    </dataValidation>
    <dataValidation allowBlank="true" errorStyle="stop" operator="between" showDropDown="false" showErrorMessage="true" showInputMessage="true" sqref="D11 D14:D16 D18:D19 D22 D30 D41" type="list">
      <formula1>Clients!$B$2:$B$27</formula1>
      <formula2>0</formula2>
    </dataValidation>
    <dataValidation allowBlank="true" errorStyle="stop" operator="between" showDropDown="false" showErrorMessage="true" showInputMessage="true" sqref="C19:C21 D20:D21 C23:D23 C25:D29 C32:D33 C35:D40 C41:C63 D42:D63 C65:D65 C67:D67" type="list">
      <formula1>Clients!$B$2:$B$1001</formula1>
      <formula2>0</formula2>
    </dataValidation>
    <dataValidation allowBlank="true" errorStyle="stop" operator="between" showDropDown="false" showErrorMessage="true" showInputMessage="true" sqref="C66:D66 C68:D69 C71:D85 C87:D203" type="list">
      <formula1>Clients!$B$2:$B$10002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C4:AO73"/>
  <sheetViews>
    <sheetView showFormulas="false" showGridLines="false" showRowColHeaders="true" showZeros="true" rightToLeft="false" tabSelected="false" showOutlineSymbols="true" defaultGridColor="true" view="normal" topLeftCell="A6" colorId="64" zoomScale="100" zoomScaleNormal="100" zoomScalePageLayoutView="100" workbookViewId="0">
      <selection pane="topLeft" activeCell="Z8" activeCellId="0" sqref="Z8"/>
    </sheetView>
  </sheetViews>
  <sheetFormatPr defaultColWidth="8.59765625" defaultRowHeight="14.25" zeroHeight="false" outlineLevelRow="0" outlineLevelCol="0"/>
  <cols>
    <col collapsed="false" customWidth="true" hidden="false" outlineLevel="0" max="36" min="1" style="1" width="2.69"/>
    <col collapsed="false" customWidth="true" hidden="false" outlineLevel="0" max="37" min="37" style="1" width="4.38"/>
    <col collapsed="false" customWidth="true" hidden="false" outlineLevel="0" max="38" min="38" style="9" width="9.15"/>
    <col collapsed="false" customWidth="true" hidden="false" outlineLevel="0" max="39" min="39" style="1" width="5.69"/>
    <col collapsed="false" customWidth="true" hidden="false" outlineLevel="0" max="40" min="40" style="1" width="11.15"/>
  </cols>
  <sheetData>
    <row r="4" customFormat="false" ht="9.75" hidden="false" customHeight="true" outlineLevel="0" collapsed="false"/>
    <row r="5" customFormat="false" ht="21" hidden="false" customHeight="true" outlineLevel="0" collapsed="false">
      <c r="V5" s="120" t="str">
        <f aca="false">IF($AM$5="F","CONFIRMATION DE COMMANDE","ORDER CONFIRMATION")</f>
        <v>CONFIRMATION DE COMMANDE</v>
      </c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L5" s="42" t="s">
        <v>529</v>
      </c>
      <c r="AM5" s="1" t="str">
        <f aca="false">_xlfn.xlookup($C$12,Clients!B:B,Clients!D:D,FALSE())</f>
        <v>F</v>
      </c>
    </row>
    <row r="6" s="121" customFormat="true" ht="25.5" hidden="false" customHeight="true" outlineLevel="0" collapsed="false">
      <c r="C6" s="122" t="s">
        <v>842</v>
      </c>
      <c r="D6" s="123"/>
      <c r="E6" s="123"/>
      <c r="AL6" s="124"/>
    </row>
    <row r="7" s="121" customFormat="true" ht="15" hidden="false" customHeight="false" outlineLevel="0" collapsed="false">
      <c r="C7" s="121" t="s">
        <v>843</v>
      </c>
      <c r="V7" s="123" t="s">
        <v>699</v>
      </c>
      <c r="Z7" s="125" t="n">
        <v>318</v>
      </c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L7" s="126"/>
      <c r="AM7" s="126"/>
    </row>
    <row r="8" s="121" customFormat="true" ht="15" hidden="false" customHeight="false" outlineLevel="0" collapsed="false">
      <c r="C8" s="121" t="s">
        <v>844</v>
      </c>
      <c r="V8" s="123" t="str">
        <f aca="false">IF(AM5="F","Date","")</f>
        <v>Date</v>
      </c>
      <c r="Z8" s="127" t="n">
        <f aca="false">IF(AM5="f",_xlfn.xlookup($Z$7,'PO Client'!A:A,'PO Client'!E:E,FALSE()),"")</f>
        <v>45680</v>
      </c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L8" s="128"/>
      <c r="AM8" s="128"/>
      <c r="AN8" s="128"/>
      <c r="AO8" s="128"/>
    </row>
    <row r="9" s="121" customFormat="true" ht="17.9" hidden="false" customHeight="false" outlineLevel="0" collapsed="false">
      <c r="C9" s="129" t="s">
        <v>845</v>
      </c>
      <c r="D9" s="129"/>
      <c r="E9" s="129"/>
      <c r="F9" s="129"/>
      <c r="G9" s="129"/>
      <c r="H9" s="129"/>
      <c r="I9" s="129"/>
      <c r="J9" s="129"/>
      <c r="K9" s="129"/>
      <c r="L9" s="121" t="s">
        <v>846</v>
      </c>
      <c r="V9" s="123" t="str">
        <f aca="false">IF(AM5="A","Date","")</f>
        <v/>
      </c>
      <c r="Z9" s="130" t="str">
        <f aca="false">IF(AM5="A",_xlfn.xlookup($Z$7,'PO Client'!A:A,'PO Client'!E:E,FALSE()),"")</f>
        <v/>
      </c>
      <c r="AA9" s="130"/>
      <c r="AB9" s="130"/>
      <c r="AC9" s="130"/>
      <c r="AD9" s="130"/>
      <c r="AE9" s="130"/>
      <c r="AF9" s="130"/>
      <c r="AG9" s="130"/>
      <c r="AH9" s="130"/>
      <c r="AI9" s="130"/>
      <c r="AJ9" s="130"/>
      <c r="AL9" s="128"/>
      <c r="AM9" s="128"/>
      <c r="AN9" s="128"/>
      <c r="AO9" s="128"/>
    </row>
    <row r="10" customFormat="false" ht="9" hidden="false" customHeight="true" outlineLevel="0" collapsed="false">
      <c r="AM10" s="9"/>
      <c r="AN10" s="9"/>
      <c r="AO10" s="9"/>
    </row>
    <row r="11" customFormat="false" ht="14.25" hidden="false" customHeight="false" outlineLevel="0" collapsed="false">
      <c r="C11" s="131" t="str">
        <f aca="false">IF($AM$5="F","Client","Customer")</f>
        <v>Client</v>
      </c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V11" s="131" t="str">
        <f aca="false">IF($AM$5="F","Adresse Livraison","Ship to")</f>
        <v>Adresse Livraison</v>
      </c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1"/>
      <c r="AL11" s="132"/>
      <c r="AM11" s="132"/>
      <c r="AN11" s="132"/>
      <c r="AO11" s="132"/>
    </row>
    <row r="12" s="37" customFormat="true" ht="15" hidden="false" customHeight="true" outlineLevel="0" collapsed="false">
      <c r="C12" s="133" t="str">
        <f aca="false">_xlfn.xlookup($Z$7,'PO Client'!A:A,'PO Client'!C:C,FALSE())</f>
        <v>Imprimerie Ste-Julie</v>
      </c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4"/>
      <c r="S12" s="134"/>
      <c r="T12" s="134"/>
      <c r="U12" s="134"/>
      <c r="V12" s="133" t="str">
        <f aca="false">_xlfn.xlookup($Z$7,'PO Client'!A:A,'PO Client'!D:D,FALSE())</f>
        <v>Imprimerie Ste-Julie</v>
      </c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  <c r="AL12" s="135"/>
      <c r="AM12" s="135"/>
      <c r="AN12" s="135"/>
      <c r="AO12" s="135"/>
    </row>
    <row r="13" customFormat="false" ht="12.75" hidden="false" customHeight="true" outlineLevel="0" collapsed="false">
      <c r="C13" s="136" t="str">
        <f aca="false">_xlfn.xlookup($C$12,Clients!B:B,Clients!E:E,FALSE())</f>
        <v>1851, rue Nobel</v>
      </c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7"/>
      <c r="S13" s="137"/>
      <c r="T13" s="137"/>
      <c r="U13" s="137"/>
      <c r="V13" s="136" t="str">
        <f aca="false">_xlfn.xlookup($V$12,Clients!B:B,Clients!E:E,FALSE())</f>
        <v>1851, rue Nobel</v>
      </c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M13" s="9"/>
      <c r="AN13" s="9"/>
      <c r="AO13" s="9"/>
    </row>
    <row r="14" customFormat="false" ht="12.75" hidden="false" customHeight="true" outlineLevel="0" collapsed="false">
      <c r="C14" s="136" t="str">
        <f aca="false">(_xlfn.xlookup($C$12,Clients!B:B,Clients!F:F,FALSE()))&amp;", "&amp;(_xlfn.xlookup($C$12,Clients!B:B,Clients!G:G,FALSE()))</f>
        <v>Ste-Julie, Québec</v>
      </c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7"/>
      <c r="S14" s="137"/>
      <c r="T14" s="137"/>
      <c r="U14" s="137"/>
      <c r="V14" s="136" t="str">
        <f aca="false">(_xlfn.xlookup($V$12,Clients!B:B,Clients!F:F,FALSE()))&amp;", "&amp;(_xlfn.xlookup($V$12,Clients!B:B,Clients!G:G,FALSE()))</f>
        <v>Ste-Julie, Québec</v>
      </c>
      <c r="W14" s="136"/>
      <c r="X14" s="136"/>
      <c r="Y14" s="136"/>
      <c r="Z14" s="136"/>
      <c r="AA14" s="136"/>
      <c r="AB14" s="136"/>
      <c r="AC14" s="136"/>
      <c r="AD14" s="136"/>
      <c r="AE14" s="136"/>
      <c r="AF14" s="136"/>
      <c r="AG14" s="136"/>
      <c r="AH14" s="136"/>
      <c r="AI14" s="136"/>
      <c r="AJ14" s="136"/>
      <c r="AM14" s="9"/>
      <c r="AN14" s="9"/>
      <c r="AO14" s="9"/>
    </row>
    <row r="15" customFormat="false" ht="12.75" hidden="false" customHeight="true" outlineLevel="0" collapsed="false">
      <c r="C15" s="136" t="str">
        <f aca="false">(_xlfn.xlookup($C$12,Clients!B:B,Clients!H:H,FALSE()))&amp;"   "&amp;(_xlfn.xlookup($C$12,Clients!B:B,Clients!I:I,FALSE()))</f>
        <v>J3E 1Z6   Canada</v>
      </c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7"/>
      <c r="S15" s="137"/>
      <c r="T15" s="137"/>
      <c r="U15" s="137"/>
      <c r="V15" s="136" t="str">
        <f aca="false">(_xlfn.xlookup($V$12,Clients!B:B,Clients!H:H,FALSE()))&amp;"   "&amp;(_xlfn.xlookup($V$12,Clients!B:B,Clients!I:I,FALSE()))</f>
        <v>J3E 1Z6   Canada</v>
      </c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M15" s="9"/>
      <c r="AN15" s="9"/>
      <c r="AO15" s="9"/>
    </row>
    <row r="16" customFormat="false" ht="12.75" hidden="false" customHeight="true" outlineLevel="0" collapsed="false"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7"/>
      <c r="S16" s="137"/>
      <c r="T16" s="137"/>
      <c r="U16" s="137"/>
      <c r="V16" s="136" t="str">
        <f aca="false">_xlfn.xlookup($V$12,Clients!B:B,Clients!J:J,FALSE())</f>
        <v>450-649-5479 (vtremblay@impsj.com)</v>
      </c>
      <c r="W16" s="136"/>
      <c r="X16" s="136"/>
      <c r="Y16" s="136"/>
      <c r="Z16" s="136"/>
      <c r="AA16" s="136"/>
      <c r="AB16" s="136"/>
      <c r="AC16" s="136"/>
      <c r="AD16" s="136"/>
      <c r="AE16" s="136"/>
      <c r="AF16" s="136"/>
      <c r="AG16" s="136"/>
      <c r="AH16" s="136"/>
      <c r="AI16" s="136"/>
      <c r="AJ16" s="136"/>
      <c r="AM16" s="9"/>
      <c r="AN16" s="9"/>
      <c r="AO16" s="9"/>
    </row>
    <row r="17" customFormat="false" ht="12.75" hidden="false" customHeight="true" outlineLevel="0" collapsed="false"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7"/>
      <c r="S17" s="137"/>
      <c r="T17" s="137"/>
      <c r="U17" s="137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M17" s="9"/>
      <c r="AN17" s="9"/>
      <c r="AO17" s="9"/>
    </row>
    <row r="18" customFormat="false" ht="6" hidden="false" customHeight="true" outlineLevel="0" collapsed="false">
      <c r="AL18" s="132"/>
      <c r="AM18" s="132"/>
      <c r="AN18" s="132"/>
      <c r="AO18" s="132"/>
    </row>
    <row r="19" customFormat="false" ht="14.25" hidden="false" customHeight="false" outlineLevel="0" collapsed="false">
      <c r="C19" s="138" t="str">
        <f aca="false">IF($AM$5="F","No. Commande","Order No.")</f>
        <v>No. Commande</v>
      </c>
      <c r="D19" s="138"/>
      <c r="E19" s="138"/>
      <c r="F19" s="138"/>
      <c r="G19" s="138"/>
      <c r="H19" s="138"/>
      <c r="I19" s="138"/>
      <c r="J19" s="138" t="str">
        <f aca="false">IF($AM$5="F","Acheteur","Buyer")</f>
        <v>Acheteur</v>
      </c>
      <c r="K19" s="138"/>
      <c r="L19" s="138"/>
      <c r="M19" s="138"/>
      <c r="N19" s="138"/>
      <c r="O19" s="138"/>
      <c r="P19" s="138"/>
      <c r="Q19" s="138"/>
      <c r="R19" s="139" t="str">
        <f aca="false">IF($AM$5="F","Date requise (A-M-J)","Requested Date (Y-M-D)")</f>
        <v>Date requise (A-M-J)</v>
      </c>
      <c r="S19" s="139"/>
      <c r="T19" s="139"/>
      <c r="U19" s="139"/>
      <c r="V19" s="139"/>
      <c r="W19" s="139"/>
      <c r="X19" s="139"/>
      <c r="Y19" s="139"/>
      <c r="Z19" s="139"/>
      <c r="AA19" s="138" t="str">
        <f aca="false">IF($AM$5="F","Termes de Paiement","Payment Terms")</f>
        <v>Termes de Paiement</v>
      </c>
      <c r="AB19" s="138"/>
      <c r="AC19" s="138"/>
      <c r="AD19" s="138"/>
      <c r="AE19" s="138"/>
      <c r="AF19" s="138"/>
      <c r="AG19" s="138"/>
      <c r="AH19" s="138"/>
      <c r="AI19" s="138"/>
      <c r="AJ19" s="138"/>
      <c r="AL19" s="132"/>
      <c r="AM19" s="132"/>
      <c r="AN19" s="132"/>
      <c r="AO19" s="132"/>
    </row>
    <row r="20" customFormat="false" ht="14.25" hidden="false" customHeight="false" outlineLevel="0" collapsed="false">
      <c r="C20" s="140" t="n">
        <f aca="false">VLOOKUP($Z$7,'PO Client'!A:L,5,FALSE())</f>
        <v>45680</v>
      </c>
      <c r="D20" s="140"/>
      <c r="E20" s="140"/>
      <c r="F20" s="140"/>
      <c r="G20" s="140"/>
      <c r="H20" s="140"/>
      <c r="I20" s="140"/>
      <c r="J20" s="140" t="n">
        <f aca="false">VLOOKUP($Z$7,'PO Client'!A:L,6,FALSE())</f>
        <v>107085</v>
      </c>
      <c r="K20" s="140"/>
      <c r="L20" s="140"/>
      <c r="M20" s="140"/>
      <c r="N20" s="140"/>
      <c r="O20" s="140"/>
      <c r="P20" s="140"/>
      <c r="Q20" s="140"/>
      <c r="R20" s="141" t="n">
        <f aca="false">_xlfn.xlookup(Z7,'PO Client'!$A:$A,'PO Client'!$L:$L,FALSE())</f>
        <v>45687</v>
      </c>
      <c r="S20" s="141"/>
      <c r="T20" s="141"/>
      <c r="U20" s="141"/>
      <c r="V20" s="141"/>
      <c r="W20" s="141"/>
      <c r="X20" s="141"/>
      <c r="Y20" s="141"/>
      <c r="Z20" s="141"/>
      <c r="AA20" s="140" t="str">
        <f aca="false">_xlfn.xlookup(Z7,'PO Client'!$A:$A,'PO Client'!$J:$J,FALSE())</f>
        <v>Net 30 jours</v>
      </c>
      <c r="AB20" s="140"/>
      <c r="AC20" s="140"/>
      <c r="AD20" s="140"/>
      <c r="AE20" s="140"/>
      <c r="AF20" s="140"/>
      <c r="AG20" s="140"/>
      <c r="AH20" s="140"/>
      <c r="AI20" s="140"/>
      <c r="AJ20" s="140"/>
      <c r="AM20" s="9"/>
      <c r="AN20" s="9"/>
      <c r="AO20" s="9"/>
    </row>
    <row r="21" customFormat="false" ht="13.5" hidden="false" customHeight="true" outlineLevel="0" collapsed="false">
      <c r="AL21" s="132"/>
      <c r="AM21" s="132"/>
      <c r="AN21" s="132"/>
      <c r="AO21" s="132"/>
    </row>
    <row r="22" customFormat="false" ht="14.25" hidden="false" customHeight="false" outlineLevel="0" collapsed="false">
      <c r="C22" s="142" t="str">
        <f aca="false">IF($AM$5="F","Notre # prod","Our Prod #")</f>
        <v>Notre # prod</v>
      </c>
      <c r="D22" s="142"/>
      <c r="E22" s="142"/>
      <c r="F22" s="142"/>
      <c r="G22" s="143" t="s">
        <v>847</v>
      </c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4" t="str">
        <f aca="false">IF($AM$5="F","Qté","Qty")</f>
        <v>Qté</v>
      </c>
      <c r="W22" s="144"/>
      <c r="X22" s="144"/>
      <c r="Y22" s="144"/>
      <c r="Z22" s="144" t="str">
        <f aca="false">IF($AM$5="F","Unité","Unit")</f>
        <v>Unité</v>
      </c>
      <c r="AA22" s="144"/>
      <c r="AB22" s="144"/>
      <c r="AC22" s="144" t="str">
        <f aca="false">IF($AM$5="F","Prix Unit.","Unit Price")</f>
        <v>Prix Unit.</v>
      </c>
      <c r="AD22" s="144"/>
      <c r="AE22" s="144"/>
      <c r="AF22" s="144"/>
      <c r="AG22" s="144" t="str">
        <f aca="false">IF($AM$5="F","Total","Total")</f>
        <v>Total</v>
      </c>
      <c r="AH22" s="144"/>
      <c r="AI22" s="144"/>
      <c r="AJ22" s="144"/>
      <c r="AL22" s="132"/>
      <c r="AM22" s="132"/>
      <c r="AN22" s="132"/>
      <c r="AO22" s="132"/>
    </row>
    <row r="23" customFormat="false" ht="14.25" hidden="false" customHeight="false" outlineLevel="0" collapsed="false">
      <c r="C23" s="142" t="str">
        <f aca="false">IF($AM$5="F","Votre # prod","Your Prod #")</f>
        <v>Votre # prod</v>
      </c>
      <c r="D23" s="142"/>
      <c r="E23" s="142"/>
      <c r="F23" s="142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L23" s="132"/>
      <c r="AM23" s="132"/>
      <c r="AN23" s="132"/>
      <c r="AO23" s="132"/>
    </row>
    <row r="24" customFormat="false" ht="14.25" hidden="false" customHeight="true" outlineLevel="0" collapsed="false">
      <c r="C24" s="145" t="str">
        <f aca="false">_xlfn.xlookup($AL24,'Prix vente'!$A:$A,'Prix vente'!$H:$H,"")</f>
        <v>S21</v>
      </c>
      <c r="D24" s="145"/>
      <c r="E24" s="145"/>
      <c r="F24" s="145"/>
      <c r="G24" s="146" t="e">
        <f aca="false" t="array" ref="G24:G24">_xlfn.xlookup($AL24,'Prix vente'!$A:$A,'Prix vente'!$K:$K&amp;" / "&amp;_xlfn.xlookup($AL24,'Prix vente'!$A:$A,'Prix vente'!$J:$J,""))</f>
        <v>#NAME?</v>
      </c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7" t="n">
        <f aca="false">_xlfn.xlookup($Z$7,'PO Client'!A:A,'PO Client'!R:R,"")</f>
        <v>960</v>
      </c>
      <c r="W24" s="147"/>
      <c r="X24" s="147"/>
      <c r="Y24" s="147"/>
      <c r="Z24" s="145" t="str">
        <f aca="false">_xlfn.xlookup($AL24,'Prix vente'!$A:$A,'Prix vente'!$O:$O,"")</f>
        <v>msi</v>
      </c>
      <c r="AA24" s="145"/>
      <c r="AB24" s="145"/>
      <c r="AC24" s="148" t="n">
        <f aca="false">_xlfn.xlookup($AL24,'Prix vente'!$A:$A,'Prix vente'!$N:$N,"")</f>
        <v>0.27</v>
      </c>
      <c r="AD24" s="148"/>
      <c r="AE24" s="148"/>
      <c r="AF24" s="148"/>
      <c r="AG24" s="149" t="n">
        <f aca="false">IFERROR(V24*AC24,"")</f>
        <v>259.2</v>
      </c>
      <c r="AH24" s="149"/>
      <c r="AI24" s="149"/>
      <c r="AJ24" s="149"/>
      <c r="AL24" s="9" t="n">
        <f aca="false">_xlfn.xlookup(Z7,'PO Client'!A:A,'PO Client'!O:O,FALSE())</f>
        <v>40258</v>
      </c>
      <c r="AM24" s="9"/>
      <c r="AN24" s="150"/>
      <c r="AO24" s="9"/>
    </row>
    <row r="25" s="42" customFormat="true" ht="15" hidden="false" customHeight="true" outlineLevel="0" collapsed="false">
      <c r="C25" s="151" t="n">
        <f aca="false">_xlfn.xlookup($AL24,'Prix vente'!$A:$A,'Prix vente'!$G:$G,"")</f>
        <v>2212</v>
      </c>
      <c r="D25" s="151"/>
      <c r="E25" s="151"/>
      <c r="F25" s="151"/>
      <c r="G25" s="152" t="str">
        <f aca="false">_xlfn.xlookup($AL24,'Prix vente'!$A:$A,'Prix vente'!$L:$L,"")&amp;" "&amp;_xlfn.xlookup($AL24,'Prix vente'!$A:$A,'Prix vente'!$M:$M,"")</f>
        <v>Larg: 16po   Long: 5000pi </v>
      </c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3" t="n">
        <f aca="false">_xlfn.xlookup($Z$7,'PO Client'!A:A,'PO Client'!Q:Q,"")</f>
        <v>1</v>
      </c>
      <c r="W25" s="153"/>
      <c r="X25" s="153"/>
      <c r="Y25" s="153"/>
      <c r="Z25" s="145" t="str">
        <f aca="false">_xlfn.xlookup($AL24,'Prix vente'!$A:$A,'Prix vente'!$U:$U,"")</f>
        <v>roul.</v>
      </c>
      <c r="AA25" s="145"/>
      <c r="AB25" s="145"/>
      <c r="AC25" s="154" t="n">
        <f aca="false">IF(_xlfn.xlookup($AL24,'Prix vente'!$A:$A,'Prix vente'!$T:$T,"")=0,"",_xlfn.xlookup($AL24,'Prix vente'!$A:$A,'Prix vente'!$T:$T,""))</f>
        <v>259.2</v>
      </c>
      <c r="AD25" s="154"/>
      <c r="AE25" s="154"/>
      <c r="AF25" s="154"/>
      <c r="AG25" s="149"/>
      <c r="AH25" s="149"/>
      <c r="AI25" s="149"/>
      <c r="AJ25" s="149"/>
      <c r="AL25" s="9"/>
      <c r="AN25" s="150"/>
    </row>
    <row r="26" s="42" customFormat="true" ht="6" hidden="false" customHeight="true" outlineLevel="0" collapsed="false">
      <c r="C26" s="155"/>
      <c r="D26" s="156"/>
      <c r="E26" s="156"/>
      <c r="F26" s="156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8"/>
      <c r="W26" s="158"/>
      <c r="X26" s="158"/>
      <c r="Y26" s="158"/>
      <c r="Z26" s="159"/>
      <c r="AA26" s="159"/>
      <c r="AB26" s="159"/>
      <c r="AC26" s="160"/>
      <c r="AD26" s="160"/>
      <c r="AE26" s="160"/>
      <c r="AF26" s="160"/>
      <c r="AG26" s="161"/>
      <c r="AH26" s="161"/>
      <c r="AI26" s="161"/>
      <c r="AJ26" s="162"/>
      <c r="AL26" s="9"/>
      <c r="AM26" s="9"/>
      <c r="AN26" s="150"/>
      <c r="AO26" s="9"/>
    </row>
    <row r="27" customFormat="false" ht="14.25" hidden="false" customHeight="true" outlineLevel="0" collapsed="false">
      <c r="C27" s="145" t="str">
        <f aca="false">_xlfn.xlookup($AL27,'Prix vente'!$A:$A,'Prix vente'!$H:$H,"")</f>
        <v>S21</v>
      </c>
      <c r="D27" s="145"/>
      <c r="E27" s="145"/>
      <c r="F27" s="145"/>
      <c r="G27" s="146" t="e">
        <f aca="false" t="array" ref="G27:G27">_xlfn.xlookup($AL27,'Prix vente'!$A:$A,'Prix vente'!$K:$K&amp;" / ","")&amp;_xlfn.xlookup($AL27,'Prix vente'!$A:$A,'Prix vente'!$J:$J,"")</f>
        <v>#NAME?</v>
      </c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7" t="n">
        <f aca="false">_xlfn.xlookup($Z$7,'PO Client'!A:A,'PO Client'!V:V,"")</f>
        <v>2340</v>
      </c>
      <c r="W27" s="147"/>
      <c r="X27" s="147"/>
      <c r="Y27" s="147"/>
      <c r="Z27" s="145" t="str">
        <f aca="false">_xlfn.xlookup($AL27,'Prix vente'!$A:$A,'Prix vente'!$O:$O,"")</f>
        <v>msi</v>
      </c>
      <c r="AA27" s="145"/>
      <c r="AB27" s="145"/>
      <c r="AC27" s="148" t="n">
        <f aca="false">_xlfn.xlookup($AL27,'Prix vente'!$A:$A,'Prix vente'!$N:$N,"")</f>
        <v>0.27</v>
      </c>
      <c r="AD27" s="148"/>
      <c r="AE27" s="148"/>
      <c r="AF27" s="148"/>
      <c r="AG27" s="149" t="n">
        <f aca="false">IFERROR(V27*AC27,"")</f>
        <v>631.8</v>
      </c>
      <c r="AH27" s="149"/>
      <c r="AI27" s="149"/>
      <c r="AJ27" s="149"/>
      <c r="AL27" s="9" t="n">
        <f aca="false">_xlfn.xlookup(Z7,'PO Client'!A:A,'PO Client'!S:S,FALSE())</f>
        <v>40082</v>
      </c>
      <c r="AM27" s="9"/>
      <c r="AN27" s="150"/>
      <c r="AO27" s="9"/>
    </row>
    <row r="28" customFormat="false" ht="14.25" hidden="false" customHeight="true" outlineLevel="0" collapsed="false">
      <c r="C28" s="151" t="n">
        <f aca="false">_xlfn.xlookup($AL27,'Prix vente'!$A:$A,'Prix vente'!$G:$G,"")</f>
        <v>2212</v>
      </c>
      <c r="D28" s="151"/>
      <c r="E28" s="151"/>
      <c r="F28" s="151"/>
      <c r="G28" s="152" t="str">
        <f aca="false">_xlfn.xlookup($AL27,'Prix vente'!$A:$A,'Prix vente'!$L:$L,"")&amp;_xlfn.xlookup($AL27,'Prix vente'!$A:$A,'Prix vente'!$M:$M,"")</f>
        <v>Larg: 13po  Long: 5000pi </v>
      </c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3" t="n">
        <f aca="false">_xlfn.xlookup($Z$7,'PO Client'!A:A,'PO Client'!U:U,"")</f>
        <v>3</v>
      </c>
      <c r="W28" s="153"/>
      <c r="X28" s="153"/>
      <c r="Y28" s="153"/>
      <c r="Z28" s="145" t="str">
        <f aca="false">_xlfn.xlookup($AL27,'Prix vente'!$A:$A,'Prix vente'!$U:$U,"")</f>
        <v>roul.</v>
      </c>
      <c r="AA28" s="145"/>
      <c r="AB28" s="145"/>
      <c r="AC28" s="154" t="n">
        <f aca="false">IF(_xlfn.xlookup($AL27,'Prix vente'!$A:$A,'Prix vente'!$T:$T,"")=0,"",_xlfn.xlookup($AL27,'Prix vente'!$A:$A,'Prix vente'!$T:$T,""))</f>
        <v>210.6</v>
      </c>
      <c r="AD28" s="154"/>
      <c r="AE28" s="154"/>
      <c r="AF28" s="154"/>
      <c r="AG28" s="149"/>
      <c r="AH28" s="149"/>
      <c r="AI28" s="149"/>
      <c r="AJ28" s="149"/>
      <c r="AN28" s="150"/>
    </row>
    <row r="29" s="42" customFormat="true" ht="6" hidden="false" customHeight="true" outlineLevel="0" collapsed="false">
      <c r="C29" s="155"/>
      <c r="D29" s="156"/>
      <c r="E29" s="156"/>
      <c r="F29" s="156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8"/>
      <c r="W29" s="158"/>
      <c r="X29" s="158"/>
      <c r="Y29" s="158"/>
      <c r="Z29" s="159"/>
      <c r="AA29" s="159"/>
      <c r="AB29" s="159"/>
      <c r="AC29" s="160"/>
      <c r="AD29" s="160"/>
      <c r="AE29" s="160"/>
      <c r="AF29" s="160"/>
      <c r="AG29" s="161"/>
      <c r="AH29" s="161"/>
      <c r="AI29" s="161"/>
      <c r="AJ29" s="162"/>
      <c r="AL29" s="9"/>
      <c r="AM29" s="9"/>
      <c r="AN29" s="150"/>
      <c r="AO29" s="9"/>
    </row>
    <row r="30" customFormat="false" ht="14.25" hidden="false" customHeight="true" outlineLevel="0" collapsed="false">
      <c r="C30" s="145" t="str">
        <f aca="false">_xlfn.xlookup($AL30,'Prix vente'!$A:$A,'Prix vente'!$H:$H,"")</f>
        <v>S21</v>
      </c>
      <c r="D30" s="145"/>
      <c r="E30" s="145"/>
      <c r="F30" s="145"/>
      <c r="G30" s="146" t="e">
        <f aca="false" t="array" ref="G30:G30">_xlfn.xlookup($AL30,'Prix vente'!$A:$A,'Prix vente'!$K:$K&amp;" / ","")&amp;_xlfn.xlookup($AL30,'Prix vente'!$A:$A,'Prix vente'!$J:$J,"")</f>
        <v>#NAME?</v>
      </c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63" t="n">
        <f aca="false">_xlfn.xlookup($Z$7,'PO Client'!A:A,'PO Client'!Z:Z,"")</f>
        <v>300</v>
      </c>
      <c r="W30" s="163"/>
      <c r="X30" s="163"/>
      <c r="Y30" s="163"/>
      <c r="Z30" s="145" t="str">
        <f aca="false">_xlfn.xlookup($AL30,'Prix vente'!$A:$A,'Prix vente'!$O:$O,"")</f>
        <v>msi</v>
      </c>
      <c r="AA30" s="145"/>
      <c r="AB30" s="145"/>
      <c r="AC30" s="148" t="n">
        <f aca="false">_xlfn.xlookup($AL30,'Prix vente'!$A:$A,'Prix vente'!$N:$N,"")</f>
        <v>0.27</v>
      </c>
      <c r="AD30" s="148"/>
      <c r="AE30" s="148"/>
      <c r="AF30" s="148"/>
      <c r="AG30" s="149" t="n">
        <f aca="false">IFERROR(V30*AC30,"")</f>
        <v>81</v>
      </c>
      <c r="AH30" s="149"/>
      <c r="AI30" s="149"/>
      <c r="AJ30" s="149"/>
      <c r="AL30" s="9" t="n">
        <f aca="false">_xlfn.xlookup($Z$7,'PO Client'!A:A,'PO Client'!W:W,FALSE())</f>
        <v>40259</v>
      </c>
      <c r="AM30" s="9"/>
      <c r="AN30" s="150"/>
      <c r="AO30" s="9"/>
    </row>
    <row r="31" s="42" customFormat="true" ht="14.25" hidden="false" customHeight="false" outlineLevel="0" collapsed="false">
      <c r="C31" s="151" t="n">
        <f aca="false">_xlfn.xlookup($AL30,'Prix vente'!$A:$A,'Prix vente'!$G:$G,"")</f>
        <v>2212</v>
      </c>
      <c r="D31" s="151"/>
      <c r="E31" s="151"/>
      <c r="F31" s="151"/>
      <c r="G31" s="152" t="str">
        <f aca="false">_xlfn.xlookup($AL30,'Prix vente'!$A:$A,'Prix vente'!$L:$L,"")&amp;_xlfn.xlookup($AL30,'Prix vente'!$A:$A,'Prix vente'!$M:$M,"")</f>
        <v>Larg: 5po   Long: 5000pi</v>
      </c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64" t="n">
        <f aca="false">_xlfn.xlookup($Z$7,'PO Client'!A:A,'PO Client'!Y:Y,"")</f>
        <v>1</v>
      </c>
      <c r="W31" s="164"/>
      <c r="X31" s="164"/>
      <c r="Y31" s="164"/>
      <c r="Z31" s="145" t="str">
        <f aca="false">_xlfn.xlookup($AL30,'Prix vente'!$A:$A,'Prix vente'!$U:$U,"")</f>
        <v>roul.</v>
      </c>
      <c r="AA31" s="145"/>
      <c r="AB31" s="145"/>
      <c r="AC31" s="154" t="n">
        <f aca="false">IF(_xlfn.xlookup($AL30,'Prix vente'!$A:$A,'Prix vente'!$T:$T,"")=0,"",_xlfn.xlookup($AL30,'Prix vente'!$A:$A,'Prix vente'!$T:$T,""))</f>
        <v>81</v>
      </c>
      <c r="AD31" s="154"/>
      <c r="AE31" s="154"/>
      <c r="AF31" s="154"/>
      <c r="AG31" s="149"/>
      <c r="AH31" s="149"/>
      <c r="AI31" s="149"/>
      <c r="AJ31" s="149"/>
      <c r="AN31" s="150"/>
    </row>
    <row r="32" s="42" customFormat="true" ht="6" hidden="false" customHeight="true" outlineLevel="0" collapsed="false">
      <c r="C32" s="155"/>
      <c r="D32" s="156"/>
      <c r="E32" s="156"/>
      <c r="F32" s="156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8"/>
      <c r="W32" s="158"/>
      <c r="X32" s="158"/>
      <c r="Y32" s="158"/>
      <c r="Z32" s="159"/>
      <c r="AA32" s="159"/>
      <c r="AB32" s="159"/>
      <c r="AC32" s="160"/>
      <c r="AD32" s="160"/>
      <c r="AE32" s="160"/>
      <c r="AF32" s="160"/>
      <c r="AG32" s="161"/>
      <c r="AH32" s="161"/>
      <c r="AI32" s="161"/>
      <c r="AJ32" s="162"/>
      <c r="AL32" s="9"/>
      <c r="AM32" s="9"/>
      <c r="AN32" s="150"/>
      <c r="AO32" s="9"/>
    </row>
    <row r="33" customFormat="false" ht="14.25" hidden="false" customHeight="true" outlineLevel="0" collapsed="false">
      <c r="C33" s="145" t="e">
        <f aca="false">_xlfn.xlookup($AL33,'Prix vente'!$A:$A,'Prix vente'!$H:$H,"")</f>
        <v>#NAME?</v>
      </c>
      <c r="D33" s="145"/>
      <c r="E33" s="145"/>
      <c r="F33" s="145"/>
      <c r="G33" s="146" t="e">
        <f aca="false" t="array" ref="G33:G33">_xlfn.xlookup($AL33,'Prix vente'!$A:$A,'Prix vente'!$K:$K&amp;" (","")&amp;_xlfn.xlookup($AL33,'Prix vente'!$A:$A,'Prix vente'!$J:$J&amp;")","")</f>
        <v>#NAME?</v>
      </c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7" t="n">
        <f aca="false">_xlfn.xlookup($Z$7,'PO Client'!$A:$A,'PO Client'!AD:AD,"")</f>
        <v>0</v>
      </c>
      <c r="W33" s="147"/>
      <c r="X33" s="147"/>
      <c r="Y33" s="147"/>
      <c r="Z33" s="145" t="e">
        <f aca="false">_xlfn.xlookup($AL33,'Prix vente'!$A:$A,'Prix vente'!$O:$O,"")</f>
        <v>#NAME?</v>
      </c>
      <c r="AA33" s="145"/>
      <c r="AB33" s="145"/>
      <c r="AC33" s="148" t="e">
        <f aca="false">_xlfn.xlookup($AL33,'Prix vente'!$A:$A,'Prix vente'!$N:$N,"")</f>
        <v>#NAME?</v>
      </c>
      <c r="AD33" s="148"/>
      <c r="AE33" s="148"/>
      <c r="AF33" s="148"/>
      <c r="AG33" s="149" t="str">
        <f aca="false">IFERROR(V34*AC34,"")</f>
        <v/>
      </c>
      <c r="AH33" s="149"/>
      <c r="AI33" s="149"/>
      <c r="AJ33" s="149"/>
      <c r="AL33" s="9" t="n">
        <f aca="false">_xlfn.xlookup($Z$7,'PO Client'!A:A,'PO Client'!AA:AA,FALSE())</f>
        <v>0</v>
      </c>
      <c r="AM33" s="9"/>
      <c r="AN33" s="150"/>
      <c r="AO33" s="9"/>
    </row>
    <row r="34" customFormat="false" ht="14.25" hidden="false" customHeight="true" outlineLevel="0" collapsed="false">
      <c r="C34" s="151" t="e">
        <f aca="false">_xlfn.xlookup($AL33,'Prix vente'!$A:$A,'Prix vente'!$G:$G,"")</f>
        <v>#NAME?</v>
      </c>
      <c r="D34" s="151"/>
      <c r="E34" s="151"/>
      <c r="F34" s="151"/>
      <c r="G34" s="152" t="e">
        <f aca="false">_xlfn.xlookup($AL33,'Prix vente'!$A:$A,'Prix vente'!$L:$L,"")&amp;_xlfn.xlookup($AL33,'Prix vente'!$A:$A,'Prix vente'!$M:$M,"")</f>
        <v>#NAME?</v>
      </c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2"/>
      <c r="S34" s="152"/>
      <c r="T34" s="152"/>
      <c r="U34" s="152"/>
      <c r="V34" s="153" t="n">
        <f aca="false">_xlfn.xlookup($Z$7,'PO Client'!$A:$A,'PO Client'!AC:AC,"")</f>
        <v>0</v>
      </c>
      <c r="W34" s="153"/>
      <c r="X34" s="153"/>
      <c r="Y34" s="153"/>
      <c r="Z34" s="145" t="e">
        <f aca="false">_xlfn.xlookup($AL33,'Prix vente'!$A:$A,'Prix vente'!$U:$U,"")</f>
        <v>#NAME?</v>
      </c>
      <c r="AA34" s="145"/>
      <c r="AB34" s="145"/>
      <c r="AC34" s="154" t="e">
        <f aca="false">IF(_xlfn.xlookup($AL33,'Prix vente'!$A:$A,'Prix vente'!$T:$T,"")=0,"",_xlfn.xlookup($AL33,'Prix vente'!$A:$A,'Prix vente'!$T:$T,""))</f>
        <v>#NAME?</v>
      </c>
      <c r="AD34" s="154"/>
      <c r="AE34" s="154"/>
      <c r="AF34" s="154"/>
      <c r="AG34" s="149"/>
      <c r="AH34" s="149"/>
      <c r="AI34" s="149"/>
      <c r="AJ34" s="149"/>
      <c r="AN34" s="150"/>
    </row>
    <row r="35" s="42" customFormat="true" ht="6" hidden="false" customHeight="true" outlineLevel="0" collapsed="false">
      <c r="C35" s="155"/>
      <c r="D35" s="156"/>
      <c r="E35" s="156"/>
      <c r="F35" s="156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8"/>
      <c r="W35" s="158"/>
      <c r="X35" s="158"/>
      <c r="Y35" s="158"/>
      <c r="Z35" s="159"/>
      <c r="AA35" s="159"/>
      <c r="AB35" s="159"/>
      <c r="AC35" s="160"/>
      <c r="AD35" s="160"/>
      <c r="AE35" s="160"/>
      <c r="AF35" s="160"/>
      <c r="AG35" s="161"/>
      <c r="AH35" s="161"/>
      <c r="AI35" s="161"/>
      <c r="AJ35" s="162"/>
      <c r="AL35" s="9"/>
      <c r="AM35" s="9"/>
      <c r="AO35" s="9"/>
    </row>
    <row r="36" customFormat="false" ht="14.25" hidden="false" customHeight="true" outlineLevel="0" collapsed="false">
      <c r="C36" s="145" t="e">
        <f aca="false">_xlfn.xlookup($AL36,'Prix vente'!$A:$A,'Prix vente'!$H:$H,"")</f>
        <v>#NAME?</v>
      </c>
      <c r="D36" s="145"/>
      <c r="E36" s="145"/>
      <c r="F36" s="145"/>
      <c r="G36" s="146" t="e">
        <f aca="false" t="array" ref="G36:G36">_xlfn.xlookup($AL36,'Prix vente'!$A:$A,'Prix vente'!$K:$K&amp;" (","")&amp;_xlfn.xlookup($AL36,'Prix vente'!$A:$A,'Prix vente'!$J:$J&amp;")","")</f>
        <v>#NAME?</v>
      </c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63" t="n">
        <f aca="false">_xlfn.xlookup($Z$7,'PO Client'!$A:$A,'PO Client'!AH:AH,"")</f>
        <v>0</v>
      </c>
      <c r="W36" s="163"/>
      <c r="X36" s="163"/>
      <c r="Y36" s="163"/>
      <c r="Z36" s="145" t="e">
        <f aca="false">_xlfn.xlookup($AL36,'Prix vente'!$A:$A,'Prix vente'!$O:$O,"")</f>
        <v>#NAME?</v>
      </c>
      <c r="AA36" s="145"/>
      <c r="AB36" s="145"/>
      <c r="AC36" s="148" t="e">
        <f aca="false">_xlfn.xlookup($AL36,'Prix vente'!$A:$A,'Prix vente'!$N:$N,"")</f>
        <v>#NAME?</v>
      </c>
      <c r="AD36" s="148"/>
      <c r="AE36" s="148"/>
      <c r="AF36" s="148"/>
      <c r="AG36" s="149" t="str">
        <f aca="false">IFERROR(V37*AC37,"")</f>
        <v/>
      </c>
      <c r="AH36" s="149"/>
      <c r="AI36" s="149"/>
      <c r="AJ36" s="149"/>
      <c r="AL36" s="9" t="n">
        <f aca="false">_xlfn.xlookup($Z$7,'PO Client'!A:A,'PO Client'!AE:AE,FALSE())</f>
        <v>0</v>
      </c>
      <c r="AM36" s="9"/>
      <c r="AO36" s="9"/>
    </row>
    <row r="37" s="42" customFormat="true" ht="15" hidden="false" customHeight="true" outlineLevel="0" collapsed="false">
      <c r="C37" s="151" t="e">
        <f aca="false">_xlfn.xlookup($AL36,'Prix vente'!$A:$A,'Prix vente'!$G:$G,"")</f>
        <v>#NAME?</v>
      </c>
      <c r="D37" s="151"/>
      <c r="E37" s="151"/>
      <c r="F37" s="151"/>
      <c r="G37" s="152" t="e">
        <f aca="false">_xlfn.xlookup($AL36,'Prix vente'!$A:$A,'Prix vente'!$L:$L,"")&amp;_xlfn.xlookup($AL36,'Prix vente'!$A:$A,'Prix vente'!$M:$M,"")</f>
        <v>#NAME?</v>
      </c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64" t="n">
        <f aca="false">_xlfn.xlookup($Z$7,'PO Client'!$A:$A,'PO Client'!AG:AG,"")</f>
        <v>0</v>
      </c>
      <c r="W37" s="164"/>
      <c r="X37" s="164"/>
      <c r="Y37" s="164"/>
      <c r="Z37" s="145" t="e">
        <f aca="false">_xlfn.xlookup($AL36,'Prix vente'!$A:$A,'Prix vente'!$U:$U,"")</f>
        <v>#NAME?</v>
      </c>
      <c r="AA37" s="145"/>
      <c r="AB37" s="145"/>
      <c r="AC37" s="154" t="e">
        <f aca="false">IF(_xlfn.xlookup($AL36,'Prix vente'!$A:$A,'Prix vente'!$T:$T,"")=0,"",_xlfn.xlookup($AL36,'Prix vente'!$A:$A,'Prix vente'!$T:$T,""))</f>
        <v>#NAME?</v>
      </c>
      <c r="AD37" s="154"/>
      <c r="AE37" s="154"/>
      <c r="AF37" s="154"/>
      <c r="AG37" s="149"/>
      <c r="AH37" s="149"/>
      <c r="AI37" s="149"/>
      <c r="AJ37" s="149"/>
      <c r="AL37" s="9"/>
      <c r="AM37" s="9"/>
      <c r="AO37" s="9"/>
    </row>
    <row r="38" s="42" customFormat="true" ht="6" hidden="false" customHeight="true" outlineLevel="0" collapsed="false">
      <c r="C38" s="155"/>
      <c r="D38" s="156"/>
      <c r="E38" s="156"/>
      <c r="F38" s="156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8"/>
      <c r="W38" s="158"/>
      <c r="X38" s="158"/>
      <c r="Y38" s="158"/>
      <c r="Z38" s="159"/>
      <c r="AA38" s="159"/>
      <c r="AB38" s="159"/>
      <c r="AC38" s="160"/>
      <c r="AD38" s="160"/>
      <c r="AE38" s="160"/>
      <c r="AF38" s="160"/>
      <c r="AG38" s="161"/>
      <c r="AH38" s="161"/>
      <c r="AI38" s="161"/>
      <c r="AJ38" s="162"/>
      <c r="AL38" s="9"/>
      <c r="AM38" s="9"/>
      <c r="AO38" s="9"/>
    </row>
    <row r="39" customFormat="false" ht="14.25" hidden="false" customHeight="true" outlineLevel="0" collapsed="false">
      <c r="C39" s="145" t="e">
        <f aca="false">_xlfn.xlookup($AL39,'Prix vente'!$A:$A,'Prix vente'!$H:$H,"")</f>
        <v>#NAME?</v>
      </c>
      <c r="D39" s="145"/>
      <c r="E39" s="145"/>
      <c r="F39" s="145"/>
      <c r="G39" s="146" t="e">
        <f aca="false" t="array" ref="G39:G39">_xlfn.xlookup($AL39,'Prix vente'!$A:$A,'Prix vente'!$K:$K&amp;" (","")&amp;_xlfn.xlookup($AL39,'Prix vente'!$A:$A,'Prix vente'!$J:$J&amp;")","")</f>
        <v>#NAME?</v>
      </c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7" t="n">
        <f aca="false">_xlfn.xlookup($Z$7,'PO Client'!$A:$A,'PO Client'!AL:AL,"")</f>
        <v>0</v>
      </c>
      <c r="W39" s="147"/>
      <c r="X39" s="147"/>
      <c r="Y39" s="147"/>
      <c r="Z39" s="145" t="e">
        <f aca="false">_xlfn.xlookup($AL39,'Prix vente'!$A:$A,'Prix vente'!$O:$O,"")</f>
        <v>#NAME?</v>
      </c>
      <c r="AA39" s="145"/>
      <c r="AB39" s="145"/>
      <c r="AC39" s="148" t="e">
        <f aca="false">_xlfn.xlookup($AL39,'Prix vente'!$A:$A,'Prix vente'!$N:$N,"")</f>
        <v>#NAME?</v>
      </c>
      <c r="AD39" s="148"/>
      <c r="AE39" s="148"/>
      <c r="AF39" s="148"/>
      <c r="AG39" s="149" t="str">
        <f aca="false">IFERROR(V40*AC40,"")</f>
        <v/>
      </c>
      <c r="AH39" s="149"/>
      <c r="AI39" s="149"/>
      <c r="AJ39" s="149"/>
      <c r="AL39" s="9" t="n">
        <f aca="false">_xlfn.xlookup($Z$7,'PO Client'!A:A,'PO Client'!AI:AI,FALSE())</f>
        <v>0</v>
      </c>
      <c r="AM39" s="9"/>
      <c r="AN39" s="9"/>
      <c r="AO39" s="9"/>
    </row>
    <row r="40" customFormat="false" ht="14.25" hidden="false" customHeight="true" outlineLevel="0" collapsed="false">
      <c r="C40" s="151" t="e">
        <f aca="false">_xlfn.xlookup($AL39,'Prix vente'!$A:$A,'Prix vente'!$G:$G,"")</f>
        <v>#NAME?</v>
      </c>
      <c r="D40" s="151"/>
      <c r="E40" s="151"/>
      <c r="F40" s="151"/>
      <c r="G40" s="152" t="e">
        <f aca="false">_xlfn.xlookup($AL39,'Prix vente'!$A:$A,'Prix vente'!$L:$L,"")&amp;_xlfn.xlookup($AL39,'Prix vente'!$A:$A,'Prix vente'!$M:$M,"")</f>
        <v>#NAME?</v>
      </c>
      <c r="H40" s="152"/>
      <c r="I40" s="152"/>
      <c r="J40" s="152"/>
      <c r="K40" s="152"/>
      <c r="L40" s="152"/>
      <c r="M40" s="152"/>
      <c r="N40" s="152"/>
      <c r="O40" s="152"/>
      <c r="P40" s="152"/>
      <c r="Q40" s="152"/>
      <c r="R40" s="152"/>
      <c r="S40" s="152"/>
      <c r="T40" s="152"/>
      <c r="U40" s="152"/>
      <c r="V40" s="153" t="n">
        <f aca="false">_xlfn.xlookup($Z$7,'PO Client'!$A:$A,'PO Client'!AK:AK,"")</f>
        <v>0</v>
      </c>
      <c r="W40" s="153"/>
      <c r="X40" s="153"/>
      <c r="Y40" s="153"/>
      <c r="Z40" s="145" t="e">
        <f aca="false">_xlfn.xlookup($AL39,'Prix vente'!$A:$A,'Prix vente'!$U:$U,"")</f>
        <v>#NAME?</v>
      </c>
      <c r="AA40" s="145"/>
      <c r="AB40" s="145"/>
      <c r="AC40" s="154" t="e">
        <f aca="false">IF(_xlfn.xlookup($AL39,'Prix vente'!$A:$A,'Prix vente'!$T:$T,"")=0,"",_xlfn.xlookup($AL39,'Prix vente'!$A:$A,'Prix vente'!$T:$T,""))</f>
        <v>#NAME?</v>
      </c>
      <c r="AD40" s="154"/>
      <c r="AE40" s="154"/>
      <c r="AF40" s="154"/>
      <c r="AG40" s="149"/>
      <c r="AH40" s="149"/>
      <c r="AI40" s="149"/>
      <c r="AJ40" s="149"/>
      <c r="AM40" s="9"/>
      <c r="AN40" s="9"/>
      <c r="AO40" s="9"/>
    </row>
    <row r="41" s="42" customFormat="true" ht="6" hidden="false" customHeight="true" outlineLevel="0" collapsed="false">
      <c r="C41" s="155"/>
      <c r="D41" s="156"/>
      <c r="E41" s="156"/>
      <c r="F41" s="156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8"/>
      <c r="W41" s="158"/>
      <c r="X41" s="158"/>
      <c r="Y41" s="158"/>
      <c r="Z41" s="159"/>
      <c r="AA41" s="159"/>
      <c r="AB41" s="159"/>
      <c r="AC41" s="160"/>
      <c r="AD41" s="160"/>
      <c r="AE41" s="160"/>
      <c r="AF41" s="160"/>
      <c r="AG41" s="161"/>
      <c r="AH41" s="161"/>
      <c r="AI41" s="161"/>
      <c r="AJ41" s="162"/>
      <c r="AL41" s="9"/>
      <c r="AM41" s="9"/>
      <c r="AO41" s="9"/>
    </row>
    <row r="42" customFormat="false" ht="14.25" hidden="false" customHeight="true" outlineLevel="0" collapsed="false">
      <c r="C42" s="145" t="e">
        <f aca="false">_xlfn.xlookup($AL42,'Prix vente'!$A:$A,'Prix vente'!$H:$H,"")</f>
        <v>#NAME?</v>
      </c>
      <c r="D42" s="145"/>
      <c r="E42" s="145"/>
      <c r="F42" s="145"/>
      <c r="G42" s="146" t="e">
        <f aca="false" t="array" ref="G42:G42">_xlfn.xlookup($AL42,'Prix vente'!$A:$A,'Prix vente'!$K:$K&amp;" (","")&amp;_xlfn.xlookup($AL42,'Prix vente'!$A:$A,'Prix vente'!$J:$J&amp;")","")</f>
        <v>#NAME?</v>
      </c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63" t="n">
        <f aca="false">_xlfn.xlookup($Z$7,'PO Client'!$A:$A,'PO Client'!AP:AP,"")</f>
        <v>0</v>
      </c>
      <c r="W42" s="163"/>
      <c r="X42" s="163"/>
      <c r="Y42" s="163"/>
      <c r="Z42" s="145" t="e">
        <f aca="false">_xlfn.xlookup($AL42,'Prix vente'!$A:$A,'Prix vente'!$O:$O,"")</f>
        <v>#NAME?</v>
      </c>
      <c r="AA42" s="145"/>
      <c r="AB42" s="145"/>
      <c r="AC42" s="148" t="e">
        <f aca="false">_xlfn.xlookup($AL42,'Prix vente'!$A:$A,'Prix vente'!$N:$N,"")</f>
        <v>#NAME?</v>
      </c>
      <c r="AD42" s="148"/>
      <c r="AE42" s="148"/>
      <c r="AF42" s="148"/>
      <c r="AG42" s="149" t="str">
        <f aca="false">IFERROR(V43*AC43,"")</f>
        <v/>
      </c>
      <c r="AH42" s="149"/>
      <c r="AI42" s="149"/>
      <c r="AJ42" s="149"/>
      <c r="AL42" s="9" t="n">
        <f aca="false">_xlfn.xlookup($Z$7,'PO Client'!A:A,'PO Client'!AM:AM,FALSE())</f>
        <v>0</v>
      </c>
      <c r="AM42" s="9"/>
      <c r="AO42" s="9"/>
    </row>
    <row r="43" s="42" customFormat="true" ht="15" hidden="false" customHeight="true" outlineLevel="0" collapsed="false">
      <c r="C43" s="151" t="e">
        <f aca="false">_xlfn.xlookup($AL42,'Prix vente'!$A:$A,'Prix vente'!$G:$G,"")</f>
        <v>#NAME?</v>
      </c>
      <c r="D43" s="151"/>
      <c r="E43" s="151"/>
      <c r="F43" s="151"/>
      <c r="G43" s="152" t="e">
        <f aca="false">_xlfn.xlookup($AL42,'Prix vente'!$A:$A,'Prix vente'!$L:$L,"")&amp;_xlfn.xlookup($AL42,'Prix vente'!$A:$A,'Prix vente'!$M:$M,"")</f>
        <v>#NAME?</v>
      </c>
      <c r="H43" s="152"/>
      <c r="I43" s="152"/>
      <c r="J43" s="152"/>
      <c r="K43" s="152"/>
      <c r="L43" s="152"/>
      <c r="M43" s="152"/>
      <c r="N43" s="152"/>
      <c r="O43" s="152"/>
      <c r="P43" s="152"/>
      <c r="Q43" s="152"/>
      <c r="R43" s="152"/>
      <c r="S43" s="152"/>
      <c r="T43" s="152"/>
      <c r="U43" s="152"/>
      <c r="V43" s="164" t="n">
        <f aca="false">_xlfn.xlookup($Z$7,'PO Client'!$A:$A,'PO Client'!AO:AO,"")</f>
        <v>0</v>
      </c>
      <c r="W43" s="164"/>
      <c r="X43" s="164"/>
      <c r="Y43" s="164"/>
      <c r="Z43" s="145" t="e">
        <f aca="false">_xlfn.xlookup($AL42,'Prix vente'!$A:$A,'Prix vente'!$U:$U,"")</f>
        <v>#NAME?</v>
      </c>
      <c r="AA43" s="145"/>
      <c r="AB43" s="145"/>
      <c r="AC43" s="154" t="e">
        <f aca="false">IF(_xlfn.xlookup($AL42,'Prix vente'!$A:$A,'Prix vente'!$T:$T,"")=0,"",_xlfn.xlookup($AL42,'Prix vente'!$A:$A,'Prix vente'!$T:$T,""))</f>
        <v>#NAME?</v>
      </c>
      <c r="AD43" s="154"/>
      <c r="AE43" s="154"/>
      <c r="AF43" s="154"/>
      <c r="AG43" s="149"/>
      <c r="AH43" s="149"/>
      <c r="AI43" s="149"/>
      <c r="AJ43" s="149"/>
      <c r="AL43" s="9"/>
      <c r="AM43" s="9"/>
      <c r="AO43" s="9"/>
    </row>
    <row r="44" s="42" customFormat="true" ht="6" hidden="false" customHeight="true" outlineLevel="0" collapsed="false">
      <c r="C44" s="155"/>
      <c r="D44" s="156"/>
      <c r="E44" s="156"/>
      <c r="F44" s="156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8"/>
      <c r="W44" s="158"/>
      <c r="X44" s="158"/>
      <c r="Y44" s="158"/>
      <c r="Z44" s="159"/>
      <c r="AA44" s="159"/>
      <c r="AB44" s="159"/>
      <c r="AC44" s="160"/>
      <c r="AD44" s="160"/>
      <c r="AE44" s="160"/>
      <c r="AF44" s="160"/>
      <c r="AG44" s="161"/>
      <c r="AH44" s="161"/>
      <c r="AI44" s="161"/>
      <c r="AJ44" s="162"/>
      <c r="AL44" s="9"/>
      <c r="AM44" s="9"/>
      <c r="AO44" s="9"/>
    </row>
    <row r="45" customFormat="false" ht="14.25" hidden="false" customHeight="true" outlineLevel="0" collapsed="false">
      <c r="C45" s="145" t="e">
        <f aca="false">_xlfn.xlookup($AL45,'Prix vente'!$A:$A,'Prix vente'!$H:$H,"")</f>
        <v>#NAME?</v>
      </c>
      <c r="D45" s="145"/>
      <c r="E45" s="145"/>
      <c r="F45" s="145"/>
      <c r="G45" s="146" t="e">
        <f aca="false" t="array" ref="G45:G45">_xlfn.xlookup($AL45,'Prix vente'!$A:$A,'Prix vente'!$K:$K&amp;" (","")&amp;_xlfn.xlookup($AL45,'Prix vente'!$A:$A,'Prix vente'!$J:$J&amp;")","")</f>
        <v>#NAME?</v>
      </c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7" t="n">
        <f aca="false">_xlfn.xlookup($Z$7,'PO Client'!$A:$A,'PO Client'!AT:AT,"")</f>
        <v>0</v>
      </c>
      <c r="W45" s="147"/>
      <c r="X45" s="147"/>
      <c r="Y45" s="147"/>
      <c r="Z45" s="145" t="e">
        <f aca="false">_xlfn.xlookup($AL45,'Prix vente'!$A:$A,'Prix vente'!$O:$O,"")</f>
        <v>#NAME?</v>
      </c>
      <c r="AA45" s="145"/>
      <c r="AB45" s="145"/>
      <c r="AC45" s="148" t="e">
        <f aca="false">_xlfn.xlookup($AL45,'Prix vente'!$A:$A,'Prix vente'!$N:$N,"")</f>
        <v>#NAME?</v>
      </c>
      <c r="AD45" s="148"/>
      <c r="AE45" s="148"/>
      <c r="AF45" s="148"/>
      <c r="AG45" s="149" t="str">
        <f aca="false">IFERROR(V46*AC46,"")</f>
        <v/>
      </c>
      <c r="AH45" s="149"/>
      <c r="AI45" s="149"/>
      <c r="AJ45" s="149"/>
      <c r="AL45" s="9" t="n">
        <f aca="false">_xlfn.xlookup($Z$7,'PO Client'!A:A,'PO Client'!AQ:AQ,FALSE())</f>
        <v>0</v>
      </c>
      <c r="AM45" s="9"/>
      <c r="AN45" s="9"/>
      <c r="AO45" s="9"/>
    </row>
    <row r="46" customFormat="false" ht="14.25" hidden="false" customHeight="true" outlineLevel="0" collapsed="false">
      <c r="C46" s="151" t="e">
        <f aca="false">_xlfn.xlookup($AL45,'Prix vente'!$A:$A,'Prix vente'!$G:$G,"")</f>
        <v>#NAME?</v>
      </c>
      <c r="D46" s="151"/>
      <c r="E46" s="151"/>
      <c r="F46" s="151"/>
      <c r="G46" s="152" t="e">
        <f aca="false">_xlfn.xlookup($AL45,'Prix vente'!$A:$A,'Prix vente'!$L:$L,"")&amp;_xlfn.xlookup($AL45,'Prix vente'!$A:$A,'Prix vente'!$M:$M,"")</f>
        <v>#NAME?</v>
      </c>
      <c r="H46" s="152"/>
      <c r="I46" s="152"/>
      <c r="J46" s="152"/>
      <c r="K46" s="152"/>
      <c r="L46" s="152"/>
      <c r="M46" s="152"/>
      <c r="N46" s="152"/>
      <c r="O46" s="152"/>
      <c r="P46" s="152"/>
      <c r="Q46" s="152"/>
      <c r="R46" s="152"/>
      <c r="S46" s="152"/>
      <c r="T46" s="152"/>
      <c r="U46" s="152"/>
      <c r="V46" s="153" t="n">
        <f aca="false">_xlfn.xlookup($Z$7,'PO Client'!$A:$A,'PO Client'!AS:AS,"")</f>
        <v>0</v>
      </c>
      <c r="W46" s="153"/>
      <c r="X46" s="153"/>
      <c r="Y46" s="153"/>
      <c r="Z46" s="145" t="e">
        <f aca="false">_xlfn.xlookup($AL45,'Prix vente'!$A:$A,'Prix vente'!$U:$U,"")</f>
        <v>#NAME?</v>
      </c>
      <c r="AA46" s="145"/>
      <c r="AB46" s="145"/>
      <c r="AC46" s="154" t="e">
        <f aca="false">IF(_xlfn.xlookup($AL45,'Prix vente'!$A:$A,'Prix vente'!$T:$T,"")=0,"",_xlfn.xlookup($AL45,'Prix vente'!$A:$A,'Prix vente'!$T:$T,""))</f>
        <v>#NAME?</v>
      </c>
      <c r="AD46" s="154"/>
      <c r="AE46" s="154"/>
      <c r="AF46" s="154"/>
      <c r="AG46" s="149"/>
      <c r="AH46" s="149"/>
      <c r="AI46" s="149"/>
      <c r="AJ46" s="149"/>
      <c r="AM46" s="9"/>
      <c r="AN46" s="9"/>
      <c r="AO46" s="9"/>
    </row>
    <row r="47" s="42" customFormat="true" ht="6" hidden="false" customHeight="true" outlineLevel="0" collapsed="false">
      <c r="C47" s="155"/>
      <c r="D47" s="156"/>
      <c r="E47" s="156"/>
      <c r="F47" s="156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8"/>
      <c r="W47" s="158"/>
      <c r="X47" s="158"/>
      <c r="Y47" s="158"/>
      <c r="Z47" s="159"/>
      <c r="AA47" s="159"/>
      <c r="AB47" s="159"/>
      <c r="AC47" s="160"/>
      <c r="AD47" s="160"/>
      <c r="AE47" s="160"/>
      <c r="AF47" s="160"/>
      <c r="AG47" s="161"/>
      <c r="AH47" s="161"/>
      <c r="AI47" s="161"/>
      <c r="AJ47" s="162"/>
      <c r="AL47" s="9"/>
      <c r="AM47" s="9"/>
      <c r="AO47" s="9"/>
    </row>
    <row r="48" customFormat="false" ht="14.25" hidden="false" customHeight="true" outlineLevel="0" collapsed="false">
      <c r="C48" s="145" t="e">
        <f aca="false">_xlfn.xlookup($AL48,'Prix vente'!$A:$A,'Prix vente'!$H:$H,"")</f>
        <v>#NAME?</v>
      </c>
      <c r="D48" s="145"/>
      <c r="E48" s="145"/>
      <c r="F48" s="145"/>
      <c r="G48" s="146" t="e">
        <f aca="false" t="array" ref="G48:G48">_xlfn.xlookup($AL48,'Prix vente'!$A:$A,'Prix vente'!$K:$K&amp;" (","")&amp;_xlfn.xlookup($AL48,'Prix vente'!$A:$A,'Prix vente'!$J:$J&amp;")","")</f>
        <v>#NAME?</v>
      </c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63" t="n">
        <f aca="false">_xlfn.xlookup($Z$7,'PO Client'!$A:$A,'PO Client'!AX:AX,"")</f>
        <v>0</v>
      </c>
      <c r="W48" s="163"/>
      <c r="X48" s="163"/>
      <c r="Y48" s="163"/>
      <c r="Z48" s="145" t="e">
        <f aca="false">_xlfn.xlookup($AL48,'Prix vente'!$A:$A,'Prix vente'!$O:$O,"")</f>
        <v>#NAME?</v>
      </c>
      <c r="AA48" s="145"/>
      <c r="AB48" s="145"/>
      <c r="AC48" s="148" t="e">
        <f aca="false">_xlfn.xlookup($AL48,'Prix vente'!$A:$A,'Prix vente'!$N:$N,"")</f>
        <v>#NAME?</v>
      </c>
      <c r="AD48" s="148"/>
      <c r="AE48" s="148"/>
      <c r="AF48" s="148"/>
      <c r="AG48" s="149" t="str">
        <f aca="false">IFERROR(V49*AC49,"")</f>
        <v/>
      </c>
      <c r="AH48" s="149"/>
      <c r="AI48" s="149"/>
      <c r="AJ48" s="149"/>
      <c r="AL48" s="9" t="n">
        <f aca="false">_xlfn.xlookup($Z$7,'PO Client'!A:A,'PO Client'!AU:AU,FALSE())</f>
        <v>0</v>
      </c>
      <c r="AM48" s="9"/>
      <c r="AN48" s="9"/>
      <c r="AO48" s="9"/>
    </row>
    <row r="49" customFormat="false" ht="14.25" hidden="false" customHeight="true" outlineLevel="0" collapsed="false">
      <c r="C49" s="151" t="e">
        <f aca="false">_xlfn.xlookup($AL48,'Prix vente'!$A:$A,'Prix vente'!$G:$G,"")</f>
        <v>#NAME?</v>
      </c>
      <c r="D49" s="151"/>
      <c r="E49" s="151"/>
      <c r="F49" s="151"/>
      <c r="G49" s="152" t="e">
        <f aca="false">_xlfn.xlookup($AL48,'Prix vente'!$A:$A,'Prix vente'!$L:$L,"")&amp;_xlfn.xlookup($AL48,'Prix vente'!$A:$A,'Prix vente'!$M:$M,"")</f>
        <v>#NAME?</v>
      </c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64" t="n">
        <f aca="false">_xlfn.xlookup($Z$7,'PO Client'!$A:$A,'PO Client'!AW:AW,"")</f>
        <v>0</v>
      </c>
      <c r="W49" s="164"/>
      <c r="X49" s="164"/>
      <c r="Y49" s="164"/>
      <c r="Z49" s="145" t="e">
        <f aca="false">_xlfn.xlookup($AL48,'Prix vente'!$A:$A,'Prix vente'!$U:$U,"")</f>
        <v>#NAME?</v>
      </c>
      <c r="AA49" s="145"/>
      <c r="AB49" s="145"/>
      <c r="AC49" s="154" t="e">
        <f aca="false">IF(_xlfn.xlookup($AL48,'Prix vente'!$A:$A,'Prix vente'!$T:$T,"")=0,"",_xlfn.xlookup($AL48,'Prix vente'!$A:$A,'Prix vente'!$T:$T,""))</f>
        <v>#NAME?</v>
      </c>
      <c r="AD49" s="154"/>
      <c r="AE49" s="154"/>
      <c r="AF49" s="154"/>
      <c r="AG49" s="149"/>
      <c r="AH49" s="149"/>
      <c r="AI49" s="149"/>
      <c r="AJ49" s="149"/>
      <c r="AM49" s="9"/>
      <c r="AN49" s="9"/>
      <c r="AO49" s="9"/>
    </row>
    <row r="50" s="42" customFormat="true" ht="6" hidden="false" customHeight="true" outlineLevel="0" collapsed="false">
      <c r="C50" s="155"/>
      <c r="D50" s="156"/>
      <c r="E50" s="156"/>
      <c r="F50" s="156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8"/>
      <c r="W50" s="158"/>
      <c r="X50" s="158"/>
      <c r="Y50" s="158"/>
      <c r="Z50" s="159"/>
      <c r="AA50" s="159"/>
      <c r="AB50" s="159"/>
      <c r="AC50" s="160"/>
      <c r="AD50" s="160"/>
      <c r="AE50" s="160"/>
      <c r="AF50" s="160"/>
      <c r="AG50" s="161"/>
      <c r="AH50" s="161"/>
      <c r="AI50" s="161"/>
      <c r="AJ50" s="162"/>
      <c r="AL50" s="9"/>
      <c r="AM50" s="9"/>
      <c r="AO50" s="9"/>
    </row>
    <row r="51" customFormat="false" ht="14.25" hidden="false" customHeight="true" outlineLevel="0" collapsed="false">
      <c r="C51" s="145" t="e">
        <f aca="false">_xlfn.xlookup($AL51,'Prix vente'!$A:$A,'Prix vente'!$H:$H,"")</f>
        <v>#NAME?</v>
      </c>
      <c r="D51" s="145"/>
      <c r="E51" s="145"/>
      <c r="F51" s="145"/>
      <c r="G51" s="146" t="e">
        <f aca="false" t="array" ref="G51:G51">_xlfn.xlookup($AL51,'Prix vente'!$A:$A,'Prix vente'!$K:$K&amp;" (","")&amp;_xlfn.xlookup($AL51,'Prix vente'!$A:$A,'Prix vente'!$J:$J&amp;")","")</f>
        <v>#NAME?</v>
      </c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63" t="n">
        <f aca="false">_xlfn.xlookup($Z$7,'PO Client'!$A:$A,'PO Client'!BB:BB,"")</f>
        <v>0</v>
      </c>
      <c r="W51" s="163"/>
      <c r="X51" s="163"/>
      <c r="Y51" s="163"/>
      <c r="Z51" s="145" t="e">
        <f aca="false">_xlfn.xlookup($AL51,'Prix vente'!$A:$A,'Prix vente'!$O:$O,"")</f>
        <v>#NAME?</v>
      </c>
      <c r="AA51" s="145"/>
      <c r="AB51" s="145"/>
      <c r="AC51" s="148" t="e">
        <f aca="false">_xlfn.xlookup($AL51,'Prix vente'!$A:$A,'Prix vente'!$N:$N,"")</f>
        <v>#NAME?</v>
      </c>
      <c r="AD51" s="148"/>
      <c r="AE51" s="148"/>
      <c r="AF51" s="148"/>
      <c r="AG51" s="149" t="str">
        <f aca="false">IFERROR(V52*AC52,"")</f>
        <v/>
      </c>
      <c r="AH51" s="149"/>
      <c r="AI51" s="149"/>
      <c r="AJ51" s="149"/>
      <c r="AL51" s="9" t="n">
        <f aca="false">_xlfn.xlookup($Z$7,'PO Client'!A:A,'PO Client'!AY:AY,FALSE())</f>
        <v>0</v>
      </c>
      <c r="AM51" s="9"/>
      <c r="AN51" s="9"/>
      <c r="AO51" s="9"/>
    </row>
    <row r="52" customFormat="false" ht="14.25" hidden="false" customHeight="true" outlineLevel="0" collapsed="false">
      <c r="C52" s="151" t="e">
        <f aca="false">_xlfn.xlookup($AL51,'Prix vente'!$A:$A,'Prix vente'!$G:$G,"")</f>
        <v>#NAME?</v>
      </c>
      <c r="D52" s="151"/>
      <c r="E52" s="151"/>
      <c r="F52" s="151"/>
      <c r="G52" s="152" t="e">
        <f aca="false">_xlfn.xlookup($AL51,'Prix vente'!$A:$A,'Prix vente'!$L:$L,"")&amp;_xlfn.xlookup($AL51,'Prix vente'!$A:$A,'Prix vente'!$M:$M,"")</f>
        <v>#NAME?</v>
      </c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64" t="n">
        <f aca="false">_xlfn.xlookup($Z$7,'PO Client'!$A:$A,'PO Client'!BA:BA,"")</f>
        <v>0</v>
      </c>
      <c r="W52" s="164"/>
      <c r="X52" s="164"/>
      <c r="Y52" s="164"/>
      <c r="Z52" s="165" t="e">
        <f aca="false">_xlfn.xlookup($AL51,'Prix vente'!$A:$A,'Prix vente'!$U:$U,"")</f>
        <v>#NAME?</v>
      </c>
      <c r="AA52" s="165"/>
      <c r="AB52" s="165"/>
      <c r="AC52" s="166" t="e">
        <f aca="false">IF(_xlfn.xlookup($AL51,'Prix vente'!$A:$A,'Prix vente'!$T:$T,"")=0,"",_xlfn.xlookup($AL51,'Prix vente'!$A:$A,'Prix vente'!$T:$T,""))</f>
        <v>#NAME?</v>
      </c>
      <c r="AD52" s="166"/>
      <c r="AE52" s="166"/>
      <c r="AF52" s="166"/>
      <c r="AG52" s="149"/>
      <c r="AH52" s="149"/>
      <c r="AI52" s="149"/>
      <c r="AJ52" s="149"/>
      <c r="AM52" s="9"/>
      <c r="AN52" s="9"/>
      <c r="AO52" s="9"/>
    </row>
    <row r="53" customFormat="false" ht="6.75" hidden="false" customHeight="true" outlineLevel="0" collapsed="false">
      <c r="C53" s="167"/>
      <c r="D53" s="167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8"/>
      <c r="V53" s="169"/>
      <c r="W53" s="169"/>
      <c r="X53" s="169"/>
      <c r="Y53" s="168"/>
      <c r="Z53" s="170"/>
      <c r="AA53" s="170"/>
      <c r="AB53" s="171"/>
      <c r="AC53" s="172"/>
      <c r="AD53" s="172"/>
      <c r="AE53" s="172"/>
      <c r="AF53" s="172"/>
      <c r="AG53" s="173"/>
      <c r="AH53" s="173"/>
      <c r="AI53" s="173"/>
      <c r="AJ53" s="173"/>
      <c r="AL53" s="132"/>
      <c r="AM53" s="132"/>
      <c r="AN53" s="132"/>
      <c r="AO53" s="132"/>
    </row>
    <row r="54" customFormat="false" ht="14.25" hidden="false" customHeight="false" outlineLevel="0" collapsed="false">
      <c r="C54" s="131" t="str">
        <f aca="false">IF(AM5="F","Notes et directives","Notes and instructions")</f>
        <v>Notes et directives</v>
      </c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V54" s="174" t="str">
        <f aca="false">IF($AM$5="F","SOUS-TOTAL","SUBTOTAL")</f>
        <v>SOUS-TOTAL</v>
      </c>
      <c r="W54" s="175"/>
      <c r="X54" s="175"/>
      <c r="Y54" s="176"/>
      <c r="Z54" s="176"/>
      <c r="AA54" s="176"/>
      <c r="AB54" s="176"/>
      <c r="AC54" s="177" t="str">
        <f aca="false">_xlfn.xlookup($Z$7,'PO Client'!A:A,'PO Client'!M:M,FALSE())</f>
        <v>USD</v>
      </c>
      <c r="AD54" s="177"/>
      <c r="AE54" s="177"/>
      <c r="AF54" s="178" t="n">
        <f aca="false">SUM(AG24:AJ53)</f>
        <v>972</v>
      </c>
      <c r="AG54" s="178"/>
      <c r="AH54" s="178"/>
      <c r="AI54" s="178"/>
      <c r="AJ54" s="178"/>
      <c r="AL54" s="179"/>
      <c r="AM54" s="132"/>
      <c r="AN54" s="132"/>
      <c r="AO54" s="132"/>
    </row>
    <row r="55" customFormat="false" ht="14.25" hidden="false" customHeight="false" outlineLevel="0" collapsed="false">
      <c r="C55" s="1" t="str">
        <f aca="false">IF(AM5="F","La quantité livrée peut varier de +/-5%","Delivered quantity can vary +/-5%")</f>
        <v>La quantité livrée peut varier de +/-5%</v>
      </c>
      <c r="V55" s="180"/>
      <c r="W55" s="181"/>
      <c r="X55" s="181"/>
      <c r="Y55" s="181"/>
      <c r="Z55" s="181"/>
      <c r="AA55" s="181"/>
      <c r="AB55" s="181"/>
      <c r="AC55" s="181"/>
      <c r="AD55" s="181"/>
      <c r="AE55" s="181"/>
      <c r="AF55" s="182"/>
      <c r="AG55" s="183"/>
      <c r="AH55" s="183"/>
      <c r="AI55" s="183"/>
      <c r="AJ55" s="183"/>
      <c r="AL55" s="132"/>
      <c r="AM55" s="132"/>
      <c r="AN55" s="132"/>
      <c r="AO55" s="132"/>
    </row>
    <row r="56" customFormat="false" ht="14.25" hidden="false" customHeight="false" outlineLevel="0" collapsed="false">
      <c r="C56" s="136" t="str">
        <f aca="false">IF(AM5="F","Livraison: ","Delivery: ")&amp;_xlfn.xlookup($Z$7,'PO Client'!A:A,'PO Client'!K:K,FALSE())</f>
        <v>Livraison: EXW Boucherville</v>
      </c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V56" s="184" t="str">
        <f aca="false">IF($AM$5="F","TAXES","TAX")</f>
        <v>TAXES</v>
      </c>
      <c r="AA56" s="185" t="str">
        <f aca="false">_xlfn.xlookup($C$12,Clients!B:B,Clients!Z:Z,FALSE())</f>
        <v>TPS</v>
      </c>
      <c r="AC56" s="186" t="n">
        <f aca="false">_xlfn.xlookup($C$12,Clients!B:B,Clients!AA:AA,FALSE())</f>
        <v>0.05</v>
      </c>
      <c r="AD56" s="186"/>
      <c r="AE56" s="186"/>
      <c r="AF56" s="187" t="n">
        <f aca="false">AF54*AC56</f>
        <v>48.6</v>
      </c>
      <c r="AG56" s="187"/>
      <c r="AH56" s="187"/>
      <c r="AI56" s="187"/>
      <c r="AJ56" s="187"/>
      <c r="AL56" s="132"/>
      <c r="AM56" s="132"/>
      <c r="AN56" s="132"/>
      <c r="AO56" s="132"/>
    </row>
    <row r="57" customFormat="false" ht="14.25" hidden="false" customHeight="false" outlineLevel="0" collapsed="false">
      <c r="C57" s="136" t="n">
        <f aca="false">_xlfn.xlookup($Z$7,'PO Client'!A:A,'PO Client'!H:H,FALSE())</f>
        <v>0</v>
      </c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V57" s="188"/>
      <c r="W57" s="189"/>
      <c r="X57" s="189"/>
      <c r="Y57" s="189"/>
      <c r="Z57" s="189"/>
      <c r="AA57" s="190" t="str">
        <f aca="false">_xlfn.xlookup($C$12,Clients!B:B,Clients!AB:AB,FALSE())</f>
        <v>TVQ</v>
      </c>
      <c r="AB57" s="189"/>
      <c r="AC57" s="191" t="n">
        <f aca="false">_xlfn.xlookup($C$12,Clients!B:B,Clients!AC:AC,FALSE())</f>
        <v>0.09975</v>
      </c>
      <c r="AD57" s="191"/>
      <c r="AE57" s="191"/>
      <c r="AF57" s="192" t="n">
        <f aca="false">AF54*AC57</f>
        <v>96.957</v>
      </c>
      <c r="AG57" s="192"/>
      <c r="AH57" s="192"/>
      <c r="AI57" s="192"/>
      <c r="AJ57" s="192"/>
      <c r="AL57" s="132"/>
      <c r="AM57" s="132"/>
      <c r="AN57" s="132"/>
      <c r="AO57" s="132"/>
    </row>
    <row r="58" customFormat="false" ht="14.25" hidden="false" customHeight="false" outlineLevel="0" collapsed="false">
      <c r="C58" s="136" t="n">
        <f aca="false">_xlfn.xlookup($Z$7,'PO Client'!A:A,'PO Client'!I:I,FALSE())</f>
        <v>0</v>
      </c>
      <c r="D58" s="136"/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V58" s="193" t="s">
        <v>848</v>
      </c>
      <c r="W58" s="194"/>
      <c r="X58" s="194"/>
      <c r="Y58" s="194"/>
      <c r="Z58" s="194"/>
      <c r="AA58" s="194"/>
      <c r="AB58" s="194"/>
      <c r="AC58" s="195" t="str">
        <f aca="false">AC54</f>
        <v>USD</v>
      </c>
      <c r="AD58" s="195"/>
      <c r="AE58" s="195"/>
      <c r="AF58" s="196" t="n">
        <f aca="false">SUM(AF54:AJ57)</f>
        <v>1117.557</v>
      </c>
      <c r="AG58" s="196"/>
      <c r="AH58" s="196"/>
      <c r="AI58" s="196"/>
      <c r="AJ58" s="196"/>
      <c r="AL58" s="132"/>
      <c r="AM58" s="132"/>
      <c r="AN58" s="132"/>
      <c r="AO58" s="132"/>
    </row>
    <row r="59" customFormat="false" ht="14.25" hidden="false" customHeight="true" outlineLevel="0" collapsed="false">
      <c r="C59" s="136" t="n">
        <f aca="false">_xlfn.xlookup($C$12,Clients!B:B,Clients!V:V,FALSE())</f>
        <v>0</v>
      </c>
      <c r="D59" s="136"/>
      <c r="E59" s="136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AL59" s="132"/>
      <c r="AM59" s="132"/>
      <c r="AN59" s="132"/>
      <c r="AO59" s="132"/>
    </row>
    <row r="60" customFormat="false" ht="14.25" hidden="false" customHeight="false" outlineLevel="0" collapsed="false">
      <c r="AL60" s="132"/>
      <c r="AM60" s="132"/>
      <c r="AN60" s="132"/>
      <c r="AO60" s="132"/>
    </row>
    <row r="61" customFormat="false" ht="14.25" hidden="false" customHeight="false" outlineLevel="0" collapsed="false">
      <c r="C61" s="1" t="str">
        <f aca="false">IF(AM5="F","Livraison: ","Delivery: ")&amp;_xlfn.xlookup($Z$7,'PO Client'!A:A,'PO Client'!K:K,FALSE())</f>
        <v>Livraison: EXW Boucherville</v>
      </c>
      <c r="AL61" s="132"/>
      <c r="AM61" s="132"/>
      <c r="AN61" s="132"/>
      <c r="AO61" s="132"/>
    </row>
    <row r="62" customFormat="false" ht="14.25" hidden="false" customHeight="false" outlineLevel="0" collapsed="false">
      <c r="C62" s="1" t="str">
        <f aca="false">IF(AM5="F","Conf.Commande","Order_Conf.")</f>
        <v>Conf.Commande</v>
      </c>
      <c r="AL62" s="132"/>
      <c r="AM62" s="132"/>
      <c r="AN62" s="132"/>
      <c r="AO62" s="132"/>
    </row>
    <row r="63" customFormat="false" ht="14.25" hidden="false" customHeight="false" outlineLevel="0" collapsed="false">
      <c r="C63" s="1" t="str">
        <f aca="false">C62&amp;" "&amp;C12&amp;" "&amp;C20</f>
        <v>Conf.Commande Imprimerie Ste-Julie 45680</v>
      </c>
      <c r="AL63" s="132"/>
      <c r="AM63" s="132"/>
      <c r="AN63" s="132"/>
      <c r="AO63" s="132"/>
    </row>
    <row r="64" customFormat="false" ht="14.25" hidden="false" customHeight="false" outlineLevel="0" collapsed="false">
      <c r="C64" s="1" t="str">
        <f aca="false">SUBSTITUTE(C63, " ", "_")</f>
        <v>Conf.Commande_Imprimerie_Ste-Julie_45680</v>
      </c>
      <c r="AL64" s="132"/>
      <c r="AM64" s="132"/>
      <c r="AN64" s="132"/>
      <c r="AO64" s="132"/>
    </row>
    <row r="65" customFormat="false" ht="14.25" hidden="false" customHeight="false" outlineLevel="0" collapsed="false">
      <c r="C65" s="1" t="str">
        <f aca="false">_xlfn.xlookup($C$12,Clients!B:B,Clients!N:N,FALSE())</f>
        <v>mp@impsj.com</v>
      </c>
      <c r="N65" s="197"/>
      <c r="O65" s="197"/>
      <c r="AL65" s="132"/>
      <c r="AM65" s="132"/>
      <c r="AN65" s="132"/>
      <c r="AO65" s="132"/>
    </row>
    <row r="66" customFormat="false" ht="14.25" hidden="false" customHeight="false" outlineLevel="0" collapsed="false">
      <c r="C66" s="1" t="str">
        <f aca="false">_xlfn.xlookup($C$12,Clients!B:B,Clients!O:O,FALSE())</f>
        <v>vtremblay@impsj.com; vboivin@impsj.com</v>
      </c>
      <c r="AL66" s="132"/>
      <c r="AM66" s="132"/>
      <c r="AN66" s="132"/>
      <c r="AO66" s="132"/>
    </row>
    <row r="67" customFormat="false" ht="14.25" hidden="false" customHeight="false" outlineLevel="0" collapsed="false">
      <c r="C67" s="42" t="str">
        <f aca="false">IF(AM5="F","&lt;br&gt;Bonjour,&lt;br&gt;Merci pour cette commande.&lt;br&gt;Veuillez trouver ci-joint notre confirmation de commande.&lt;br&gt;Cordialement,","&lt;br&gt;Hello,&lt;br&gt;Thank you for this order.&lt;br&gt;Please find attached our order confirmation.&lt;br&gt;Best regards,")</f>
        <v>&lt;br&gt;Bonjour,&lt;br&gt;Merci pour cette commande.&lt;br&gt;Veuillez trouver ci-joint notre confirmation de commande.&lt;br&gt;Cordialement,</v>
      </c>
      <c r="AL67" s="132"/>
      <c r="AM67" s="132"/>
      <c r="AN67" s="132"/>
      <c r="AO67" s="132"/>
    </row>
    <row r="68" customFormat="false" ht="14.25" hidden="false" customHeight="false" outlineLevel="0" collapsed="false">
      <c r="C68" s="42"/>
      <c r="AL68" s="132"/>
      <c r="AM68" s="132"/>
      <c r="AN68" s="132"/>
      <c r="AO68" s="132"/>
    </row>
    <row r="70" customFormat="false" ht="14.25" hidden="false" customHeight="false" outlineLevel="0" collapsed="false">
      <c r="V70" s="198"/>
      <c r="W70" s="198"/>
    </row>
    <row r="71" customFormat="false" ht="14.25" hidden="false" customHeight="false" outlineLevel="0" collapsed="false">
      <c r="T71" s="198"/>
      <c r="U71" s="198"/>
      <c r="V71" s="198"/>
      <c r="W71" s="198"/>
    </row>
    <row r="72" customFormat="false" ht="14.25" hidden="false" customHeight="false" outlineLevel="0" collapsed="false">
      <c r="C72" s="198"/>
      <c r="D72" s="198"/>
      <c r="E72" s="198"/>
      <c r="F72" s="198"/>
      <c r="G72" s="198"/>
      <c r="H72" s="198"/>
      <c r="I72" s="198"/>
      <c r="J72" s="198"/>
      <c r="K72" s="198"/>
      <c r="L72" s="198"/>
      <c r="M72" s="198"/>
      <c r="N72" s="198"/>
      <c r="O72" s="198"/>
      <c r="P72" s="198"/>
      <c r="Q72" s="198"/>
      <c r="R72" s="198"/>
      <c r="S72" s="198"/>
      <c r="T72" s="198"/>
      <c r="U72" s="198"/>
    </row>
    <row r="73" customFormat="false" ht="14.25" hidden="false" customHeight="false" outlineLevel="0" collapsed="false">
      <c r="C73" s="198"/>
      <c r="D73" s="198"/>
      <c r="E73" s="198"/>
      <c r="F73" s="198"/>
      <c r="G73" s="198"/>
      <c r="H73" s="198"/>
      <c r="I73" s="198"/>
      <c r="J73" s="198"/>
      <c r="K73" s="198"/>
      <c r="L73" s="198"/>
      <c r="M73" s="198"/>
      <c r="N73" s="198"/>
      <c r="O73" s="198"/>
      <c r="P73" s="198"/>
      <c r="Q73" s="198"/>
      <c r="R73" s="198"/>
      <c r="S73" s="198"/>
    </row>
  </sheetData>
  <mergeCells count="164">
    <mergeCell ref="V5:AJ5"/>
    <mergeCell ref="Z7:AJ7"/>
    <mergeCell ref="AL7:AM7"/>
    <mergeCell ref="Z8:AJ8"/>
    <mergeCell ref="C9:K9"/>
    <mergeCell ref="Z9:AJ9"/>
    <mergeCell ref="C11:Q11"/>
    <mergeCell ref="V11:AJ11"/>
    <mergeCell ref="C12:Q12"/>
    <mergeCell ref="V12:AJ12"/>
    <mergeCell ref="C13:Q13"/>
    <mergeCell ref="V13:AJ13"/>
    <mergeCell ref="C14:Q14"/>
    <mergeCell ref="V14:AJ14"/>
    <mergeCell ref="C15:Q15"/>
    <mergeCell ref="V15:AJ15"/>
    <mergeCell ref="C16:Q16"/>
    <mergeCell ref="V16:AJ16"/>
    <mergeCell ref="C17:Q17"/>
    <mergeCell ref="V17:AJ17"/>
    <mergeCell ref="C19:I19"/>
    <mergeCell ref="J19:Q19"/>
    <mergeCell ref="R19:Z19"/>
    <mergeCell ref="AA19:AJ19"/>
    <mergeCell ref="C20:I20"/>
    <mergeCell ref="J20:Q20"/>
    <mergeCell ref="R20:Z20"/>
    <mergeCell ref="AA20:AJ20"/>
    <mergeCell ref="C22:F22"/>
    <mergeCell ref="G22:U23"/>
    <mergeCell ref="V22:Y23"/>
    <mergeCell ref="Z22:AB23"/>
    <mergeCell ref="AC22:AF23"/>
    <mergeCell ref="AG22:AJ23"/>
    <mergeCell ref="C23:F23"/>
    <mergeCell ref="C24:F24"/>
    <mergeCell ref="G24:U24"/>
    <mergeCell ref="V24:Y24"/>
    <mergeCell ref="Z24:AB24"/>
    <mergeCell ref="AC24:AF24"/>
    <mergeCell ref="AG24:AJ25"/>
    <mergeCell ref="C25:F25"/>
    <mergeCell ref="G25:U25"/>
    <mergeCell ref="V25:Y25"/>
    <mergeCell ref="Z25:AB25"/>
    <mergeCell ref="AC25:AF25"/>
    <mergeCell ref="C27:F27"/>
    <mergeCell ref="G27:U27"/>
    <mergeCell ref="V27:Y27"/>
    <mergeCell ref="Z27:AB27"/>
    <mergeCell ref="AC27:AF27"/>
    <mergeCell ref="AG27:AJ28"/>
    <mergeCell ref="C28:F28"/>
    <mergeCell ref="G28:U28"/>
    <mergeCell ref="V28:Y28"/>
    <mergeCell ref="Z28:AB28"/>
    <mergeCell ref="AC28:AF28"/>
    <mergeCell ref="C30:F30"/>
    <mergeCell ref="G30:U30"/>
    <mergeCell ref="V30:Y30"/>
    <mergeCell ref="Z30:AB30"/>
    <mergeCell ref="AC30:AF30"/>
    <mergeCell ref="AG30:AJ31"/>
    <mergeCell ref="C31:F31"/>
    <mergeCell ref="G31:U31"/>
    <mergeCell ref="V31:Y31"/>
    <mergeCell ref="Z31:AB31"/>
    <mergeCell ref="AC31:AF31"/>
    <mergeCell ref="C33:F33"/>
    <mergeCell ref="G33:U33"/>
    <mergeCell ref="V33:Y33"/>
    <mergeCell ref="Z33:AB33"/>
    <mergeCell ref="AC33:AF33"/>
    <mergeCell ref="AG33:AJ34"/>
    <mergeCell ref="C34:F34"/>
    <mergeCell ref="G34:U34"/>
    <mergeCell ref="V34:Y34"/>
    <mergeCell ref="Z34:AB34"/>
    <mergeCell ref="AC34:AF34"/>
    <mergeCell ref="C36:F36"/>
    <mergeCell ref="G36:U36"/>
    <mergeCell ref="V36:Y36"/>
    <mergeCell ref="Z36:AB36"/>
    <mergeCell ref="AC36:AF36"/>
    <mergeCell ref="AG36:AJ37"/>
    <mergeCell ref="C37:F37"/>
    <mergeCell ref="G37:U37"/>
    <mergeCell ref="V37:Y37"/>
    <mergeCell ref="Z37:AB37"/>
    <mergeCell ref="AC37:AF37"/>
    <mergeCell ref="C39:F39"/>
    <mergeCell ref="G39:U39"/>
    <mergeCell ref="V39:Y39"/>
    <mergeCell ref="Z39:AB39"/>
    <mergeCell ref="AC39:AF39"/>
    <mergeCell ref="AG39:AJ40"/>
    <mergeCell ref="C40:F40"/>
    <mergeCell ref="G40:U40"/>
    <mergeCell ref="V40:Y40"/>
    <mergeCell ref="Z40:AB40"/>
    <mergeCell ref="AC40:AF40"/>
    <mergeCell ref="C42:F42"/>
    <mergeCell ref="G42:U42"/>
    <mergeCell ref="V42:Y42"/>
    <mergeCell ref="Z42:AB42"/>
    <mergeCell ref="AC42:AF42"/>
    <mergeCell ref="AG42:AJ43"/>
    <mergeCell ref="C43:F43"/>
    <mergeCell ref="G43:U43"/>
    <mergeCell ref="V43:Y43"/>
    <mergeCell ref="Z43:AB43"/>
    <mergeCell ref="AC43:AF43"/>
    <mergeCell ref="C45:F45"/>
    <mergeCell ref="G45:U45"/>
    <mergeCell ref="V45:Y45"/>
    <mergeCell ref="Z45:AB45"/>
    <mergeCell ref="AC45:AF45"/>
    <mergeCell ref="AG45:AJ46"/>
    <mergeCell ref="C46:F46"/>
    <mergeCell ref="G46:U46"/>
    <mergeCell ref="V46:Y46"/>
    <mergeCell ref="Z46:AB46"/>
    <mergeCell ref="AC46:AF46"/>
    <mergeCell ref="C48:F48"/>
    <mergeCell ref="G48:U48"/>
    <mergeCell ref="V48:Y48"/>
    <mergeCell ref="Z48:AB48"/>
    <mergeCell ref="AC48:AF48"/>
    <mergeCell ref="AG48:AJ49"/>
    <mergeCell ref="C49:F49"/>
    <mergeCell ref="G49:U49"/>
    <mergeCell ref="V49:Y49"/>
    <mergeCell ref="Z49:AB49"/>
    <mergeCell ref="AC49:AF49"/>
    <mergeCell ref="C51:F51"/>
    <mergeCell ref="G51:U51"/>
    <mergeCell ref="V51:Y51"/>
    <mergeCell ref="Z51:AB51"/>
    <mergeCell ref="AC51:AF51"/>
    <mergeCell ref="AG51:AJ52"/>
    <mergeCell ref="C52:F52"/>
    <mergeCell ref="G52:U52"/>
    <mergeCell ref="V52:Y52"/>
    <mergeCell ref="Z52:AB52"/>
    <mergeCell ref="AC52:AF52"/>
    <mergeCell ref="C53:T53"/>
    <mergeCell ref="V53:X53"/>
    <mergeCell ref="Z53:AA53"/>
    <mergeCell ref="AC53:AF53"/>
    <mergeCell ref="AG53:AJ53"/>
    <mergeCell ref="C54:S54"/>
    <mergeCell ref="AC54:AE54"/>
    <mergeCell ref="AF54:AJ54"/>
    <mergeCell ref="AG55:AJ55"/>
    <mergeCell ref="C56:S56"/>
    <mergeCell ref="AC56:AE56"/>
    <mergeCell ref="AF56:AJ56"/>
    <mergeCell ref="C57:S57"/>
    <mergeCell ref="AC57:AE57"/>
    <mergeCell ref="AF57:AJ57"/>
    <mergeCell ref="C58:S58"/>
    <mergeCell ref="AC58:AE58"/>
    <mergeCell ref="AF58:AJ58"/>
    <mergeCell ref="C59:S59"/>
  </mergeCells>
  <hyperlinks>
    <hyperlink ref="C9" r:id="rId1" display="order@labeledge.com"/>
  </hyperlinks>
  <printOptions headings="false" gridLines="false" gridLinesSet="true" horizontalCentered="false" verticalCentered="false"/>
  <pageMargins left="0.708333333333333" right="0.708333333333333" top="0.669444444444445" bottom="0.66944444444444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U21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7" ySplit="1" topLeftCell="AA151" activePane="bottomRight" state="frozen"/>
      <selection pane="topLeft" activeCell="A1" activeCellId="0" sqref="A1"/>
      <selection pane="topRight" activeCell="AA1" activeCellId="0" sqref="AA1"/>
      <selection pane="bottomLeft" activeCell="A151" activeCellId="0" sqref="A151"/>
      <selection pane="bottomRight" activeCell="AQ190" activeCellId="0" sqref="AQ190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15.53"/>
    <col collapsed="false" customWidth="true" hidden="false" outlineLevel="0" max="2" min="2" style="1" width="6.69"/>
    <col collapsed="false" customWidth="true" hidden="false" outlineLevel="0" max="3" min="3" style="199" width="13.84"/>
    <col collapsed="false" customWidth="true" hidden="false" outlineLevel="0" max="4" min="4" style="9" width="7.3"/>
    <col collapsed="false" customWidth="true" hidden="false" outlineLevel="0" max="5" min="5" style="1" width="21"/>
    <col collapsed="false" customWidth="true" hidden="true" outlineLevel="0" max="6" min="6" style="1" width="16.15"/>
    <col collapsed="false" customWidth="true" hidden="false" outlineLevel="0" max="7" min="7" style="1" width="15.38"/>
    <col collapsed="false" customWidth="true" hidden="false" outlineLevel="0" max="8" min="8" style="200" width="12.69"/>
    <col collapsed="false" customWidth="true" hidden="false" outlineLevel="0" max="9" min="9" style="9" width="8.84"/>
    <col collapsed="false" customWidth="true" hidden="false" outlineLevel="0" max="13" min="10" style="9" width="9.69"/>
    <col collapsed="false" customWidth="true" hidden="false" outlineLevel="0" max="14" min="14" style="1" width="17.38"/>
    <col collapsed="false" customWidth="true" hidden="false" outlineLevel="0" max="19" min="15" style="1" width="4"/>
    <col collapsed="false" customWidth="true" hidden="false" outlineLevel="0" max="20" min="20" style="1" width="5.53"/>
    <col collapsed="false" customWidth="true" hidden="false" outlineLevel="0" max="24" min="21" style="1" width="4"/>
    <col collapsed="false" customWidth="true" hidden="false" outlineLevel="0" max="25" min="25" style="1" width="8"/>
    <col collapsed="false" customWidth="true" hidden="false" outlineLevel="0" max="26" min="26" style="1" width="9.53"/>
    <col collapsed="false" customWidth="true" hidden="false" outlineLevel="0" max="32" min="27" style="1" width="8"/>
    <col collapsed="false" customWidth="true" hidden="false" outlineLevel="0" max="34" min="33" style="1" width="7.38"/>
    <col collapsed="false" customWidth="true" hidden="false" outlineLevel="0" max="35" min="35" style="1" width="4.15"/>
    <col collapsed="false" customWidth="true" hidden="false" outlineLevel="0" max="36" min="36" style="1" width="9.53"/>
    <col collapsed="false" customWidth="true" hidden="false" outlineLevel="0" max="37" min="37" style="1" width="4"/>
    <col collapsed="false" customWidth="true" hidden="false" outlineLevel="0" max="38" min="38" style="1" width="6.3"/>
    <col collapsed="false" customWidth="true" hidden="false" outlineLevel="0" max="39" min="39" style="1" width="8.38"/>
    <col collapsed="false" customWidth="true" hidden="true" outlineLevel="0" max="40" min="40" style="1" width="7.84"/>
    <col collapsed="false" customWidth="true" hidden="false" outlineLevel="0" max="42" min="41" style="1" width="9.38"/>
    <col collapsed="false" customWidth="true" hidden="false" outlineLevel="0" max="43" min="43" style="1" width="33.53"/>
    <col collapsed="false" customWidth="true" hidden="false" outlineLevel="0" max="44" min="44" style="1" width="11.38"/>
    <col collapsed="false" customWidth="true" hidden="false" outlineLevel="0" max="45" min="45" style="9" width="9.53"/>
    <col collapsed="false" customWidth="true" hidden="false" outlineLevel="0" max="47" min="46" style="1" width="11.15"/>
  </cols>
  <sheetData>
    <row r="1" customFormat="false" ht="57" hidden="false" customHeight="true" outlineLevel="0" collapsed="false">
      <c r="A1" s="201" t="s">
        <v>849</v>
      </c>
      <c r="B1" s="202" t="s">
        <v>850</v>
      </c>
      <c r="C1" s="203" t="s">
        <v>851</v>
      </c>
      <c r="D1" s="202" t="s">
        <v>852</v>
      </c>
      <c r="E1" s="201" t="s">
        <v>528</v>
      </c>
      <c r="F1" s="201" t="s">
        <v>853</v>
      </c>
      <c r="G1" s="201" t="s">
        <v>854</v>
      </c>
      <c r="H1" s="201" t="s">
        <v>710</v>
      </c>
      <c r="I1" s="202" t="s">
        <v>855</v>
      </c>
      <c r="J1" s="202" t="s">
        <v>856</v>
      </c>
      <c r="K1" s="201" t="s">
        <v>857</v>
      </c>
      <c r="L1" s="201" t="s">
        <v>858</v>
      </c>
      <c r="M1" s="201" t="s">
        <v>859</v>
      </c>
      <c r="N1" s="201" t="s">
        <v>860</v>
      </c>
      <c r="O1" s="202" t="s">
        <v>861</v>
      </c>
      <c r="P1" s="202" t="s">
        <v>862</v>
      </c>
      <c r="Q1" s="202" t="s">
        <v>863</v>
      </c>
      <c r="R1" s="202"/>
      <c r="S1" s="202" t="s">
        <v>864</v>
      </c>
      <c r="T1" s="202"/>
      <c r="U1" s="202" t="s">
        <v>865</v>
      </c>
      <c r="V1" s="202"/>
      <c r="W1" s="202" t="s">
        <v>866</v>
      </c>
      <c r="X1" s="202"/>
      <c r="Y1" s="202" t="s">
        <v>867</v>
      </c>
      <c r="Z1" s="202" t="s">
        <v>868</v>
      </c>
      <c r="AA1" s="202" t="s">
        <v>869</v>
      </c>
      <c r="AB1" s="202" t="s">
        <v>870</v>
      </c>
      <c r="AC1" s="202" t="s">
        <v>871</v>
      </c>
      <c r="AD1" s="202" t="s">
        <v>872</v>
      </c>
      <c r="AE1" s="202" t="s">
        <v>873</v>
      </c>
      <c r="AF1" s="202" t="s">
        <v>874</v>
      </c>
      <c r="AG1" s="202" t="s">
        <v>875</v>
      </c>
      <c r="AH1" s="202" t="s">
        <v>876</v>
      </c>
      <c r="AI1" s="202" t="s">
        <v>877</v>
      </c>
      <c r="AJ1" s="202" t="s">
        <v>878</v>
      </c>
      <c r="AK1" s="202" t="s">
        <v>879</v>
      </c>
      <c r="AL1" s="202" t="s">
        <v>880</v>
      </c>
      <c r="AM1" s="202" t="s">
        <v>881</v>
      </c>
      <c r="AN1" s="202" t="s">
        <v>882</v>
      </c>
      <c r="AO1" s="202" t="s">
        <v>883</v>
      </c>
      <c r="AP1" s="202" t="s">
        <v>884</v>
      </c>
      <c r="AQ1" s="204" t="s">
        <v>885</v>
      </c>
      <c r="AR1" s="201" t="s">
        <v>886</v>
      </c>
      <c r="AS1" s="202" t="s">
        <v>887</v>
      </c>
    </row>
    <row r="2" customFormat="false" ht="16.4" hidden="false" customHeight="false" outlineLevel="0" collapsed="false">
      <c r="A2" s="61" t="s">
        <v>888</v>
      </c>
      <c r="B2" s="1" t="s">
        <v>889</v>
      </c>
      <c r="C2" s="199" t="n">
        <v>45392</v>
      </c>
      <c r="D2" s="9" t="n">
        <v>155</v>
      </c>
      <c r="E2" s="61" t="str">
        <f aca="false">_xlfn.xlookup(D2,'PO Client'!$A:$A,'PO Client'!$C:$C,FALSE())&amp;""</f>
        <v>Bizerba Labels Solution</v>
      </c>
      <c r="F2" s="61"/>
      <c r="G2" s="61" t="str">
        <f aca="false">_xlfn.xlookup(D2,'PO Client'!$A:$A,'PO Client'!$F:$F,FALSE())&amp;""</f>
        <v>113350</v>
      </c>
      <c r="H2" s="205" t="n">
        <f aca="false">_xlfn.xlookup(D2,'PO Client'!A:A,'PO Client'!L:L,"")</f>
        <v>45380</v>
      </c>
      <c r="I2" s="9" t="n">
        <v>40024</v>
      </c>
      <c r="J2" s="9" t="n">
        <v>30011</v>
      </c>
      <c r="K2" s="62" t="str">
        <f aca="false">_xlfn.xlookup(I2,'Prix vente'!$A:$A,'Prix vente'!$H:$H,"")</f>
        <v>S21-1</v>
      </c>
      <c r="L2" s="69" t="str">
        <f aca="false">_xlfn.xlookup(J2,'Prix MP'!A:A,'Prix MP'!F:F,FALSE())</f>
        <v>S21-1</v>
      </c>
      <c r="M2" s="69" t="str">
        <f aca="false">_xlfn.xlookup(J2,'Prix MP'!A:A,'Prix MP'!D:D,FALSE())</f>
        <v>AKO</v>
      </c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 t="n">
        <v>16.75</v>
      </c>
      <c r="Z2" s="61"/>
      <c r="AA2" s="61"/>
      <c r="AB2" s="61"/>
      <c r="AC2" s="61"/>
      <c r="AD2" s="61"/>
      <c r="AE2" s="61"/>
      <c r="AF2" s="61"/>
      <c r="AG2" s="61"/>
      <c r="AH2" s="61"/>
      <c r="AI2" s="61" t="s">
        <v>890</v>
      </c>
      <c r="AJ2" s="61" t="n">
        <v>10000</v>
      </c>
      <c r="AK2" s="61" t="s">
        <v>891</v>
      </c>
      <c r="AL2" s="61"/>
      <c r="AM2" s="1" t="n">
        <v>105</v>
      </c>
      <c r="AN2" s="15" t="s">
        <v>551</v>
      </c>
      <c r="AR2" s="61"/>
    </row>
    <row r="3" customFormat="false" ht="16.4" hidden="false" customHeight="false" outlineLevel="0" collapsed="false">
      <c r="A3" s="61" t="s">
        <v>892</v>
      </c>
      <c r="B3" s="1" t="s">
        <v>889</v>
      </c>
      <c r="C3" s="199" t="n">
        <v>45392</v>
      </c>
      <c r="D3" s="9" t="n">
        <v>155</v>
      </c>
      <c r="E3" s="61" t="str">
        <f aca="false">_xlfn.xlookup(D3,'PO Client'!$A:$A,'PO Client'!$C:$C,FALSE())&amp;""</f>
        <v>Bizerba Labels Solution</v>
      </c>
      <c r="F3" s="61"/>
      <c r="G3" s="61" t="str">
        <f aca="false">_xlfn.xlookup(D3,'PO Client'!$A:$A,'PO Client'!$F:$F,FALSE())&amp;""</f>
        <v>113350</v>
      </c>
      <c r="H3" s="205" t="n">
        <f aca="false">_xlfn.xlookup(D3,'PO Client'!A:A,'PO Client'!L:L,"")</f>
        <v>45380</v>
      </c>
      <c r="I3" s="9" t="n">
        <v>40025</v>
      </c>
      <c r="J3" s="9" t="n">
        <v>30011</v>
      </c>
      <c r="K3" s="62" t="str">
        <f aca="false">_xlfn.xlookup(I3,'Prix vente'!$A:$A,'Prix vente'!$H:$H,"")</f>
        <v>S21-1</v>
      </c>
      <c r="L3" s="69" t="str">
        <f aca="false">_xlfn.xlookup(J3,'Prix MP'!A:A,'Prix MP'!F:F,FALSE())</f>
        <v>S21-1</v>
      </c>
      <c r="M3" s="69" t="str">
        <f aca="false">_xlfn.xlookup(J3,'Prix MP'!A:A,'Prix MP'!D:D,FALSE())</f>
        <v>AKO</v>
      </c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 t="n">
        <v>9.75</v>
      </c>
      <c r="Z3" s="61"/>
      <c r="AA3" s="61"/>
      <c r="AB3" s="61"/>
      <c r="AC3" s="61"/>
      <c r="AD3" s="61"/>
      <c r="AE3" s="61"/>
      <c r="AF3" s="61"/>
      <c r="AG3" s="61"/>
      <c r="AH3" s="61"/>
      <c r="AI3" s="61" t="s">
        <v>890</v>
      </c>
      <c r="AJ3" s="61" t="n">
        <v>10000</v>
      </c>
      <c r="AK3" s="61" t="s">
        <v>891</v>
      </c>
      <c r="AL3" s="61"/>
      <c r="AM3" s="1" t="n">
        <v>35</v>
      </c>
      <c r="AN3" s="15" t="s">
        <v>551</v>
      </c>
      <c r="AR3" s="61"/>
    </row>
    <row r="4" customFormat="false" ht="16.4" hidden="false" customHeight="false" outlineLevel="0" collapsed="false">
      <c r="A4" s="61" t="s">
        <v>893</v>
      </c>
      <c r="B4" s="1" t="s">
        <v>889</v>
      </c>
      <c r="C4" s="199" t="n">
        <v>45406</v>
      </c>
      <c r="D4" s="9" t="n">
        <v>158</v>
      </c>
      <c r="E4" s="61" t="str">
        <f aca="false">_xlfn.xlookup(D4,'PO Client'!$A:$A,'PO Client'!$C:$C,FALSE())&amp;""</f>
        <v>LABELINK</v>
      </c>
      <c r="F4" s="61"/>
      <c r="G4" s="61" t="str">
        <f aca="false">_xlfn.xlookup(D4,'PO Client'!$A:$A,'PO Client'!$F:$F,FALSE())&amp;""</f>
        <v>Échantillon 1</v>
      </c>
      <c r="H4" s="205" t="n">
        <v>45406</v>
      </c>
      <c r="I4" s="9" t="n">
        <v>40031</v>
      </c>
      <c r="J4" s="9" t="n">
        <v>30011</v>
      </c>
      <c r="K4" s="62" t="str">
        <f aca="false">_xlfn.xlookup(I4,'Prix vente'!$A:$A,'Prix vente'!$H:$H,"")</f>
        <v>S21-1</v>
      </c>
      <c r="L4" s="69" t="str">
        <f aca="false">_xlfn.xlookup(J4,'Prix MP'!A:A,'Prix MP'!F:F,FALSE())</f>
        <v>S21-1</v>
      </c>
      <c r="M4" s="69" t="str">
        <f aca="false">_xlfn.xlookup(J4,'Prix MP'!A:A,'Prix MP'!D:D,FALSE())</f>
        <v>AKO</v>
      </c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 t="n">
        <v>13</v>
      </c>
      <c r="Z4" s="61"/>
      <c r="AA4" s="61"/>
      <c r="AB4" s="61"/>
      <c r="AC4" s="61"/>
      <c r="AD4" s="61"/>
      <c r="AE4" s="61"/>
      <c r="AF4" s="61"/>
      <c r="AG4" s="61"/>
      <c r="AH4" s="61"/>
      <c r="AI4" s="61" t="s">
        <v>890</v>
      </c>
      <c r="AJ4" s="61" t="n">
        <v>10000</v>
      </c>
      <c r="AK4" s="61" t="s">
        <v>891</v>
      </c>
      <c r="AL4" s="61"/>
      <c r="AM4" s="1" t="n">
        <v>1</v>
      </c>
      <c r="AN4" s="15" t="s">
        <v>551</v>
      </c>
      <c r="AR4" s="61"/>
    </row>
    <row r="5" customFormat="false" ht="16.4" hidden="false" customHeight="false" outlineLevel="0" collapsed="false">
      <c r="A5" s="61" t="s">
        <v>894</v>
      </c>
      <c r="B5" s="1" t="s">
        <v>889</v>
      </c>
      <c r="C5" s="199" t="n">
        <v>45406</v>
      </c>
      <c r="D5" s="9" t="n">
        <v>157</v>
      </c>
      <c r="E5" s="61" t="str">
        <f aca="false">_xlfn.xlookup(D5,'PO Client'!$A:$A,'PO Client'!$C:$C,FALSE())&amp;""</f>
        <v>Digi America Inc.</v>
      </c>
      <c r="F5" s="61"/>
      <c r="G5" s="61" t="str">
        <f aca="false">_xlfn.xlookup(D5,'PO Client'!$A:$A,'PO Client'!$F:$F,FALSE())&amp;""</f>
        <v>50007975</v>
      </c>
      <c r="H5" s="205" t="n">
        <f aca="false">_xlfn.xlookup(D5,'PO Client'!A:A,'PO Client'!L:L,"")</f>
        <v>45412</v>
      </c>
      <c r="I5" s="9" t="n">
        <v>40032</v>
      </c>
      <c r="J5" s="9" t="n">
        <v>30013</v>
      </c>
      <c r="K5" s="62" t="str">
        <f aca="false">_xlfn.xlookup(I5,'Prix vente'!$A:$A,'Prix vente'!$H:$H,"")</f>
        <v>D16-2</v>
      </c>
      <c r="L5" s="69" t="str">
        <f aca="false">_xlfn.xlookup(J5,'Prix MP'!A:A,'Prix MP'!F:F,FALSE())</f>
        <v>D11-1</v>
      </c>
      <c r="M5" s="69" t="str">
        <f aca="false">_xlfn.xlookup(J5,'Prix MP'!A:A,'Prix MP'!D:D,FALSE())</f>
        <v>AKO</v>
      </c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 t="n">
        <v>10</v>
      </c>
      <c r="Z5" s="61"/>
      <c r="AA5" s="61"/>
      <c r="AB5" s="61"/>
      <c r="AC5" s="61"/>
      <c r="AD5" s="61"/>
      <c r="AE5" s="61"/>
      <c r="AF5" s="61"/>
      <c r="AG5" s="61"/>
      <c r="AH5" s="61"/>
      <c r="AI5" s="61" t="s">
        <v>890</v>
      </c>
      <c r="AJ5" s="61" t="n">
        <v>5000</v>
      </c>
      <c r="AK5" s="61" t="s">
        <v>891</v>
      </c>
      <c r="AL5" s="61"/>
      <c r="AM5" s="1" t="n">
        <v>72</v>
      </c>
      <c r="AN5" s="15" t="s">
        <v>551</v>
      </c>
      <c r="AR5" s="61"/>
      <c r="AS5" s="9" t="n">
        <v>8</v>
      </c>
    </row>
    <row r="6" customFormat="false" ht="16.4" hidden="false" customHeight="false" outlineLevel="0" collapsed="false">
      <c r="A6" s="61" t="s">
        <v>895</v>
      </c>
      <c r="B6" s="1" t="s">
        <v>889</v>
      </c>
      <c r="C6" s="199" t="n">
        <v>45425</v>
      </c>
      <c r="D6" s="9" t="n">
        <v>160</v>
      </c>
      <c r="E6" s="61" t="str">
        <f aca="false">_xlfn.xlookup(D6,'PO Client'!$A:$A,'PO Client'!$C:$C,FALSE())&amp;""</f>
        <v>Bizerba Labels Solution</v>
      </c>
      <c r="F6" s="61"/>
      <c r="G6" s="61" t="str">
        <f aca="false">_xlfn.xlookup(D6,'PO Client'!$A:$A,'PO Client'!$F:$F,FALSE())&amp;""</f>
        <v>BLS SAMPLE (2)</v>
      </c>
      <c r="H6" s="205" t="n">
        <v>45426</v>
      </c>
      <c r="I6" s="9" t="n">
        <v>40036</v>
      </c>
      <c r="J6" s="9" t="n">
        <v>30014</v>
      </c>
      <c r="K6" s="62" t="str">
        <f aca="false">_xlfn.xlookup(I6,'Prix vente'!$A:$A,'Prix vente'!$H:$H,"")</f>
        <v>S11</v>
      </c>
      <c r="L6" s="69" t="str">
        <f aca="false">_xlfn.xlookup(J6,'Prix MP'!A:A,'Prix MP'!F:F,FALSE())</f>
        <v>S11-3</v>
      </c>
      <c r="M6" s="69" t="str">
        <f aca="false">_xlfn.xlookup(J6,'Prix MP'!A:A,'Prix MP'!D:D,FALSE())</f>
        <v>Jinda</v>
      </c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 t="n">
        <v>16.75</v>
      </c>
      <c r="Z6" s="61"/>
      <c r="AA6" s="61"/>
      <c r="AB6" s="61"/>
      <c r="AC6" s="61"/>
      <c r="AD6" s="61"/>
      <c r="AE6" s="61"/>
      <c r="AF6" s="61"/>
      <c r="AG6" s="61"/>
      <c r="AH6" s="61"/>
      <c r="AI6" s="61" t="s">
        <v>890</v>
      </c>
      <c r="AJ6" s="61" t="n">
        <v>10000</v>
      </c>
      <c r="AK6" s="61" t="s">
        <v>891</v>
      </c>
      <c r="AL6" s="61"/>
      <c r="AM6" s="1" t="n">
        <v>1</v>
      </c>
      <c r="AN6" s="15" t="s">
        <v>551</v>
      </c>
      <c r="AR6" s="61"/>
      <c r="AS6" s="9" t="n">
        <v>1</v>
      </c>
    </row>
    <row r="7" customFormat="false" ht="16.4" hidden="false" customHeight="false" outlineLevel="0" collapsed="false">
      <c r="A7" s="61" t="s">
        <v>896</v>
      </c>
      <c r="B7" s="1" t="s">
        <v>889</v>
      </c>
      <c r="C7" s="199" t="n">
        <v>45425</v>
      </c>
      <c r="D7" s="9" t="n">
        <v>160</v>
      </c>
      <c r="E7" s="61" t="str">
        <f aca="false">_xlfn.xlookup(D7,'PO Client'!$A:$A,'PO Client'!$C:$C,FALSE())&amp;""</f>
        <v>Bizerba Labels Solution</v>
      </c>
      <c r="F7" s="61"/>
      <c r="G7" s="61" t="str">
        <f aca="false">_xlfn.xlookup(D7,'PO Client'!$A:$A,'PO Client'!$F:$F,FALSE())&amp;""</f>
        <v>BLS SAMPLE (2)</v>
      </c>
      <c r="H7" s="205" t="n">
        <v>45426</v>
      </c>
      <c r="I7" s="9" t="n">
        <v>40037</v>
      </c>
      <c r="J7" s="9" t="n">
        <v>30015</v>
      </c>
      <c r="K7" s="62" t="str">
        <f aca="false">_xlfn.xlookup(I7,'Prix vente'!$A:$A,'Prix vente'!$H:$H,"")</f>
        <v>S15</v>
      </c>
      <c r="L7" s="69" t="str">
        <f aca="false">_xlfn.xlookup(J7,'Prix MP'!A:A,'Prix MP'!F:F,FALSE())</f>
        <v>S15-3</v>
      </c>
      <c r="M7" s="69" t="str">
        <f aca="false">_xlfn.xlookup(J7,'Prix MP'!A:A,'Prix MP'!D:D,FALSE())</f>
        <v>Jinda</v>
      </c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 t="n">
        <v>16.75</v>
      </c>
      <c r="Z7" s="61"/>
      <c r="AA7" s="61"/>
      <c r="AB7" s="61"/>
      <c r="AC7" s="61"/>
      <c r="AD7" s="61"/>
      <c r="AE7" s="61"/>
      <c r="AF7" s="61"/>
      <c r="AG7" s="61"/>
      <c r="AH7" s="61"/>
      <c r="AI7" s="61" t="s">
        <v>890</v>
      </c>
      <c r="AJ7" s="61" t="n">
        <v>10000</v>
      </c>
      <c r="AK7" s="61" t="s">
        <v>891</v>
      </c>
      <c r="AL7" s="61"/>
      <c r="AM7" s="1" t="n">
        <v>1</v>
      </c>
      <c r="AN7" s="15" t="s">
        <v>551</v>
      </c>
      <c r="AR7" s="61"/>
      <c r="AS7" s="9" t="n">
        <v>1</v>
      </c>
    </row>
    <row r="8" customFormat="false" ht="16.4" hidden="false" customHeight="false" outlineLevel="0" collapsed="false">
      <c r="A8" s="61" t="s">
        <v>897</v>
      </c>
      <c r="B8" s="1" t="s">
        <v>889</v>
      </c>
      <c r="C8" s="199" t="n">
        <v>45428</v>
      </c>
      <c r="E8" s="61" t="s">
        <v>199</v>
      </c>
      <c r="F8" s="61"/>
      <c r="G8" s="61" t="s">
        <v>898</v>
      </c>
      <c r="H8" s="205" t="n">
        <v>45428</v>
      </c>
      <c r="I8" s="9" t="n">
        <v>40033</v>
      </c>
      <c r="J8" s="9" t="n">
        <v>30013</v>
      </c>
      <c r="K8" s="62" t="str">
        <f aca="false">_xlfn.xlookup(I8,'Prix vente'!$A:$A,'Prix vente'!$H:$H,"")</f>
        <v>D16</v>
      </c>
      <c r="L8" s="69" t="str">
        <f aca="false">_xlfn.xlookup(J8,'Prix MP'!A:A,'Prix MP'!F:F,FALSE())</f>
        <v>D11-1</v>
      </c>
      <c r="M8" s="69" t="str">
        <f aca="false">_xlfn.xlookup(J8,'Prix MP'!A:A,'Prix MP'!D:D,FALSE())</f>
        <v>AKO</v>
      </c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 t="n">
        <v>10</v>
      </c>
      <c r="Z8" s="61"/>
      <c r="AA8" s="61"/>
      <c r="AB8" s="61"/>
      <c r="AC8" s="61"/>
      <c r="AD8" s="61"/>
      <c r="AE8" s="61"/>
      <c r="AF8" s="61"/>
      <c r="AG8" s="61"/>
      <c r="AH8" s="61"/>
      <c r="AI8" s="61" t="s">
        <v>890</v>
      </c>
      <c r="AJ8" s="61" t="n">
        <v>5000</v>
      </c>
      <c r="AK8" s="61" t="s">
        <v>891</v>
      </c>
      <c r="AL8" s="61"/>
      <c r="AM8" s="1" t="n">
        <v>5</v>
      </c>
      <c r="AN8" s="15" t="s">
        <v>551</v>
      </c>
      <c r="AR8" s="61"/>
      <c r="AS8" s="9" t="n">
        <v>1</v>
      </c>
    </row>
    <row r="9" s="28" customFormat="true" ht="16.4" hidden="false" customHeight="false" outlineLevel="0" collapsed="false">
      <c r="A9" s="206" t="s">
        <v>899</v>
      </c>
      <c r="B9" s="28" t="s">
        <v>900</v>
      </c>
      <c r="C9" s="207" t="n">
        <v>45428</v>
      </c>
      <c r="E9" s="206" t="s">
        <v>199</v>
      </c>
      <c r="F9" s="206"/>
      <c r="G9" s="206" t="s">
        <v>898</v>
      </c>
      <c r="H9" s="208" t="n">
        <v>45428</v>
      </c>
      <c r="I9" s="209" t="n">
        <v>40033</v>
      </c>
      <c r="J9" s="209" t="n">
        <v>30013</v>
      </c>
      <c r="K9" s="62" t="str">
        <f aca="false">_xlfn.xlookup(I9,'Prix vente'!$A:$A,'Prix vente'!$H:$H,"")</f>
        <v>D16</v>
      </c>
      <c r="L9" s="69" t="str">
        <f aca="false">_xlfn.xlookup(J9,'Prix MP'!A:A,'Prix MP'!F:F,FALSE())</f>
        <v>D11-1</v>
      </c>
      <c r="M9" s="69" t="str">
        <f aca="false">_xlfn.xlookup(J9,'Prix MP'!A:A,'Prix MP'!D:D,FALSE())</f>
        <v>AKO</v>
      </c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 t="n">
        <v>9.7</v>
      </c>
      <c r="Z9" s="206"/>
      <c r="AA9" s="206"/>
      <c r="AB9" s="206"/>
      <c r="AC9" s="206"/>
      <c r="AD9" s="206"/>
      <c r="AE9" s="206"/>
      <c r="AF9" s="206"/>
      <c r="AG9" s="206"/>
      <c r="AH9" s="206"/>
      <c r="AI9" s="206" t="s">
        <v>890</v>
      </c>
      <c r="AJ9" s="206" t="n">
        <v>5000</v>
      </c>
      <c r="AK9" s="206" t="s">
        <v>891</v>
      </c>
      <c r="AL9" s="206"/>
      <c r="AM9" s="28" t="n">
        <v>1</v>
      </c>
      <c r="AN9" s="28" t="s">
        <v>551</v>
      </c>
      <c r="AR9" s="206"/>
      <c r="AS9" s="209" t="n">
        <v>0</v>
      </c>
    </row>
    <row r="10" customFormat="false" ht="16.4" hidden="false" customHeight="false" outlineLevel="0" collapsed="false">
      <c r="A10" s="61" t="s">
        <v>901</v>
      </c>
      <c r="B10" s="1" t="s">
        <v>889</v>
      </c>
      <c r="C10" s="199" t="n">
        <v>45428</v>
      </c>
      <c r="D10" s="9" t="n">
        <v>161</v>
      </c>
      <c r="E10" s="61" t="str">
        <f aca="false">_xlfn.xlookup(D10,'PO Client'!$A:$A,'PO Client'!$C:$C,FALSE())&amp;""</f>
        <v>LABELINK</v>
      </c>
      <c r="F10" s="61"/>
      <c r="G10" s="61" t="str">
        <f aca="false">_xlfn.xlookup(D10,'PO Client'!$A:$A,'PO Client'!$F:$F,FALSE())&amp;""</f>
        <v>Échantillon 2</v>
      </c>
      <c r="H10" s="205" t="n">
        <v>45429</v>
      </c>
      <c r="I10" s="9" t="n">
        <v>40038</v>
      </c>
      <c r="J10" s="9" t="n">
        <v>30015</v>
      </c>
      <c r="K10" s="62" t="str">
        <f aca="false">_xlfn.xlookup(I10,'Prix vente'!$A:$A,'Prix vente'!$H:$H,"")</f>
        <v>S15</v>
      </c>
      <c r="L10" s="69" t="str">
        <f aca="false">_xlfn.xlookup(J10,'Prix MP'!A:A,'Prix MP'!F:F,FALSE())</f>
        <v>S15-3</v>
      </c>
      <c r="M10" s="69" t="str">
        <f aca="false">_xlfn.xlookup(J10,'Prix MP'!A:A,'Prix MP'!D:D,FALSE())</f>
        <v>Jinda</v>
      </c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 t="n">
        <v>13</v>
      </c>
      <c r="Z10" s="61"/>
      <c r="AA10" s="61"/>
      <c r="AB10" s="61"/>
      <c r="AC10" s="61"/>
      <c r="AD10" s="61"/>
      <c r="AE10" s="61"/>
      <c r="AF10" s="61"/>
      <c r="AG10" s="61"/>
      <c r="AH10" s="61"/>
      <c r="AI10" s="61" t="s">
        <v>890</v>
      </c>
      <c r="AJ10" s="61" t="n">
        <v>5000</v>
      </c>
      <c r="AK10" s="61" t="s">
        <v>891</v>
      </c>
      <c r="AL10" s="61"/>
      <c r="AM10" s="1" t="n">
        <v>1</v>
      </c>
      <c r="AN10" s="15" t="s">
        <v>551</v>
      </c>
      <c r="AR10" s="61"/>
      <c r="AS10" s="9" t="n">
        <v>1</v>
      </c>
    </row>
    <row r="11" customFormat="false" ht="16.4" hidden="false" customHeight="false" outlineLevel="0" collapsed="false">
      <c r="A11" s="61" t="s">
        <v>902</v>
      </c>
      <c r="B11" s="1" t="s">
        <v>889</v>
      </c>
      <c r="C11" s="199" t="n">
        <v>45439</v>
      </c>
      <c r="D11" s="9" t="n">
        <v>162</v>
      </c>
      <c r="E11" s="61" t="str">
        <f aca="false">_xlfn.xlookup(D11,'PO Client'!$A:$A,'PO Client'!$C:$C,FALSE())&amp;""</f>
        <v>Étiquettes Rive-Sud</v>
      </c>
      <c r="F11" s="61"/>
      <c r="G11" s="61" t="str">
        <f aca="false">_xlfn.xlookup(D11,'PO Client'!$A:$A,'PO Client'!$F:$F,FALSE())&amp;""</f>
        <v>240524</v>
      </c>
      <c r="H11" s="205" t="n">
        <f aca="false">_xlfn.xlookup(D11,'PO Client'!A:A,'PO Client'!L:L,"")</f>
        <v>45440</v>
      </c>
      <c r="I11" s="9" t="n">
        <v>40039</v>
      </c>
      <c r="J11" s="9" t="n">
        <v>30012</v>
      </c>
      <c r="K11" s="62" t="str">
        <f aca="false">_xlfn.xlookup(I11,'Prix vente'!$A:$A,'Prix vente'!$H:$H,"")</f>
        <v>D21</v>
      </c>
      <c r="L11" s="69" t="str">
        <f aca="false">_xlfn.xlookup(J11,'Prix MP'!A:A,'Prix MP'!F:F,FALSE())</f>
        <v>D21-1</v>
      </c>
      <c r="M11" s="69" t="str">
        <f aca="false">_xlfn.xlookup(J11,'Prix MP'!A:A,'Prix MP'!D:D,FALSE())</f>
        <v>AKO</v>
      </c>
      <c r="N11" s="61" t="s">
        <v>506</v>
      </c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 t="n">
        <v>8.66</v>
      </c>
      <c r="Z11" s="61"/>
      <c r="AA11" s="61"/>
      <c r="AB11" s="61"/>
      <c r="AC11" s="61"/>
      <c r="AD11" s="61"/>
      <c r="AE11" s="61"/>
      <c r="AF11" s="61"/>
      <c r="AG11" s="61"/>
      <c r="AH11" s="61"/>
      <c r="AI11" s="61" t="s">
        <v>890</v>
      </c>
      <c r="AJ11" s="61" t="n">
        <v>5000</v>
      </c>
      <c r="AK11" s="61" t="s">
        <v>891</v>
      </c>
      <c r="AL11" s="61"/>
      <c r="AM11" s="1" t="n">
        <v>7</v>
      </c>
      <c r="AN11" s="15" t="s">
        <v>551</v>
      </c>
      <c r="AR11" s="61"/>
      <c r="AS11" s="9" t="n">
        <v>1</v>
      </c>
    </row>
    <row r="12" customFormat="false" ht="16.4" hidden="false" customHeight="false" outlineLevel="0" collapsed="false">
      <c r="A12" s="61" t="s">
        <v>903</v>
      </c>
      <c r="B12" s="1" t="s">
        <v>889</v>
      </c>
      <c r="C12" s="199" t="n">
        <v>45441</v>
      </c>
      <c r="D12" s="9" t="n">
        <v>164</v>
      </c>
      <c r="E12" s="61" t="str">
        <f aca="false">_xlfn.xlookup(D12,'PO Client'!$A:$A,'PO Client'!$C:$C,FALSE())&amp;""</f>
        <v>Groupe Produlith Inc.</v>
      </c>
      <c r="F12" s="61"/>
      <c r="G12" s="61" t="str">
        <f aca="false">_xlfn.xlookup(D12,'PO Client'!$A:$A,'PO Client'!$F:$F,FALSE())&amp;""</f>
        <v>30552</v>
      </c>
      <c r="H12" s="205" t="n">
        <f aca="false">_xlfn.xlookup(D12,'PO Client'!A:A,'PO Client'!L:L,"")</f>
        <v>45442</v>
      </c>
      <c r="I12" s="9" t="n">
        <v>40045</v>
      </c>
      <c r="J12" s="9" t="n">
        <v>30017</v>
      </c>
      <c r="K12" s="62" t="str">
        <f aca="false">_xlfn.xlookup(I12,'Prix vente'!$A:$A,'Prix vente'!$H:$H,"")</f>
        <v>B25</v>
      </c>
      <c r="L12" s="69" t="str">
        <f aca="false">_xlfn.xlookup(J12,'Prix MP'!A:A,'Prix MP'!F:F,FALSE())</f>
        <v>B25-3</v>
      </c>
      <c r="M12" s="69" t="str">
        <f aca="false">_xlfn.xlookup(J12,'Prix MP'!A:A,'Prix MP'!D:D,FALSE())</f>
        <v>Jinda</v>
      </c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 t="n">
        <v>15</v>
      </c>
      <c r="Z12" s="61"/>
      <c r="AA12" s="61"/>
      <c r="AB12" s="61"/>
      <c r="AC12" s="61"/>
      <c r="AD12" s="61"/>
      <c r="AE12" s="61"/>
      <c r="AF12" s="61"/>
      <c r="AG12" s="61"/>
      <c r="AH12" s="61"/>
      <c r="AI12" s="61" t="s">
        <v>890</v>
      </c>
      <c r="AJ12" s="61" t="n">
        <v>5000</v>
      </c>
      <c r="AK12" s="61" t="s">
        <v>891</v>
      </c>
      <c r="AL12" s="61"/>
      <c r="AM12" s="1" t="n">
        <v>4</v>
      </c>
      <c r="AN12" s="15" t="s">
        <v>551</v>
      </c>
      <c r="AR12" s="61"/>
      <c r="AS12" s="9" t="n">
        <v>1</v>
      </c>
      <c r="AT12" s="210"/>
    </row>
    <row r="13" customFormat="false" ht="16.4" hidden="false" customHeight="false" outlineLevel="0" collapsed="false">
      <c r="A13" s="61" t="s">
        <v>904</v>
      </c>
      <c r="B13" s="1" t="s">
        <v>889</v>
      </c>
      <c r="C13" s="199" t="n">
        <v>45441</v>
      </c>
      <c r="D13" s="9" t="n">
        <v>163</v>
      </c>
      <c r="E13" s="61" t="str">
        <f aca="false">_xlfn.xlookup(D13,'PO Client'!$A:$A,'PO Client'!$C:$C,FALSE())&amp;""</f>
        <v>Étiquettes Rive-Sud</v>
      </c>
      <c r="F13" s="61"/>
      <c r="G13" s="61" t="str">
        <f aca="false">_xlfn.xlookup(D13,'PO Client'!$A:$A,'PO Client'!$F:$F,FALSE())&amp;""</f>
        <v>270524</v>
      </c>
      <c r="H13" s="205" t="n">
        <f aca="false">_xlfn.xlookup(D13,'PO Client'!A:A,'PO Client'!L:L,"")</f>
        <v>45443</v>
      </c>
      <c r="I13" s="9" t="n">
        <v>40044</v>
      </c>
      <c r="J13" s="9" t="n">
        <v>30017</v>
      </c>
      <c r="K13" s="62" t="str">
        <f aca="false">_xlfn.xlookup(I13,'Prix vente'!$A:$A,'Prix vente'!$H:$H,"")</f>
        <v>B25</v>
      </c>
      <c r="L13" s="69" t="str">
        <f aca="false">_xlfn.xlookup(J13,'Prix MP'!A:A,'Prix MP'!F:F,FALSE())</f>
        <v>B25-3</v>
      </c>
      <c r="M13" s="69" t="str">
        <f aca="false">_xlfn.xlookup(J13,'Prix MP'!A:A,'Prix MP'!D:D,FALSE())</f>
        <v>Jinda</v>
      </c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 t="n">
        <v>8.66</v>
      </c>
      <c r="Z13" s="61"/>
      <c r="AA13" s="61"/>
      <c r="AB13" s="61"/>
      <c r="AC13" s="61"/>
      <c r="AD13" s="61"/>
      <c r="AE13" s="61"/>
      <c r="AF13" s="61"/>
      <c r="AG13" s="61"/>
      <c r="AH13" s="61"/>
      <c r="AI13" s="61" t="s">
        <v>890</v>
      </c>
      <c r="AJ13" s="61" t="n">
        <v>5000</v>
      </c>
      <c r="AK13" s="61" t="s">
        <v>891</v>
      </c>
      <c r="AL13" s="61"/>
      <c r="AM13" s="1" t="n">
        <v>7</v>
      </c>
      <c r="AN13" s="15" t="s">
        <v>551</v>
      </c>
      <c r="AR13" s="61"/>
      <c r="AS13" s="9" t="n">
        <v>1</v>
      </c>
    </row>
    <row r="14" customFormat="false" ht="16.4" hidden="false" customHeight="false" outlineLevel="0" collapsed="false">
      <c r="A14" s="61" t="s">
        <v>905</v>
      </c>
      <c r="B14" s="1" t="s">
        <v>889</v>
      </c>
      <c r="C14" s="199" t="n">
        <v>45446</v>
      </c>
      <c r="D14" s="9" t="n">
        <v>165</v>
      </c>
      <c r="E14" s="61" t="str">
        <f aca="false">_xlfn.xlookup(D14,'PO Client'!$A:$A,'PO Client'!$C:$C,FALSE())&amp;""</f>
        <v>Digi America Inc.</v>
      </c>
      <c r="F14" s="61"/>
      <c r="G14" s="61" t="str">
        <f aca="false">_xlfn.xlookup(D14,'PO Client'!$A:$A,'PO Client'!$F:$F,FALSE())&amp;""</f>
        <v>50008126</v>
      </c>
      <c r="H14" s="205" t="n">
        <f aca="false">_xlfn.xlookup(D14,'PO Client'!A:A,'PO Client'!L:L,"")</f>
        <v>45449</v>
      </c>
      <c r="I14" s="9" t="n">
        <v>40032</v>
      </c>
      <c r="J14" s="9" t="n">
        <v>30013</v>
      </c>
      <c r="K14" s="62" t="str">
        <f aca="false">_xlfn.xlookup(I14,'Prix vente'!$A:$A,'Prix vente'!$H:$H,"")</f>
        <v>D16-2</v>
      </c>
      <c r="L14" s="69" t="str">
        <f aca="false">_xlfn.xlookup(J14,'Prix MP'!A:A,'Prix MP'!F:F,FALSE())</f>
        <v>D11-1</v>
      </c>
      <c r="M14" s="69" t="str">
        <f aca="false">_xlfn.xlookup(J14,'Prix MP'!A:A,'Prix MP'!D:D,FALSE())</f>
        <v>AKO</v>
      </c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 t="n">
        <v>10</v>
      </c>
      <c r="Z14" s="61"/>
      <c r="AA14" s="61"/>
      <c r="AB14" s="61"/>
      <c r="AC14" s="61"/>
      <c r="AD14" s="61"/>
      <c r="AE14" s="61"/>
      <c r="AF14" s="61"/>
      <c r="AG14" s="61"/>
      <c r="AH14" s="61"/>
      <c r="AI14" s="61" t="s">
        <v>890</v>
      </c>
      <c r="AJ14" s="61" t="n">
        <v>5000</v>
      </c>
      <c r="AK14" s="61" t="s">
        <v>891</v>
      </c>
      <c r="AL14" s="61"/>
      <c r="AM14" s="1" t="n">
        <v>72</v>
      </c>
      <c r="AN14" s="15" t="s">
        <v>551</v>
      </c>
      <c r="AO14" s="1" t="n">
        <v>18</v>
      </c>
      <c r="AQ14" s="15" t="s">
        <v>906</v>
      </c>
      <c r="AR14" s="61"/>
      <c r="AS14" s="9" t="n">
        <v>8</v>
      </c>
    </row>
    <row r="15" customFormat="false" ht="16.4" hidden="false" customHeight="false" outlineLevel="0" collapsed="false">
      <c r="A15" s="61" t="s">
        <v>907</v>
      </c>
      <c r="B15" s="1" t="s">
        <v>889</v>
      </c>
      <c r="C15" s="199" t="n">
        <v>45447</v>
      </c>
      <c r="D15" s="9" t="n">
        <v>166</v>
      </c>
      <c r="E15" s="61" t="str">
        <f aca="false">_xlfn.xlookup(D15,'PO Client'!$A:$A,'PO Client'!$C:$C,FALSE())&amp;""</f>
        <v>Étiquettes Rive-Sud</v>
      </c>
      <c r="F15" s="61"/>
      <c r="G15" s="61" t="str">
        <f aca="false">_xlfn.xlookup(D15,'PO Client'!$A:$A,'PO Client'!$F:$F,FALSE())&amp;""</f>
        <v>310524</v>
      </c>
      <c r="H15" s="205" t="n">
        <f aca="false">_xlfn.xlookup(D15,'PO Client'!A:A,'PO Client'!L:L,"")</f>
        <v>45448</v>
      </c>
      <c r="I15" s="9" t="n">
        <v>40039</v>
      </c>
      <c r="J15" s="9" t="n">
        <v>30012</v>
      </c>
      <c r="K15" s="62" t="str">
        <f aca="false">_xlfn.xlookup(I15,'Prix vente'!$A:$A,'Prix vente'!$H:$H,"")</f>
        <v>D21</v>
      </c>
      <c r="L15" s="69" t="str">
        <f aca="false">_xlfn.xlookup(J15,'Prix MP'!A:A,'Prix MP'!F:F,FALSE())</f>
        <v>D21-1</v>
      </c>
      <c r="M15" s="69" t="str">
        <f aca="false">_xlfn.xlookup(J15,'Prix MP'!A:A,'Prix MP'!D:D,FALSE())</f>
        <v>AKO</v>
      </c>
      <c r="N15" s="61" t="str">
        <f aca="false">_xlfn.xlookup(I15,'Prix vente'!$A:$A,'Prix vente'!$J:$J,"")</f>
        <v>TC DT / Hotmelt</v>
      </c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 t="n">
        <v>8.66</v>
      </c>
      <c r="Z15" s="61"/>
      <c r="AA15" s="61"/>
      <c r="AB15" s="61"/>
      <c r="AC15" s="61"/>
      <c r="AD15" s="61"/>
      <c r="AE15" s="61"/>
      <c r="AF15" s="61"/>
      <c r="AG15" s="61"/>
      <c r="AH15" s="61"/>
      <c r="AI15" s="61" t="s">
        <v>890</v>
      </c>
      <c r="AJ15" s="61" t="n">
        <v>5000</v>
      </c>
      <c r="AK15" s="61" t="s">
        <v>891</v>
      </c>
      <c r="AL15" s="61"/>
      <c r="AM15" s="1" t="n">
        <v>14</v>
      </c>
      <c r="AN15" s="15" t="s">
        <v>551</v>
      </c>
      <c r="AO15" s="1" t="n">
        <v>0</v>
      </c>
      <c r="AR15" s="61"/>
      <c r="AS15" s="9" t="n">
        <v>2</v>
      </c>
    </row>
    <row r="16" customFormat="false" ht="16.4" hidden="false" customHeight="false" outlineLevel="0" collapsed="false">
      <c r="A16" s="61" t="s">
        <v>908</v>
      </c>
      <c r="B16" s="1" t="s">
        <v>889</v>
      </c>
      <c r="C16" s="199" t="n">
        <v>45453</v>
      </c>
      <c r="D16" s="9" t="n">
        <v>167</v>
      </c>
      <c r="E16" s="61" t="str">
        <f aca="false">_xlfn.xlookup(D16,'PO Client'!$A:$A,'PO Client'!$C:$C,FALSE())&amp;""</f>
        <v>Profecta</v>
      </c>
      <c r="F16" s="61"/>
      <c r="G16" s="61" t="str">
        <f aca="false">_xlfn.xlookup(D16,'PO Client'!$A:$A,'PO Client'!$F:$F,FALSE())&amp;""</f>
        <v>Échantillon</v>
      </c>
      <c r="H16" s="205" t="n">
        <f aca="false">_xlfn.xlookup(D16,'PO Client'!A:A,'PO Client'!L:L,"")</f>
        <v>45453</v>
      </c>
      <c r="I16" s="9" t="n">
        <v>40047</v>
      </c>
      <c r="J16" s="9" t="n">
        <v>30011</v>
      </c>
      <c r="K16" s="62" t="str">
        <f aca="false">_xlfn.xlookup(I16,'Prix vente'!$A:$A,'Prix vente'!$H:$H,"")</f>
        <v>S21 </v>
      </c>
      <c r="L16" s="69" t="str">
        <f aca="false">_xlfn.xlookup(J16,'Prix MP'!A:A,'Prix MP'!F:F,FALSE())</f>
        <v>S21-1</v>
      </c>
      <c r="M16" s="69" t="str">
        <f aca="false">_xlfn.xlookup(J16,'Prix MP'!A:A,'Prix MP'!D:D,FALSE())</f>
        <v>AKO</v>
      </c>
      <c r="N16" s="61" t="str">
        <f aca="false">_xlfn.xlookup(I16,'Prix vente'!$A:$A,'Prix vente'!$J:$J,"")</f>
        <v>SG - Hotmelt Adhesive</v>
      </c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 t="n">
        <v>13</v>
      </c>
      <c r="Z16" s="61"/>
      <c r="AA16" s="61"/>
      <c r="AB16" s="61"/>
      <c r="AC16" s="61"/>
      <c r="AD16" s="61"/>
      <c r="AE16" s="61"/>
      <c r="AF16" s="61"/>
      <c r="AG16" s="61"/>
      <c r="AH16" s="61"/>
      <c r="AI16" s="61" t="s">
        <v>890</v>
      </c>
      <c r="AJ16" s="61" t="n">
        <v>5000</v>
      </c>
      <c r="AK16" s="61" t="s">
        <v>891</v>
      </c>
      <c r="AL16" s="61"/>
      <c r="AM16" s="1" t="n">
        <v>1</v>
      </c>
      <c r="AN16" s="15" t="s">
        <v>551</v>
      </c>
      <c r="AO16" s="1" t="n">
        <v>0</v>
      </c>
      <c r="AQ16" s="15" t="s">
        <v>909</v>
      </c>
      <c r="AR16" s="61"/>
      <c r="AS16" s="9" t="n">
        <v>1</v>
      </c>
    </row>
    <row r="17" customFormat="false" ht="16.4" hidden="false" customHeight="false" outlineLevel="0" collapsed="false">
      <c r="A17" s="61" t="s">
        <v>910</v>
      </c>
      <c r="B17" s="1" t="s">
        <v>889</v>
      </c>
      <c r="C17" s="199" t="n">
        <v>45457</v>
      </c>
      <c r="D17" s="9" t="n">
        <v>168</v>
      </c>
      <c r="E17" s="61" t="str">
        <f aca="false">_xlfn.xlookup(D17,'PO Client'!$A:$A,'PO Client'!$C:$C,FALSE())&amp;""</f>
        <v>Imprimerie Ste-Julie</v>
      </c>
      <c r="F17" s="61"/>
      <c r="G17" s="61" t="str">
        <f aca="false">_xlfn.xlookup(D17,'PO Client'!$A:$A,'PO Client'!$F:$F,FALSE())&amp;""</f>
        <v>Échantillon</v>
      </c>
      <c r="H17" s="205" t="n">
        <f aca="false">_xlfn.xlookup(D17,'PO Client'!A:A,'PO Client'!L:L,"")</f>
        <v>45461</v>
      </c>
      <c r="I17" s="9" t="n">
        <v>40048</v>
      </c>
      <c r="J17" s="9" t="n">
        <v>30011</v>
      </c>
      <c r="K17" s="62" t="str">
        <f aca="false">_xlfn.xlookup(I17,'Prix vente'!$A:$A,'Prix vente'!$H:$H,"")</f>
        <v>S21</v>
      </c>
      <c r="L17" s="69" t="str">
        <f aca="false">_xlfn.xlookup(J17,'Prix MP'!A:A,'Prix MP'!F:F,FALSE())</f>
        <v>S21-1</v>
      </c>
      <c r="M17" s="69" t="str">
        <f aca="false">_xlfn.xlookup(J17,'Prix MP'!A:A,'Prix MP'!D:D,FALSE())</f>
        <v>AKO</v>
      </c>
      <c r="N17" s="61" t="str">
        <f aca="false">_xlfn.xlookup(I17,'Prix vente'!$A:$A,'Prix vente'!$J:$J,"")</f>
        <v>SG - Hotmelt Adhesive</v>
      </c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 t="n">
        <v>12</v>
      </c>
      <c r="Z17" s="61"/>
      <c r="AA17" s="61"/>
      <c r="AB17" s="61"/>
      <c r="AC17" s="61"/>
      <c r="AD17" s="61"/>
      <c r="AE17" s="61"/>
      <c r="AF17" s="61"/>
      <c r="AG17" s="61"/>
      <c r="AH17" s="61"/>
      <c r="AI17" s="61" t="s">
        <v>890</v>
      </c>
      <c r="AJ17" s="61" t="n">
        <v>5000</v>
      </c>
      <c r="AK17" s="61" t="s">
        <v>891</v>
      </c>
      <c r="AL17" s="61"/>
      <c r="AM17" s="1" t="n">
        <v>1</v>
      </c>
      <c r="AN17" s="15" t="s">
        <v>551</v>
      </c>
      <c r="AO17" s="1" t="n">
        <v>0</v>
      </c>
      <c r="AQ17" s="15" t="s">
        <v>911</v>
      </c>
      <c r="AR17" s="61"/>
      <c r="AS17" s="9" t="n">
        <v>1</v>
      </c>
    </row>
    <row r="18" customFormat="false" ht="16.4" hidden="false" customHeight="false" outlineLevel="0" collapsed="false">
      <c r="A18" s="61" t="s">
        <v>912</v>
      </c>
      <c r="B18" s="1" t="s">
        <v>889</v>
      </c>
      <c r="C18" s="199" t="n">
        <v>45462</v>
      </c>
      <c r="D18" s="9" t="n">
        <v>169</v>
      </c>
      <c r="E18" s="61" t="str">
        <f aca="false">_xlfn.xlookup(D18,'PO Client'!$A:$A,'PO Client'!$C:$C,FALSE())&amp;""</f>
        <v>Étiquettes Luso-Flex</v>
      </c>
      <c r="F18" s="61"/>
      <c r="G18" s="61" t="str">
        <f aca="false">_xlfn.xlookup(D18,'PO Client'!$A:$A,'PO Client'!$F:$F,FALSE())&amp;""</f>
        <v>Échantillon</v>
      </c>
      <c r="H18" s="205" t="n">
        <f aca="false">_xlfn.xlookup(D18,'PO Client'!A:A,'PO Client'!L:L,"")</f>
        <v>45463</v>
      </c>
      <c r="I18" s="9" t="n">
        <v>40049</v>
      </c>
      <c r="J18" s="9" t="n">
        <v>30012</v>
      </c>
      <c r="K18" s="62" t="str">
        <f aca="false">_xlfn.xlookup(I18,'Prix vente'!$A:$A,'Prix vente'!$H:$H,"")</f>
        <v>D21</v>
      </c>
      <c r="L18" s="69" t="str">
        <f aca="false">_xlfn.xlookup(J18,'Prix MP'!A:A,'Prix MP'!F:F,FALSE())</f>
        <v>D21-1</v>
      </c>
      <c r="M18" s="69" t="str">
        <f aca="false">_xlfn.xlookup(J18,'Prix MP'!A:A,'Prix MP'!D:D,FALSE())</f>
        <v>AKO</v>
      </c>
      <c r="N18" s="61" t="str">
        <f aca="false">_xlfn.xlookup(I18,'Prix vente'!$A:$A,'Prix vente'!$J:$J,"")</f>
        <v>TC DT - Hotmelt Adhesive</v>
      </c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 t="n">
        <v>12.875</v>
      </c>
      <c r="Z18" s="61"/>
      <c r="AA18" s="61"/>
      <c r="AB18" s="61"/>
      <c r="AC18" s="61"/>
      <c r="AD18" s="61"/>
      <c r="AE18" s="61"/>
      <c r="AF18" s="61"/>
      <c r="AG18" s="61"/>
      <c r="AH18" s="61"/>
      <c r="AI18" s="61" t="s">
        <v>890</v>
      </c>
      <c r="AJ18" s="61" t="n">
        <v>5000</v>
      </c>
      <c r="AK18" s="61" t="s">
        <v>891</v>
      </c>
      <c r="AL18" s="61"/>
      <c r="AM18" s="1" t="n">
        <v>1</v>
      </c>
      <c r="AN18" s="15" t="s">
        <v>551</v>
      </c>
      <c r="AO18" s="1" t="n">
        <v>0</v>
      </c>
      <c r="AQ18" s="15" t="s">
        <v>913</v>
      </c>
      <c r="AR18" s="61"/>
      <c r="AS18" s="9" t="n">
        <v>1</v>
      </c>
    </row>
    <row r="19" customFormat="false" ht="16.4" hidden="false" customHeight="false" outlineLevel="0" collapsed="false">
      <c r="A19" s="61" t="s">
        <v>914</v>
      </c>
      <c r="B19" s="1" t="s">
        <v>889</v>
      </c>
      <c r="C19" s="199" t="n">
        <v>45468</v>
      </c>
      <c r="D19" s="9" t="n">
        <v>170</v>
      </c>
      <c r="E19" s="61" t="str">
        <f aca="false">_xlfn.xlookup(D19,'PO Client'!$A:$A,'PO Client'!$C:$C,FALSE())&amp;""</f>
        <v>Groupe Produlith Inc.</v>
      </c>
      <c r="F19" s="61"/>
      <c r="G19" s="61" t="str">
        <f aca="false">_xlfn.xlookup(D19,'PO Client'!$A:$A,'PO Client'!$F:$F,FALSE())&amp;""</f>
        <v>30878</v>
      </c>
      <c r="H19" s="205" t="n">
        <f aca="false">_xlfn.xlookup(D19,'PO Client'!A:A,'PO Client'!L:L,"")</f>
        <v>45475</v>
      </c>
      <c r="I19" s="9" t="n">
        <v>40050</v>
      </c>
      <c r="J19" s="9" t="n">
        <v>30017</v>
      </c>
      <c r="K19" s="62" t="str">
        <f aca="false">_xlfn.xlookup(I19,'Prix vente'!$A:$A,'Prix vente'!$H:$H,"")</f>
        <v>B25</v>
      </c>
      <c r="L19" s="69" t="str">
        <f aca="false">_xlfn.xlookup(J19,'Prix MP'!A:A,'Prix MP'!F:F,FALSE())</f>
        <v>B25-3</v>
      </c>
      <c r="M19" s="69" t="str">
        <f aca="false">_xlfn.xlookup(J19,'Prix MP'!A:A,'Prix MP'!D:D,FALSE())</f>
        <v>Jinda</v>
      </c>
      <c r="N19" s="61" t="str">
        <f aca="false">_xlfn.xlookup(I19,'Prix vente'!$A:$A,'Prix vente'!$J:$J,"")</f>
        <v>White BOPP - Acrylic Adhesive</v>
      </c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 t="n">
        <v>15</v>
      </c>
      <c r="Z19" s="61"/>
      <c r="AA19" s="61"/>
      <c r="AB19" s="61"/>
      <c r="AC19" s="61"/>
      <c r="AD19" s="61"/>
      <c r="AE19" s="61"/>
      <c r="AF19" s="61"/>
      <c r="AG19" s="61"/>
      <c r="AH19" s="61"/>
      <c r="AI19" s="61" t="s">
        <v>890</v>
      </c>
      <c r="AJ19" s="61" t="n">
        <v>2500</v>
      </c>
      <c r="AK19" s="61" t="s">
        <v>891</v>
      </c>
      <c r="AL19" s="61"/>
      <c r="AM19" s="1" t="n">
        <v>4</v>
      </c>
      <c r="AN19" s="15" t="s">
        <v>551</v>
      </c>
      <c r="AO19" s="1" t="n">
        <v>0</v>
      </c>
      <c r="AQ19" s="15" t="s">
        <v>915</v>
      </c>
      <c r="AR19" s="61"/>
      <c r="AS19" s="9" t="n">
        <v>1</v>
      </c>
    </row>
    <row r="20" customFormat="false" ht="16.4" hidden="false" customHeight="false" outlineLevel="0" collapsed="false">
      <c r="A20" s="61" t="s">
        <v>916</v>
      </c>
      <c r="B20" s="1" t="s">
        <v>889</v>
      </c>
      <c r="C20" s="199" t="n">
        <v>45475</v>
      </c>
      <c r="D20" s="9" t="n">
        <v>171</v>
      </c>
      <c r="E20" s="61" t="str">
        <f aca="false">_xlfn.xlookup(D20,'PO Client'!$A:$A,'PO Client'!$C:$C,FALSE())&amp;""</f>
        <v>Digi America Inc.</v>
      </c>
      <c r="F20" s="61"/>
      <c r="G20" s="61" t="n">
        <v>50008251</v>
      </c>
      <c r="H20" s="205" t="n">
        <f aca="false">_xlfn.xlookup(D20,'PO Client'!A:A,'PO Client'!L:L,"")</f>
        <v>45481</v>
      </c>
      <c r="I20" s="9" t="n">
        <v>40033</v>
      </c>
      <c r="J20" s="9" t="n">
        <v>30013</v>
      </c>
      <c r="K20" s="62" t="str">
        <f aca="false">_xlfn.xlookup(I20,'Prix vente'!$A:$A,'Prix vente'!$H:$H,"")</f>
        <v>D16</v>
      </c>
      <c r="L20" s="69" t="str">
        <f aca="false">_xlfn.xlookup(J20,'Prix MP'!A:A,'Prix MP'!F:F,FALSE())</f>
        <v>D11-1</v>
      </c>
      <c r="M20" s="69" t="str">
        <f aca="false">_xlfn.xlookup(J20,'Prix MP'!A:A,'Prix MP'!D:D,FALSE())</f>
        <v>AKO</v>
      </c>
      <c r="N20" s="61" t="str">
        <f aca="false">_xlfn.xlookup(I20,'Prix vente'!$A:$A,'Prix vente'!$J:$J,"")</f>
        <v>DT Paper (Acrylic adhesive)</v>
      </c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 t="n">
        <v>10</v>
      </c>
      <c r="Z20" s="61"/>
      <c r="AA20" s="61"/>
      <c r="AB20" s="61"/>
      <c r="AC20" s="61"/>
      <c r="AD20" s="61"/>
      <c r="AE20" s="61"/>
      <c r="AF20" s="61"/>
      <c r="AG20" s="61"/>
      <c r="AH20" s="61"/>
      <c r="AI20" s="61" t="s">
        <v>890</v>
      </c>
      <c r="AJ20" s="61" t="n">
        <v>5000</v>
      </c>
      <c r="AK20" s="61" t="s">
        <v>891</v>
      </c>
      <c r="AL20" s="61"/>
      <c r="AM20" s="1" t="n">
        <v>78</v>
      </c>
      <c r="AN20" s="15" t="s">
        <v>551</v>
      </c>
      <c r="AQ20" s="15" t="s">
        <v>917</v>
      </c>
      <c r="AR20" s="61"/>
      <c r="AS20" s="9" t="n">
        <v>16</v>
      </c>
    </row>
    <row r="21" customFormat="false" ht="16.4" hidden="false" customHeight="false" outlineLevel="0" collapsed="false">
      <c r="A21" s="61" t="s">
        <v>918</v>
      </c>
      <c r="B21" s="1" t="s">
        <v>889</v>
      </c>
      <c r="C21" s="199" t="n">
        <v>45475</v>
      </c>
      <c r="D21" s="9" t="n">
        <v>172</v>
      </c>
      <c r="E21" s="61" t="str">
        <f aca="false">_xlfn.xlookup(D21,'PO Client'!$A:$A,'PO Client'!$C:$C,FALSE())&amp;""</f>
        <v>Groupe Produlith Inc.</v>
      </c>
      <c r="F21" s="61"/>
      <c r="G21" s="61" t="str">
        <f aca="false">_xlfn.xlookup(D21,'PO Client'!$A:$A,'PO Client'!$F:$F,FALSE())&amp;""</f>
        <v>30954</v>
      </c>
      <c r="H21" s="205" t="n">
        <f aca="false">_xlfn.xlookup(D21,'PO Client'!A:A,'PO Client'!L:L,"")</f>
        <v>45481</v>
      </c>
      <c r="I21" s="9" t="n">
        <v>40051</v>
      </c>
      <c r="J21" s="9" t="n">
        <v>30016</v>
      </c>
      <c r="K21" s="62" t="str">
        <f aca="false">_xlfn.xlookup(I21,'Prix vente'!$A:$A,'Prix vente'!$H:$H,"")</f>
        <v>B15</v>
      </c>
      <c r="L21" s="69" t="str">
        <f aca="false">_xlfn.xlookup(J21,'Prix MP'!A:A,'Prix MP'!F:F,FALSE())</f>
        <v>B15-3</v>
      </c>
      <c r="M21" s="69" t="str">
        <f aca="false">_xlfn.xlookup(J21,'Prix MP'!A:A,'Prix MP'!D:D,FALSE())</f>
        <v>Jinda</v>
      </c>
      <c r="N21" s="61" t="str">
        <f aca="false">_xlfn.xlookup(I21,'Prix vente'!$A:$A,'Prix vente'!$J:$J,"")</f>
        <v>Clear BOPP - Acrylic Adhesive</v>
      </c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 t="n">
        <v>15</v>
      </c>
      <c r="Z21" s="61"/>
      <c r="AA21" s="61"/>
      <c r="AB21" s="61"/>
      <c r="AC21" s="61"/>
      <c r="AD21" s="61"/>
      <c r="AE21" s="61"/>
      <c r="AF21" s="61"/>
      <c r="AG21" s="61"/>
      <c r="AH21" s="61"/>
      <c r="AI21" s="61" t="s">
        <v>890</v>
      </c>
      <c r="AJ21" s="61" t="n">
        <v>2500</v>
      </c>
      <c r="AK21" s="61" t="s">
        <v>891</v>
      </c>
      <c r="AL21" s="61"/>
      <c r="AM21" s="1" t="n">
        <v>4</v>
      </c>
      <c r="AN21" s="15" t="s">
        <v>551</v>
      </c>
      <c r="AO21" s="1" t="n">
        <v>0</v>
      </c>
      <c r="AR21" s="61"/>
      <c r="AS21" s="9" t="n">
        <v>1</v>
      </c>
    </row>
    <row r="22" s="28" customFormat="true" ht="16.4" hidden="false" customHeight="false" outlineLevel="0" collapsed="false">
      <c r="A22" s="206" t="s">
        <v>919</v>
      </c>
      <c r="B22" s="28" t="s">
        <v>889</v>
      </c>
      <c r="C22" s="207" t="n">
        <v>45481</v>
      </c>
      <c r="D22" s="28" t="n">
        <v>173</v>
      </c>
      <c r="E22" s="206" t="str">
        <f aca="false">_xlfn.xlookup(D22,'PO Client'!$A:$A,'PO Client'!$C:$C,FALSE())&amp;""</f>
        <v>Imprimerie Ste-Julie</v>
      </c>
      <c r="F22" s="206"/>
      <c r="G22" s="206" t="str">
        <f aca="false">_xlfn.xlookup(D22,'PO Client'!$A:$A,'PO Client'!$F:$F,FALSE())&amp;""</f>
        <v>102088</v>
      </c>
      <c r="H22" s="208" t="n">
        <f aca="false">_xlfn.xlookup(D22,'PO Client'!A:A,'PO Client'!L:L,"")</f>
        <v>45488</v>
      </c>
      <c r="I22" s="209" t="n">
        <v>40048</v>
      </c>
      <c r="J22" s="209" t="n">
        <v>30011</v>
      </c>
      <c r="K22" s="62" t="str">
        <f aca="false">_xlfn.xlookup(I22,'Prix vente'!$A:$A,'Prix vente'!$H:$H,"")</f>
        <v>S21</v>
      </c>
      <c r="L22" s="69" t="str">
        <f aca="false">_xlfn.xlookup(J22,'Prix MP'!A:A,'Prix MP'!F:F,FALSE())</f>
        <v>S21-1</v>
      </c>
      <c r="M22" s="69" t="str">
        <f aca="false">_xlfn.xlookup(J22,'Prix MP'!A:A,'Prix MP'!D:D,FALSE())</f>
        <v>AKO</v>
      </c>
      <c r="N22" s="206" t="str">
        <f aca="false">_xlfn.xlookup(I22,'Prix vente'!$A:$A,'Prix vente'!$J:$J,"")</f>
        <v>SG - Hotmelt Adhesive</v>
      </c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 t="n">
        <v>12</v>
      </c>
      <c r="Z22" s="206"/>
      <c r="AA22" s="206"/>
      <c r="AB22" s="206"/>
      <c r="AC22" s="206"/>
      <c r="AD22" s="206"/>
      <c r="AE22" s="206"/>
      <c r="AF22" s="206"/>
      <c r="AG22" s="206"/>
      <c r="AH22" s="206"/>
      <c r="AI22" s="206" t="s">
        <v>890</v>
      </c>
      <c r="AJ22" s="206" t="n">
        <v>5000</v>
      </c>
      <c r="AK22" s="206" t="s">
        <v>891</v>
      </c>
      <c r="AL22" s="206"/>
      <c r="AM22" s="28" t="n">
        <v>5</v>
      </c>
      <c r="AN22" s="28" t="s">
        <v>551</v>
      </c>
      <c r="AO22" s="28" t="n">
        <v>0</v>
      </c>
      <c r="AR22" s="206"/>
      <c r="AS22" s="209" t="n">
        <v>1</v>
      </c>
      <c r="AT22" s="211"/>
      <c r="AU22" s="211"/>
    </row>
    <row r="23" customFormat="false" ht="16.4" hidden="false" customHeight="false" outlineLevel="0" collapsed="false">
      <c r="A23" s="61" t="s">
        <v>920</v>
      </c>
      <c r="B23" s="1" t="s">
        <v>889</v>
      </c>
      <c r="C23" s="199" t="n">
        <v>45481</v>
      </c>
      <c r="D23" s="9" t="n">
        <v>174</v>
      </c>
      <c r="E23" s="61" t="str">
        <f aca="false">_xlfn.xlookup(D23,'PO Client'!$A:$A,'PO Client'!$C:$C,FALSE())&amp;""</f>
        <v>Imprimerie Ste-Julie</v>
      </c>
      <c r="F23" s="61"/>
      <c r="G23" s="61" t="str">
        <f aca="false">_xlfn.xlookup(D23,'PO Client'!$A:$A,'PO Client'!$F:$F,FALSE())&amp;""</f>
        <v>Échantillon 1</v>
      </c>
      <c r="H23" s="205" t="n">
        <f aca="false">_xlfn.xlookup(D23,'PO Client'!A:A,'PO Client'!L:L,"")</f>
        <v>45488</v>
      </c>
      <c r="I23" s="9" t="n">
        <v>40052</v>
      </c>
      <c r="J23" s="9" t="n">
        <v>30015</v>
      </c>
      <c r="K23" s="62" t="str">
        <f aca="false">_xlfn.xlookup(I23,'Prix vente'!$A:$A,'Prix vente'!$H:$H,"")</f>
        <v>S15</v>
      </c>
      <c r="L23" s="69" t="str">
        <f aca="false">_xlfn.xlookup(J23,'Prix MP'!A:A,'Prix MP'!F:F,FALSE())</f>
        <v>S15-3</v>
      </c>
      <c r="M23" s="69" t="str">
        <f aca="false">_xlfn.xlookup(J23,'Prix MP'!A:A,'Prix MP'!D:D,FALSE())</f>
        <v>Jinda</v>
      </c>
      <c r="N23" s="61" t="str">
        <f aca="false">_xlfn.xlookup(I23,'Prix vente'!$A:$A,'Prix vente'!$J:$J,"")</f>
        <v>SG - Acrylic Adhesive</v>
      </c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 t="n">
        <v>13</v>
      </c>
      <c r="Z23" s="61"/>
      <c r="AA23" s="61"/>
      <c r="AB23" s="61"/>
      <c r="AC23" s="61"/>
      <c r="AD23" s="61"/>
      <c r="AE23" s="61"/>
      <c r="AF23" s="61"/>
      <c r="AG23" s="61"/>
      <c r="AH23" s="61"/>
      <c r="AI23" s="61" t="s">
        <v>890</v>
      </c>
      <c r="AJ23" s="61" t="n">
        <v>5000</v>
      </c>
      <c r="AK23" s="61" t="s">
        <v>891</v>
      </c>
      <c r="AL23" s="61"/>
      <c r="AM23" s="1" t="n">
        <v>1</v>
      </c>
      <c r="AN23" s="15" t="s">
        <v>551</v>
      </c>
      <c r="AO23" s="1" t="n">
        <v>0</v>
      </c>
      <c r="AQ23" s="15" t="s">
        <v>921</v>
      </c>
      <c r="AR23" s="61"/>
      <c r="AS23" s="9" t="n">
        <v>0</v>
      </c>
    </row>
    <row r="24" customFormat="false" ht="16.4" hidden="false" customHeight="false" outlineLevel="0" collapsed="false">
      <c r="A24" s="61" t="s">
        <v>922</v>
      </c>
      <c r="B24" s="1" t="s">
        <v>889</v>
      </c>
      <c r="C24" s="199" t="n">
        <v>45481</v>
      </c>
      <c r="D24" s="9" t="n">
        <v>175</v>
      </c>
      <c r="E24" s="61" t="str">
        <f aca="false">_xlfn.xlookup(D24,'PO Client'!$A:$A,'PO Client'!$C:$C,FALSE())&amp;""</f>
        <v>Imprimerie Ste-Julie</v>
      </c>
      <c r="F24" s="61"/>
      <c r="G24" s="61" t="str">
        <f aca="false">_xlfn.xlookup(D24,'PO Client'!$A:$A,'PO Client'!$F:$F,FALSE())&amp;""</f>
        <v>Échantillon 2</v>
      </c>
      <c r="H24" s="205" t="n">
        <f aca="false">_xlfn.xlookup(D24,'PO Client'!A:A,'PO Client'!L:L,"")</f>
        <v>45488</v>
      </c>
      <c r="I24" s="9" t="n">
        <v>40053</v>
      </c>
      <c r="J24" s="9" t="n">
        <v>30017</v>
      </c>
      <c r="K24" s="62" t="str">
        <f aca="false">_xlfn.xlookup(I24,'Prix vente'!$A:$A,'Prix vente'!$H:$H,"")</f>
        <v>B25</v>
      </c>
      <c r="L24" s="69" t="str">
        <f aca="false">_xlfn.xlookup(J24,'Prix MP'!A:A,'Prix MP'!F:F,FALSE())</f>
        <v>B25-3</v>
      </c>
      <c r="M24" s="69" t="str">
        <f aca="false">_xlfn.xlookup(J24,'Prix MP'!A:A,'Prix MP'!D:D,FALSE())</f>
        <v>Jinda</v>
      </c>
      <c r="N24" s="61" t="str">
        <f aca="false">_xlfn.xlookup(I24,'Prix vente'!$A:$A,'Prix vente'!$J:$J,"")</f>
        <v>White BOPP - Acrylic Adhesive</v>
      </c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 t="n">
        <v>13</v>
      </c>
      <c r="Z24" s="61"/>
      <c r="AA24" s="61"/>
      <c r="AB24" s="61"/>
      <c r="AC24" s="61"/>
      <c r="AD24" s="61"/>
      <c r="AE24" s="61"/>
      <c r="AF24" s="61"/>
      <c r="AG24" s="61"/>
      <c r="AH24" s="61"/>
      <c r="AI24" s="61" t="s">
        <v>890</v>
      </c>
      <c r="AJ24" s="61" t="n">
        <v>5000</v>
      </c>
      <c r="AK24" s="61" t="s">
        <v>891</v>
      </c>
      <c r="AL24" s="61"/>
      <c r="AM24" s="1" t="n">
        <v>1</v>
      </c>
      <c r="AN24" s="15" t="s">
        <v>551</v>
      </c>
      <c r="AO24" s="1" t="n">
        <v>0</v>
      </c>
      <c r="AQ24" s="15" t="s">
        <v>923</v>
      </c>
      <c r="AR24" s="61"/>
      <c r="AS24" s="9" t="n">
        <v>0</v>
      </c>
      <c r="AT24" s="212"/>
    </row>
    <row r="25" customFormat="false" ht="16.4" hidden="false" customHeight="false" outlineLevel="0" collapsed="false">
      <c r="A25" s="61" t="s">
        <v>924</v>
      </c>
      <c r="B25" s="1" t="s">
        <v>889</v>
      </c>
      <c r="C25" s="199" t="n">
        <v>45482</v>
      </c>
      <c r="D25" s="9" t="n">
        <v>188</v>
      </c>
      <c r="E25" s="61" t="s">
        <v>925</v>
      </c>
      <c r="F25" s="61"/>
      <c r="G25" s="61" t="s">
        <v>926</v>
      </c>
      <c r="H25" s="205" t="n">
        <f aca="false">_xlfn.xlookup(D25,'PO Client'!A:A,'PO Client'!L:L,"")</f>
        <v>45527</v>
      </c>
      <c r="I25" s="9" t="n">
        <v>40033</v>
      </c>
      <c r="J25" s="9" t="n">
        <v>30013</v>
      </c>
      <c r="K25" s="62" t="str">
        <f aca="false">_xlfn.xlookup(I25,'Prix vente'!$A:$A,'Prix vente'!$H:$H,"")</f>
        <v>D16</v>
      </c>
      <c r="L25" s="69" t="str">
        <f aca="false">_xlfn.xlookup(J25,'Prix MP'!A:A,'Prix MP'!F:F,FALSE())</f>
        <v>D11-1</v>
      </c>
      <c r="M25" s="69" t="str">
        <f aca="false">_xlfn.xlookup(J25,'Prix MP'!A:A,'Prix MP'!D:D,FALSE())</f>
        <v>AKO</v>
      </c>
      <c r="N25" s="61" t="str">
        <f aca="false">_xlfn.xlookup(I25,'Prix vente'!$A:$A,'Prix vente'!$J:$J,"")</f>
        <v>DT Paper (Acrylic adhesive)</v>
      </c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 t="n">
        <v>10</v>
      </c>
      <c r="Z25" s="61"/>
      <c r="AA25" s="61"/>
      <c r="AB25" s="61"/>
      <c r="AC25" s="61"/>
      <c r="AD25" s="61"/>
      <c r="AE25" s="61"/>
      <c r="AF25" s="61"/>
      <c r="AG25" s="61"/>
      <c r="AH25" s="61"/>
      <c r="AI25" s="61" t="s">
        <v>890</v>
      </c>
      <c r="AJ25" s="61" t="n">
        <v>5000</v>
      </c>
      <c r="AK25" s="61" t="s">
        <v>891</v>
      </c>
      <c r="AL25" s="61"/>
      <c r="AM25" s="1" t="n">
        <v>60</v>
      </c>
      <c r="AN25" s="15" t="s">
        <v>551</v>
      </c>
      <c r="AO25" s="1" t="n">
        <v>0</v>
      </c>
      <c r="AR25" s="61"/>
      <c r="AS25" s="9" t="n">
        <v>1</v>
      </c>
      <c r="AT25" s="212"/>
    </row>
    <row r="26" customFormat="false" ht="16.4" hidden="false" customHeight="false" outlineLevel="0" collapsed="false">
      <c r="A26" s="61" t="s">
        <v>927</v>
      </c>
      <c r="B26" s="1" t="s">
        <v>889</v>
      </c>
      <c r="C26" s="199" t="n">
        <v>45488</v>
      </c>
      <c r="D26" s="9" t="n">
        <v>177</v>
      </c>
      <c r="E26" s="61" t="str">
        <f aca="false">_xlfn.xlookup(D26,'PO Client'!$A:$A,'PO Client'!$C:$C,FALSE())&amp;""</f>
        <v>Étiquettes Luso-Flex</v>
      </c>
      <c r="F26" s="61"/>
      <c r="G26" s="61" t="s">
        <v>928</v>
      </c>
      <c r="H26" s="205" t="n">
        <f aca="false">_xlfn.xlookup(D26,'PO Client'!A:A,'PO Client'!L:L,"")</f>
        <v>45491</v>
      </c>
      <c r="I26" s="9" t="n">
        <v>40055</v>
      </c>
      <c r="J26" s="9" t="n">
        <v>30012</v>
      </c>
      <c r="K26" s="62" t="str">
        <f aca="false">_xlfn.xlookup(I26,'Prix vente'!$A:$A,'Prix vente'!$H:$H,"")</f>
        <v>D21</v>
      </c>
      <c r="L26" s="69" t="str">
        <f aca="false">_xlfn.xlookup(J26,'Prix MP'!A:A,'Prix MP'!F:F,FALSE())</f>
        <v>D21-1</v>
      </c>
      <c r="M26" s="69" t="str">
        <f aca="false">_xlfn.xlookup(J26,'Prix MP'!A:A,'Prix MP'!D:D,FALSE())</f>
        <v>AKO</v>
      </c>
      <c r="N26" s="61" t="str">
        <f aca="false">_xlfn.xlookup(I26,'Prix vente'!$A:$A,'Prix vente'!$J:$J,"")</f>
        <v>TC DT - Hotmelt Adhesive</v>
      </c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 t="n">
        <v>12</v>
      </c>
      <c r="Z26" s="61"/>
      <c r="AA26" s="61"/>
      <c r="AB26" s="61"/>
      <c r="AC26" s="61"/>
      <c r="AD26" s="61"/>
      <c r="AE26" s="61"/>
      <c r="AF26" s="61"/>
      <c r="AG26" s="61"/>
      <c r="AH26" s="61"/>
      <c r="AI26" s="61" t="s">
        <v>890</v>
      </c>
      <c r="AJ26" s="61" t="n">
        <v>10000</v>
      </c>
      <c r="AK26" s="61" t="s">
        <v>891</v>
      </c>
      <c r="AL26" s="61"/>
      <c r="AM26" s="1" t="n">
        <v>5</v>
      </c>
      <c r="AN26" s="15" t="s">
        <v>551</v>
      </c>
      <c r="AO26" s="1" t="n">
        <v>0</v>
      </c>
      <c r="AQ26" s="15" t="str">
        <f aca="false">_xlfn.xlookup(E26,Clients!B:B,Clients!V:V)</f>
        <v>* Livrer les bobines debout</v>
      </c>
      <c r="AR26" s="61"/>
      <c r="AS26" s="9" t="n">
        <v>1</v>
      </c>
      <c r="AT26" s="212"/>
    </row>
    <row r="27" customFormat="false" ht="16.4" hidden="false" customHeight="false" outlineLevel="0" collapsed="false">
      <c r="A27" s="61" t="s">
        <v>929</v>
      </c>
      <c r="B27" s="1" t="s">
        <v>889</v>
      </c>
      <c r="C27" s="199" t="n">
        <v>45483</v>
      </c>
      <c r="D27" s="9" t="n">
        <v>178</v>
      </c>
      <c r="E27" s="61" t="str">
        <f aca="false">_xlfn.xlookup(D27,'PO Client'!$A:$A,'PO Client'!$C:$C,FALSE())&amp;""</f>
        <v>Étiquettes Rive-Sud</v>
      </c>
      <c r="F27" s="61"/>
      <c r="G27" s="61" t="str">
        <f aca="false">_xlfn.xlookup(D27,'PO Client'!$A:$A,'PO Client'!$F:$F,FALSE())&amp;""</f>
        <v>PO 070724</v>
      </c>
      <c r="H27" s="205" t="n">
        <f aca="false">_xlfn.xlookup(D27,'PO Client'!A:A,'PO Client'!L:L,"")</f>
        <v>45484</v>
      </c>
      <c r="I27" s="9" t="n">
        <v>40058</v>
      </c>
      <c r="J27" s="9" t="n">
        <v>30012</v>
      </c>
      <c r="K27" s="62" t="str">
        <f aca="false">_xlfn.xlookup(I27,'Prix vente'!$A:$A,'Prix vente'!$H:$H,"")</f>
        <v>D21</v>
      </c>
      <c r="L27" s="69" t="str">
        <f aca="false">_xlfn.xlookup(J27,'Prix MP'!A:A,'Prix MP'!F:F,FALSE())</f>
        <v>D21-1</v>
      </c>
      <c r="M27" s="69" t="str">
        <f aca="false">_xlfn.xlookup(J27,'Prix MP'!A:A,'Prix MP'!D:D,FALSE())</f>
        <v>AKO</v>
      </c>
      <c r="N27" s="61" t="str">
        <f aca="false">_xlfn.xlookup(I27,'Prix vente'!$A:$A,'Prix vente'!$J:$J,"")</f>
        <v>TC DT - Hotmelt Adhesive</v>
      </c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 t="n">
        <v>9.25</v>
      </c>
      <c r="Z27" s="61"/>
      <c r="AA27" s="61"/>
      <c r="AB27" s="61"/>
      <c r="AC27" s="61"/>
      <c r="AD27" s="61"/>
      <c r="AE27" s="61"/>
      <c r="AF27" s="61"/>
      <c r="AG27" s="61"/>
      <c r="AH27" s="61"/>
      <c r="AI27" s="61" t="s">
        <v>890</v>
      </c>
      <c r="AJ27" s="61" t="n">
        <v>5000</v>
      </c>
      <c r="AK27" s="61" t="s">
        <v>891</v>
      </c>
      <c r="AL27" s="61"/>
      <c r="AM27" s="1" t="n">
        <v>10</v>
      </c>
      <c r="AN27" s="15" t="s">
        <v>551</v>
      </c>
      <c r="AO27" s="1" t="n">
        <v>0</v>
      </c>
      <c r="AQ27" s="15" t="s">
        <v>930</v>
      </c>
      <c r="AR27" s="61"/>
      <c r="AS27" s="9" t="n">
        <v>1</v>
      </c>
      <c r="AT27" s="212"/>
    </row>
    <row r="28" customFormat="false" ht="16.4" hidden="false" customHeight="false" outlineLevel="0" collapsed="false">
      <c r="A28" s="61" t="s">
        <v>931</v>
      </c>
      <c r="B28" s="1" t="s">
        <v>889</v>
      </c>
      <c r="C28" s="199" t="n">
        <v>45484</v>
      </c>
      <c r="D28" s="9" t="n">
        <v>173</v>
      </c>
      <c r="E28" s="61" t="str">
        <f aca="false">_xlfn.xlookup(D28,'PO Client'!$A:$A,'PO Client'!$C:$C,FALSE())&amp;""</f>
        <v>Imprimerie Ste-Julie</v>
      </c>
      <c r="F28" s="61"/>
      <c r="G28" s="61" t="str">
        <f aca="false">_xlfn.xlookup(D28,'PO Client'!$A:$A,'PO Client'!$F:$F,FALSE())&amp;""</f>
        <v>102088</v>
      </c>
      <c r="H28" s="205" t="n">
        <f aca="false">_xlfn.xlookup(D28,'PO Client'!A:A,'PO Client'!L:L,"")</f>
        <v>45488</v>
      </c>
      <c r="I28" s="9" t="n">
        <v>40048</v>
      </c>
      <c r="J28" s="9" t="n">
        <v>30011</v>
      </c>
      <c r="K28" s="62" t="str">
        <f aca="false">_xlfn.xlookup(I28,'Prix vente'!$A:$A,'Prix vente'!$H:$H,"")</f>
        <v>S21</v>
      </c>
      <c r="L28" s="69" t="str">
        <f aca="false">_xlfn.xlookup(J28,'Prix MP'!A:A,'Prix MP'!F:F,FALSE())</f>
        <v>S21-1</v>
      </c>
      <c r="M28" s="69" t="str">
        <f aca="false">_xlfn.xlookup(J28,'Prix MP'!A:A,'Prix MP'!D:D,FALSE())</f>
        <v>AKO</v>
      </c>
      <c r="N28" s="61" t="str">
        <f aca="false">_xlfn.xlookup(I28,'Prix vente'!$A:$A,'Prix vente'!$J:$J,"")</f>
        <v>SG - Hotmelt Adhesive</v>
      </c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 t="n">
        <v>12</v>
      </c>
      <c r="Z28" s="61"/>
      <c r="AA28" s="61"/>
      <c r="AB28" s="61"/>
      <c r="AC28" s="61"/>
      <c r="AD28" s="61"/>
      <c r="AE28" s="61"/>
      <c r="AF28" s="61"/>
      <c r="AG28" s="61"/>
      <c r="AH28" s="61"/>
      <c r="AI28" s="61" t="s">
        <v>890</v>
      </c>
      <c r="AJ28" s="61" t="n">
        <v>5000</v>
      </c>
      <c r="AK28" s="61" t="s">
        <v>891</v>
      </c>
      <c r="AL28" s="61"/>
      <c r="AM28" s="1" t="n">
        <v>5</v>
      </c>
      <c r="AN28" s="15" t="s">
        <v>551</v>
      </c>
      <c r="AO28" s="1" t="n">
        <v>0</v>
      </c>
      <c r="AQ28" s="15" t="n">
        <f aca="false">_xlfn.xlookup(E28,Clients!B:B,Clients!V:V)</f>
        <v>0</v>
      </c>
      <c r="AR28" s="61"/>
      <c r="AS28" s="9" t="n">
        <v>1</v>
      </c>
      <c r="AT28" s="212"/>
    </row>
    <row r="29" customFormat="false" ht="16.4" hidden="false" customHeight="false" outlineLevel="0" collapsed="false">
      <c r="A29" s="61" t="s">
        <v>932</v>
      </c>
      <c r="B29" s="1" t="s">
        <v>889</v>
      </c>
      <c r="C29" s="199" t="n">
        <v>45488</v>
      </c>
      <c r="D29" s="9" t="n">
        <v>177</v>
      </c>
      <c r="E29" s="61" t="str">
        <f aca="false">_xlfn.xlookup(D29,'PO Client'!$A:$A,'PO Client'!$C:$C,FALSE())&amp;""</f>
        <v>Étiquettes Luso-Flex</v>
      </c>
      <c r="F29" s="61"/>
      <c r="G29" s="61" t="str">
        <f aca="false">_xlfn.xlookup(D29,'PO Client'!$A:$A,'PO Client'!$F:$F,FALSE())&amp;""</f>
        <v>1898</v>
      </c>
      <c r="H29" s="205" t="n">
        <f aca="false">_xlfn.xlookup(D29,'PO Client'!A:A,'PO Client'!L:L,"")</f>
        <v>45491</v>
      </c>
      <c r="I29" s="9" t="n">
        <v>40060</v>
      </c>
      <c r="J29" s="9" t="n">
        <v>30012</v>
      </c>
      <c r="K29" s="62" t="str">
        <f aca="false">_xlfn.xlookup(I29,'Prix vente'!$A:$A,'Prix vente'!$H:$H,"")</f>
        <v>D21</v>
      </c>
      <c r="L29" s="69" t="str">
        <f aca="false">_xlfn.xlookup(J29,'Prix MP'!A:A,'Prix MP'!F:F,FALSE())</f>
        <v>D21-1</v>
      </c>
      <c r="M29" s="69" t="str">
        <f aca="false">_xlfn.xlookup(J29,'Prix MP'!A:A,'Prix MP'!D:D,FALSE())</f>
        <v>AKO</v>
      </c>
      <c r="N29" s="61" t="str">
        <f aca="false">_xlfn.xlookup(I29,'Prix vente'!$A:$A,'Prix vente'!$J:$J,"")</f>
        <v>TC DT - Hotmelt Adhesive</v>
      </c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 t="n">
        <v>8.75</v>
      </c>
      <c r="Z29" s="61"/>
      <c r="AA29" s="61"/>
      <c r="AB29" s="61"/>
      <c r="AC29" s="61"/>
      <c r="AD29" s="61"/>
      <c r="AE29" s="61"/>
      <c r="AF29" s="61"/>
      <c r="AG29" s="61"/>
      <c r="AH29" s="61"/>
      <c r="AI29" s="61" t="s">
        <v>890</v>
      </c>
      <c r="AJ29" s="61" t="n">
        <v>10000</v>
      </c>
      <c r="AK29" s="61" t="s">
        <v>891</v>
      </c>
      <c r="AL29" s="61"/>
      <c r="AM29" s="1" t="n">
        <v>24</v>
      </c>
      <c r="AN29" s="15" t="s">
        <v>551</v>
      </c>
      <c r="AO29" s="1" t="n">
        <v>0</v>
      </c>
      <c r="AQ29" s="15" t="s">
        <v>933</v>
      </c>
      <c r="AR29" s="62" t="n">
        <f aca="false">_xlfn.xlookup(I29,'Prix vente'!A:A,'Prix vente'!B:B,FALSE())</f>
        <v>20012</v>
      </c>
      <c r="AS29" s="9" t="n">
        <v>4</v>
      </c>
      <c r="AT29" s="212"/>
    </row>
    <row r="30" customFormat="false" ht="16.4" hidden="false" customHeight="false" outlineLevel="0" collapsed="false">
      <c r="A30" s="61" t="s">
        <v>934</v>
      </c>
      <c r="B30" s="1" t="s">
        <v>889</v>
      </c>
      <c r="C30" s="199" t="n">
        <v>45481</v>
      </c>
      <c r="D30" s="9" t="n">
        <v>177</v>
      </c>
      <c r="E30" s="61" t="str">
        <f aca="false">_xlfn.xlookup(D30,'PO Client'!$A:$A,'PO Client'!$C:$C,FALSE())&amp;""</f>
        <v>Étiquettes Luso-Flex</v>
      </c>
      <c r="F30" s="61"/>
      <c r="G30" s="61" t="str">
        <f aca="false">_xlfn.xlookup(D30,'PO Client'!$A:$A,'PO Client'!$F:$F,FALSE())&amp;""</f>
        <v>1898</v>
      </c>
      <c r="H30" s="205" t="n">
        <f aca="false">_xlfn.xlookup(D30,'PO Client'!A:A,'PO Client'!L:L,"")</f>
        <v>45491</v>
      </c>
      <c r="I30" s="9" t="n">
        <v>40056</v>
      </c>
      <c r="J30" s="9" t="n">
        <v>30012</v>
      </c>
      <c r="K30" s="62" t="str">
        <f aca="false">_xlfn.xlookup(I30,'Prix vente'!$A:$A,'Prix vente'!$H:$H,"")</f>
        <v>D21</v>
      </c>
      <c r="L30" s="69" t="str">
        <f aca="false">_xlfn.xlookup(J30,'Prix MP'!A:A,'Prix MP'!F:F,FALSE())</f>
        <v>D21-1</v>
      </c>
      <c r="M30" s="69" t="str">
        <f aca="false">_xlfn.xlookup(J30,'Prix MP'!A:A,'Prix MP'!D:D,FALSE())</f>
        <v>AKO</v>
      </c>
      <c r="N30" s="61" t="str">
        <f aca="false">_xlfn.xlookup(I30,'Prix vente'!$A:$A,'Prix vente'!$J:$J,"")</f>
        <v>TC DT - Hotmelt Adhesive</v>
      </c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 t="n">
        <v>12</v>
      </c>
      <c r="Z30" s="61"/>
      <c r="AA30" s="61"/>
      <c r="AB30" s="61"/>
      <c r="AC30" s="61"/>
      <c r="AD30" s="61"/>
      <c r="AE30" s="61"/>
      <c r="AF30" s="61"/>
      <c r="AG30" s="61"/>
      <c r="AH30" s="61"/>
      <c r="AI30" s="61" t="s">
        <v>890</v>
      </c>
      <c r="AJ30" s="61" t="n">
        <v>5000</v>
      </c>
      <c r="AK30" s="61" t="s">
        <v>891</v>
      </c>
      <c r="AL30" s="61"/>
      <c r="AM30" s="1" t="n">
        <v>5</v>
      </c>
      <c r="AN30" s="15" t="s">
        <v>551</v>
      </c>
      <c r="AO30" s="1" t="n">
        <v>5</v>
      </c>
      <c r="AQ30" s="15" t="s">
        <v>935</v>
      </c>
      <c r="AR30" s="62" t="n">
        <f aca="false">_xlfn.xlookup(I30,'Prix vente'!A:A,'Prix vente'!B:B,FALSE())</f>
        <v>20012</v>
      </c>
      <c r="AS30" s="9" t="n">
        <v>0</v>
      </c>
      <c r="AT30" s="212"/>
    </row>
    <row r="31" customFormat="false" ht="16.4" hidden="false" customHeight="false" outlineLevel="0" collapsed="false">
      <c r="A31" s="61" t="s">
        <v>936</v>
      </c>
      <c r="B31" s="1" t="s">
        <v>889</v>
      </c>
      <c r="C31" s="199" t="n">
        <v>45482</v>
      </c>
      <c r="D31" s="9" t="n">
        <v>176</v>
      </c>
      <c r="E31" s="61" t="str">
        <f aca="false">_xlfn.xlookup(D31,'PO Client'!$A:$A,'PO Client'!$C:$C,FALSE())&amp;""</f>
        <v>Digi America Inc.</v>
      </c>
      <c r="F31" s="61"/>
      <c r="G31" s="61" t="str">
        <f aca="false">_xlfn.xlookup(D31,'PO Client'!$A:$A,'PO Client'!$F:$F,FALSE())&amp;""</f>
        <v>50008290</v>
      </c>
      <c r="H31" s="205" t="n">
        <f aca="false">_xlfn.xlookup(D31,'PO Client'!A:A,'PO Client'!L:L,"")</f>
        <v>45492</v>
      </c>
      <c r="I31" s="9" t="n">
        <v>40054</v>
      </c>
      <c r="J31" s="9" t="n">
        <v>30013</v>
      </c>
      <c r="K31" s="62" t="str">
        <f aca="false">_xlfn.xlookup(I31,'Prix vente'!$A:$A,'Prix vente'!$H:$H,"")</f>
        <v>D16</v>
      </c>
      <c r="L31" s="69" t="str">
        <f aca="false">_xlfn.xlookup(J31,'Prix MP'!A:A,'Prix MP'!F:F,FALSE())</f>
        <v>D11-1</v>
      </c>
      <c r="M31" s="69" t="str">
        <f aca="false">_xlfn.xlookup(J31,'Prix MP'!A:A,'Prix MP'!D:D,FALSE())</f>
        <v>AKO</v>
      </c>
      <c r="N31" s="61" t="str">
        <f aca="false">_xlfn.xlookup(I31,'Prix vente'!$A:$A,'Prix vente'!$J:$J,"")</f>
        <v>DT Paper, Acrylic adhesive</v>
      </c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 t="n">
        <v>9.5</v>
      </c>
      <c r="Z31" s="61"/>
      <c r="AA31" s="61"/>
      <c r="AB31" s="61"/>
      <c r="AC31" s="61"/>
      <c r="AD31" s="61"/>
      <c r="AE31" s="61"/>
      <c r="AF31" s="61"/>
      <c r="AG31" s="61"/>
      <c r="AH31" s="61"/>
      <c r="AI31" s="61" t="s">
        <v>890</v>
      </c>
      <c r="AJ31" s="61" t="n">
        <v>5000</v>
      </c>
      <c r="AK31" s="61" t="s">
        <v>891</v>
      </c>
      <c r="AL31" s="61"/>
      <c r="AM31" s="1" t="n">
        <v>34</v>
      </c>
      <c r="AN31" s="15" t="s">
        <v>551</v>
      </c>
      <c r="AO31" s="1" t="n">
        <v>34</v>
      </c>
      <c r="AQ31" s="15" t="s">
        <v>937</v>
      </c>
      <c r="AR31" s="62" t="n">
        <f aca="false">_xlfn.xlookup(I31,'Prix vente'!A:A,'Prix vente'!B:B,FALSE())</f>
        <v>20013</v>
      </c>
      <c r="AS31" s="9" t="n">
        <v>0</v>
      </c>
      <c r="AT31" s="212"/>
    </row>
    <row r="32" customFormat="false" ht="16.4" hidden="false" customHeight="false" outlineLevel="0" collapsed="false">
      <c r="A32" s="61" t="s">
        <v>938</v>
      </c>
      <c r="B32" s="1" t="s">
        <v>889</v>
      </c>
      <c r="C32" s="199" t="n">
        <v>45488</v>
      </c>
      <c r="D32" s="9" t="n">
        <v>179</v>
      </c>
      <c r="E32" s="61" t="str">
        <f aca="false">_xlfn.xlookup(D32,'PO Client'!$A:$A,'PO Client'!$C:$C,FALSE())&amp;""</f>
        <v>Groupe Produlith Inc.</v>
      </c>
      <c r="F32" s="61"/>
      <c r="G32" s="61" t="str">
        <f aca="false">_xlfn.xlookup(D32,'PO Client'!$A:$A,'PO Client'!$F:$F,FALSE())&amp;""</f>
        <v>31017</v>
      </c>
      <c r="H32" s="205" t="n">
        <f aca="false">_xlfn.xlookup(D32,'PO Client'!A:A,'PO Client'!L:L,"")</f>
        <v>45491</v>
      </c>
      <c r="I32" s="9" t="n">
        <v>40062</v>
      </c>
      <c r="J32" s="9" t="n">
        <v>30017</v>
      </c>
      <c r="K32" s="62" t="str">
        <f aca="false">_xlfn.xlookup(I32,'Prix vente'!$A:$A,'Prix vente'!$H:$H,"")</f>
        <v>B25</v>
      </c>
      <c r="L32" s="69" t="str">
        <f aca="false">_xlfn.xlookup(J32,'Prix MP'!A:A,'Prix MP'!F:F,FALSE())</f>
        <v>B25-3</v>
      </c>
      <c r="M32" s="69" t="str">
        <f aca="false">_xlfn.xlookup(J32,'Prix MP'!A:A,'Prix MP'!D:D,FALSE())</f>
        <v>Jinda</v>
      </c>
      <c r="N32" s="61" t="str">
        <f aca="false">_xlfn.xlookup(I32,'Prix vente'!$A:$A,'Prix vente'!$J:$J,"")</f>
        <v>White BOPP - Acrylic Adhesive</v>
      </c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 t="n">
        <v>15</v>
      </c>
      <c r="Z32" s="61"/>
      <c r="AA32" s="61"/>
      <c r="AB32" s="61"/>
      <c r="AC32" s="61"/>
      <c r="AD32" s="61"/>
      <c r="AE32" s="61"/>
      <c r="AF32" s="61"/>
      <c r="AG32" s="61"/>
      <c r="AH32" s="61"/>
      <c r="AI32" s="61" t="s">
        <v>890</v>
      </c>
      <c r="AJ32" s="61" t="n">
        <v>4300</v>
      </c>
      <c r="AK32" s="61" t="s">
        <v>891</v>
      </c>
      <c r="AL32" s="61"/>
      <c r="AM32" s="1" t="n">
        <v>3</v>
      </c>
      <c r="AN32" s="15" t="s">
        <v>551</v>
      </c>
      <c r="AO32" s="1" t="n">
        <v>0</v>
      </c>
      <c r="AQ32" s="15" t="s">
        <v>939</v>
      </c>
      <c r="AR32" s="62" t="n">
        <f aca="false">_xlfn.xlookup(I32,'Prix vente'!A:A,'Prix vente'!B:B,FALSE())</f>
        <v>20017</v>
      </c>
      <c r="AS32" s="9" t="n">
        <v>1</v>
      </c>
      <c r="AT32" s="212"/>
    </row>
    <row r="33" customFormat="false" ht="16.4" hidden="false" customHeight="false" outlineLevel="0" collapsed="false">
      <c r="A33" s="61" t="s">
        <v>940</v>
      </c>
      <c r="B33" s="1" t="s">
        <v>889</v>
      </c>
      <c r="C33" s="199" t="n">
        <v>45491</v>
      </c>
      <c r="D33" s="9" t="n">
        <v>181</v>
      </c>
      <c r="E33" s="61" t="str">
        <f aca="false">_xlfn.xlookup(D33,'PO Client'!$A:$A,'PO Client'!$C:$C,FALSE())&amp;""</f>
        <v>Imprimerie Ste-Julie</v>
      </c>
      <c r="F33" s="61"/>
      <c r="G33" s="61" t="str">
        <f aca="false">_xlfn.xlookup(D33,'PO Client'!$A:$A,'PO Client'!$F:$F,FALSE())&amp;""</f>
        <v>102376</v>
      </c>
      <c r="H33" s="205" t="n">
        <f aca="false">_xlfn.xlookup(D33,'PO Client'!A:A,'PO Client'!L:L,"")</f>
        <v>45491</v>
      </c>
      <c r="I33" s="9" t="n">
        <f aca="false">_xlfn.xlookup(D33,'PO Client'!A:A,'PO Client'!O:O,"")</f>
        <v>40067</v>
      </c>
      <c r="J33" s="9" t="n">
        <v>30015</v>
      </c>
      <c r="K33" s="62" t="str">
        <f aca="false">_xlfn.xlookup(I33,'Prix vente'!$A:$A,'Prix vente'!$H:$H,"")</f>
        <v>S15</v>
      </c>
      <c r="L33" s="69" t="str">
        <f aca="false">_xlfn.xlookup(J33,'Prix MP'!A:A,'Prix MP'!F:F,FALSE())</f>
        <v>S15-3</v>
      </c>
      <c r="M33" s="69" t="str">
        <f aca="false">_xlfn.xlookup(J33,'Prix MP'!A:A,'Prix MP'!D:D,FALSE())</f>
        <v>Jinda</v>
      </c>
      <c r="N33" s="61" t="str">
        <f aca="false">_xlfn.xlookup(I33,'Prix vente'!$A:$A,'Prix vente'!$J:$J,"")</f>
        <v>SG - Acrylic Adhesive</v>
      </c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 t="n">
        <f aca="false">_xlfn.xlookup(I33,'Prix vente'!$A:$A,'Prix vente'!$P:$P,"")</f>
        <v>12</v>
      </c>
      <c r="Z33" s="61"/>
      <c r="AA33" s="61"/>
      <c r="AB33" s="61"/>
      <c r="AC33" s="61"/>
      <c r="AD33" s="61"/>
      <c r="AE33" s="61"/>
      <c r="AF33" s="61"/>
      <c r="AG33" s="61"/>
      <c r="AH33" s="61"/>
      <c r="AI33" s="61" t="str">
        <f aca="false">IF(_xlfn.xlookup(I33,'Prix vente'!$A:$A,'Prix vente'!$O:$O,"")="msi","po","mm")</f>
        <v>po</v>
      </c>
      <c r="AJ33" s="61" t="n">
        <f aca="false">_xlfn.xlookup(I33,'Prix vente'!$A:$A,'Prix vente'!$Q:$Q,"")</f>
        <v>5000</v>
      </c>
      <c r="AK33" s="61" t="str">
        <f aca="false">IF(_xlfn.xlookup(I33,'Prix vente'!$A:$A,'Prix vente'!$O:$O,"")="msi","pi","m")</f>
        <v>pi</v>
      </c>
      <c r="AL33" s="61"/>
      <c r="AM33" s="1" t="n">
        <v>5</v>
      </c>
      <c r="AN33" s="15" t="s">
        <v>551</v>
      </c>
      <c r="AO33" s="1" t="n">
        <v>0</v>
      </c>
      <c r="AQ33" s="15" t="s">
        <v>941</v>
      </c>
      <c r="AR33" s="62" t="n">
        <f aca="false">_xlfn.xlookup(I33,'Prix vente'!A:A,'Prix vente'!B:B,FALSE())</f>
        <v>20015</v>
      </c>
      <c r="AS33" s="9" t="n">
        <v>0</v>
      </c>
      <c r="AT33" s="212"/>
    </row>
    <row r="34" customFormat="false" ht="16.4" hidden="false" customHeight="false" outlineLevel="0" collapsed="false">
      <c r="A34" s="61" t="s">
        <v>942</v>
      </c>
      <c r="B34" s="1" t="s">
        <v>889</v>
      </c>
      <c r="C34" s="199" t="n">
        <v>45502</v>
      </c>
      <c r="D34" s="9" t="n">
        <v>182</v>
      </c>
      <c r="E34" s="61" t="str">
        <f aca="false">_xlfn.xlookup(D34,'PO Client'!$A:$A,'PO Client'!$C:$C,FALSE())</f>
        <v>Groupe Produlith Inc.</v>
      </c>
      <c r="F34" s="61"/>
      <c r="G34" s="61" t="n">
        <f aca="false">_xlfn.xlookup(D34,'PO Client'!$A:$A,'PO Client'!$F:$F,FALSE())</f>
        <v>31105</v>
      </c>
      <c r="H34" s="205" t="n">
        <f aca="false">_xlfn.xlookup(D34,'PO Client'!A:A,'PO Client'!L:L,"")</f>
        <v>45505</v>
      </c>
      <c r="I34" s="9" t="n">
        <f aca="false">_xlfn.xlookup(D34,'PO Client'!A:A,'PO Client'!O:O,"")</f>
        <v>40051</v>
      </c>
      <c r="J34" s="9" t="n">
        <v>30016</v>
      </c>
      <c r="K34" s="62" t="str">
        <f aca="false">_xlfn.xlookup(I34,'Prix vente'!$A:$A,'Prix vente'!$H:$H,"")</f>
        <v>B15</v>
      </c>
      <c r="L34" s="69" t="str">
        <f aca="false">_xlfn.xlookup(J34,'Prix MP'!A:A,'Prix MP'!F:F,FALSE())</f>
        <v>B15-3</v>
      </c>
      <c r="M34" s="69" t="str">
        <f aca="false">_xlfn.xlookup(J34,'Prix MP'!A:A,'Prix MP'!D:D,FALSE())</f>
        <v>Jinda</v>
      </c>
      <c r="N34" s="61" t="str">
        <f aca="false">_xlfn.xlookup(I34,'Prix vente'!$A:$A,'Prix vente'!$J:$J,"")</f>
        <v>Clear BOPP - Acrylic Adhesive</v>
      </c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 t="n">
        <f aca="false">_xlfn.xlookup(I34,'Prix vente'!$A:$A,'Prix vente'!$P:$P,"")</f>
        <v>15</v>
      </c>
      <c r="Z34" s="61"/>
      <c r="AA34" s="61"/>
      <c r="AB34" s="61"/>
      <c r="AC34" s="61"/>
      <c r="AD34" s="61"/>
      <c r="AE34" s="61"/>
      <c r="AF34" s="61"/>
      <c r="AG34" s="61"/>
      <c r="AH34" s="61"/>
      <c r="AI34" s="61" t="str">
        <f aca="false">IF(_xlfn.xlookup(I34,'Prix vente'!$A:$A,'Prix vente'!$O:$O,"")="msi","po","mm")</f>
        <v>po</v>
      </c>
      <c r="AJ34" s="61" t="n">
        <f aca="false">_xlfn.xlookup(I34,'Prix vente'!$A:$A,'Prix vente'!$Q:$Q,"")</f>
        <v>2500</v>
      </c>
      <c r="AK34" s="61" t="str">
        <f aca="false">IF(_xlfn.xlookup(I34,'Prix vente'!$A:$A,'Prix vente'!$O:$O,"")="msi","pi","m")</f>
        <v>pi</v>
      </c>
      <c r="AL34" s="61"/>
      <c r="AM34" s="1" t="n">
        <v>4</v>
      </c>
      <c r="AN34" s="15" t="s">
        <v>551</v>
      </c>
      <c r="AO34" s="1" t="n">
        <v>0</v>
      </c>
      <c r="AQ34" s="15" t="s">
        <v>943</v>
      </c>
      <c r="AR34" s="62" t="n">
        <f aca="false">_xlfn.xlookup(I34,'Prix vente'!A:A,'Prix vente'!B:B,FALSE())</f>
        <v>20016</v>
      </c>
      <c r="AS34" s="9" t="n">
        <v>0</v>
      </c>
      <c r="AT34" s="212"/>
    </row>
    <row r="35" customFormat="false" ht="16.4" hidden="false" customHeight="false" outlineLevel="0" collapsed="false">
      <c r="A35" s="61" t="s">
        <v>944</v>
      </c>
      <c r="B35" s="1" t="s">
        <v>889</v>
      </c>
      <c r="C35" s="199" t="n">
        <v>45510</v>
      </c>
      <c r="D35" s="9" t="n">
        <v>183</v>
      </c>
      <c r="E35" s="61" t="str">
        <f aca="false">_xlfn.xlookup(D35,'PO Client'!$A:$A,'PO Client'!$C:$C,FALSE())</f>
        <v>ÉTIQUETTES MULTI-FLEX</v>
      </c>
      <c r="F35" s="61"/>
      <c r="G35" s="61" t="str">
        <f aca="false">_xlfn.xlookup(D35,'PO Client'!$A:$A,'PO Client'!$F:$F,FALSE())</f>
        <v>Échantillons-1</v>
      </c>
      <c r="H35" s="205" t="n">
        <f aca="false">_xlfn.xlookup(D35,'PO Client'!A:A,'PO Client'!L:L,"")</f>
        <v>45511</v>
      </c>
      <c r="I35" s="9" t="n">
        <f aca="false">_xlfn.xlookup(D35,'PO Client'!A:A,'PO Client'!O:O,"")</f>
        <v>40063</v>
      </c>
      <c r="J35" s="9" t="n">
        <v>30017</v>
      </c>
      <c r="K35" s="62" t="str">
        <f aca="false">_xlfn.xlookup(I35,'Prix vente'!$A:$A,'Prix vente'!$H:$H,"")</f>
        <v>B25</v>
      </c>
      <c r="L35" s="69" t="str">
        <f aca="false">_xlfn.xlookup(J35,'Prix MP'!A:A,'Prix MP'!F:F,FALSE())</f>
        <v>B25-3</v>
      </c>
      <c r="M35" s="69" t="str">
        <f aca="false">_xlfn.xlookup(J35,'Prix MP'!A:A,'Prix MP'!D:D,FALSE())</f>
        <v>Jinda</v>
      </c>
      <c r="N35" s="61" t="str">
        <f aca="false">_xlfn.xlookup(I35,'Prix vente'!$A:$A,'Prix vente'!$J:$J,"")</f>
        <v>White BOPP - Acrylic Adhesive</v>
      </c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 t="s">
        <v>945</v>
      </c>
      <c r="Z35" s="61"/>
      <c r="AA35" s="61"/>
      <c r="AB35" s="61"/>
      <c r="AC35" s="61"/>
      <c r="AD35" s="61"/>
      <c r="AE35" s="61"/>
      <c r="AF35" s="61"/>
      <c r="AG35" s="61"/>
      <c r="AH35" s="61"/>
      <c r="AI35" s="61" t="str">
        <f aca="false">IF(_xlfn.xlookup(I35,'Prix vente'!$A:$A,'Prix vente'!$O:$O,"")="msi","po","mm")</f>
        <v>po</v>
      </c>
      <c r="AJ35" s="61" t="s">
        <v>946</v>
      </c>
      <c r="AK35" s="61" t="str">
        <f aca="false">IF(_xlfn.xlookup(I35,'Prix vente'!$A:$A,'Prix vente'!$O:$O,"")="msi","pi","m")</f>
        <v>pi</v>
      </c>
      <c r="AL35" s="61"/>
      <c r="AM35" s="1" t="n">
        <v>2</v>
      </c>
      <c r="AN35" s="15" t="s">
        <v>551</v>
      </c>
      <c r="AO35" s="1" t="n">
        <v>4</v>
      </c>
      <c r="AQ35" s="15" t="s">
        <v>947</v>
      </c>
      <c r="AR35" s="62" t="n">
        <f aca="false">_xlfn.xlookup(I35,'Prix vente'!A:A,'Prix vente'!B:B,FALSE())</f>
        <v>20017</v>
      </c>
      <c r="AT35" s="212"/>
    </row>
    <row r="36" customFormat="false" ht="16.4" hidden="false" customHeight="false" outlineLevel="0" collapsed="false">
      <c r="A36" s="61" t="s">
        <v>948</v>
      </c>
      <c r="B36" s="1" t="s">
        <v>889</v>
      </c>
      <c r="C36" s="199" t="n">
        <v>45510</v>
      </c>
      <c r="D36" s="9" t="n">
        <v>183</v>
      </c>
      <c r="E36" s="61" t="str">
        <f aca="false">_xlfn.xlookup(D36,'PO Client'!$A:$A,'PO Client'!$C:$C,FALSE())</f>
        <v>ÉTIQUETTES MULTI-FLEX</v>
      </c>
      <c r="F36" s="61"/>
      <c r="G36" s="61" t="str">
        <f aca="false">_xlfn.xlookup(D36,'PO Client'!$A:$A,'PO Client'!$F:$F,FALSE())</f>
        <v>Échantillons-1</v>
      </c>
      <c r="H36" s="205" t="n">
        <f aca="false">_xlfn.xlookup(D36,'PO Client'!A:A,'PO Client'!L:L,"")</f>
        <v>45511</v>
      </c>
      <c r="I36" s="9" t="n">
        <v>40065</v>
      </c>
      <c r="J36" s="9" t="n">
        <v>30011</v>
      </c>
      <c r="K36" s="62" t="str">
        <f aca="false">_xlfn.xlookup(I36,'Prix vente'!$A:$A,'Prix vente'!$H:$H,"")</f>
        <v>S21</v>
      </c>
      <c r="L36" s="69" t="str">
        <f aca="false">_xlfn.xlookup(J36,'Prix MP'!A:A,'Prix MP'!F:F,FALSE())</f>
        <v>S21-1</v>
      </c>
      <c r="M36" s="69" t="str">
        <f aca="false">_xlfn.xlookup(J36,'Prix MP'!A:A,'Prix MP'!D:D,FALSE())</f>
        <v>AKO</v>
      </c>
      <c r="N36" s="61" t="str">
        <f aca="false">_xlfn.xlookup(I36,'Prix vente'!$A:$A,'Prix vente'!$J:$J,"")</f>
        <v>SG - Hotmelt Adhesive</v>
      </c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 t="s">
        <v>945</v>
      </c>
      <c r="Z36" s="61"/>
      <c r="AA36" s="61"/>
      <c r="AB36" s="61"/>
      <c r="AC36" s="61"/>
      <c r="AD36" s="61"/>
      <c r="AE36" s="61"/>
      <c r="AF36" s="61"/>
      <c r="AG36" s="61"/>
      <c r="AH36" s="61"/>
      <c r="AI36" s="61" t="str">
        <f aca="false">IF(_xlfn.xlookup(I36,'Prix vente'!$A:$A,'Prix vente'!$O:$O,"")="msi","po","mm")</f>
        <v>po</v>
      </c>
      <c r="AJ36" s="61" t="s">
        <v>949</v>
      </c>
      <c r="AK36" s="61" t="str">
        <f aca="false">IF(_xlfn.xlookup(I36,'Prix vente'!$A:$A,'Prix vente'!$O:$O,"")="msi","pi","m")</f>
        <v>pi</v>
      </c>
      <c r="AL36" s="61"/>
      <c r="AM36" s="1" t="n">
        <v>2</v>
      </c>
      <c r="AN36" s="15" t="s">
        <v>551</v>
      </c>
      <c r="AO36" s="1" t="n">
        <v>2</v>
      </c>
      <c r="AQ36" s="15" t="s">
        <v>950</v>
      </c>
      <c r="AR36" s="62" t="n">
        <f aca="false">_xlfn.xlookup(I36,'Prix vente'!A:A,'Prix vente'!B:B,FALSE())</f>
        <v>20011</v>
      </c>
      <c r="AT36" s="212"/>
    </row>
    <row r="37" customFormat="false" ht="16.4" hidden="false" customHeight="false" outlineLevel="0" collapsed="false">
      <c r="A37" s="61" t="s">
        <v>951</v>
      </c>
      <c r="B37" s="1" t="s">
        <v>889</v>
      </c>
      <c r="C37" s="199" t="n">
        <v>45512</v>
      </c>
      <c r="D37" s="9" t="n">
        <v>184</v>
      </c>
      <c r="E37" s="61" t="str">
        <f aca="false">_xlfn.xlookup(D37,'PO Client'!$A:$A,'PO Client'!$C:$C,FALSE())</f>
        <v>Visuascan</v>
      </c>
      <c r="F37" s="61"/>
      <c r="G37" s="61" t="str">
        <f aca="false">_xlfn.xlookup(D37,'PO Client'!$A:$A,'PO Client'!$F:$F,FALSE())</f>
        <v>Échantillon-1</v>
      </c>
      <c r="H37" s="205" t="n">
        <f aca="false">_xlfn.xlookup(D37,'PO Client'!A:A,'PO Client'!L:L,"")</f>
        <v>45513</v>
      </c>
      <c r="I37" s="9" t="n">
        <v>40068</v>
      </c>
      <c r="J37" s="9" t="n">
        <v>30012</v>
      </c>
      <c r="K37" s="62" t="str">
        <f aca="false">_xlfn.xlookup(I37,'Prix vente'!$A:$A,'Prix vente'!$H:$H,"")</f>
        <v>D21</v>
      </c>
      <c r="L37" s="69" t="str">
        <f aca="false">_xlfn.xlookup(J37,'Prix MP'!A:A,'Prix MP'!F:F,FALSE())</f>
        <v>D21-1</v>
      </c>
      <c r="M37" s="69" t="str">
        <f aca="false">_xlfn.xlookup(J37,'Prix MP'!A:A,'Prix MP'!D:D,FALSE())</f>
        <v>AKO</v>
      </c>
      <c r="N37" s="61" t="str">
        <f aca="false">_xlfn.xlookup(I37,'Prix vente'!$A:$A,'Prix vente'!$J:$J,"")</f>
        <v>TC DT - Hotmelt Adhesive</v>
      </c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 t="n">
        <v>13</v>
      </c>
      <c r="Z37" s="61"/>
      <c r="AA37" s="61"/>
      <c r="AB37" s="61"/>
      <c r="AC37" s="61"/>
      <c r="AD37" s="61"/>
      <c r="AE37" s="61"/>
      <c r="AF37" s="61"/>
      <c r="AG37" s="61"/>
      <c r="AH37" s="61"/>
      <c r="AI37" s="61" t="str">
        <f aca="false">IF(_xlfn.xlookup(I37,'Prix vente'!$A:$A,'Prix vente'!$O:$O,"")="msi","po","mm")</f>
        <v>po</v>
      </c>
      <c r="AJ37" s="61" t="n">
        <f aca="false">_xlfn.xlookup(I37,'Prix vente'!$A:$A,'Prix vente'!$Q:$Q,"")</f>
        <v>4330</v>
      </c>
      <c r="AK37" s="61" t="str">
        <f aca="false">IF(_xlfn.xlookup(I37,'Prix vente'!$A:$A,'Prix vente'!$O:$O,"")="msi","pi","m")</f>
        <v>pi</v>
      </c>
      <c r="AL37" s="61"/>
      <c r="AM37" s="1" t="n">
        <v>1</v>
      </c>
      <c r="AN37" s="15" t="s">
        <v>551</v>
      </c>
      <c r="AO37" s="1" t="n">
        <v>0</v>
      </c>
      <c r="AQ37" s="15" t="s">
        <v>952</v>
      </c>
      <c r="AR37" s="62" t="n">
        <f aca="false">_xlfn.xlookup(I37,'Prix vente'!A:A,'Prix vente'!B:B,FALSE())</f>
        <v>20012</v>
      </c>
      <c r="AT37" s="212"/>
    </row>
    <row r="38" customFormat="false" ht="16.4" hidden="false" customHeight="false" outlineLevel="0" collapsed="false">
      <c r="A38" s="61" t="s">
        <v>953</v>
      </c>
      <c r="B38" s="1" t="s">
        <v>889</v>
      </c>
      <c r="C38" s="199" t="n">
        <v>45513</v>
      </c>
      <c r="D38" s="9" t="n">
        <v>185</v>
      </c>
      <c r="E38" s="61" t="str">
        <f aca="false">_xlfn.xlookup(D38,'PO Client'!$A:$A,'PO Client'!$C:$C,FALSE())</f>
        <v>Imprimerie Ste-Julie</v>
      </c>
      <c r="F38" s="61"/>
      <c r="G38" s="61" t="n">
        <f aca="false">_xlfn.xlookup(D38,'PO Client'!$A:$A,'PO Client'!$F:$F,FALSE())</f>
        <v>102985</v>
      </c>
      <c r="H38" s="205" t="n">
        <f aca="false">_xlfn.xlookup(D38,'PO Client'!A:A,'PO Client'!L:L,"")</f>
        <v>45518</v>
      </c>
      <c r="I38" s="9" t="n">
        <v>40069</v>
      </c>
      <c r="J38" s="9" t="n">
        <v>30011</v>
      </c>
      <c r="K38" s="62" t="str">
        <f aca="false">_xlfn.xlookup(I38,'Prix vente'!$A:$A,'Prix vente'!$H:$H,"")</f>
        <v>S21</v>
      </c>
      <c r="L38" s="69" t="str">
        <f aca="false">_xlfn.xlookup(J38,'Prix MP'!A:A,'Prix MP'!F:F,FALSE())</f>
        <v>S21-1</v>
      </c>
      <c r="M38" s="69" t="str">
        <f aca="false">_xlfn.xlookup(J38,'Prix MP'!A:A,'Prix MP'!D:D,FALSE())</f>
        <v>AKO</v>
      </c>
      <c r="N38" s="61" t="str">
        <f aca="false">_xlfn.xlookup(I38,'Prix vente'!$A:$A,'Prix vente'!$J:$J,"")</f>
        <v>SG - Hotmelt Adhesive</v>
      </c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 t="s">
        <v>954</v>
      </c>
      <c r="Z38" s="61"/>
      <c r="AA38" s="61"/>
      <c r="AB38" s="61"/>
      <c r="AC38" s="61"/>
      <c r="AD38" s="61"/>
      <c r="AE38" s="61"/>
      <c r="AF38" s="61"/>
      <c r="AG38" s="61"/>
      <c r="AH38" s="61"/>
      <c r="AI38" s="61" t="str">
        <f aca="false">IF(_xlfn.xlookup(I38,'Prix vente'!$A:$A,'Prix vente'!$O:$O,"")="msi","po","mm")</f>
        <v>po</v>
      </c>
      <c r="AJ38" s="61" t="n">
        <f aca="false">_xlfn.xlookup(I38,'Prix vente'!$A:$A,'Prix vente'!$Q:$Q,"")</f>
        <v>5000</v>
      </c>
      <c r="AK38" s="61" t="str">
        <f aca="false">IF(_xlfn.xlookup(I38,'Prix vente'!$A:$A,'Prix vente'!$O:$O,"")="msi","pi","m")</f>
        <v>pi</v>
      </c>
      <c r="AL38" s="61"/>
      <c r="AM38" s="1" t="n">
        <v>6</v>
      </c>
      <c r="AN38" s="15" t="s">
        <v>551</v>
      </c>
      <c r="AO38" s="1" t="n">
        <v>0</v>
      </c>
      <c r="AQ38" s="15" t="s">
        <v>955</v>
      </c>
      <c r="AR38" s="62" t="n">
        <f aca="false">_xlfn.xlookup(I38,'Prix vente'!A:A,'Prix vente'!B:B,FALSE())</f>
        <v>20011</v>
      </c>
      <c r="AS38" s="9" t="n">
        <v>1</v>
      </c>
      <c r="AT38" s="212"/>
    </row>
    <row r="39" customFormat="false" ht="16.4" hidden="false" customHeight="false" outlineLevel="0" collapsed="false">
      <c r="A39" s="61" t="s">
        <v>956</v>
      </c>
      <c r="B39" s="1" t="s">
        <v>889</v>
      </c>
      <c r="C39" s="199" t="n">
        <v>45516</v>
      </c>
      <c r="D39" s="9" t="n">
        <v>186</v>
      </c>
      <c r="E39" s="61" t="str">
        <f aca="false">_xlfn.xlookup(D39,'PO Client'!$A:$A,'PO Client'!$C:$C,FALSE())</f>
        <v>Imprimerie Ste-Julie</v>
      </c>
      <c r="F39" s="61"/>
      <c r="G39" s="61" t="n">
        <f aca="false">_xlfn.xlookup(D39,'PO Client'!$A:$A,'PO Client'!$F:$F,FALSE())</f>
        <v>103001</v>
      </c>
      <c r="H39" s="205" t="n">
        <f aca="false">_xlfn.xlookup(D39,'PO Client'!A:A,'PO Client'!L:L,"")</f>
        <v>45518</v>
      </c>
      <c r="I39" s="9" t="n">
        <v>40067</v>
      </c>
      <c r="J39" s="9" t="n">
        <v>30015</v>
      </c>
      <c r="K39" s="62" t="str">
        <f aca="false">_xlfn.xlookup(I39,'Prix vente'!$A:$A,'Prix vente'!$H:$H,"")</f>
        <v>S15</v>
      </c>
      <c r="L39" s="69" t="str">
        <f aca="false">_xlfn.xlookup(J39,'Prix MP'!A:A,'Prix MP'!F:F,FALSE())</f>
        <v>S15-3</v>
      </c>
      <c r="M39" s="69" t="str">
        <f aca="false">_xlfn.xlookup(J39,'Prix MP'!A:A,'Prix MP'!D:D,FALSE())</f>
        <v>Jinda</v>
      </c>
      <c r="N39" s="61" t="str">
        <f aca="false">_xlfn.xlookup(I39,'Prix vente'!$A:$A,'Prix vente'!$J:$J,"")</f>
        <v>SG - Acrylic Adhesive</v>
      </c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 t="n">
        <f aca="false">_xlfn.xlookup(I39,'Prix vente'!$A:$A,'Prix vente'!$P:$P,"")</f>
        <v>12</v>
      </c>
      <c r="Z39" s="61"/>
      <c r="AA39" s="61"/>
      <c r="AB39" s="61"/>
      <c r="AC39" s="61"/>
      <c r="AD39" s="61"/>
      <c r="AE39" s="61"/>
      <c r="AF39" s="61"/>
      <c r="AG39" s="61"/>
      <c r="AH39" s="61"/>
      <c r="AI39" s="61" t="str">
        <f aca="false">IF(_xlfn.xlookup(I39,'Prix vente'!$A:$A,'Prix vente'!$O:$O,"")="msi","po","mm")</f>
        <v>po</v>
      </c>
      <c r="AJ39" s="61" t="n">
        <f aca="false">_xlfn.xlookup(I39,'Prix vente'!$A:$A,'Prix vente'!$Q:$Q,"")</f>
        <v>5000</v>
      </c>
      <c r="AK39" s="61" t="str">
        <f aca="false">IF(_xlfn.xlookup(I39,'Prix vente'!$A:$A,'Prix vente'!$O:$O,"")="msi","pi","m")</f>
        <v>pi</v>
      </c>
      <c r="AL39" s="61"/>
      <c r="AM39" s="1" t="n">
        <v>5</v>
      </c>
      <c r="AN39" s="15" t="s">
        <v>551</v>
      </c>
      <c r="AO39" s="1" t="n">
        <v>0</v>
      </c>
      <c r="AQ39" s="15" t="s">
        <v>957</v>
      </c>
      <c r="AR39" s="62" t="n">
        <f aca="false">_xlfn.xlookup(I39,'Prix vente'!A:A,'Prix vente'!B:B,FALSE())</f>
        <v>20015</v>
      </c>
      <c r="AS39" s="9" t="n">
        <v>1</v>
      </c>
      <c r="AT39" s="212"/>
    </row>
    <row r="40" customFormat="false" ht="16.4" hidden="false" customHeight="false" outlineLevel="0" collapsed="false">
      <c r="A40" s="61" t="s">
        <v>958</v>
      </c>
      <c r="B40" s="1" t="s">
        <v>889</v>
      </c>
      <c r="C40" s="199" t="n">
        <v>45517</v>
      </c>
      <c r="D40" s="9" t="n">
        <v>187</v>
      </c>
      <c r="E40" s="61" t="str">
        <f aca="false">_xlfn.xlookup(D40,'PO Client'!$A:$A,'PO Client'!$C:$C,FALSE())</f>
        <v>Étiquettes Luso-Flex</v>
      </c>
      <c r="F40" s="61"/>
      <c r="G40" s="61" t="str">
        <f aca="false">_xlfn.xlookup(D40,'PO Client'!$A:$A,'PO Client'!$F:$F,FALSE())</f>
        <v>Échantillon D21</v>
      </c>
      <c r="H40" s="205" t="n">
        <f aca="false">_xlfn.xlookup(D40,'PO Client'!A:A,'PO Client'!L:L,"")</f>
        <v>45517</v>
      </c>
      <c r="I40" s="9" t="n">
        <v>40071</v>
      </c>
      <c r="J40" s="9" t="n">
        <v>30012</v>
      </c>
      <c r="K40" s="62" t="str">
        <f aca="false">_xlfn.xlookup(I40,'Prix vente'!$A:$A,'Prix vente'!$H:$H,"")</f>
        <v>D21</v>
      </c>
      <c r="L40" s="69" t="str">
        <f aca="false">_xlfn.xlookup(J40,'Prix MP'!A:A,'Prix MP'!F:F,FALSE())</f>
        <v>D21-1</v>
      </c>
      <c r="M40" s="69" t="str">
        <f aca="false">_xlfn.xlookup(J40,'Prix MP'!A:A,'Prix MP'!D:D,FALSE())</f>
        <v>AKO</v>
      </c>
      <c r="N40" s="61" t="str">
        <f aca="false">_xlfn.xlookup(I40,'Prix vente'!$A:$A,'Prix vente'!$J:$J,"")</f>
        <v>TC DT - Hotmelt Adhesive</v>
      </c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 t="n">
        <f aca="false">_xlfn.xlookup(I40,'Prix vente'!$A:$A,'Prix vente'!$P:$P,"")</f>
        <v>8.6</v>
      </c>
      <c r="Z40" s="61"/>
      <c r="AA40" s="61"/>
      <c r="AB40" s="61"/>
      <c r="AC40" s="61"/>
      <c r="AD40" s="61"/>
      <c r="AE40" s="61"/>
      <c r="AF40" s="61"/>
      <c r="AG40" s="61"/>
      <c r="AH40" s="61"/>
      <c r="AI40" s="61" t="str">
        <f aca="false">IF(_xlfn.xlookup(I40,'Prix vente'!$A:$A,'Prix vente'!$O:$O,"")="msi","po","mm")</f>
        <v>po</v>
      </c>
      <c r="AJ40" s="61" t="n">
        <f aca="false">_xlfn.xlookup(I40,'Prix vente'!$A:$A,'Prix vente'!$Q:$Q,"")</f>
        <v>4315</v>
      </c>
      <c r="AK40" s="61" t="str">
        <f aca="false">IF(_xlfn.xlookup(I40,'Prix vente'!$A:$A,'Prix vente'!$O:$O,"")="msi","pi","m")</f>
        <v>pi</v>
      </c>
      <c r="AL40" s="61"/>
      <c r="AM40" s="1" t="n">
        <v>1</v>
      </c>
      <c r="AN40" s="15" t="s">
        <v>551</v>
      </c>
      <c r="AQ40" s="15" t="str">
        <f aca="false">"Utiliser la bobine LE-2024067-1 (12po par 4500pi) et la réduire à 8.6po large sur toute la longueur   "&amp;_xlfn.xlookup(E40,Clients!B:B,Clients!V:V)</f>
        <v>Utiliser la bobine LE-2024067-1 (12po par 4500pi) et la réduire à 8.6po large sur toute la longueur   * Livrer les bobines debout</v>
      </c>
      <c r="AR40" s="62" t="n">
        <f aca="false">_xlfn.xlookup(I40,'Prix vente'!A:A,'Prix vente'!B:B,FALSE())</f>
        <v>20012</v>
      </c>
      <c r="AT40" s="212"/>
    </row>
    <row r="41" customFormat="false" ht="16.4" hidden="false" customHeight="false" outlineLevel="0" collapsed="false">
      <c r="A41" s="61" t="s">
        <v>959</v>
      </c>
      <c r="B41" s="1" t="s">
        <v>889</v>
      </c>
      <c r="C41" s="199" t="n">
        <v>45520</v>
      </c>
      <c r="D41" s="9" t="n">
        <v>189</v>
      </c>
      <c r="E41" s="61" t="str">
        <f aca="false">_xlfn.xlookup(D41,'PO Client'!$A:$A,'PO Client'!$C:$C,FALSE())</f>
        <v>Profecta</v>
      </c>
      <c r="F41" s="61"/>
      <c r="G41" s="61" t="str">
        <f aca="false">_xlfn.xlookup(D41,'PO Client'!$A:$A,'PO Client'!$F:$F,FALSE())</f>
        <v>Échantillon B25</v>
      </c>
      <c r="H41" s="205" t="n">
        <f aca="false">_xlfn.xlookup(D41,'PO Client'!A:A,'PO Client'!L:L,"")</f>
        <v>45525</v>
      </c>
      <c r="I41" s="9" t="n">
        <v>40072</v>
      </c>
      <c r="J41" s="9" t="n">
        <v>30017</v>
      </c>
      <c r="K41" s="62" t="str">
        <f aca="false">_xlfn.xlookup(I41,'Prix vente'!$A:$A,'Prix vente'!$H:$H,"")</f>
        <v>B25</v>
      </c>
      <c r="L41" s="69" t="str">
        <f aca="false">_xlfn.xlookup(J41,'Prix MP'!A:A,'Prix MP'!F:F,FALSE())</f>
        <v>B25-3</v>
      </c>
      <c r="M41" s="69" t="str">
        <f aca="false">_xlfn.xlookup(J41,'Prix MP'!A:A,'Prix MP'!D:D,FALSE())</f>
        <v>Jinda</v>
      </c>
      <c r="N41" s="61" t="str">
        <f aca="false">_xlfn.xlookup(I41,'Prix vente'!$A:$A,'Prix vente'!$J:$J,"")</f>
        <v>White BOPP - Acrylic Adhesive</v>
      </c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 t="n">
        <f aca="false">_xlfn.xlookup(I41,'Prix vente'!$A:$A,'Prix vente'!$P:$P,"")</f>
        <v>10</v>
      </c>
      <c r="Z41" s="61"/>
      <c r="AA41" s="61"/>
      <c r="AB41" s="61"/>
      <c r="AC41" s="61"/>
      <c r="AD41" s="61"/>
      <c r="AE41" s="61"/>
      <c r="AF41" s="61"/>
      <c r="AG41" s="61"/>
      <c r="AH41" s="61"/>
      <c r="AI41" s="61" t="str">
        <f aca="false">IF(_xlfn.xlookup(I41,'Prix vente'!$A:$A,'Prix vente'!$O:$O,"")="msi","po","mm")</f>
        <v>po</v>
      </c>
      <c r="AJ41" s="61" t="n">
        <f aca="false">_xlfn.xlookup(I41,'Prix vente'!$A:$A,'Prix vente'!$Q:$Q,"")</f>
        <v>5000</v>
      </c>
      <c r="AK41" s="61" t="str">
        <f aca="false">IF(_xlfn.xlookup(I41,'Prix vente'!$A:$A,'Prix vente'!$O:$O,"")="msi","pi","m")</f>
        <v>pi</v>
      </c>
      <c r="AL41" s="61"/>
      <c r="AM41" s="1" t="n">
        <v>1</v>
      </c>
      <c r="AN41" s="15" t="s">
        <v>551</v>
      </c>
      <c r="AO41" s="1" t="n">
        <v>0</v>
      </c>
      <c r="AQ41" s="15" t="n">
        <f aca="false">_xlfn.xlookup(E41,Clients!B:B,Clients!V:V)</f>
        <v>0</v>
      </c>
      <c r="AR41" s="62" t="n">
        <f aca="false">_xlfn.xlookup(I41,'Prix vente'!A:A,'Prix vente'!B:B,FALSE())</f>
        <v>20017</v>
      </c>
      <c r="AT41" s="212"/>
    </row>
    <row r="42" customFormat="false" ht="16.4" hidden="false" customHeight="false" outlineLevel="0" collapsed="false">
      <c r="A42" s="61" t="s">
        <v>960</v>
      </c>
      <c r="B42" s="1" t="s">
        <v>889</v>
      </c>
      <c r="C42" s="199" t="n">
        <v>45520</v>
      </c>
      <c r="D42" s="9" t="n">
        <v>190</v>
      </c>
      <c r="E42" s="61" t="str">
        <f aca="false">_xlfn.xlookup(D42,'PO Client'!$A:$A,'PO Client'!$C:$C,FALSE())</f>
        <v>Étiquettes Luso-Flex</v>
      </c>
      <c r="F42" s="61"/>
      <c r="G42" s="61" t="str">
        <f aca="false">_xlfn.xlookup(D42,'PO Client'!$A:$A,'PO Client'!$F:$F,FALSE())</f>
        <v>Échantillon B25</v>
      </c>
      <c r="H42" s="205" t="n">
        <f aca="false">_xlfn.xlookup(D42,'PO Client'!A:A,'PO Client'!L:L,"")</f>
        <v>45525</v>
      </c>
      <c r="I42" s="9" t="n">
        <v>40073</v>
      </c>
      <c r="J42" s="9" t="n">
        <v>30017</v>
      </c>
      <c r="K42" s="62" t="str">
        <f aca="false">_xlfn.xlookup(I42,'Prix vente'!$A:$A,'Prix vente'!$H:$H,"")</f>
        <v>B25</v>
      </c>
      <c r="L42" s="69" t="str">
        <f aca="false">_xlfn.xlookup(J42,'Prix MP'!A:A,'Prix MP'!F:F,FALSE())</f>
        <v>B25-3</v>
      </c>
      <c r="M42" s="69" t="str">
        <f aca="false">_xlfn.xlookup(J42,'Prix MP'!A:A,'Prix MP'!D:D,FALSE())</f>
        <v>Jinda</v>
      </c>
      <c r="N42" s="61" t="str">
        <f aca="false">_xlfn.xlookup(I42,'Prix vente'!$A:$A,'Prix vente'!$J:$J,"")</f>
        <v>White BOPP - Acrylic Adhesive</v>
      </c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 t="n">
        <f aca="false">_xlfn.xlookup(I42,'Prix vente'!$A:$A,'Prix vente'!$P:$P,"")</f>
        <v>4.75</v>
      </c>
      <c r="Z42" s="61"/>
      <c r="AA42" s="61"/>
      <c r="AB42" s="61"/>
      <c r="AC42" s="61"/>
      <c r="AD42" s="61"/>
      <c r="AE42" s="61"/>
      <c r="AF42" s="61"/>
      <c r="AG42" s="61"/>
      <c r="AH42" s="61"/>
      <c r="AI42" s="61" t="str">
        <f aca="false">IF(_xlfn.xlookup(I42,'Prix vente'!$A:$A,'Prix vente'!$O:$O,"")="msi","po","mm")</f>
        <v>po</v>
      </c>
      <c r="AJ42" s="61" t="n">
        <f aca="false">_xlfn.xlookup(I42,'Prix vente'!$A:$A,'Prix vente'!$Q:$Q,"")</f>
        <v>5000</v>
      </c>
      <c r="AK42" s="61" t="str">
        <f aca="false">IF(_xlfn.xlookup(I42,'Prix vente'!$A:$A,'Prix vente'!$O:$O,"")="msi","pi","m")</f>
        <v>pi</v>
      </c>
      <c r="AL42" s="61"/>
      <c r="AM42" s="1" t="n">
        <v>1</v>
      </c>
      <c r="AN42" s="15" t="s">
        <v>551</v>
      </c>
      <c r="AO42" s="1" t="n">
        <v>0</v>
      </c>
      <c r="AR42" s="62" t="n">
        <f aca="false">_xlfn.xlookup(I42,'Prix vente'!A:A,'Prix vente'!B:B,FALSE())</f>
        <v>20017</v>
      </c>
      <c r="AT42" s="212"/>
    </row>
    <row r="43" customFormat="false" ht="16.4" hidden="false" customHeight="false" outlineLevel="0" collapsed="false">
      <c r="A43" s="61" t="s">
        <v>961</v>
      </c>
      <c r="B43" s="1" t="s">
        <v>889</v>
      </c>
      <c r="C43" s="199" t="n">
        <v>45520</v>
      </c>
      <c r="D43" s="9" t="n">
        <v>191</v>
      </c>
      <c r="E43" s="61" t="str">
        <f aca="false">_xlfn.xlookup(D43,'PO Client'!$A:$A,'PO Client'!$C:$C,FALSE())</f>
        <v>Étiquettes Corsair</v>
      </c>
      <c r="F43" s="61"/>
      <c r="G43" s="61" t="str">
        <f aca="false">_xlfn.xlookup(D43,'PO Client'!$A:$A,'PO Client'!$F:$F,FALSE())</f>
        <v>Échantillon D21</v>
      </c>
      <c r="H43" s="205" t="n">
        <f aca="false">_xlfn.xlookup(D43,'PO Client'!A:A,'PO Client'!L:L,"")</f>
        <v>45525</v>
      </c>
      <c r="I43" s="9" t="n">
        <v>40074</v>
      </c>
      <c r="J43" s="9" t="n">
        <v>30012</v>
      </c>
      <c r="K43" s="62" t="str">
        <f aca="false">_xlfn.xlookup(I43,'Prix vente'!$A:$A,'Prix vente'!$H:$H,"")</f>
        <v>D21</v>
      </c>
      <c r="L43" s="69" t="str">
        <f aca="false">_xlfn.xlookup(J43,'Prix MP'!A:A,'Prix MP'!F:F,FALSE())</f>
        <v>D21-1</v>
      </c>
      <c r="M43" s="69" t="str">
        <f aca="false">_xlfn.xlookup(J43,'Prix MP'!A:A,'Prix MP'!D:D,FALSE())</f>
        <v>AKO</v>
      </c>
      <c r="N43" s="61" t="str">
        <f aca="false">_xlfn.xlookup(I43,'Prix vente'!$A:$A,'Prix vente'!$J:$J,"")</f>
        <v>TC DT - Hotmelt Adhesive</v>
      </c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 t="n">
        <f aca="false">_xlfn.xlookup(I43,'Prix vente'!$A:$A,'Prix vente'!$P:$P,"")</f>
        <v>8.75</v>
      </c>
      <c r="Z43" s="61"/>
      <c r="AA43" s="61"/>
      <c r="AB43" s="61"/>
      <c r="AC43" s="61"/>
      <c r="AD43" s="61"/>
      <c r="AE43" s="61"/>
      <c r="AF43" s="61"/>
      <c r="AG43" s="61"/>
      <c r="AH43" s="61"/>
      <c r="AI43" s="61" t="str">
        <f aca="false">IF(_xlfn.xlookup(I43,'Prix vente'!$A:$A,'Prix vente'!$O:$O,"")="msi","po","mm")</f>
        <v>po</v>
      </c>
      <c r="AJ43" s="61" t="n">
        <f aca="false">_xlfn.xlookup(I43,'Prix vente'!$A:$A,'Prix vente'!$Q:$Q,"")</f>
        <v>4300</v>
      </c>
      <c r="AK43" s="61" t="str">
        <f aca="false">IF(_xlfn.xlookup(I43,'Prix vente'!$A:$A,'Prix vente'!$O:$O,"")="msi","pi","m")</f>
        <v>pi</v>
      </c>
      <c r="AL43" s="61"/>
      <c r="AM43" s="1" t="n">
        <v>1</v>
      </c>
      <c r="AN43" s="15" t="s">
        <v>551</v>
      </c>
      <c r="AQ43" s="15" t="s">
        <v>962</v>
      </c>
      <c r="AR43" s="62" t="n">
        <f aca="false">_xlfn.xlookup(I43,'Prix vente'!A:A,'Prix vente'!B:B,FALSE())</f>
        <v>20012</v>
      </c>
      <c r="AT43" s="212"/>
    </row>
    <row r="44" customFormat="false" ht="16.4" hidden="false" customHeight="false" outlineLevel="0" collapsed="false">
      <c r="A44" s="61" t="s">
        <v>963</v>
      </c>
      <c r="B44" s="1" t="s">
        <v>889</v>
      </c>
      <c r="C44" s="199" t="n">
        <v>45520</v>
      </c>
      <c r="D44" s="9" t="n">
        <v>192</v>
      </c>
      <c r="E44" s="61" t="str">
        <f aca="false">_xlfn.xlookup(D44,'PO Client'!$A:$A,'PO Client'!$C:$C,FALSE())</f>
        <v>ÉTIQUETTES MULTI-FLEX</v>
      </c>
      <c r="F44" s="61"/>
      <c r="G44" s="61" t="str">
        <f aca="false">_xlfn.xlookup(D44,'PO Client'!$A:$A,'PO Client'!$F:$F,FALSE())</f>
        <v>Échantillons S15</v>
      </c>
      <c r="H44" s="205" t="n">
        <f aca="false">_xlfn.xlookup(D44,'PO Client'!A:A,'PO Client'!L:L,"")</f>
        <v>45526</v>
      </c>
      <c r="I44" s="9" t="n">
        <v>40075</v>
      </c>
      <c r="J44" s="9" t="n">
        <v>30015</v>
      </c>
      <c r="K44" s="62" t="str">
        <f aca="false">_xlfn.xlookup(I44,'Prix vente'!$A:$A,'Prix vente'!$H:$H,"")</f>
        <v>S15</v>
      </c>
      <c r="L44" s="69" t="str">
        <f aca="false">_xlfn.xlookup(J44,'Prix MP'!A:A,'Prix MP'!F:F,FALSE())</f>
        <v>S15-3</v>
      </c>
      <c r="M44" s="69" t="str">
        <f aca="false">_xlfn.xlookup(J44,'Prix MP'!A:A,'Prix MP'!D:D,FALSE())</f>
        <v>Jinda</v>
      </c>
      <c r="N44" s="61" t="str">
        <f aca="false">_xlfn.xlookup(I44,'Prix vente'!$A:$A,'Prix vente'!$J:$J,"")</f>
        <v>SG - Acrylic Adhesive</v>
      </c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 t="s">
        <v>945</v>
      </c>
      <c r="Z44" s="61"/>
      <c r="AA44" s="61"/>
      <c r="AB44" s="61"/>
      <c r="AC44" s="61"/>
      <c r="AD44" s="61"/>
      <c r="AE44" s="61"/>
      <c r="AF44" s="61"/>
      <c r="AG44" s="61"/>
      <c r="AH44" s="61"/>
      <c r="AI44" s="61" t="str">
        <f aca="false">IF(_xlfn.xlookup(I44,'Prix vente'!$A:$A,'Prix vente'!$O:$O,"")="msi","po","mm")</f>
        <v>po</v>
      </c>
      <c r="AJ44" s="61" t="n">
        <f aca="false">_xlfn.xlookup(I44,'Prix vente'!$A:$A,'Prix vente'!$Q:$Q,"")</f>
        <v>3700</v>
      </c>
      <c r="AK44" s="61" t="str">
        <f aca="false">IF(_xlfn.xlookup(I44,'Prix vente'!$A:$A,'Prix vente'!$O:$O,"")="msi","pi","m")</f>
        <v>pi</v>
      </c>
      <c r="AL44" s="61"/>
      <c r="AM44" s="1" t="n">
        <v>2</v>
      </c>
      <c r="AN44" s="15" t="s">
        <v>551</v>
      </c>
      <c r="AQ44" s="15" t="s">
        <v>964</v>
      </c>
      <c r="AR44" s="62" t="n">
        <f aca="false">_xlfn.xlookup(I44,'Prix vente'!A:A,'Prix vente'!B:B,FALSE())</f>
        <v>20015</v>
      </c>
      <c r="AT44" s="212"/>
    </row>
    <row r="45" customFormat="false" ht="16.4" hidden="false" customHeight="false" outlineLevel="0" collapsed="false">
      <c r="A45" s="61" t="s">
        <v>965</v>
      </c>
      <c r="B45" s="1" t="s">
        <v>889</v>
      </c>
      <c r="C45" s="199" t="n">
        <v>45524</v>
      </c>
      <c r="D45" s="9" t="n">
        <v>193</v>
      </c>
      <c r="E45" s="61" t="str">
        <f aca="false">_xlfn.xlookup(D45,'PO Client'!$A:$A,'PO Client'!$C:$C,FALSE())</f>
        <v>Digi America Inc.</v>
      </c>
      <c r="F45" s="61"/>
      <c r="G45" s="61" t="n">
        <f aca="false">_xlfn.xlookup(D45,'PO Client'!$A:$A,'PO Client'!$F:$F,FALSE())</f>
        <v>50008448</v>
      </c>
      <c r="H45" s="205" t="n">
        <f aca="false">_xlfn.xlookup(D45,'PO Client'!A:A,'PO Client'!L:L,"")</f>
        <v>45527</v>
      </c>
      <c r="I45" s="9" t="n">
        <v>40054</v>
      </c>
      <c r="J45" s="9" t="n">
        <v>30013</v>
      </c>
      <c r="K45" s="62" t="str">
        <f aca="false">_xlfn.xlookup(I45,'Prix vente'!$A:$A,'Prix vente'!$H:$H,"")</f>
        <v>D16</v>
      </c>
      <c r="L45" s="69" t="str">
        <f aca="false">_xlfn.xlookup(J45,'Prix MP'!A:A,'Prix MP'!F:F,FALSE())</f>
        <v>D11-1</v>
      </c>
      <c r="M45" s="69" t="str">
        <f aca="false">_xlfn.xlookup(J45,'Prix MP'!A:A,'Prix MP'!D:D,FALSE())</f>
        <v>AKO</v>
      </c>
      <c r="N45" s="61" t="str">
        <f aca="false">_xlfn.xlookup(I45,'Prix vente'!$A:$A,'Prix vente'!$J:$J,"")</f>
        <v>DT Paper, Acrylic adhesive</v>
      </c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 t="n">
        <f aca="false">_xlfn.xlookup(I45,'Prix vente'!$A:$A,'Prix vente'!$P:$P,"")</f>
        <v>9</v>
      </c>
      <c r="Z45" s="61"/>
      <c r="AA45" s="61"/>
      <c r="AB45" s="61"/>
      <c r="AC45" s="61"/>
      <c r="AD45" s="61"/>
      <c r="AE45" s="61"/>
      <c r="AF45" s="61"/>
      <c r="AG45" s="61"/>
      <c r="AH45" s="61"/>
      <c r="AI45" s="61" t="str">
        <f aca="false">IF(_xlfn.xlookup(I45,'Prix vente'!$A:$A,'Prix vente'!$O:$O,"")="msi","po","mm")</f>
        <v>po</v>
      </c>
      <c r="AJ45" s="61" t="n">
        <f aca="false">_xlfn.xlookup(I45,'Prix vente'!$A:$A,'Prix vente'!$Q:$Q,"")</f>
        <v>5000</v>
      </c>
      <c r="AK45" s="61" t="str">
        <f aca="false">IF(_xlfn.xlookup(I45,'Prix vente'!$A:$A,'Prix vente'!$O:$O,"")="msi","pi","m")</f>
        <v>pi</v>
      </c>
      <c r="AL45" s="61"/>
      <c r="AM45" s="1" t="n">
        <v>24</v>
      </c>
      <c r="AN45" s="15" t="s">
        <v>551</v>
      </c>
      <c r="AO45" s="1" t="n">
        <v>24</v>
      </c>
      <c r="AQ45" s="15" t="s">
        <v>966</v>
      </c>
      <c r="AR45" s="62" t="n">
        <f aca="false">_xlfn.xlookup(I45,'Prix vente'!A:A,'Prix vente'!B:B,FALSE())</f>
        <v>20013</v>
      </c>
      <c r="AS45" s="9" t="n">
        <v>1</v>
      </c>
      <c r="AT45" s="212"/>
    </row>
    <row r="46" customFormat="false" ht="16.4" hidden="false" customHeight="false" outlineLevel="0" collapsed="false">
      <c r="A46" s="61" t="s">
        <v>967</v>
      </c>
      <c r="B46" s="1" t="s">
        <v>889</v>
      </c>
      <c r="C46" s="199" t="n">
        <v>45525</v>
      </c>
      <c r="D46" s="9" t="n">
        <v>194</v>
      </c>
      <c r="E46" s="61" t="str">
        <f aca="false">_xlfn.xlookup(D46,'PO Client'!$A:$A,'PO Client'!$C:$C,FALSE())</f>
        <v>Étiquettes Luso-Flex</v>
      </c>
      <c r="F46" s="61"/>
      <c r="G46" s="61" t="n">
        <f aca="false">_xlfn.xlookup(D46,'PO Client'!$A:$A,'PO Client'!$F:$F,FALSE())</f>
        <v>1910</v>
      </c>
      <c r="H46" s="205" t="n">
        <f aca="false">_xlfn.xlookup(D46,'PO Client'!A:A,'PO Client'!L:L,"")</f>
        <v>45530</v>
      </c>
      <c r="I46" s="9" t="n">
        <v>40060</v>
      </c>
      <c r="J46" s="9" t="n">
        <v>30012</v>
      </c>
      <c r="K46" s="62" t="str">
        <f aca="false">_xlfn.xlookup(I46,'Prix vente'!$A:$A,'Prix vente'!$H:$H,"")</f>
        <v>D21</v>
      </c>
      <c r="L46" s="69" t="str">
        <f aca="false">_xlfn.xlookup(J46,'Prix MP'!A:A,'Prix MP'!F:F,FALSE())</f>
        <v>D21-1</v>
      </c>
      <c r="M46" s="69" t="str">
        <f aca="false">_xlfn.xlookup(J46,'Prix MP'!A:A,'Prix MP'!D:D,FALSE())</f>
        <v>AKO</v>
      </c>
      <c r="N46" s="61" t="str">
        <f aca="false">_xlfn.xlookup(I46,'Prix vente'!$A:$A,'Prix vente'!$J:$J,"")</f>
        <v>TC DT - Hotmelt Adhesive</v>
      </c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 t="n">
        <f aca="false">_xlfn.xlookup(I46,'Prix vente'!$A:$A,'Prix vente'!$P:$P,"")</f>
        <v>8.75</v>
      </c>
      <c r="Z46" s="61"/>
      <c r="AA46" s="61"/>
      <c r="AB46" s="61"/>
      <c r="AC46" s="61"/>
      <c r="AD46" s="61"/>
      <c r="AE46" s="61"/>
      <c r="AF46" s="61"/>
      <c r="AG46" s="61"/>
      <c r="AH46" s="61"/>
      <c r="AI46" s="61" t="str">
        <f aca="false">IF(_xlfn.xlookup(I46,'Prix vente'!$A:$A,'Prix vente'!$O:$O,"")="msi","po","mm")</f>
        <v>po</v>
      </c>
      <c r="AJ46" s="61" t="n">
        <f aca="false">_xlfn.xlookup(I46,'Prix vente'!$A:$A,'Prix vente'!$Q:$Q,"")</f>
        <v>10000</v>
      </c>
      <c r="AK46" s="61" t="str">
        <f aca="false">IF(_xlfn.xlookup(I46,'Prix vente'!$A:$A,'Prix vente'!$O:$O,"")="msi","pi","m")</f>
        <v>pi</v>
      </c>
      <c r="AL46" s="61"/>
      <c r="AM46" s="1" t="n">
        <v>6</v>
      </c>
      <c r="AN46" s="15" t="s">
        <v>551</v>
      </c>
      <c r="AO46" s="1" t="n">
        <v>0</v>
      </c>
      <c r="AQ46" s="15" t="s">
        <v>968</v>
      </c>
      <c r="AR46" s="62" t="n">
        <f aca="false">_xlfn.xlookup(I46,'Prix vente'!A:A,'Prix vente'!B:B,FALSE())</f>
        <v>20012</v>
      </c>
      <c r="AS46" s="9" t="n">
        <v>1</v>
      </c>
      <c r="AT46" s="212"/>
    </row>
    <row r="47" customFormat="false" ht="16.4" hidden="false" customHeight="false" outlineLevel="0" collapsed="false">
      <c r="A47" s="61" t="s">
        <v>969</v>
      </c>
      <c r="B47" s="1" t="s">
        <v>889</v>
      </c>
      <c r="C47" s="199" t="n">
        <v>45527</v>
      </c>
      <c r="D47" s="9" t="n">
        <v>195</v>
      </c>
      <c r="E47" s="61" t="str">
        <f aca="false">_xlfn.xlookup(D47,'PO Client'!$A:$A,'PO Client'!$C:$C,FALSE())</f>
        <v>Imprimerie Ste-Julie</v>
      </c>
      <c r="F47" s="61"/>
      <c r="G47" s="61" t="n">
        <f aca="false">_xlfn.xlookup(D47,'PO Client'!$A:$A,'PO Client'!$F:$F,FALSE())</f>
        <v>103322</v>
      </c>
      <c r="H47" s="205" t="n">
        <f aca="false">_xlfn.xlookup(D47,'PO Client'!A:A,'PO Client'!L:L,"")</f>
        <v>45532</v>
      </c>
      <c r="I47" s="9" t="n">
        <v>40048</v>
      </c>
      <c r="J47" s="9" t="n">
        <v>30011</v>
      </c>
      <c r="K47" s="62" t="str">
        <f aca="false">_xlfn.xlookup(I47,'Prix vente'!$A:$A,'Prix vente'!$H:$H,"")</f>
        <v>S21</v>
      </c>
      <c r="L47" s="69" t="str">
        <f aca="false">_xlfn.xlookup(J47,'Prix MP'!A:A,'Prix MP'!F:F,FALSE())</f>
        <v>S21-1</v>
      </c>
      <c r="M47" s="69" t="str">
        <f aca="false">_xlfn.xlookup(J47,'Prix MP'!A:A,'Prix MP'!D:D,FALSE())</f>
        <v>AKO</v>
      </c>
      <c r="N47" s="61" t="str">
        <f aca="false">_xlfn.xlookup(I47,'Prix vente'!$A:$A,'Prix vente'!$J:$J,"")</f>
        <v>SG - Hotmelt Adhesive</v>
      </c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 t="n">
        <f aca="false">_xlfn.xlookup(I47,'Prix vente'!$A:$A,'Prix vente'!$P:$P,"")</f>
        <v>12</v>
      </c>
      <c r="Z47" s="61"/>
      <c r="AA47" s="61"/>
      <c r="AB47" s="61"/>
      <c r="AC47" s="61"/>
      <c r="AD47" s="61"/>
      <c r="AE47" s="61"/>
      <c r="AF47" s="61"/>
      <c r="AG47" s="61"/>
      <c r="AH47" s="61"/>
      <c r="AI47" s="61" t="str">
        <f aca="false">IF(_xlfn.xlookup(I47,'Prix vente'!$A:$A,'Prix vente'!$O:$O,"")="msi","po","mm")</f>
        <v>po</v>
      </c>
      <c r="AJ47" s="61" t="n">
        <f aca="false">_xlfn.xlookup(I47,'Prix vente'!$A:$A,'Prix vente'!$Q:$Q,"")</f>
        <v>5000</v>
      </c>
      <c r="AK47" s="61" t="str">
        <f aca="false">IF(_xlfn.xlookup(I47,'Prix vente'!$A:$A,'Prix vente'!$O:$O,"")="msi","pi","m")</f>
        <v>pi</v>
      </c>
      <c r="AL47" s="61"/>
      <c r="AM47" s="1" t="n">
        <v>10</v>
      </c>
      <c r="AN47" s="15" t="s">
        <v>551</v>
      </c>
      <c r="AO47" s="1" t="n">
        <v>0</v>
      </c>
      <c r="AQ47" s="15" t="s">
        <v>970</v>
      </c>
      <c r="AR47" s="62" t="n">
        <f aca="false">_xlfn.xlookup(I47,'Prix vente'!A:A,'Prix vente'!B:B,FALSE())</f>
        <v>20011</v>
      </c>
      <c r="AS47" s="9" t="s">
        <v>971</v>
      </c>
      <c r="AT47" s="212"/>
    </row>
    <row r="48" customFormat="false" ht="16.4" hidden="false" customHeight="false" outlineLevel="0" collapsed="false">
      <c r="A48" s="61" t="s">
        <v>972</v>
      </c>
      <c r="B48" s="1" t="s">
        <v>889</v>
      </c>
      <c r="C48" s="199" t="n">
        <v>45527</v>
      </c>
      <c r="D48" s="9" t="n">
        <v>196</v>
      </c>
      <c r="E48" s="61" t="str">
        <f aca="false">_xlfn.xlookup(D48,'PO Client'!$A:$A,'PO Client'!$C:$C,FALSE())</f>
        <v>Emballages Mijo</v>
      </c>
      <c r="F48" s="61"/>
      <c r="G48" s="61" t="str">
        <f aca="false">_xlfn.xlookup(D48,'PO Client'!$A:$A,'PO Client'!$F:$F,FALSE())</f>
        <v>Échantillons S15 et B25</v>
      </c>
      <c r="H48" s="205" t="n">
        <f aca="false">_xlfn.xlookup(D48,'PO Client'!A:A,'PO Client'!L:L,"")</f>
        <v>45532</v>
      </c>
      <c r="I48" s="9" t="n">
        <v>40077</v>
      </c>
      <c r="J48" s="9" t="n">
        <v>30015</v>
      </c>
      <c r="K48" s="62" t="str">
        <f aca="false">_xlfn.xlookup(I48,'Prix vente'!$A:$A,'Prix vente'!$H:$H,"")</f>
        <v>S15</v>
      </c>
      <c r="L48" s="69" t="str">
        <f aca="false">_xlfn.xlookup(J48,'Prix MP'!A:A,'Prix MP'!F:F,FALSE())</f>
        <v>S15-3</v>
      </c>
      <c r="M48" s="69" t="str">
        <f aca="false">_xlfn.xlookup(J48,'Prix MP'!A:A,'Prix MP'!D:D,FALSE())</f>
        <v>Jinda</v>
      </c>
      <c r="N48" s="61" t="str">
        <f aca="false">_xlfn.xlookup(I48,'Prix vente'!$A:$A,'Prix vente'!$J:$J,"")</f>
        <v>SG - Acrylic Adhesive</v>
      </c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 t="n">
        <f aca="false">_xlfn.xlookup(I48,'Prix vente'!$A:$A,'Prix vente'!$P:$P,"")</f>
        <v>10.75</v>
      </c>
      <c r="Z48" s="61"/>
      <c r="AA48" s="61"/>
      <c r="AB48" s="61"/>
      <c r="AC48" s="61"/>
      <c r="AD48" s="61"/>
      <c r="AE48" s="61"/>
      <c r="AF48" s="61"/>
      <c r="AG48" s="61"/>
      <c r="AH48" s="61"/>
      <c r="AI48" s="61" t="str">
        <f aca="false">IF(_xlfn.xlookup(I48,'Prix vente'!$A:$A,'Prix vente'!$O:$O,"")="msi","po","mm")</f>
        <v>po</v>
      </c>
      <c r="AJ48" s="61" t="n">
        <f aca="false">_xlfn.xlookup(I48,'Prix vente'!$A:$A,'Prix vente'!$Q:$Q,"")</f>
        <v>5000</v>
      </c>
      <c r="AK48" s="61" t="str">
        <f aca="false">IF(_xlfn.xlookup(I48,'Prix vente'!$A:$A,'Prix vente'!$O:$O,"")="msi","pi","m")</f>
        <v>pi</v>
      </c>
      <c r="AL48" s="61"/>
      <c r="AM48" s="1" t="n">
        <v>1</v>
      </c>
      <c r="AN48" s="15" t="s">
        <v>551</v>
      </c>
      <c r="AQ48" s="15" t="s">
        <v>973</v>
      </c>
      <c r="AR48" s="62" t="n">
        <f aca="false">_xlfn.xlookup(I48,'Prix vente'!A:A,'Prix vente'!B:B,FALSE())</f>
        <v>20015</v>
      </c>
      <c r="AS48" s="9" t="n">
        <v>0</v>
      </c>
      <c r="AT48" s="212"/>
    </row>
    <row r="49" customFormat="false" ht="16.4" hidden="false" customHeight="false" outlineLevel="0" collapsed="false">
      <c r="A49" s="61" t="s">
        <v>974</v>
      </c>
      <c r="B49" s="1" t="s">
        <v>889</v>
      </c>
      <c r="C49" s="199" t="n">
        <v>45527</v>
      </c>
      <c r="D49" s="9" t="n">
        <v>196</v>
      </c>
      <c r="E49" s="61" t="str">
        <f aca="false">_xlfn.xlookup(D49,'PO Client'!$A:$A,'PO Client'!$C:$C,FALSE())</f>
        <v>Emballages Mijo</v>
      </c>
      <c r="F49" s="61"/>
      <c r="G49" s="61" t="str">
        <f aca="false">_xlfn.xlookup(D49,'PO Client'!$A:$A,'PO Client'!$F:$F,FALSE())</f>
        <v>Échantillons S15 et B25</v>
      </c>
      <c r="H49" s="205" t="n">
        <f aca="false">_xlfn.xlookup(D49,'PO Client'!A:A,'PO Client'!L:L,"")</f>
        <v>45532</v>
      </c>
      <c r="I49" s="9" t="n">
        <v>40078</v>
      </c>
      <c r="J49" s="9" t="n">
        <v>30017</v>
      </c>
      <c r="K49" s="62" t="str">
        <f aca="false">_xlfn.xlookup(I49,'Prix vente'!$A:$A,'Prix vente'!$H:$H,"")</f>
        <v>B25</v>
      </c>
      <c r="L49" s="69" t="str">
        <f aca="false">_xlfn.xlookup(J49,'Prix MP'!A:A,'Prix MP'!F:F,FALSE())</f>
        <v>B25-3</v>
      </c>
      <c r="M49" s="69" t="str">
        <f aca="false">_xlfn.xlookup(J49,'Prix MP'!A:A,'Prix MP'!D:D,FALSE())</f>
        <v>Jinda</v>
      </c>
      <c r="N49" s="61" t="str">
        <f aca="false">_xlfn.xlookup(I49,'Prix vente'!$A:$A,'Prix vente'!$J:$J,"")</f>
        <v>White BOPP - Acrylic Adhesive</v>
      </c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 t="n">
        <f aca="false">_xlfn.xlookup(I49,'Prix vente'!$A:$A,'Prix vente'!$P:$P,"")</f>
        <v>9</v>
      </c>
      <c r="Z49" s="61"/>
      <c r="AA49" s="61"/>
      <c r="AB49" s="61"/>
      <c r="AC49" s="61"/>
      <c r="AD49" s="61"/>
      <c r="AE49" s="61"/>
      <c r="AF49" s="61"/>
      <c r="AG49" s="61"/>
      <c r="AH49" s="61"/>
      <c r="AI49" s="61" t="str">
        <f aca="false">IF(_xlfn.xlookup(I49,'Prix vente'!$A:$A,'Prix vente'!$O:$O,"")="msi","po","mm")</f>
        <v>po</v>
      </c>
      <c r="AJ49" s="61" t="n">
        <f aca="false">_xlfn.xlookup(I49,'Prix vente'!$A:$A,'Prix vente'!$Q:$Q,"")</f>
        <v>5000</v>
      </c>
      <c r="AK49" s="61" t="str">
        <f aca="false">IF(_xlfn.xlookup(I49,'Prix vente'!$A:$A,'Prix vente'!$O:$O,"")="msi","pi","m")</f>
        <v>pi</v>
      </c>
      <c r="AL49" s="61"/>
      <c r="AM49" s="1" t="n">
        <v>1</v>
      </c>
      <c r="AN49" s="15" t="s">
        <v>551</v>
      </c>
      <c r="AQ49" s="15" t="s">
        <v>975</v>
      </c>
      <c r="AR49" s="62" t="n">
        <f aca="false">_xlfn.xlookup(I49,'Prix vente'!A:A,'Prix vente'!B:B,FALSE())</f>
        <v>20017</v>
      </c>
      <c r="AS49" s="9" t="n">
        <v>0</v>
      </c>
      <c r="AT49" s="212"/>
    </row>
    <row r="50" customFormat="false" ht="16.4" hidden="false" customHeight="false" outlineLevel="0" collapsed="false">
      <c r="A50" s="61" t="s">
        <v>976</v>
      </c>
      <c r="B50" s="1" t="s">
        <v>889</v>
      </c>
      <c r="C50" s="199" t="n">
        <v>45530</v>
      </c>
      <c r="D50" s="9" t="n">
        <v>197</v>
      </c>
      <c r="E50" s="61" t="str">
        <f aca="false">_xlfn.xlookup(D50,'PO Client'!$A:$A,'PO Client'!$C:$C,FALSE())</f>
        <v>Digi America Inc.</v>
      </c>
      <c r="F50" s="61"/>
      <c r="G50" s="61" t="n">
        <f aca="false">_xlfn.xlookup(D50,'PO Client'!$A:$A,'PO Client'!$F:$F,FALSE())</f>
        <v>50008482</v>
      </c>
      <c r="H50" s="205" t="n">
        <f aca="false">_xlfn.xlookup(D50,'PO Client'!A:A,'PO Client'!L:L,"")</f>
        <v>45541</v>
      </c>
      <c r="I50" s="9" t="n">
        <v>40033</v>
      </c>
      <c r="J50" s="9" t="n">
        <v>30013</v>
      </c>
      <c r="K50" s="62" t="str">
        <f aca="false">_xlfn.xlookup(I50,'Prix vente'!$A:$A,'Prix vente'!$H:$H,"")</f>
        <v>D16</v>
      </c>
      <c r="L50" s="69" t="str">
        <f aca="false">_xlfn.xlookup(J50,'Prix MP'!A:A,'Prix MP'!F:F,FALSE())</f>
        <v>D11-1</v>
      </c>
      <c r="M50" s="69" t="str">
        <f aca="false">_xlfn.xlookup(J50,'Prix MP'!A:A,'Prix MP'!D:D,FALSE())</f>
        <v>AKO</v>
      </c>
      <c r="N50" s="61" t="str">
        <f aca="false">_xlfn.xlookup(I50,'Prix vente'!$A:$A,'Prix vente'!$J:$J,"")</f>
        <v>DT Paper (Acrylic adhesive)</v>
      </c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 t="n">
        <f aca="false">_xlfn.xlookup(I50,'Prix vente'!$A:$A,'Prix vente'!$P:$P,"")</f>
        <v>10</v>
      </c>
      <c r="Z50" s="61"/>
      <c r="AA50" s="61"/>
      <c r="AB50" s="61"/>
      <c r="AC50" s="61"/>
      <c r="AD50" s="61"/>
      <c r="AE50" s="61"/>
      <c r="AF50" s="61"/>
      <c r="AG50" s="61"/>
      <c r="AH50" s="61"/>
      <c r="AI50" s="61" t="str">
        <f aca="false">IF(_xlfn.xlookup(I50,'Prix vente'!$A:$A,'Prix vente'!$O:$O,"")="msi","po","mm")</f>
        <v>po</v>
      </c>
      <c r="AJ50" s="61" t="n">
        <f aca="false">_xlfn.xlookup(I50,'Prix vente'!$A:$A,'Prix vente'!$Q:$Q,"")</f>
        <v>5000</v>
      </c>
      <c r="AK50" s="61" t="str">
        <f aca="false">IF(_xlfn.xlookup(I50,'Prix vente'!$A:$A,'Prix vente'!$O:$O,"")="msi","pi","m")</f>
        <v>pi</v>
      </c>
      <c r="AL50" s="61"/>
      <c r="AM50" s="1" t="n">
        <v>28</v>
      </c>
      <c r="AN50" s="15" t="s">
        <v>524</v>
      </c>
      <c r="AO50" s="1" t="n">
        <v>0</v>
      </c>
      <c r="AQ50" s="15" t="s">
        <v>977</v>
      </c>
      <c r="AR50" s="62" t="n">
        <f aca="false">_xlfn.xlookup(I50,'Prix vente'!A:A,'Prix vente'!B:B,FALSE())</f>
        <v>20013</v>
      </c>
      <c r="AS50" s="9" t="n">
        <v>1</v>
      </c>
      <c r="AT50" s="212"/>
      <c r="AU50" s="71"/>
    </row>
    <row r="51" customFormat="false" ht="16.4" hidden="false" customHeight="false" outlineLevel="0" collapsed="false">
      <c r="A51" s="61" t="s">
        <v>978</v>
      </c>
      <c r="B51" s="1" t="s">
        <v>889</v>
      </c>
      <c r="C51" s="199" t="n">
        <v>45530</v>
      </c>
      <c r="D51" s="9" t="n">
        <v>198</v>
      </c>
      <c r="E51" s="61" t="str">
        <f aca="false">_xlfn.xlookup(D51,'PO Client'!$A:$A,'PO Client'!$C:$C,FALSE())</f>
        <v>Étiquettes Luso-Flex</v>
      </c>
      <c r="F51" s="61"/>
      <c r="G51" s="61" t="n">
        <f aca="false">_xlfn.xlookup(D51,'PO Client'!$A:$A,'PO Client'!$F:$F,FALSE())</f>
        <v>1911</v>
      </c>
      <c r="H51" s="205" t="n">
        <f aca="false">_xlfn.xlookup(D51,'PO Client'!A:A,'PO Client'!L:L,"")</f>
        <v>45532</v>
      </c>
      <c r="I51" s="9" t="n">
        <v>40060</v>
      </c>
      <c r="J51" s="9" t="n">
        <v>30012</v>
      </c>
      <c r="K51" s="62" t="str">
        <f aca="false">_xlfn.xlookup(I51,'Prix vente'!$A:$A,'Prix vente'!$H:$H,"")</f>
        <v>D21</v>
      </c>
      <c r="L51" s="69" t="str">
        <f aca="false">_xlfn.xlookup(J51,'Prix MP'!A:A,'Prix MP'!F:F,FALSE())</f>
        <v>D21-1</v>
      </c>
      <c r="M51" s="69" t="str">
        <f aca="false">_xlfn.xlookup(J51,'Prix MP'!A:A,'Prix MP'!D:D,FALSE())</f>
        <v>AKO</v>
      </c>
      <c r="N51" s="61" t="str">
        <f aca="false">_xlfn.xlookup(I51,'Prix vente'!$A:$A,'Prix vente'!$J:$J,"")</f>
        <v>TC DT - Hotmelt Adhesive</v>
      </c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 t="n">
        <f aca="false">_xlfn.xlookup(I51,'Prix vente'!$A:$A,'Prix vente'!$P:$P,"")</f>
        <v>8.75</v>
      </c>
      <c r="Z51" s="61"/>
      <c r="AA51" s="61"/>
      <c r="AB51" s="61"/>
      <c r="AC51" s="61"/>
      <c r="AD51" s="61"/>
      <c r="AE51" s="61"/>
      <c r="AF51" s="61"/>
      <c r="AG51" s="61"/>
      <c r="AH51" s="61"/>
      <c r="AI51" s="61" t="str">
        <f aca="false">IF(_xlfn.xlookup(I51,'Prix vente'!$A:$A,'Prix vente'!$O:$O,"")="msi","po","mm")</f>
        <v>po</v>
      </c>
      <c r="AJ51" s="61" t="n">
        <f aca="false">_xlfn.xlookup(I51,'Prix vente'!$A:$A,'Prix vente'!$Q:$Q,"")</f>
        <v>10000</v>
      </c>
      <c r="AK51" s="61" t="str">
        <f aca="false">IF(_xlfn.xlookup(I51,'Prix vente'!$A:$A,'Prix vente'!$O:$O,"")="msi","pi","m")</f>
        <v>pi</v>
      </c>
      <c r="AL51" s="61"/>
      <c r="AM51" s="1" t="n">
        <v>12</v>
      </c>
      <c r="AN51" s="15" t="s">
        <v>551</v>
      </c>
      <c r="AQ51" s="15" t="s">
        <v>968</v>
      </c>
      <c r="AR51" s="62" t="n">
        <f aca="false">_xlfn.xlookup(I51,'Prix vente'!A:A,'Prix vente'!B:B,FALSE())</f>
        <v>20012</v>
      </c>
      <c r="AS51" s="9" t="n">
        <v>2</v>
      </c>
      <c r="AT51" s="212"/>
    </row>
    <row r="52" customFormat="false" ht="16.4" hidden="false" customHeight="false" outlineLevel="0" collapsed="false">
      <c r="A52" s="61" t="s">
        <v>979</v>
      </c>
      <c r="B52" s="1" t="s">
        <v>889</v>
      </c>
      <c r="C52" s="199" t="n">
        <v>45538</v>
      </c>
      <c r="D52" s="9" t="n">
        <v>199</v>
      </c>
      <c r="E52" s="61" t="str">
        <f aca="false">_xlfn.xlookup(D52,'PO Client'!$A:$A,'PO Client'!$C:$C,FALSE())</f>
        <v>Étiquettes Luso-Flex</v>
      </c>
      <c r="F52" s="61"/>
      <c r="G52" s="61" t="n">
        <f aca="false">_xlfn.xlookup(D52,'PO Client'!$A:$A,'PO Client'!$F:$F,FALSE())</f>
        <v>1915</v>
      </c>
      <c r="H52" s="205" t="n">
        <f aca="false">_xlfn.xlookup(D52,'PO Client'!A:A,'PO Client'!L:L,"")</f>
        <v>45541</v>
      </c>
      <c r="I52" s="9" t="n">
        <v>40080</v>
      </c>
      <c r="J52" s="9" t="n">
        <v>30017</v>
      </c>
      <c r="K52" s="62" t="str">
        <f aca="false">_xlfn.xlookup(I52,'Prix vente'!$A:$A,'Prix vente'!$H:$H,"")</f>
        <v>B25</v>
      </c>
      <c r="L52" s="69" t="str">
        <f aca="false">_xlfn.xlookup(J52,'Prix MP'!A:A,'Prix MP'!F:F,FALSE())</f>
        <v>B25-3</v>
      </c>
      <c r="M52" s="69" t="str">
        <f aca="false">_xlfn.xlookup(J52,'Prix MP'!A:A,'Prix MP'!D:D,FALSE())</f>
        <v>Jinda</v>
      </c>
      <c r="N52" s="61" t="str">
        <f aca="false">_xlfn.xlookup(I52,'Prix vente'!$A:$A,'Prix vente'!$J:$J,"")</f>
        <v>White BOPP - Acrylic Adhesive</v>
      </c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 t="n">
        <f aca="false">_xlfn.xlookup(I52,'Prix vente'!$A:$A,'Prix vente'!$P:$P,"")</f>
        <v>4.61538</v>
      </c>
      <c r="Z52" s="61"/>
      <c r="AA52" s="61"/>
      <c r="AB52" s="61"/>
      <c r="AC52" s="61"/>
      <c r="AD52" s="61"/>
      <c r="AE52" s="61"/>
      <c r="AF52" s="61"/>
      <c r="AG52" s="61"/>
      <c r="AH52" s="61"/>
      <c r="AI52" s="61" t="str">
        <f aca="false">IF(_xlfn.xlookup(I52,'Prix vente'!$A:$A,'Prix vente'!$O:$O,"")="msi","po","mm")</f>
        <v>po</v>
      </c>
      <c r="AJ52" s="61" t="n">
        <f aca="false">_xlfn.xlookup(I52,'Prix vente'!$A:$A,'Prix vente'!$Q:$Q,"")</f>
        <v>10000</v>
      </c>
      <c r="AK52" s="61" t="str">
        <f aca="false">IF(_xlfn.xlookup(I52,'Prix vente'!$A:$A,'Prix vente'!$O:$O,"")="msi","pi","m")</f>
        <v>pi</v>
      </c>
      <c r="AL52" s="61"/>
      <c r="AM52" s="1" t="n">
        <v>13</v>
      </c>
      <c r="AN52" s="15" t="s">
        <v>551</v>
      </c>
      <c r="AO52" s="1" t="n">
        <v>0</v>
      </c>
      <c r="AQ52" s="15" t="str">
        <f aca="false">_xlfn.xlookup(E52,Clients!B:B,Clients!V:V)</f>
        <v>* Livrer les bobines debout</v>
      </c>
      <c r="AR52" s="62" t="n">
        <f aca="false">_xlfn.xlookup(I52,'Prix vente'!A:A,'Prix vente'!B:B,FALSE())</f>
        <v>20017</v>
      </c>
      <c r="AS52" s="9" t="n">
        <v>1</v>
      </c>
      <c r="AT52" s="212"/>
    </row>
    <row r="53" customFormat="false" ht="16.4" hidden="false" customHeight="false" outlineLevel="0" collapsed="false">
      <c r="A53" s="61" t="s">
        <v>980</v>
      </c>
      <c r="B53" s="1" t="s">
        <v>889</v>
      </c>
      <c r="C53" s="199" t="n">
        <v>45539</v>
      </c>
      <c r="D53" s="9" t="n">
        <v>200</v>
      </c>
      <c r="E53" s="61" t="str">
        <f aca="false">_xlfn.xlookup(D53,'PO Client'!$A:$A,'PO Client'!$C:$C,FALSE())</f>
        <v>Imprimerie Ste-Julie</v>
      </c>
      <c r="F53" s="61"/>
      <c r="G53" s="61" t="n">
        <f aca="false">_xlfn.xlookup(D53,'PO Client'!$A:$A,'PO Client'!$F:$F,FALSE())</f>
        <v>103562</v>
      </c>
      <c r="H53" s="205" t="n">
        <f aca="false">_xlfn.xlookup(D53,'PO Client'!A:A,'PO Client'!L:L,"")</f>
        <v>45541</v>
      </c>
      <c r="I53" s="9" t="n">
        <v>40081</v>
      </c>
      <c r="J53" s="9" t="n">
        <v>30011</v>
      </c>
      <c r="K53" s="62" t="str">
        <f aca="false">_xlfn.xlookup(I53,'Prix vente'!$A:$A,'Prix vente'!$H:$H,"")</f>
        <v>S21</v>
      </c>
      <c r="L53" s="69" t="str">
        <f aca="false">_xlfn.xlookup(J53,'Prix MP'!A:A,'Prix MP'!F:F,FALSE())</f>
        <v>S21-1</v>
      </c>
      <c r="M53" s="69" t="str">
        <f aca="false">_xlfn.xlookup(J53,'Prix MP'!A:A,'Prix MP'!D:D,FALSE())</f>
        <v>AKO</v>
      </c>
      <c r="N53" s="61" t="str">
        <f aca="false">_xlfn.xlookup(I53,'Prix vente'!$A:$A,'Prix vente'!$J:$J,"")</f>
        <v>SG - Hotmelt Adhesive</v>
      </c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 t="n">
        <f aca="false">_xlfn.xlookup(I53,'Prix vente'!$A:$A,'Prix vente'!$P:$P,"")</f>
        <v>10</v>
      </c>
      <c r="Z53" s="61"/>
      <c r="AA53" s="61"/>
      <c r="AB53" s="61"/>
      <c r="AC53" s="61"/>
      <c r="AD53" s="61"/>
      <c r="AE53" s="61"/>
      <c r="AF53" s="61"/>
      <c r="AG53" s="61"/>
      <c r="AH53" s="61"/>
      <c r="AI53" s="61" t="str">
        <f aca="false">IF(_xlfn.xlookup(I53,'Prix vente'!$A:$A,'Prix vente'!$O:$O,"")="msi","po","mm")</f>
        <v>po</v>
      </c>
      <c r="AJ53" s="61" t="n">
        <f aca="false">_xlfn.xlookup(I53,'Prix vente'!$A:$A,'Prix vente'!$Q:$Q,"")</f>
        <v>5000</v>
      </c>
      <c r="AK53" s="61" t="str">
        <f aca="false">IF(_xlfn.xlookup(I53,'Prix vente'!$A:$A,'Prix vente'!$O:$O,"")="msi","pi","m")</f>
        <v>pi</v>
      </c>
      <c r="AL53" s="61"/>
      <c r="AM53" s="1" t="n">
        <v>6</v>
      </c>
      <c r="AN53" s="15" t="s">
        <v>551</v>
      </c>
      <c r="AO53" s="1" t="n">
        <v>0</v>
      </c>
      <c r="AR53" s="62" t="n">
        <f aca="false">_xlfn.xlookup(I53,'Prix vente'!A:A,'Prix vente'!B:B,FALSE())</f>
        <v>20011</v>
      </c>
      <c r="AS53" s="9" t="n">
        <v>1</v>
      </c>
      <c r="AT53" s="212"/>
    </row>
    <row r="54" customFormat="false" ht="16.4" hidden="false" customHeight="false" outlineLevel="0" collapsed="false">
      <c r="A54" s="61" t="s">
        <v>981</v>
      </c>
      <c r="B54" s="1" t="s">
        <v>889</v>
      </c>
      <c r="C54" s="199" t="n">
        <v>45539</v>
      </c>
      <c r="D54" s="9" t="n">
        <v>200</v>
      </c>
      <c r="E54" s="61" t="str">
        <f aca="false">_xlfn.xlookup(D54,'PO Client'!$A:$A,'PO Client'!$C:$C,FALSE())</f>
        <v>Imprimerie Ste-Julie</v>
      </c>
      <c r="F54" s="61"/>
      <c r="G54" s="61" t="n">
        <f aca="false">_xlfn.xlookup(D54,'PO Client'!$A:$A,'PO Client'!$F:$F,FALSE())</f>
        <v>103562</v>
      </c>
      <c r="H54" s="205" t="n">
        <f aca="false">_xlfn.xlookup(D54,'PO Client'!A:A,'PO Client'!L:L,"")</f>
        <v>45541</v>
      </c>
      <c r="I54" s="9" t="n">
        <v>40082</v>
      </c>
      <c r="J54" s="9" t="n">
        <v>30011</v>
      </c>
      <c r="K54" s="62" t="str">
        <f aca="false">_xlfn.xlookup(I54,'Prix vente'!$A:$A,'Prix vente'!$H:$H,"")</f>
        <v>S21</v>
      </c>
      <c r="L54" s="69" t="str">
        <f aca="false">_xlfn.xlookup(J54,'Prix MP'!A:A,'Prix MP'!F:F,FALSE())</f>
        <v>S21-1</v>
      </c>
      <c r="M54" s="69" t="str">
        <f aca="false">_xlfn.xlookup(J54,'Prix MP'!A:A,'Prix MP'!D:D,FALSE())</f>
        <v>AKO</v>
      </c>
      <c r="N54" s="61" t="str">
        <f aca="false">_xlfn.xlookup(I54,'Prix vente'!$A:$A,'Prix vente'!$J:$J,"")</f>
        <v>SG - Hotmelt Adhesive</v>
      </c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 t="s">
        <v>982</v>
      </c>
      <c r="Z54" s="61"/>
      <c r="AA54" s="61"/>
      <c r="AB54" s="61"/>
      <c r="AC54" s="61"/>
      <c r="AD54" s="61"/>
      <c r="AE54" s="61"/>
      <c r="AF54" s="61"/>
      <c r="AG54" s="61"/>
      <c r="AH54" s="61"/>
      <c r="AI54" s="61" t="str">
        <f aca="false">IF(_xlfn.xlookup(I54,'Prix vente'!$A:$A,'Prix vente'!$O:$O,"")="msi","po","mm")</f>
        <v>po</v>
      </c>
      <c r="AJ54" s="61" t="n">
        <f aca="false">_xlfn.xlookup(I54,'Prix vente'!$A:$A,'Prix vente'!$Q:$Q,"")</f>
        <v>5000</v>
      </c>
      <c r="AK54" s="61" t="str">
        <f aca="false">IF(_xlfn.xlookup(I54,'Prix vente'!$A:$A,'Prix vente'!$O:$O,"")="msi","pi","m")</f>
        <v>pi</v>
      </c>
      <c r="AL54" s="61"/>
      <c r="AM54" s="1" t="n">
        <v>5</v>
      </c>
      <c r="AN54" s="15" t="s">
        <v>551</v>
      </c>
      <c r="AO54" s="1" t="n">
        <v>0</v>
      </c>
      <c r="AQ54" s="15" t="s">
        <v>983</v>
      </c>
      <c r="AR54" s="62" t="n">
        <f aca="false">_xlfn.xlookup(I54,'Prix vente'!A:A,'Prix vente'!B:B,FALSE())</f>
        <v>20011</v>
      </c>
      <c r="AS54" s="9" t="n">
        <v>1</v>
      </c>
      <c r="AT54" s="212"/>
    </row>
    <row r="55" customFormat="false" ht="16.4" hidden="false" customHeight="false" outlineLevel="0" collapsed="false">
      <c r="A55" s="61" t="s">
        <v>984</v>
      </c>
      <c r="B55" s="1" t="s">
        <v>889</v>
      </c>
      <c r="C55" s="199" t="n">
        <v>45539</v>
      </c>
      <c r="D55" s="9" t="n">
        <v>201</v>
      </c>
      <c r="E55" s="61" t="str">
        <f aca="false">_xlfn.xlookup(D55,'PO Client'!$A:$A,'PO Client'!$C:$C,FALSE())</f>
        <v>Imprimerie Ste-Julie</v>
      </c>
      <c r="F55" s="61"/>
      <c r="G55" s="61" t="n">
        <f aca="false">_xlfn.xlookup(D55,'PO Client'!$A:$A,'PO Client'!$F:$F,FALSE())</f>
        <v>103563</v>
      </c>
      <c r="H55" s="205" t="n">
        <f aca="false">_xlfn.xlookup(D55,'PO Client'!A:A,'PO Client'!L:L,"")</f>
        <v>45541</v>
      </c>
      <c r="I55" s="9" t="n">
        <v>40067</v>
      </c>
      <c r="J55" s="9" t="n">
        <v>30015</v>
      </c>
      <c r="K55" s="62" t="str">
        <f aca="false">_xlfn.xlookup(I55,'Prix vente'!$A:$A,'Prix vente'!$H:$H,"")</f>
        <v>S15</v>
      </c>
      <c r="L55" s="69" t="str">
        <f aca="false">_xlfn.xlookup(J55,'Prix MP'!A:A,'Prix MP'!F:F,FALSE())</f>
        <v>S15-3</v>
      </c>
      <c r="M55" s="69" t="str">
        <f aca="false">_xlfn.xlookup(J55,'Prix MP'!A:A,'Prix MP'!D:D,FALSE())</f>
        <v>Jinda</v>
      </c>
      <c r="N55" s="61" t="str">
        <f aca="false">_xlfn.xlookup(I55,'Prix vente'!$A:$A,'Prix vente'!$J:$J,"")</f>
        <v>SG - Acrylic Adhesive</v>
      </c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 t="n">
        <f aca="false">_xlfn.xlookup(I55,'Prix vente'!$A:$A,'Prix vente'!$P:$P,"")</f>
        <v>12</v>
      </c>
      <c r="Z55" s="61"/>
      <c r="AA55" s="61"/>
      <c r="AB55" s="61"/>
      <c r="AC55" s="61"/>
      <c r="AD55" s="61"/>
      <c r="AE55" s="61"/>
      <c r="AF55" s="61"/>
      <c r="AG55" s="61"/>
      <c r="AH55" s="61"/>
      <c r="AI55" s="61" t="str">
        <f aca="false">IF(_xlfn.xlookup(I55,'Prix vente'!$A:$A,'Prix vente'!$O:$O,"")="msi","po","mm")</f>
        <v>po</v>
      </c>
      <c r="AJ55" s="61" t="n">
        <f aca="false">_xlfn.xlookup(I55,'Prix vente'!$A:$A,'Prix vente'!$Q:$Q,"")</f>
        <v>5000</v>
      </c>
      <c r="AK55" s="61" t="str">
        <f aca="false">IF(_xlfn.xlookup(I55,'Prix vente'!$A:$A,'Prix vente'!$O:$O,"")="msi","pi","m")</f>
        <v>pi</v>
      </c>
      <c r="AL55" s="61"/>
      <c r="AM55" s="1" t="n">
        <v>5</v>
      </c>
      <c r="AN55" s="15" t="s">
        <v>551</v>
      </c>
      <c r="AO55" s="1" t="n">
        <v>0</v>
      </c>
      <c r="AQ55" s="15" t="n">
        <f aca="false">_xlfn.xlookup(E55,Clients!B:B,Clients!V:V)</f>
        <v>0</v>
      </c>
      <c r="AR55" s="62" t="n">
        <f aca="false">_xlfn.xlookup(I55,'Prix vente'!A:A,'Prix vente'!B:B,FALSE())</f>
        <v>20015</v>
      </c>
      <c r="AS55" s="9" t="n">
        <v>1</v>
      </c>
      <c r="AT55" s="212"/>
    </row>
    <row r="56" customFormat="false" ht="16.4" hidden="false" customHeight="false" outlineLevel="0" collapsed="false">
      <c r="A56" s="61" t="s">
        <v>985</v>
      </c>
      <c r="B56" s="1" t="s">
        <v>889</v>
      </c>
      <c r="C56" s="199" t="n">
        <v>45539</v>
      </c>
      <c r="D56" s="9" t="n">
        <v>202</v>
      </c>
      <c r="E56" s="61" t="str">
        <f aca="false">_xlfn.xlookup(D56,'PO Client'!$A:$A,'PO Client'!$C:$C,FALSE())</f>
        <v>Imprimerie Ste-Julie</v>
      </c>
      <c r="F56" s="61"/>
      <c r="G56" s="61" t="n">
        <f aca="false">_xlfn.xlookup(D56,'PO Client'!$A:$A,'PO Client'!$F:$F,FALSE())</f>
        <v>103564</v>
      </c>
      <c r="H56" s="205" t="n">
        <f aca="false">_xlfn.xlookup(D56,'PO Client'!A:A,'PO Client'!L:L,"")</f>
        <v>45541</v>
      </c>
      <c r="I56" s="9" t="n">
        <v>40084</v>
      </c>
      <c r="J56" s="9" t="n">
        <v>30017</v>
      </c>
      <c r="K56" s="62" t="str">
        <f aca="false">_xlfn.xlookup(I56,'Prix vente'!$A:$A,'Prix vente'!$H:$H,"")</f>
        <v>B25</v>
      </c>
      <c r="L56" s="69" t="str">
        <f aca="false">_xlfn.xlookup(J56,'Prix MP'!A:A,'Prix MP'!F:F,FALSE())</f>
        <v>B25-3</v>
      </c>
      <c r="M56" s="69" t="str">
        <f aca="false">_xlfn.xlookup(J56,'Prix MP'!A:A,'Prix MP'!D:D,FALSE())</f>
        <v>Jinda</v>
      </c>
      <c r="N56" s="61" t="str">
        <f aca="false">_xlfn.xlookup(I56,'Prix vente'!$A:$A,'Prix vente'!$J:$J,"")</f>
        <v>White BOPP - Acrylic Adhesive</v>
      </c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 t="n">
        <f aca="false">_xlfn.xlookup(I56,'Prix vente'!$A:$A,'Prix vente'!$P:$P,"")</f>
        <v>12</v>
      </c>
      <c r="Z56" s="61"/>
      <c r="AA56" s="61"/>
      <c r="AB56" s="61"/>
      <c r="AC56" s="61"/>
      <c r="AD56" s="61"/>
      <c r="AE56" s="61"/>
      <c r="AF56" s="61"/>
      <c r="AG56" s="61"/>
      <c r="AH56" s="61"/>
      <c r="AI56" s="61" t="str">
        <f aca="false">IF(_xlfn.xlookup(I56,'Prix vente'!$A:$A,'Prix vente'!$O:$O,"")="msi","po","mm")</f>
        <v>po</v>
      </c>
      <c r="AJ56" s="61" t="n">
        <f aca="false">_xlfn.xlookup(I56,'Prix vente'!$A:$A,'Prix vente'!$Q:$Q,"")</f>
        <v>5000</v>
      </c>
      <c r="AK56" s="61" t="str">
        <f aca="false">IF(_xlfn.xlookup(I56,'Prix vente'!$A:$A,'Prix vente'!$O:$O,"")="msi","pi","m")</f>
        <v>pi</v>
      </c>
      <c r="AL56" s="61"/>
      <c r="AM56" s="1" t="n">
        <v>1</v>
      </c>
      <c r="AN56" s="15" t="s">
        <v>551</v>
      </c>
      <c r="AO56" s="1" t="n">
        <v>0</v>
      </c>
      <c r="AQ56" s="15" t="s">
        <v>986</v>
      </c>
      <c r="AR56" s="62" t="n">
        <f aca="false">_xlfn.xlookup(I56,'Prix vente'!A:A,'Prix vente'!B:B,FALSE())</f>
        <v>20017</v>
      </c>
      <c r="AS56" s="9" t="n">
        <v>0</v>
      </c>
      <c r="AT56" s="212"/>
    </row>
    <row r="57" customFormat="false" ht="16.4" hidden="false" customHeight="false" outlineLevel="0" collapsed="false">
      <c r="A57" s="61" t="s">
        <v>987</v>
      </c>
      <c r="B57" s="1" t="s">
        <v>889</v>
      </c>
      <c r="C57" s="199" t="n">
        <v>45540</v>
      </c>
      <c r="D57" s="9" t="n">
        <v>203</v>
      </c>
      <c r="E57" s="61" t="str">
        <f aca="false">_xlfn.xlookup(D57,'PO Client'!$A:$A,'PO Client'!$C:$C,FALSE())</f>
        <v>Étiquettes Luso-Flex</v>
      </c>
      <c r="F57" s="61"/>
      <c r="G57" s="61" t="n">
        <f aca="false">_xlfn.xlookup(D57,'PO Client'!$A:$A,'PO Client'!$F:$F,FALSE())</f>
        <v>1916</v>
      </c>
      <c r="H57" s="205" t="n">
        <f aca="false">_xlfn.xlookup(D57,'PO Client'!A:A,'PO Client'!L:L,"")</f>
        <v>45546</v>
      </c>
      <c r="I57" s="9" t="n">
        <v>40060</v>
      </c>
      <c r="J57" s="9" t="n">
        <v>30012</v>
      </c>
      <c r="K57" s="62" t="str">
        <f aca="false">_xlfn.xlookup(I57,'Prix vente'!$A:$A,'Prix vente'!$H:$H,"")</f>
        <v>D21</v>
      </c>
      <c r="L57" s="69" t="str">
        <f aca="false">_xlfn.xlookup(J57,'Prix MP'!A:A,'Prix MP'!F:F,FALSE())</f>
        <v>D21-1</v>
      </c>
      <c r="M57" s="69" t="str">
        <f aca="false">_xlfn.xlookup(J57,'Prix MP'!A:A,'Prix MP'!D:D,FALSE())</f>
        <v>AKO</v>
      </c>
      <c r="N57" s="61" t="str">
        <f aca="false">_xlfn.xlookup(I57,'Prix vente'!$A:$A,'Prix vente'!$J:$J,"")</f>
        <v>TC DT - Hotmelt Adhesive</v>
      </c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 t="s">
        <v>988</v>
      </c>
      <c r="Z57" s="61"/>
      <c r="AA57" s="61"/>
      <c r="AB57" s="61"/>
      <c r="AC57" s="61"/>
      <c r="AD57" s="61"/>
      <c r="AE57" s="61"/>
      <c r="AF57" s="61"/>
      <c r="AG57" s="61"/>
      <c r="AH57" s="61"/>
      <c r="AI57" s="61" t="str">
        <f aca="false">IF(_xlfn.xlookup(I57,'Prix vente'!$A:$A,'Prix vente'!$O:$O,"")="msi","po","mm")</f>
        <v>po</v>
      </c>
      <c r="AJ57" s="61" t="n">
        <f aca="false">_xlfn.xlookup(I57,'Prix vente'!$A:$A,'Prix vente'!$Q:$Q,"")</f>
        <v>10000</v>
      </c>
      <c r="AK57" s="61" t="str">
        <f aca="false">IF(_xlfn.xlookup(I57,'Prix vente'!$A:$A,'Prix vente'!$O:$O,"")="msi","pi","m")</f>
        <v>pi</v>
      </c>
      <c r="AL57" s="61"/>
      <c r="AM57" s="1" t="n">
        <v>18</v>
      </c>
      <c r="AN57" s="15" t="s">
        <v>551</v>
      </c>
      <c r="AO57" s="1" t="n">
        <v>0</v>
      </c>
      <c r="AQ57" s="15" t="s">
        <v>989</v>
      </c>
      <c r="AR57" s="62" t="n">
        <f aca="false">_xlfn.xlookup(I57,'Prix vente'!A:A,'Prix vente'!B:B,FALSE())</f>
        <v>20012</v>
      </c>
      <c r="AS57" s="9" t="n">
        <v>3</v>
      </c>
      <c r="AT57" s="212"/>
    </row>
    <row r="58" customFormat="false" ht="16.4" hidden="false" customHeight="false" outlineLevel="0" collapsed="false">
      <c r="A58" s="61" t="s">
        <v>990</v>
      </c>
      <c r="B58" s="1" t="s">
        <v>889</v>
      </c>
      <c r="C58" s="199" t="n">
        <v>45541</v>
      </c>
      <c r="D58" s="9" t="n">
        <v>204</v>
      </c>
      <c r="E58" s="61" t="str">
        <f aca="false">_xlfn.xlookup(D58,'PO Client'!$A:$A,'PO Client'!$C:$C,FALSE())</f>
        <v>Étiquettes iFlex Inc.</v>
      </c>
      <c r="F58" s="61"/>
      <c r="G58" s="61" t="str">
        <f aca="false">_xlfn.xlookup(D58,'PO Client'!$A:$A,'PO Client'!$F:$F,FALSE())</f>
        <v>Échantillons S21 &amp; B25</v>
      </c>
      <c r="H58" s="205" t="n">
        <f aca="false">_xlfn.xlookup(D58,'PO Client'!A:A,'PO Client'!L:L,"")</f>
        <v>45546</v>
      </c>
      <c r="I58" s="9" t="n">
        <v>40086</v>
      </c>
      <c r="J58" s="9" t="n">
        <v>30011</v>
      </c>
      <c r="K58" s="62" t="str">
        <f aca="false">_xlfn.xlookup(I58,'Prix vente'!$A:$A,'Prix vente'!$H:$H,"")</f>
        <v>S21</v>
      </c>
      <c r="L58" s="69" t="str">
        <f aca="false">_xlfn.xlookup(J58,'Prix MP'!A:A,'Prix MP'!F:F,FALSE())</f>
        <v>S21-1</v>
      </c>
      <c r="M58" s="69" t="str">
        <f aca="false">_xlfn.xlookup(J58,'Prix MP'!A:A,'Prix MP'!D:D,FALSE())</f>
        <v>AKO</v>
      </c>
      <c r="N58" s="61" t="str">
        <f aca="false">_xlfn.xlookup(I58,'Prix vente'!$A:$A,'Prix vente'!$J:$J,"")</f>
        <v>SG - Hotmelt Adhesive</v>
      </c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 t="n">
        <f aca="false">_xlfn.xlookup(I58,'Prix vente'!$A:$A,'Prix vente'!$P:$P,"")</f>
        <v>13</v>
      </c>
      <c r="Z58" s="61"/>
      <c r="AA58" s="61"/>
      <c r="AB58" s="61"/>
      <c r="AC58" s="61"/>
      <c r="AD58" s="61"/>
      <c r="AE58" s="61"/>
      <c r="AF58" s="61"/>
      <c r="AG58" s="61"/>
      <c r="AH58" s="61"/>
      <c r="AI58" s="61" t="str">
        <f aca="false">IF(_xlfn.xlookup(I58,'Prix vente'!$A:$A,'Prix vente'!$O:$O,"")="msi","po","mm")</f>
        <v>po</v>
      </c>
      <c r="AJ58" s="61" t="n">
        <f aca="false">_xlfn.xlookup(I58,'Prix vente'!$A:$A,'Prix vente'!$Q:$Q,"")</f>
        <v>5000</v>
      </c>
      <c r="AK58" s="61" t="str">
        <f aca="false">IF(_xlfn.xlookup(I58,'Prix vente'!$A:$A,'Prix vente'!$O:$O,"")="msi","pi","m")</f>
        <v>pi</v>
      </c>
      <c r="AL58" s="61"/>
      <c r="AM58" s="1" t="n">
        <v>1</v>
      </c>
      <c r="AN58" s="15" t="s">
        <v>551</v>
      </c>
      <c r="AO58" s="1" t="n">
        <v>0</v>
      </c>
      <c r="AQ58" s="15" t="s">
        <v>991</v>
      </c>
      <c r="AR58" s="62" t="n">
        <f aca="false">_xlfn.xlookup(I58,'Prix vente'!A:A,'Prix vente'!B:B,FALSE())</f>
        <v>20011</v>
      </c>
      <c r="AS58" s="9" t="n">
        <v>1</v>
      </c>
      <c r="AT58" s="212"/>
    </row>
    <row r="59" customFormat="false" ht="16.4" hidden="false" customHeight="false" outlineLevel="0" collapsed="false">
      <c r="A59" s="61" t="s">
        <v>992</v>
      </c>
      <c r="B59" s="1" t="s">
        <v>889</v>
      </c>
      <c r="C59" s="199" t="n">
        <v>45541</v>
      </c>
      <c r="D59" s="9" t="n">
        <v>204</v>
      </c>
      <c r="E59" s="61" t="str">
        <f aca="false">_xlfn.xlookup(D59,'PO Client'!$A:$A,'PO Client'!$C:$C,FALSE())</f>
        <v>Étiquettes iFlex Inc.</v>
      </c>
      <c r="F59" s="61"/>
      <c r="G59" s="61" t="str">
        <f aca="false">_xlfn.xlookup(D59,'PO Client'!$A:$A,'PO Client'!$F:$F,FALSE())</f>
        <v>Échantillons S21 &amp; B25</v>
      </c>
      <c r="H59" s="205" t="n">
        <f aca="false">_xlfn.xlookup(D59,'PO Client'!A:A,'PO Client'!L:L,"")</f>
        <v>45546</v>
      </c>
      <c r="I59" s="9" t="n">
        <v>40087</v>
      </c>
      <c r="J59" s="9" t="n">
        <v>30017</v>
      </c>
      <c r="K59" s="62" t="str">
        <f aca="false">_xlfn.xlookup(I59,'Prix vente'!$A:$A,'Prix vente'!$H:$H,"")</f>
        <v>B25</v>
      </c>
      <c r="L59" s="69" t="str">
        <f aca="false">_xlfn.xlookup(J59,'Prix MP'!A:A,'Prix MP'!F:F,FALSE())</f>
        <v>B25-3</v>
      </c>
      <c r="M59" s="69" t="str">
        <f aca="false">_xlfn.xlookup(J59,'Prix MP'!A:A,'Prix MP'!D:D,FALSE())</f>
        <v>Jinda</v>
      </c>
      <c r="N59" s="61" t="str">
        <f aca="false">_xlfn.xlookup(I59,'Prix vente'!$A:$A,'Prix vente'!$J:$J,"")</f>
        <v>White BOPP - Acrylic Adhesive</v>
      </c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 t="n">
        <f aca="false">_xlfn.xlookup(I59,'Prix vente'!$A:$A,'Prix vente'!$P:$P,"")</f>
        <v>13</v>
      </c>
      <c r="Z59" s="61"/>
      <c r="AA59" s="61"/>
      <c r="AB59" s="61"/>
      <c r="AC59" s="61"/>
      <c r="AD59" s="61"/>
      <c r="AE59" s="61"/>
      <c r="AF59" s="61"/>
      <c r="AG59" s="61"/>
      <c r="AH59" s="61"/>
      <c r="AI59" s="61" t="str">
        <f aca="false">IF(_xlfn.xlookup(I59,'Prix vente'!$A:$A,'Prix vente'!$O:$O,"")="msi","po","mm")</f>
        <v>po</v>
      </c>
      <c r="AJ59" s="61" t="n">
        <f aca="false">_xlfn.xlookup(I59,'Prix vente'!$A:$A,'Prix vente'!$Q:$Q,"")</f>
        <v>5000</v>
      </c>
      <c r="AK59" s="61" t="str">
        <f aca="false">IF(_xlfn.xlookup(I59,'Prix vente'!$A:$A,'Prix vente'!$O:$O,"")="msi","pi","m")</f>
        <v>pi</v>
      </c>
      <c r="AL59" s="61"/>
      <c r="AM59" s="1" t="n">
        <v>1</v>
      </c>
      <c r="AN59" s="15" t="s">
        <v>551</v>
      </c>
      <c r="AO59" s="1" t="n">
        <v>0</v>
      </c>
      <c r="AQ59" s="15" t="s">
        <v>993</v>
      </c>
      <c r="AR59" s="62" t="n">
        <f aca="false">_xlfn.xlookup(I59,'Prix vente'!A:A,'Prix vente'!B:B,FALSE())</f>
        <v>20017</v>
      </c>
      <c r="AS59" s="9" t="n">
        <v>0</v>
      </c>
      <c r="AT59" s="212"/>
    </row>
    <row r="60" customFormat="false" ht="16.4" hidden="false" customHeight="false" outlineLevel="0" collapsed="false">
      <c r="A60" s="61" t="s">
        <v>994</v>
      </c>
      <c r="B60" s="1" t="s">
        <v>889</v>
      </c>
      <c r="C60" s="199" t="n">
        <v>45544</v>
      </c>
      <c r="D60" s="9" t="n">
        <v>205</v>
      </c>
      <c r="E60" s="61" t="str">
        <f aca="false">_xlfn.xlookup(D60,'PO Client'!$A:$A,'PO Client'!$C:$C,FALSE())</f>
        <v>Imprimerie Ste-Julie</v>
      </c>
      <c r="F60" s="61"/>
      <c r="G60" s="61" t="n">
        <f aca="false">_xlfn.xlookup(D60,'PO Client'!$A:$A,'PO Client'!$F:$F,FALSE())</f>
        <v>103653</v>
      </c>
      <c r="H60" s="205" t="n">
        <f aca="false">_xlfn.xlookup(D60,'PO Client'!A:A,'PO Client'!L:L,"")</f>
        <v>45546</v>
      </c>
      <c r="I60" s="9" t="n">
        <v>40088</v>
      </c>
      <c r="J60" s="9" t="n">
        <v>30011</v>
      </c>
      <c r="K60" s="62" t="str">
        <f aca="false">_xlfn.xlookup(I60,'Prix vente'!$A:$A,'Prix vente'!$H:$H,"")</f>
        <v>S21</v>
      </c>
      <c r="L60" s="69" t="str">
        <f aca="false">_xlfn.xlookup(J60,'Prix MP'!A:A,'Prix MP'!F:F,FALSE())</f>
        <v>S21-1</v>
      </c>
      <c r="M60" s="69" t="str">
        <f aca="false">_xlfn.xlookup(J60,'Prix MP'!A:A,'Prix MP'!D:D,FALSE())</f>
        <v>AKO</v>
      </c>
      <c r="N60" s="61" t="str">
        <f aca="false">_xlfn.xlookup(I60,'Prix vente'!$A:$A,'Prix vente'!$J:$J,"")</f>
        <v>SG - Hotmelt Adhesive</v>
      </c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 t="n">
        <f aca="false">_xlfn.xlookup(I60,'Prix vente'!$A:$A,'Prix vente'!$P:$P,"")</f>
        <v>20</v>
      </c>
      <c r="Z60" s="61"/>
      <c r="AA60" s="61"/>
      <c r="AB60" s="61"/>
      <c r="AC60" s="61"/>
      <c r="AD60" s="61"/>
      <c r="AE60" s="61"/>
      <c r="AF60" s="61"/>
      <c r="AG60" s="61"/>
      <c r="AH60" s="61"/>
      <c r="AI60" s="61" t="str">
        <f aca="false">IF(_xlfn.xlookup(I60,'Prix vente'!$A:$A,'Prix vente'!$O:$O,"")="msi","po","mm")</f>
        <v>po</v>
      </c>
      <c r="AJ60" s="61" t="n">
        <f aca="false">_xlfn.xlookup(I60,'Prix vente'!$A:$A,'Prix vente'!$Q:$Q,"")</f>
        <v>5000</v>
      </c>
      <c r="AK60" s="61" t="str">
        <f aca="false">IF(_xlfn.xlookup(I60,'Prix vente'!$A:$A,'Prix vente'!$O:$O,"")="msi","pi","m")</f>
        <v>pi</v>
      </c>
      <c r="AL60" s="61"/>
      <c r="AM60" s="1" t="n">
        <v>3</v>
      </c>
      <c r="AN60" s="15" t="s">
        <v>551</v>
      </c>
      <c r="AO60" s="1" t="n">
        <v>0</v>
      </c>
      <c r="AQ60" s="15" t="s">
        <v>995</v>
      </c>
      <c r="AR60" s="62" t="n">
        <f aca="false">_xlfn.xlookup(I60,'Prix vente'!A:A,'Prix vente'!B:B,FALSE())</f>
        <v>20011</v>
      </c>
      <c r="AS60" s="9" t="n">
        <v>0</v>
      </c>
      <c r="AT60" s="212"/>
    </row>
    <row r="61" customFormat="false" ht="16.4" hidden="false" customHeight="false" outlineLevel="0" collapsed="false">
      <c r="A61" s="61" t="s">
        <v>996</v>
      </c>
      <c r="B61" s="1" t="s">
        <v>889</v>
      </c>
      <c r="C61" s="199" t="n">
        <v>45544</v>
      </c>
      <c r="D61" s="9" t="n">
        <v>206</v>
      </c>
      <c r="E61" s="61" t="str">
        <f aca="false">_xlfn.xlookup(D61,'PO Client'!$A:$A,'PO Client'!$C:$C,FALSE())</f>
        <v>Groupe Produlith Inc.</v>
      </c>
      <c r="F61" s="61"/>
      <c r="G61" s="61" t="n">
        <f aca="false">_xlfn.xlookup(D61,'PO Client'!$A:$A,'PO Client'!$F:$F,FALSE())</f>
        <v>31469</v>
      </c>
      <c r="H61" s="205" t="n">
        <f aca="false">_xlfn.xlookup(D61,'PO Client'!A:A,'PO Client'!L:L,"")</f>
        <v>45547</v>
      </c>
      <c r="I61" s="9" t="n">
        <v>40089</v>
      </c>
      <c r="J61" s="9" t="n">
        <v>30017</v>
      </c>
      <c r="K61" s="62" t="str">
        <f aca="false">_xlfn.xlookup(I61,'Prix vente'!$A:$A,'Prix vente'!$H:$H,"")</f>
        <v>B25</v>
      </c>
      <c r="L61" s="69" t="str">
        <f aca="false">_xlfn.xlookup(J61,'Prix MP'!A:A,'Prix MP'!F:F,FALSE())</f>
        <v>B25-3</v>
      </c>
      <c r="M61" s="69" t="str">
        <f aca="false">_xlfn.xlookup(J61,'Prix MP'!A:A,'Prix MP'!D:D,FALSE())</f>
        <v>Jinda</v>
      </c>
      <c r="N61" s="61" t="str">
        <f aca="false">_xlfn.xlookup(I61,'Prix vente'!$A:$A,'Prix vente'!$J:$J,"")</f>
        <v>White BOPP - Acrylic Adhesive</v>
      </c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 t="n">
        <f aca="false">_xlfn.xlookup(I61,'Prix vente'!$A:$A,'Prix vente'!$P:$P,"")</f>
        <v>15</v>
      </c>
      <c r="Z61" s="61"/>
      <c r="AA61" s="61"/>
      <c r="AB61" s="61"/>
      <c r="AC61" s="61"/>
      <c r="AD61" s="61"/>
      <c r="AE61" s="61"/>
      <c r="AF61" s="61"/>
      <c r="AG61" s="61"/>
      <c r="AH61" s="61"/>
      <c r="AI61" s="61" t="str">
        <f aca="false">IF(_xlfn.xlookup(I61,'Prix vente'!$A:$A,'Prix vente'!$O:$O,"")="msi","po","mm")</f>
        <v>po</v>
      </c>
      <c r="AJ61" s="61" t="n">
        <f aca="false">_xlfn.xlookup(I61,'Prix vente'!$A:$A,'Prix vente'!$Q:$Q,"")</f>
        <v>5000</v>
      </c>
      <c r="AK61" s="61" t="str">
        <f aca="false">IF(_xlfn.xlookup(I61,'Prix vente'!$A:$A,'Prix vente'!$O:$O,"")="msi","pi","m")</f>
        <v>pi</v>
      </c>
      <c r="AL61" s="61"/>
      <c r="AM61" s="1" t="n">
        <v>4</v>
      </c>
      <c r="AN61" s="15" t="s">
        <v>551</v>
      </c>
      <c r="AO61" s="1" t="n">
        <v>0</v>
      </c>
      <c r="AQ61" s="15" t="s">
        <v>997</v>
      </c>
      <c r="AR61" s="62" t="n">
        <f aca="false">_xlfn.xlookup(I61,'Prix vente'!A:A,'Prix vente'!B:B,FALSE())</f>
        <v>20017</v>
      </c>
      <c r="AS61" s="9" t="n">
        <v>0</v>
      </c>
      <c r="AT61" s="212"/>
    </row>
    <row r="62" customFormat="false" ht="16.4" hidden="false" customHeight="false" outlineLevel="0" collapsed="false">
      <c r="A62" s="61" t="s">
        <v>998</v>
      </c>
      <c r="B62" s="1" t="s">
        <v>889</v>
      </c>
      <c r="C62" s="199" t="n">
        <v>45546</v>
      </c>
      <c r="D62" s="9" t="n">
        <v>207</v>
      </c>
      <c r="E62" s="61" t="str">
        <f aca="false">_xlfn.xlookup(D62,'PO Client'!$A:$A,'PO Client'!$C:$C,FALSE())</f>
        <v>Visuascan</v>
      </c>
      <c r="F62" s="61"/>
      <c r="G62" s="61" t="str">
        <f aca="false">_xlfn.xlookup(D62,'PO Client'!$A:$A,'PO Client'!$F:$F,FALSE())</f>
        <v>PO60190312</v>
      </c>
      <c r="H62" s="205" t="n">
        <f aca="false">_xlfn.xlookup(D62,'PO Client'!A:A,'PO Client'!L:L,"")</f>
        <v>45551</v>
      </c>
      <c r="I62" s="9" t="n">
        <v>40090</v>
      </c>
      <c r="J62" s="9" t="n">
        <v>30012</v>
      </c>
      <c r="K62" s="62" t="str">
        <f aca="false">_xlfn.xlookup(I62,'Prix vente'!$A:$A,'Prix vente'!$H:$H,"")</f>
        <v>D21</v>
      </c>
      <c r="L62" s="69" t="str">
        <f aca="false">_xlfn.xlookup(J62,'Prix MP'!A:A,'Prix MP'!F:F,FALSE())</f>
        <v>D21-1</v>
      </c>
      <c r="M62" s="69" t="str">
        <f aca="false">_xlfn.xlookup(J62,'Prix MP'!A:A,'Prix MP'!D:D,FALSE())</f>
        <v>AKO</v>
      </c>
      <c r="N62" s="61" t="str">
        <f aca="false">_xlfn.xlookup(I62,'Prix vente'!$A:$A,'Prix vente'!$J:$J,"")</f>
        <v>TC DT - Hotmelt Adhesive</v>
      </c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 t="s">
        <v>999</v>
      </c>
      <c r="Z62" s="61"/>
      <c r="AA62" s="61"/>
      <c r="AB62" s="61"/>
      <c r="AC62" s="61"/>
      <c r="AD62" s="61"/>
      <c r="AE62" s="61"/>
      <c r="AF62" s="61"/>
      <c r="AG62" s="61"/>
      <c r="AH62" s="61"/>
      <c r="AI62" s="61" t="str">
        <f aca="false">IF(_xlfn.xlookup(I62,'Prix vente'!$A:$A,'Prix vente'!$O:$O,"")="msi","po","mm")</f>
        <v>po</v>
      </c>
      <c r="AJ62" s="61" t="n">
        <f aca="false">_xlfn.xlookup(I62,'Prix vente'!$A:$A,'Prix vente'!$Q:$Q,"")</f>
        <v>5000</v>
      </c>
      <c r="AK62" s="61" t="str">
        <f aca="false">IF(_xlfn.xlookup(I62,'Prix vente'!$A:$A,'Prix vente'!$O:$O,"")="msi","pi","m")</f>
        <v>pi</v>
      </c>
      <c r="AL62" s="61"/>
      <c r="AM62" s="1" t="n">
        <v>9</v>
      </c>
      <c r="AN62" s="15" t="s">
        <v>551</v>
      </c>
      <c r="AO62" s="1" t="n">
        <v>0</v>
      </c>
      <c r="AQ62" s="15" t="s">
        <v>1000</v>
      </c>
      <c r="AR62" s="62" t="n">
        <f aca="false">_xlfn.xlookup(I62,'Prix vente'!A:A,'Prix vente'!B:B,FALSE())</f>
        <v>20012</v>
      </c>
      <c r="AS62" s="9" t="n">
        <v>1</v>
      </c>
      <c r="AT62" s="212"/>
    </row>
    <row r="63" customFormat="false" ht="16.4" hidden="false" customHeight="false" outlineLevel="0" collapsed="false">
      <c r="A63" s="61" t="s">
        <v>1001</v>
      </c>
      <c r="B63" s="1" t="s">
        <v>889</v>
      </c>
      <c r="C63" s="199" t="n">
        <v>45553</v>
      </c>
      <c r="D63" s="9" t="n">
        <v>208</v>
      </c>
      <c r="E63" s="61" t="str">
        <f aca="false">_xlfn.xlookup(D63,'PO Client'!$A:$A,'PO Client'!$C:$C,FALSE())</f>
        <v>LabelEdge</v>
      </c>
      <c r="F63" s="61"/>
      <c r="G63" s="61" t="str">
        <f aca="false">_xlfn.xlookup(D63,'PO Client'!$A:$A,'PO Client'!$F:$F,FALSE())</f>
        <v>DEBUG MC</v>
      </c>
      <c r="H63" s="205" t="n">
        <f aca="false">_xlfn.xlookup(D63,'PO Client'!A:A,'PO Client'!L:L,"")</f>
        <v>45553</v>
      </c>
      <c r="I63" s="9" t="n">
        <v>40093</v>
      </c>
      <c r="J63" s="9" t="n">
        <v>30012</v>
      </c>
      <c r="K63" s="62" t="str">
        <f aca="false">_xlfn.xlookup(I63,'Prix vente'!$A:$A,'Prix vente'!$H:$H,"")</f>
        <v>D21</v>
      </c>
      <c r="L63" s="69" t="str">
        <f aca="false">_xlfn.xlookup(J63,'Prix MP'!A:A,'Prix MP'!F:F,FALSE())</f>
        <v>D21-1</v>
      </c>
      <c r="M63" s="69" t="str">
        <f aca="false">_xlfn.xlookup(J63,'Prix MP'!A:A,'Prix MP'!D:D,FALSE())</f>
        <v>AKO</v>
      </c>
      <c r="N63" s="61" t="str">
        <f aca="false">_xlfn.xlookup(I63,'Prix vente'!$A:$A,'Prix vente'!$J:$J,"")</f>
        <v>TC DT - Hotmelt Adhesive</v>
      </c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 t="n">
        <f aca="false">_xlfn.xlookup(I63,'Prix vente'!$A:$A,'Prix vente'!$P:$P,"")</f>
        <v>16.4</v>
      </c>
      <c r="Z63" s="61"/>
      <c r="AA63" s="61"/>
      <c r="AB63" s="61"/>
      <c r="AC63" s="61"/>
      <c r="AD63" s="61"/>
      <c r="AE63" s="61"/>
      <c r="AF63" s="61"/>
      <c r="AG63" s="61"/>
      <c r="AH63" s="61"/>
      <c r="AI63" s="61" t="str">
        <f aca="false">IF(_xlfn.xlookup(I63,'Prix vente'!$A:$A,'Prix vente'!$O:$O,"")="msi","po","mm")</f>
        <v>po</v>
      </c>
      <c r="AJ63" s="61" t="n">
        <f aca="false">_xlfn.xlookup(I63,'Prix vente'!$A:$A,'Prix vente'!$Q:$Q,"")</f>
        <v>10000</v>
      </c>
      <c r="AK63" s="61" t="str">
        <f aca="false">IF(_xlfn.xlookup(I63,'Prix vente'!$A:$A,'Prix vente'!$O:$O,"")="msi","pi","m")</f>
        <v>pi</v>
      </c>
      <c r="AL63" s="61"/>
      <c r="AM63" s="1" t="n">
        <v>3</v>
      </c>
      <c r="AN63" s="15" t="s">
        <v>551</v>
      </c>
      <c r="AO63" s="1" t="n">
        <v>0</v>
      </c>
      <c r="AQ63" s="15" t="s">
        <v>1002</v>
      </c>
      <c r="AR63" s="62" t="n">
        <f aca="false">_xlfn.xlookup(I63,'Prix vente'!A:A,'Prix vente'!B:B,FALSE())</f>
        <v>20012</v>
      </c>
      <c r="AS63" s="9" t="s">
        <v>971</v>
      </c>
      <c r="AT63" s="212"/>
    </row>
    <row r="64" customFormat="false" ht="16.4" hidden="false" customHeight="false" outlineLevel="0" collapsed="false">
      <c r="A64" s="61" t="s">
        <v>1003</v>
      </c>
      <c r="B64" s="1" t="s">
        <v>889</v>
      </c>
      <c r="C64" s="199" t="n">
        <v>45555</v>
      </c>
      <c r="D64" s="9" t="n">
        <v>209</v>
      </c>
      <c r="E64" s="61" t="str">
        <f aca="false">_xlfn.xlookup(D64,'PO Client'!$A:$A,'PO Client'!$C:$C,FALSE())</f>
        <v>Étiquettes Multi-Flex</v>
      </c>
      <c r="F64" s="61"/>
      <c r="G64" s="213" t="s">
        <v>1004</v>
      </c>
      <c r="H64" s="205" t="n">
        <f aca="false">_xlfn.xlookup(D64,'PO Client'!A:A,'PO Client'!L:L,"")</f>
        <v>45554</v>
      </c>
      <c r="I64" s="9" t="n">
        <v>40094</v>
      </c>
      <c r="J64" s="9" t="n">
        <v>30015</v>
      </c>
      <c r="K64" s="62" t="str">
        <f aca="false">_xlfn.xlookup(I64,'Prix vente'!$A:$A,'Prix vente'!$H:$H,"")</f>
        <v>S15</v>
      </c>
      <c r="L64" s="69" t="str">
        <f aca="false">_xlfn.xlookup(J64,'Prix MP'!A:A,'Prix MP'!F:F,FALSE())</f>
        <v>S15-3</v>
      </c>
      <c r="M64" s="69" t="str">
        <f aca="false">_xlfn.xlookup(J64,'Prix MP'!A:A,'Prix MP'!D:D,FALSE())</f>
        <v>Jinda</v>
      </c>
      <c r="N64" s="61" t="str">
        <f aca="false">_xlfn.xlookup(I64,'Prix vente'!$A:$A,'Prix vente'!$J:$J,"")</f>
        <v>SG - Acrylic Adhesive</v>
      </c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 t="s">
        <v>1005</v>
      </c>
      <c r="Z64" s="61"/>
      <c r="AA64" s="61"/>
      <c r="AB64" s="61"/>
      <c r="AC64" s="61"/>
      <c r="AD64" s="61"/>
      <c r="AE64" s="61"/>
      <c r="AF64" s="61"/>
      <c r="AG64" s="61"/>
      <c r="AH64" s="61"/>
      <c r="AI64" s="61" t="str">
        <f aca="false">IF(_xlfn.xlookup(I64,'Prix vente'!$A:$A,'Prix vente'!$O:$O,"")="msi","po","mm")</f>
        <v>po</v>
      </c>
      <c r="AJ64" s="61" t="n">
        <f aca="false">_xlfn.xlookup(I64,'Prix vente'!$A:$A,'Prix vente'!$Q:$Q,"")</f>
        <v>5000</v>
      </c>
      <c r="AK64" s="61" t="str">
        <f aca="false">IF(_xlfn.xlookup(I64,'Prix vente'!$A:$A,'Prix vente'!$O:$O,"")="msi","pi","m")</f>
        <v>pi</v>
      </c>
      <c r="AL64" s="61"/>
      <c r="AM64" s="1" t="n">
        <v>5</v>
      </c>
      <c r="AN64" s="15" t="s">
        <v>551</v>
      </c>
      <c r="AO64" s="1" t="n">
        <v>0</v>
      </c>
      <c r="AQ64" s="15" t="s">
        <v>1006</v>
      </c>
      <c r="AR64" s="62" t="n">
        <f aca="false">_xlfn.xlookup(I64,'Prix vente'!A:A,'Prix vente'!B:B,FALSE())</f>
        <v>20015</v>
      </c>
      <c r="AS64" s="9" t="n">
        <v>0</v>
      </c>
      <c r="AT64" s="212"/>
    </row>
    <row r="65" customFormat="false" ht="16.4" hidden="false" customHeight="false" outlineLevel="0" collapsed="false">
      <c r="A65" s="61" t="s">
        <v>1007</v>
      </c>
      <c r="B65" s="1" t="s">
        <v>889</v>
      </c>
      <c r="C65" s="199" t="n">
        <v>45555</v>
      </c>
      <c r="D65" s="9" t="n">
        <v>209</v>
      </c>
      <c r="E65" s="61" t="str">
        <f aca="false">_xlfn.xlookup(D65,'PO Client'!$A:$A,'PO Client'!$C:$C,FALSE())</f>
        <v>Étiquettes Multi-Flex</v>
      </c>
      <c r="F65" s="61"/>
      <c r="G65" s="213" t="s">
        <v>1008</v>
      </c>
      <c r="H65" s="205" t="n">
        <f aca="false">_xlfn.xlookup(D65,'PO Client'!A:A,'PO Client'!L:L,"")</f>
        <v>45554</v>
      </c>
      <c r="I65" s="9" t="n">
        <v>40096</v>
      </c>
      <c r="J65" s="9" t="n">
        <v>30017</v>
      </c>
      <c r="K65" s="62" t="str">
        <f aca="false">_xlfn.xlookup(I65,'Prix vente'!$A:$A,'Prix vente'!$H:$H,"")</f>
        <v>B25</v>
      </c>
      <c r="L65" s="69" t="str">
        <f aca="false">_xlfn.xlookup(J65,'Prix MP'!A:A,'Prix MP'!F:F,FALSE())</f>
        <v>B25-3</v>
      </c>
      <c r="M65" s="69" t="str">
        <f aca="false">_xlfn.xlookup(J65,'Prix MP'!A:A,'Prix MP'!D:D,FALSE())</f>
        <v>Jinda</v>
      </c>
      <c r="N65" s="61" t="str">
        <f aca="false">_xlfn.xlookup(I65,'Prix vente'!$A:$A,'Prix vente'!$J:$J,"")</f>
        <v>White BOPP - Acrylic Adhesive</v>
      </c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 t="s">
        <v>1009</v>
      </c>
      <c r="Z65" s="61"/>
      <c r="AA65" s="61"/>
      <c r="AB65" s="61"/>
      <c r="AC65" s="61"/>
      <c r="AD65" s="61"/>
      <c r="AE65" s="61"/>
      <c r="AF65" s="61"/>
      <c r="AG65" s="61"/>
      <c r="AH65" s="61"/>
      <c r="AI65" s="61" t="str">
        <f aca="false">IF(_xlfn.xlookup(I65,'Prix vente'!$A:$A,'Prix vente'!$O:$O,"")="msi","po","mm")</f>
        <v>po</v>
      </c>
      <c r="AJ65" s="61" t="n">
        <f aca="false">_xlfn.xlookup(I65,'Prix vente'!$A:$A,'Prix vente'!$Q:$Q,"")</f>
        <v>5000</v>
      </c>
      <c r="AK65" s="61" t="str">
        <f aca="false">IF(_xlfn.xlookup(I65,'Prix vente'!$A:$A,'Prix vente'!$O:$O,"")="msi","pi","m")</f>
        <v>pi</v>
      </c>
      <c r="AL65" s="61"/>
      <c r="AM65" s="1" t="n">
        <v>10</v>
      </c>
      <c r="AN65" s="15" t="s">
        <v>551</v>
      </c>
      <c r="AO65" s="1" t="n">
        <v>0</v>
      </c>
      <c r="AQ65" s="15" t="s">
        <v>1010</v>
      </c>
      <c r="AR65" s="62" t="n">
        <f aca="false">_xlfn.xlookup(I65,'Prix vente'!A:A,'Prix vente'!B:B,FALSE())</f>
        <v>20017</v>
      </c>
      <c r="AS65" s="9" t="n">
        <v>1</v>
      </c>
      <c r="AT65" s="212"/>
    </row>
    <row r="66" customFormat="false" ht="16.4" hidden="false" customHeight="false" outlineLevel="0" collapsed="false">
      <c r="A66" s="61" t="s">
        <v>1011</v>
      </c>
      <c r="B66" s="1" t="s">
        <v>889</v>
      </c>
      <c r="C66" s="199" t="n">
        <v>45559</v>
      </c>
      <c r="D66" s="9" t="n">
        <v>210</v>
      </c>
      <c r="E66" s="61" t="str">
        <f aca="false">_xlfn.xlookup(D66,'PO Client'!$A:$A,'PO Client'!$C:$C,FALSE())</f>
        <v>Étiquettes Luso-Flex</v>
      </c>
      <c r="F66" s="61"/>
      <c r="G66" s="61" t="n">
        <f aca="false">_xlfn.xlookup(D66,'PO Client'!$A:$A,'PO Client'!$F:$F,FALSE())</f>
        <v>1924</v>
      </c>
      <c r="H66" s="205" t="n">
        <f aca="false">_xlfn.xlookup(D66,'PO Client'!A:A,'PO Client'!L:L,"")</f>
        <v>45565</v>
      </c>
      <c r="I66" s="9" t="n">
        <v>40098</v>
      </c>
      <c r="J66" s="9" t="n">
        <v>30017</v>
      </c>
      <c r="K66" s="62" t="str">
        <f aca="false">_xlfn.xlookup(I66,'Prix vente'!$A:$A,'Prix vente'!$H:$H,"")</f>
        <v>B25</v>
      </c>
      <c r="L66" s="69" t="str">
        <f aca="false">_xlfn.xlookup(J66,'Prix MP'!A:A,'Prix MP'!F:F,FALSE())</f>
        <v>B25-3</v>
      </c>
      <c r="M66" s="69" t="str">
        <f aca="false">_xlfn.xlookup(J66,'Prix MP'!A:A,'Prix MP'!D:D,FALSE())</f>
        <v>Jinda</v>
      </c>
      <c r="N66" s="61" t="str">
        <f aca="false">_xlfn.xlookup(I66,'Prix vente'!$A:$A,'Prix vente'!$J:$J,"")</f>
        <v>White BOPP - Acrylic Adhesive</v>
      </c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 t="n">
        <f aca="false">_xlfn.xlookup(I66,'Prix vente'!$A:$A,'Prix vente'!$P:$P,"")</f>
        <v>8.57</v>
      </c>
      <c r="Z66" s="61"/>
      <c r="AA66" s="61"/>
      <c r="AB66" s="61"/>
      <c r="AC66" s="61"/>
      <c r="AD66" s="61"/>
      <c r="AE66" s="61"/>
      <c r="AF66" s="61"/>
      <c r="AG66" s="61"/>
      <c r="AH66" s="61"/>
      <c r="AI66" s="61" t="str">
        <f aca="false">IF(_xlfn.xlookup(I66,'Prix vente'!$A:$A,'Prix vente'!$O:$O,"")="msi","po","mm")</f>
        <v>po</v>
      </c>
      <c r="AJ66" s="61" t="s">
        <v>1012</v>
      </c>
      <c r="AK66" s="61" t="str">
        <f aca="false">IF(_xlfn.xlookup(I66,'Prix vente'!$A:$A,'Prix vente'!$O:$O,"")="msi","pi","m")</f>
        <v>pi</v>
      </c>
      <c r="AL66" s="61"/>
      <c r="AM66" s="1" t="n">
        <v>21</v>
      </c>
      <c r="AN66" s="15" t="s">
        <v>551</v>
      </c>
      <c r="AO66" s="1" t="n">
        <v>0</v>
      </c>
      <c r="AQ66" s="15" t="s">
        <v>1013</v>
      </c>
      <c r="AR66" s="62" t="n">
        <f aca="false">_xlfn.xlookup(I66,'Prix vente'!A:A,'Prix vente'!B:B,FALSE())</f>
        <v>20017</v>
      </c>
      <c r="AS66" s="9" t="n">
        <v>1</v>
      </c>
      <c r="AT66" s="212"/>
    </row>
    <row r="67" customFormat="false" ht="16.4" hidden="false" customHeight="false" outlineLevel="0" collapsed="false">
      <c r="A67" s="61" t="s">
        <v>1014</v>
      </c>
      <c r="B67" s="1" t="s">
        <v>889</v>
      </c>
      <c r="C67" s="199" t="n">
        <v>45559</v>
      </c>
      <c r="D67" s="9" t="n">
        <v>211</v>
      </c>
      <c r="E67" s="61" t="str">
        <f aca="false">_xlfn.xlookup(D67,'PO Client'!$A:$A,'PO Client'!$C:$C,FALSE())</f>
        <v>Étiquettes Luso-Flex</v>
      </c>
      <c r="F67" s="61"/>
      <c r="G67" s="61" t="n">
        <f aca="false">_xlfn.xlookup(D67,'PO Client'!$A:$A,'PO Client'!$F:$F,FALSE())</f>
        <v>1925</v>
      </c>
      <c r="H67" s="205" t="n">
        <f aca="false">_xlfn.xlookup(D67,'PO Client'!A:A,'PO Client'!L:L,"")</f>
        <v>45565</v>
      </c>
      <c r="I67" s="9" t="n">
        <v>40100</v>
      </c>
      <c r="J67" s="9" t="n">
        <v>30012</v>
      </c>
      <c r="K67" s="62" t="str">
        <f aca="false">_xlfn.xlookup(I67,'Prix vente'!$A:$A,'Prix vente'!$H:$H,"")</f>
        <v>D21</v>
      </c>
      <c r="L67" s="69" t="str">
        <f aca="false">_xlfn.xlookup(J67,'Prix MP'!A:A,'Prix MP'!F:F,FALSE())</f>
        <v>D21-1</v>
      </c>
      <c r="M67" s="69" t="str">
        <f aca="false">_xlfn.xlookup(J67,'Prix MP'!A:A,'Prix MP'!D:D,FALSE())</f>
        <v>AKO</v>
      </c>
      <c r="N67" s="61" t="str">
        <f aca="false">_xlfn.xlookup(I67,'Prix vente'!$A:$A,'Prix vente'!$J:$J,"")</f>
        <v>TC DT - Hotmelt Adhesive</v>
      </c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 t="n">
        <f aca="false">_xlfn.xlookup(I67,'Prix vente'!$A:$A,'Prix vente'!$P:$P,"")</f>
        <v>8.57</v>
      </c>
      <c r="Z67" s="61"/>
      <c r="AA67" s="61"/>
      <c r="AB67" s="61"/>
      <c r="AC67" s="61"/>
      <c r="AD67" s="61"/>
      <c r="AE67" s="61"/>
      <c r="AF67" s="61"/>
      <c r="AG67" s="61"/>
      <c r="AH67" s="61"/>
      <c r="AI67" s="61" t="str">
        <f aca="false">IF(_xlfn.xlookup(I67,'Prix vente'!$A:$A,'Prix vente'!$O:$O,"")="msi","po","mm")</f>
        <v>po</v>
      </c>
      <c r="AJ67" s="61" t="n">
        <f aca="false">_xlfn.xlookup(I67,'Prix vente'!$A:$A,'Prix vente'!$Q:$Q,"")</f>
        <v>10000</v>
      </c>
      <c r="AK67" s="61" t="str">
        <f aca="false">IF(_xlfn.xlookup(I67,'Prix vente'!$A:$A,'Prix vente'!$O:$O,"")="msi","pi","m")</f>
        <v>pi</v>
      </c>
      <c r="AL67" s="61"/>
      <c r="AM67" s="1" t="n">
        <v>14</v>
      </c>
      <c r="AN67" s="15" t="s">
        <v>551</v>
      </c>
      <c r="AO67" s="1" t="n">
        <v>0</v>
      </c>
      <c r="AQ67" s="15" t="str">
        <f aca="false">_xlfn.xlookup(E67,Clients!B:B,Clients!V:V)</f>
        <v>* Livrer les bobines debout</v>
      </c>
      <c r="AR67" s="62" t="n">
        <f aca="false">_xlfn.xlookup(I67,'Prix vente'!A:A,'Prix vente'!B:B,FALSE())</f>
        <v>20012</v>
      </c>
      <c r="AS67" s="9" t="n">
        <v>1</v>
      </c>
      <c r="AT67" s="212"/>
    </row>
    <row r="68" customFormat="false" ht="16.4" hidden="false" customHeight="false" outlineLevel="0" collapsed="false">
      <c r="A68" s="61" t="s">
        <v>1015</v>
      </c>
      <c r="B68" s="1" t="s">
        <v>889</v>
      </c>
      <c r="C68" s="199" t="n">
        <v>45560</v>
      </c>
      <c r="D68" s="9" t="n">
        <v>212</v>
      </c>
      <c r="E68" s="61" t="str">
        <f aca="false">_xlfn.xlookup(D68,'PO Client'!$A:$A,'PO Client'!$C:$C,FALSE())</f>
        <v>Étiquettes Rive-Sud</v>
      </c>
      <c r="F68" s="61"/>
      <c r="G68" s="61" t="n">
        <f aca="false">_xlfn.xlookup(D68,'PO Client'!$A:$A,'PO Client'!$F:$F,FALSE())</f>
        <v>240924</v>
      </c>
      <c r="H68" s="205" t="n">
        <f aca="false">_xlfn.xlookup(D68,'PO Client'!A:A,'PO Client'!L:L,"")</f>
        <v>45565</v>
      </c>
      <c r="I68" s="9" t="n">
        <v>40101</v>
      </c>
      <c r="J68" s="9" t="n">
        <v>30017</v>
      </c>
      <c r="K68" s="62" t="str">
        <f aca="false">_xlfn.xlookup(I68,'Prix vente'!$A:$A,'Prix vente'!$H:$H,"")</f>
        <v>B25</v>
      </c>
      <c r="L68" s="69" t="str">
        <f aca="false">_xlfn.xlookup(J68,'Prix MP'!A:A,'Prix MP'!F:F,FALSE())</f>
        <v>B25-3</v>
      </c>
      <c r="M68" s="69" t="str">
        <f aca="false">_xlfn.xlookup(J68,'Prix MP'!A:A,'Prix MP'!D:D,FALSE())</f>
        <v>Jinda</v>
      </c>
      <c r="N68" s="61" t="str">
        <f aca="false">_xlfn.xlookup(I68,'Prix vente'!$A:$A,'Prix vente'!$J:$J,"")</f>
        <v>White BOPP - Acrylic Adhesive</v>
      </c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 t="n">
        <f aca="false">_xlfn.xlookup(I68,'Prix vente'!$A:$A,'Prix vente'!$P:$P,"")</f>
        <v>8.6</v>
      </c>
      <c r="Z68" s="61"/>
      <c r="AA68" s="61"/>
      <c r="AB68" s="61"/>
      <c r="AC68" s="61"/>
      <c r="AD68" s="61"/>
      <c r="AE68" s="61"/>
      <c r="AF68" s="61"/>
      <c r="AG68" s="61"/>
      <c r="AH68" s="61"/>
      <c r="AI68" s="61" t="str">
        <f aca="false">IF(_xlfn.xlookup(I68,'Prix vente'!$A:$A,'Prix vente'!$O:$O,"")="msi","po","mm")</f>
        <v>po</v>
      </c>
      <c r="AJ68" s="61" t="n">
        <f aca="false">_xlfn.xlookup(I68,'Prix vente'!$A:$A,'Prix vente'!$Q:$Q,"")</f>
        <v>7000</v>
      </c>
      <c r="AK68" s="61" t="str">
        <f aca="false">IF(_xlfn.xlookup(I68,'Prix vente'!$A:$A,'Prix vente'!$O:$O,"")="msi","pi","m")</f>
        <v>pi</v>
      </c>
      <c r="AL68" s="61"/>
      <c r="AM68" s="1" t="n">
        <v>7</v>
      </c>
      <c r="AN68" s="15" t="s">
        <v>551</v>
      </c>
      <c r="AO68" s="1" t="n">
        <v>0</v>
      </c>
      <c r="AQ68" s="15" t="s">
        <v>1016</v>
      </c>
      <c r="AR68" s="62" t="n">
        <f aca="false">_xlfn.xlookup(I68,'Prix vente'!A:A,'Prix vente'!B:B,FALSE())</f>
        <v>20017</v>
      </c>
      <c r="AS68" s="9" t="n">
        <v>0</v>
      </c>
      <c r="AT68" s="212"/>
    </row>
    <row r="69" customFormat="false" ht="16.4" hidden="false" customHeight="false" outlineLevel="0" collapsed="false">
      <c r="A69" s="61" t="s">
        <v>1017</v>
      </c>
      <c r="B69" s="1" t="s">
        <v>889</v>
      </c>
      <c r="C69" s="199" t="n">
        <v>45565</v>
      </c>
      <c r="D69" s="9" t="n">
        <v>213</v>
      </c>
      <c r="E69" s="61" t="str">
        <f aca="false">_xlfn.xlookup(D69,'PO Client'!$A:$A,'PO Client'!$C:$C,FALSE())</f>
        <v>Digi America Inc.</v>
      </c>
      <c r="F69" s="61"/>
      <c r="G69" s="61" t="n">
        <f aca="false">_xlfn.xlookup(D69,'PO Client'!$A:$A,'PO Client'!$F:$F,FALSE())</f>
        <v>50008607</v>
      </c>
      <c r="H69" s="205" t="n">
        <f aca="false">_xlfn.xlookup(D69,'PO Client'!A:A,'PO Client'!L:L,"")</f>
        <v>45573</v>
      </c>
      <c r="I69" s="9" t="n">
        <v>40103</v>
      </c>
      <c r="J69" s="9" t="n">
        <v>30019</v>
      </c>
      <c r="K69" s="62" t="str">
        <f aca="false">_xlfn.xlookup(I69,'Prix vente'!$A:$A,'Prix vente'!$H:$H,"")</f>
        <v>D16</v>
      </c>
      <c r="L69" s="69" t="str">
        <f aca="false">_xlfn.xlookup(J69,'Prix MP'!A:A,'Prix MP'!F:F,FALSE())</f>
        <v>D16-1</v>
      </c>
      <c r="M69" s="69" t="str">
        <f aca="false">_xlfn.xlookup(J69,'Prix MP'!A:A,'Prix MP'!D:D,FALSE())</f>
        <v>AKO</v>
      </c>
      <c r="N69" s="61" t="str">
        <f aca="false">_xlfn.xlookup(I69,'Prix vente'!$A:$A,'Prix vente'!$J:$J,"")</f>
        <v>TC DT - Acrylic Adhesive</v>
      </c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 t="n">
        <f aca="false">_xlfn.xlookup(I69,'Prix vente'!$A:$A,'Prix vente'!$P:$P,"")</f>
        <v>10</v>
      </c>
      <c r="Z69" s="61"/>
      <c r="AA69" s="61"/>
      <c r="AB69" s="61"/>
      <c r="AC69" s="61"/>
      <c r="AD69" s="61"/>
      <c r="AE69" s="61"/>
      <c r="AF69" s="61"/>
      <c r="AG69" s="61"/>
      <c r="AH69" s="61"/>
      <c r="AI69" s="61" t="str">
        <f aca="false">IF(_xlfn.xlookup(I69,'Prix vente'!$A:$A,'Prix vente'!$O:$O,"")="msi","po","mm")</f>
        <v>po</v>
      </c>
      <c r="AJ69" s="61" t="n">
        <f aca="false">_xlfn.xlookup(I69,'Prix vente'!$A:$A,'Prix vente'!$Q:$Q,"")</f>
        <v>5000</v>
      </c>
      <c r="AK69" s="61" t="str">
        <f aca="false">IF(_xlfn.xlookup(I69,'Prix vente'!$A:$A,'Prix vente'!$O:$O,"")="msi","pi","m")</f>
        <v>pi</v>
      </c>
      <c r="AL69" s="61"/>
      <c r="AM69" s="1" t="n">
        <v>60</v>
      </c>
      <c r="AN69" s="15" t="s">
        <v>524</v>
      </c>
      <c r="AO69" s="1" t="n">
        <v>0</v>
      </c>
      <c r="AQ69" s="15" t="s">
        <v>1018</v>
      </c>
      <c r="AR69" s="62" t="n">
        <f aca="false">_xlfn.xlookup(I69,'Prix vente'!A:A,'Prix vente'!B:B,FALSE())</f>
        <v>20018</v>
      </c>
      <c r="AS69" s="9" t="n">
        <v>5</v>
      </c>
      <c r="AT69" s="212"/>
    </row>
    <row r="70" customFormat="false" ht="16.4" hidden="false" customHeight="false" outlineLevel="0" collapsed="false">
      <c r="A70" s="61" t="s">
        <v>1019</v>
      </c>
      <c r="B70" s="1" t="s">
        <v>889</v>
      </c>
      <c r="C70" s="199" t="n">
        <v>45566</v>
      </c>
      <c r="D70" s="9" t="n">
        <v>214</v>
      </c>
      <c r="E70" s="61" t="str">
        <f aca="false">_xlfn.xlookup(D70,'PO Client'!$A:$A,'PO Client'!$C:$C,FALSE())</f>
        <v>Amstik</v>
      </c>
      <c r="F70" s="61"/>
      <c r="G70" s="61" t="str">
        <f aca="false">_xlfn.xlookup(D70,'PO Client'!$A:$A,'PO Client'!$F:$F,FALSE())</f>
        <v>Échantillon D21</v>
      </c>
      <c r="H70" s="205" t="n">
        <f aca="false">_xlfn.xlookup(D70,'PO Client'!A:A,'PO Client'!L:L,"")</f>
        <v>45573</v>
      </c>
      <c r="I70" s="9" t="n">
        <v>40104</v>
      </c>
      <c r="J70" s="9" t="n">
        <v>30012</v>
      </c>
      <c r="K70" s="62" t="str">
        <f aca="false">_xlfn.xlookup(I70,'Prix vente'!$A:$A,'Prix vente'!$H:$H,"")</f>
        <v>D21</v>
      </c>
      <c r="L70" s="69" t="str">
        <f aca="false">_xlfn.xlookup(J70,'Prix MP'!A:A,'Prix MP'!F:F,FALSE())</f>
        <v>D21-1</v>
      </c>
      <c r="M70" s="69" t="str">
        <f aca="false">_xlfn.xlookup(J70,'Prix MP'!A:A,'Prix MP'!D:D,FALSE())</f>
        <v>AKO</v>
      </c>
      <c r="N70" s="61" t="str">
        <f aca="false">_xlfn.xlookup(I70,'Prix vente'!$A:$A,'Prix vente'!$J:$J,"")</f>
        <v>TC DT - Hotmelt Adhesive</v>
      </c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 t="n">
        <f aca="false">_xlfn.xlookup(I70,'Prix vente'!$A:$A,'Prix vente'!$P:$P,"")</f>
        <v>7.625</v>
      </c>
      <c r="Z70" s="61"/>
      <c r="AA70" s="61"/>
      <c r="AB70" s="61"/>
      <c r="AC70" s="61"/>
      <c r="AD70" s="61"/>
      <c r="AE70" s="61"/>
      <c r="AF70" s="61"/>
      <c r="AG70" s="61"/>
      <c r="AH70" s="61"/>
      <c r="AI70" s="61" t="str">
        <f aca="false">IF(_xlfn.xlookup(I70,'Prix vente'!$A:$A,'Prix vente'!$O:$O,"")="msi","po","mm")</f>
        <v>po</v>
      </c>
      <c r="AJ70" s="61" t="n">
        <f aca="false">_xlfn.xlookup(I70,'Prix vente'!$A:$A,'Prix vente'!$Q:$Q,"")</f>
        <v>4300</v>
      </c>
      <c r="AK70" s="61" t="str">
        <f aca="false">IF(_xlfn.xlookup(I70,'Prix vente'!$A:$A,'Prix vente'!$O:$O,"")="msi","pi","m")</f>
        <v>pi</v>
      </c>
      <c r="AL70" s="61"/>
      <c r="AM70" s="1" t="n">
        <v>1</v>
      </c>
      <c r="AN70" s="15" t="s">
        <v>551</v>
      </c>
      <c r="AO70" s="1" t="n">
        <v>0</v>
      </c>
      <c r="AQ70" s="15" t="s">
        <v>1020</v>
      </c>
      <c r="AR70" s="62" t="n">
        <f aca="false">_xlfn.xlookup(I70,'Prix vente'!A:A,'Prix vente'!B:B,FALSE())</f>
        <v>20012</v>
      </c>
      <c r="AS70" s="9" t="n">
        <v>0</v>
      </c>
      <c r="AT70" s="212"/>
    </row>
    <row r="71" customFormat="false" ht="16.4" hidden="false" customHeight="false" outlineLevel="0" collapsed="false">
      <c r="A71" s="61" t="s">
        <v>1021</v>
      </c>
      <c r="B71" s="1" t="s">
        <v>889</v>
      </c>
      <c r="C71" s="199" t="n">
        <v>45568</v>
      </c>
      <c r="D71" s="9" t="n">
        <v>215</v>
      </c>
      <c r="E71" s="61" t="s">
        <v>1022</v>
      </c>
      <c r="F71" s="61"/>
      <c r="G71" s="61" t="str">
        <f aca="false">_xlfn.xlookup(D71,'PO Client'!$A:$A,'PO Client'!$F:$F,FALSE())</f>
        <v>Échantillon TT</v>
      </c>
      <c r="H71" s="205" t="n">
        <f aca="false">_xlfn.xlookup(D71,'PO Client'!A:A,'PO Client'!L:L,"")</f>
        <v>45573</v>
      </c>
      <c r="I71" s="9" t="n">
        <v>40105</v>
      </c>
      <c r="J71" s="9" t="n">
        <v>30023</v>
      </c>
      <c r="K71" s="62" t="str">
        <f aca="false">_xlfn.xlookup(I71,'Prix vente'!$A:$A,'Prix vente'!$H:$H,"")</f>
        <v>T11</v>
      </c>
      <c r="L71" s="69" t="str">
        <f aca="false">_xlfn.xlookup(J71,'Prix MP'!A:A,'Prix MP'!F:F,FALSE())</f>
        <v>T11-1</v>
      </c>
      <c r="M71" s="69" t="str">
        <f aca="false">_xlfn.xlookup(J71,'Prix MP'!A:A,'Prix MP'!D:D,FALSE())</f>
        <v>AKO</v>
      </c>
      <c r="N71" s="61" t="str">
        <f aca="false">_xlfn.xlookup(I71,'Prix vente'!$A:$A,'Prix vente'!$J:$J,"")</f>
        <v>TT - HM Adhesive</v>
      </c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 t="s">
        <v>1023</v>
      </c>
      <c r="Z71" s="61"/>
      <c r="AA71" s="61"/>
      <c r="AB71" s="61"/>
      <c r="AC71" s="61"/>
      <c r="AD71" s="61"/>
      <c r="AE71" s="61"/>
      <c r="AF71" s="61"/>
      <c r="AG71" s="61"/>
      <c r="AH71" s="61"/>
      <c r="AI71" s="61" t="str">
        <f aca="false">IF(_xlfn.xlookup(I71,'Prix vente'!$A:$A,'Prix vente'!$O:$O,"")="msi","po","mm")</f>
        <v>po</v>
      </c>
      <c r="AJ71" s="61" t="n">
        <f aca="false">_xlfn.xlookup(I71,'Prix vente'!$A:$A,'Prix vente'!$Q:$Q,"")</f>
        <v>2400</v>
      </c>
      <c r="AK71" s="61" t="str">
        <f aca="false">IF(_xlfn.xlookup(I71,'Prix vente'!$A:$A,'Prix vente'!$O:$O,"")="msi","pi","m")</f>
        <v>pi</v>
      </c>
      <c r="AL71" s="61"/>
      <c r="AM71" s="1" t="n">
        <v>4</v>
      </c>
      <c r="AN71" s="15" t="s">
        <v>551</v>
      </c>
      <c r="AO71" s="1" t="n">
        <v>0</v>
      </c>
      <c r="AQ71" s="15" t="s">
        <v>1024</v>
      </c>
      <c r="AR71" s="62" t="n">
        <f aca="false">_xlfn.xlookup(I71,'Prix vente'!A:A,'Prix vente'!B:B,FALSE())</f>
        <v>20003</v>
      </c>
      <c r="AS71" s="9" t="n">
        <v>1</v>
      </c>
    </row>
    <row r="72" customFormat="false" ht="16.4" hidden="false" customHeight="false" outlineLevel="0" collapsed="false">
      <c r="A72" s="61" t="s">
        <v>1025</v>
      </c>
      <c r="B72" s="1" t="s">
        <v>889</v>
      </c>
      <c r="C72" s="199" t="n">
        <v>45568</v>
      </c>
      <c r="D72" s="9" t="n">
        <v>216</v>
      </c>
      <c r="E72" s="61" t="s">
        <v>1026</v>
      </c>
      <c r="F72" s="61"/>
      <c r="G72" s="61" t="str">
        <f aca="false">_xlfn.xlookup(D72,'PO Client'!$A:$A,'PO Client'!$F:$F,FALSE())</f>
        <v>Échantillon S31</v>
      </c>
      <c r="H72" s="205" t="n">
        <f aca="false">_xlfn.xlookup(D72,'PO Client'!A:A,'PO Client'!L:L,"")</f>
        <v>45573</v>
      </c>
      <c r="I72" s="9" t="n">
        <v>40106</v>
      </c>
      <c r="J72" s="9" t="n">
        <v>30024</v>
      </c>
      <c r="K72" s="62" t="str">
        <f aca="false">_xlfn.xlookup(I72,'Prix vente'!$A:$A,'Prix vente'!$H:$H,"")</f>
        <v>S31</v>
      </c>
      <c r="L72" s="69" t="str">
        <f aca="false">_xlfn.xlookup(J72,'Prix MP'!A:A,'Prix MP'!F:F,FALSE())</f>
        <v>S31-1</v>
      </c>
      <c r="M72" s="69" t="str">
        <f aca="false">_xlfn.xlookup(J72,'Prix MP'!A:A,'Prix MP'!D:D,FALSE())</f>
        <v>AKO</v>
      </c>
      <c r="N72" s="61" t="str">
        <f aca="false">_xlfn.xlookup(I72,'Prix vente'!$A:$A,'Prix vente'!$J:$J,"")</f>
        <v>SG - HM Adhesive - PET liner</v>
      </c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 t="s">
        <v>1027</v>
      </c>
      <c r="Z72" s="61"/>
      <c r="AA72" s="61"/>
      <c r="AB72" s="61"/>
      <c r="AC72" s="61"/>
      <c r="AD72" s="61"/>
      <c r="AE72" s="61"/>
      <c r="AF72" s="61"/>
      <c r="AG72" s="61"/>
      <c r="AH72" s="61"/>
      <c r="AI72" s="61" t="str">
        <f aca="false">IF(_xlfn.xlookup(I72,'Prix vente'!$A:$A,'Prix vente'!$O:$O,"")="msi","po","mm")</f>
        <v>po</v>
      </c>
      <c r="AJ72" s="61" t="n">
        <v>2300</v>
      </c>
      <c r="AK72" s="61" t="str">
        <f aca="false">IF(_xlfn.xlookup(I72,'Prix vente'!$A:$A,'Prix vente'!$O:$O,"")="msi","pi","m")</f>
        <v>pi</v>
      </c>
      <c r="AL72" s="61"/>
      <c r="AM72" s="1" t="n">
        <v>2</v>
      </c>
      <c r="AN72" s="15" t="s">
        <v>551</v>
      </c>
      <c r="AO72" s="1" t="n">
        <v>0</v>
      </c>
      <c r="AQ72" s="15" t="s">
        <v>1028</v>
      </c>
      <c r="AR72" s="62" t="n">
        <f aca="false">_xlfn.xlookup(I72,'Prix vente'!A:A,'Prix vente'!B:B,FALSE())</f>
        <v>20022</v>
      </c>
      <c r="AS72" s="9" t="n">
        <v>1</v>
      </c>
    </row>
    <row r="73" customFormat="false" ht="16.4" hidden="false" customHeight="false" outlineLevel="0" collapsed="false">
      <c r="A73" s="61" t="s">
        <v>1029</v>
      </c>
      <c r="B73" s="1" t="s">
        <v>889</v>
      </c>
      <c r="C73" s="199" t="n">
        <v>45568</v>
      </c>
      <c r="D73" s="9" t="n">
        <v>217</v>
      </c>
      <c r="E73" s="61" t="s">
        <v>1030</v>
      </c>
      <c r="F73" s="61"/>
      <c r="G73" s="61" t="s">
        <v>1031</v>
      </c>
      <c r="H73" s="205" t="n">
        <f aca="false">_xlfn.xlookup(D73,'PO Client'!A:A,'PO Client'!L:L,"")</f>
        <v>45573</v>
      </c>
      <c r="I73" s="9" t="n">
        <v>40107</v>
      </c>
      <c r="J73" s="9" t="n">
        <v>30011</v>
      </c>
      <c r="K73" s="62" t="str">
        <f aca="false">_xlfn.xlookup(I73,'Prix vente'!$A:$A,'Prix vente'!$H:$H,"")</f>
        <v>S21</v>
      </c>
      <c r="L73" s="69" t="str">
        <f aca="false">_xlfn.xlookup(J73,'Prix MP'!A:A,'Prix MP'!F:F,FALSE())</f>
        <v>S21-1</v>
      </c>
      <c r="M73" s="69" t="str">
        <f aca="false">_xlfn.xlookup(J73,'Prix MP'!A:A,'Prix MP'!D:D,FALSE())</f>
        <v>AKO</v>
      </c>
      <c r="N73" s="61" t="str">
        <f aca="false">_xlfn.xlookup(I73,'Prix vente'!$A:$A,'Prix vente'!$J:$J,"")</f>
        <v>SG - Hotmelt Adhesive</v>
      </c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 t="s">
        <v>1032</v>
      </c>
      <c r="Z73" s="61"/>
      <c r="AA73" s="61"/>
      <c r="AB73" s="61"/>
      <c r="AC73" s="61"/>
      <c r="AD73" s="61"/>
      <c r="AE73" s="61"/>
      <c r="AF73" s="61"/>
      <c r="AG73" s="61"/>
      <c r="AH73" s="61"/>
      <c r="AI73" s="61" t="str">
        <f aca="false">IF(_xlfn.xlookup(I73,'Prix vente'!$A:$A,'Prix vente'!$O:$O,"")="msi","po","mm")</f>
        <v>po</v>
      </c>
      <c r="AJ73" s="61" t="n">
        <f aca="false">_xlfn.xlookup(I73,'Prix vente'!$A:$A,'Prix vente'!$Q:$Q,"")</f>
        <v>2400</v>
      </c>
      <c r="AK73" s="61" t="str">
        <f aca="false">IF(_xlfn.xlookup(I73,'Prix vente'!$A:$A,'Prix vente'!$O:$O,"")="msi","pi","m")</f>
        <v>pi</v>
      </c>
      <c r="AL73" s="61"/>
      <c r="AM73" s="1" t="n">
        <v>2</v>
      </c>
      <c r="AN73" s="15" t="s">
        <v>551</v>
      </c>
      <c r="AO73" s="1" t="n">
        <v>0</v>
      </c>
      <c r="AQ73" s="15" t="s">
        <v>1033</v>
      </c>
      <c r="AR73" s="62" t="n">
        <f aca="false">_xlfn.xlookup(I73,'Prix vente'!A:A,'Prix vente'!B:B,FALSE())</f>
        <v>20011</v>
      </c>
      <c r="AS73" s="9" t="n">
        <v>0</v>
      </c>
    </row>
    <row r="74" customFormat="false" ht="16.4" hidden="false" customHeight="false" outlineLevel="0" collapsed="false">
      <c r="A74" s="61" t="s">
        <v>1034</v>
      </c>
      <c r="B74" s="1" t="s">
        <v>889</v>
      </c>
      <c r="C74" s="199" t="n">
        <v>45568</v>
      </c>
      <c r="D74" s="9" t="n">
        <v>217</v>
      </c>
      <c r="E74" s="61" t="str">
        <f aca="false">_xlfn.xlookup(D74,'PO Client'!$A:$A,'PO Client'!$C:$C,FALSE())</f>
        <v>Amstik</v>
      </c>
      <c r="F74" s="61"/>
      <c r="G74" s="61" t="s">
        <v>1035</v>
      </c>
      <c r="H74" s="205" t="n">
        <f aca="false">_xlfn.xlookup(D74,'PO Client'!A:A,'PO Client'!L:L,"")</f>
        <v>45573</v>
      </c>
      <c r="I74" s="9" t="n">
        <v>40108</v>
      </c>
      <c r="J74" s="9" t="n">
        <v>30015</v>
      </c>
      <c r="K74" s="62" t="str">
        <f aca="false">_xlfn.xlookup(I74,'Prix vente'!$A:$A,'Prix vente'!$H:$H,"")</f>
        <v>S15</v>
      </c>
      <c r="L74" s="69" t="str">
        <f aca="false">_xlfn.xlookup(J74,'Prix MP'!A:A,'Prix MP'!F:F,FALSE())</f>
        <v>S15-3</v>
      </c>
      <c r="M74" s="69" t="str">
        <f aca="false">_xlfn.xlookup(J74,'Prix MP'!A:A,'Prix MP'!D:D,FALSE())</f>
        <v>Jinda</v>
      </c>
      <c r="N74" s="61" t="str">
        <f aca="false">_xlfn.xlookup(I74,'Prix vente'!$A:$A,'Prix vente'!$J:$J,"")</f>
        <v>SG - Acrylic Adhesive</v>
      </c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 t="n">
        <f aca="false">_xlfn.xlookup(I74,'Prix vente'!$A:$A,'Prix vente'!$P:$P,"")</f>
        <v>6.75</v>
      </c>
      <c r="Z74" s="61"/>
      <c r="AA74" s="61"/>
      <c r="AB74" s="61"/>
      <c r="AC74" s="61"/>
      <c r="AD74" s="61"/>
      <c r="AE74" s="61"/>
      <c r="AF74" s="61"/>
      <c r="AG74" s="61"/>
      <c r="AH74" s="61"/>
      <c r="AI74" s="61" t="str">
        <f aca="false">IF(_xlfn.xlookup(I74,'Prix vente'!$A:$A,'Prix vente'!$O:$O,"")="msi","po","mm")</f>
        <v>po</v>
      </c>
      <c r="AJ74" s="61" t="n">
        <f aca="false">_xlfn.xlookup(I74,'Prix vente'!$A:$A,'Prix vente'!$Q:$Q,"")</f>
        <v>2400</v>
      </c>
      <c r="AK74" s="61" t="str">
        <f aca="false">IF(_xlfn.xlookup(I74,'Prix vente'!$A:$A,'Prix vente'!$O:$O,"")="msi","pi","m")</f>
        <v>pi</v>
      </c>
      <c r="AL74" s="61"/>
      <c r="AM74" s="1" t="n">
        <v>1</v>
      </c>
      <c r="AN74" s="15" t="s">
        <v>551</v>
      </c>
      <c r="AO74" s="1" t="n">
        <v>0</v>
      </c>
      <c r="AQ74" s="15" t="s">
        <v>1036</v>
      </c>
      <c r="AR74" s="62" t="n">
        <f aca="false">_xlfn.xlookup(I74,'Prix vente'!A:A,'Prix vente'!B:B,FALSE())</f>
        <v>20015</v>
      </c>
      <c r="AS74" s="9" t="n">
        <v>0</v>
      </c>
    </row>
    <row r="75" customFormat="false" ht="16.4" hidden="false" customHeight="false" outlineLevel="0" collapsed="false">
      <c r="A75" s="61" t="s">
        <v>1037</v>
      </c>
      <c r="B75" s="1" t="s">
        <v>889</v>
      </c>
      <c r="C75" s="199" t="n">
        <v>45568</v>
      </c>
      <c r="D75" s="9" t="n">
        <v>217</v>
      </c>
      <c r="E75" s="61" t="str">
        <f aca="false">_xlfn.xlookup(D75,'PO Client'!$A:$A,'PO Client'!$C:$C,FALSE())</f>
        <v>Amstik</v>
      </c>
      <c r="F75" s="61"/>
      <c r="G75" s="61" t="s">
        <v>1038</v>
      </c>
      <c r="H75" s="205" t="n">
        <f aca="false">_xlfn.xlookup(D75,'PO Client'!A:A,'PO Client'!L:L,"")</f>
        <v>45573</v>
      </c>
      <c r="I75" s="9" t="n">
        <v>40109</v>
      </c>
      <c r="J75" s="9" t="n">
        <v>30016</v>
      </c>
      <c r="K75" s="62" t="str">
        <f aca="false">_xlfn.xlookup(I75,'Prix vente'!$A:$A,'Prix vente'!$H:$H,"")</f>
        <v>B15</v>
      </c>
      <c r="L75" s="69" t="str">
        <f aca="false">_xlfn.xlookup(J75,'Prix MP'!A:A,'Prix MP'!F:F,FALSE())</f>
        <v>B15-3</v>
      </c>
      <c r="M75" s="69" t="str">
        <f aca="false">_xlfn.xlookup(J75,'Prix MP'!A:A,'Prix MP'!D:D,FALSE())</f>
        <v>Jinda</v>
      </c>
      <c r="N75" s="61" t="str">
        <f aca="false">_xlfn.xlookup(I75,'Prix vente'!$A:$A,'Prix vente'!$J:$J,"")</f>
        <v>Clear BOPP - Acrylic Adhesive</v>
      </c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 t="n">
        <f aca="false">_xlfn.xlookup(I75,'Prix vente'!$A:$A,'Prix vente'!$P:$P,"")</f>
        <v>9.75</v>
      </c>
      <c r="Z75" s="61"/>
      <c r="AA75" s="61"/>
      <c r="AB75" s="61"/>
      <c r="AC75" s="61"/>
      <c r="AD75" s="61"/>
      <c r="AE75" s="61"/>
      <c r="AF75" s="61"/>
      <c r="AG75" s="61"/>
      <c r="AH75" s="61"/>
      <c r="AI75" s="61" t="str">
        <f aca="false">IF(_xlfn.xlookup(I75,'Prix vente'!$A:$A,'Prix vente'!$O:$O,"")="msi","po","mm")</f>
        <v>po</v>
      </c>
      <c r="AJ75" s="61" t="n">
        <f aca="false">_xlfn.xlookup(I75,'Prix vente'!$A:$A,'Prix vente'!$Q:$Q,"")</f>
        <v>2400</v>
      </c>
      <c r="AK75" s="61" t="str">
        <f aca="false">IF(_xlfn.xlookup(I75,'Prix vente'!$A:$A,'Prix vente'!$O:$O,"")="msi","pi","m")</f>
        <v>pi</v>
      </c>
      <c r="AL75" s="61"/>
      <c r="AM75" s="1" t="n">
        <v>1</v>
      </c>
      <c r="AN75" s="15" t="s">
        <v>551</v>
      </c>
      <c r="AO75" s="1" t="n">
        <v>0</v>
      </c>
      <c r="AQ75" s="15" t="s">
        <v>1039</v>
      </c>
      <c r="AR75" s="62" t="n">
        <f aca="false">_xlfn.xlookup(I75,'Prix vente'!A:A,'Prix vente'!B:B,FALSE())</f>
        <v>20016</v>
      </c>
      <c r="AS75" s="9" t="n">
        <v>0</v>
      </c>
    </row>
    <row r="76" customFormat="false" ht="16.4" hidden="false" customHeight="false" outlineLevel="0" collapsed="false">
      <c r="A76" s="61" t="s">
        <v>1040</v>
      </c>
      <c r="B76" s="1" t="s">
        <v>889</v>
      </c>
      <c r="C76" s="199" t="n">
        <v>45568</v>
      </c>
      <c r="D76" s="9" t="n">
        <v>217</v>
      </c>
      <c r="E76" s="61" t="str">
        <f aca="false">_xlfn.xlookup(D76,'PO Client'!$A:$A,'PO Client'!$C:$C,FALSE())</f>
        <v>Amstik</v>
      </c>
      <c r="F76" s="61"/>
      <c r="G76" s="61" t="s">
        <v>784</v>
      </c>
      <c r="H76" s="205" t="n">
        <f aca="false">_xlfn.xlookup(D76,'PO Client'!A:A,'PO Client'!L:L,"")</f>
        <v>45573</v>
      </c>
      <c r="I76" s="9" t="n">
        <v>40110</v>
      </c>
      <c r="J76" s="9" t="n">
        <v>30017</v>
      </c>
      <c r="K76" s="62" t="str">
        <f aca="false">_xlfn.xlookup(I76,'Prix vente'!$A:$A,'Prix vente'!$H:$H,"")</f>
        <v>B25</v>
      </c>
      <c r="L76" s="69" t="str">
        <f aca="false">_xlfn.xlookup(J76,'Prix MP'!A:A,'Prix MP'!F:F,FALSE())</f>
        <v>B25-3</v>
      </c>
      <c r="M76" s="69" t="str">
        <f aca="false">_xlfn.xlookup(J76,'Prix MP'!A:A,'Prix MP'!D:D,FALSE())</f>
        <v>Jinda</v>
      </c>
      <c r="N76" s="61" t="str">
        <f aca="false">_xlfn.xlookup(I76,'Prix vente'!$A:$A,'Prix vente'!$J:$J,"")</f>
        <v>White BOPP - Acrylic Adhesive</v>
      </c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 t="n">
        <f aca="false">_xlfn.xlookup(I76,'Prix vente'!$A:$A,'Prix vente'!$P:$P,"")</f>
        <v>8.675</v>
      </c>
      <c r="Z76" s="61"/>
      <c r="AA76" s="61"/>
      <c r="AB76" s="61"/>
      <c r="AC76" s="61"/>
      <c r="AD76" s="61"/>
      <c r="AE76" s="61"/>
      <c r="AF76" s="61"/>
      <c r="AG76" s="61"/>
      <c r="AH76" s="61"/>
      <c r="AI76" s="61" t="str">
        <f aca="false">IF(_xlfn.xlookup(I76,'Prix vente'!$A:$A,'Prix vente'!$O:$O,"")="msi","po","mm")</f>
        <v>po</v>
      </c>
      <c r="AJ76" s="61" t="n">
        <f aca="false">_xlfn.xlookup(I76,'Prix vente'!$A:$A,'Prix vente'!$Q:$Q,"")</f>
        <v>2400</v>
      </c>
      <c r="AK76" s="61" t="str">
        <f aca="false">IF(_xlfn.xlookup(I76,'Prix vente'!$A:$A,'Prix vente'!$O:$O,"")="msi","pi","m")</f>
        <v>pi</v>
      </c>
      <c r="AL76" s="61"/>
      <c r="AM76" s="1" t="n">
        <v>1</v>
      </c>
      <c r="AN76" s="15" t="s">
        <v>551</v>
      </c>
      <c r="AO76" s="1" t="n">
        <v>0</v>
      </c>
      <c r="AQ76" s="15" t="s">
        <v>1041</v>
      </c>
      <c r="AR76" s="62" t="n">
        <f aca="false">_xlfn.xlookup(I76,'Prix vente'!A:A,'Prix vente'!B:B,FALSE())</f>
        <v>20017</v>
      </c>
      <c r="AS76" s="9" t="n">
        <v>0</v>
      </c>
    </row>
    <row r="77" customFormat="false" ht="16.4" hidden="false" customHeight="false" outlineLevel="0" collapsed="false">
      <c r="A77" s="61" t="s">
        <v>1042</v>
      </c>
      <c r="B77" s="1" t="s">
        <v>889</v>
      </c>
      <c r="C77" s="199" t="n">
        <v>45568</v>
      </c>
      <c r="D77" s="9" t="n">
        <v>220</v>
      </c>
      <c r="E77" s="61" t="str">
        <f aca="false">_xlfn.xlookup(D77,'PO Client'!$A:$A,'PO Client'!$C:$C,FALSE())</f>
        <v>Damaflex Imprimerie Multiservices Inc.</v>
      </c>
      <c r="F77" s="61"/>
      <c r="G77" s="61" t="str">
        <f aca="false">_xlfn.xlookup(D77,'PO Client'!$A:$A,'PO Client'!$F:$F,FALSE())</f>
        <v>Échantillons</v>
      </c>
      <c r="H77" s="205" t="n">
        <f aca="false">_xlfn.xlookup(D77,'PO Client'!A:A,'PO Client'!L:L,"")</f>
        <v>45574</v>
      </c>
      <c r="I77" s="9" t="n">
        <v>40114</v>
      </c>
      <c r="J77" s="9" t="n">
        <v>30013</v>
      </c>
      <c r="K77" s="62" t="str">
        <f aca="false">_xlfn.xlookup(I77,'Prix vente'!$A:$A,'Prix vente'!$H:$H,"")</f>
        <v>D11</v>
      </c>
      <c r="L77" s="69" t="str">
        <f aca="false">_xlfn.xlookup(J77,'Prix MP'!A:A,'Prix MP'!F:F,FALSE())</f>
        <v>D11-1</v>
      </c>
      <c r="M77" s="69" t="str">
        <f aca="false">_xlfn.xlookup(J77,'Prix MP'!A:A,'Prix MP'!D:D,FALSE())</f>
        <v>AKO</v>
      </c>
      <c r="N77" s="61" t="str">
        <f aca="false">_xlfn.xlookup(I77,'Prix vente'!$A:$A,'Prix vente'!$J:$J,"")</f>
        <v>TC DT - Hotmelt Adhesive</v>
      </c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 t="n">
        <f aca="false">_xlfn.xlookup(I77,'Prix vente'!$A:$A,'Prix vente'!$P:$P,"")</f>
        <v>9.4</v>
      </c>
      <c r="Z77" s="61"/>
      <c r="AA77" s="61"/>
      <c r="AB77" s="61"/>
      <c r="AC77" s="61"/>
      <c r="AD77" s="61"/>
      <c r="AE77" s="61"/>
      <c r="AF77" s="61"/>
      <c r="AG77" s="61"/>
      <c r="AH77" s="61"/>
      <c r="AI77" s="61" t="str">
        <f aca="false">IF(_xlfn.xlookup(I77,'Prix vente'!$A:$A,'Prix vente'!$O:$O,"")="msi","po","mm")</f>
        <v>po</v>
      </c>
      <c r="AJ77" s="61" t="n">
        <f aca="false">_xlfn.xlookup(I77,'Prix vente'!$A:$A,'Prix vente'!$Q:$Q,"")</f>
        <v>2400</v>
      </c>
      <c r="AK77" s="61" t="str">
        <f aca="false">IF(_xlfn.xlookup(I77,'Prix vente'!$A:$A,'Prix vente'!$O:$O,"")="msi","pi","m")</f>
        <v>pi</v>
      </c>
      <c r="AL77" s="61"/>
      <c r="AM77" s="1" t="n">
        <v>1</v>
      </c>
      <c r="AN77" s="15" t="s">
        <v>551</v>
      </c>
      <c r="AO77" s="1" t="n">
        <v>1</v>
      </c>
      <c r="AQ77" s="15" t="s">
        <v>1043</v>
      </c>
      <c r="AR77" s="62" t="n">
        <f aca="false">_xlfn.xlookup(I77,'Prix vente'!A:A,'Prix vente'!B:B,FALSE())</f>
        <v>20013</v>
      </c>
      <c r="AS77" s="9" t="n">
        <v>0</v>
      </c>
    </row>
    <row r="78" customFormat="false" ht="16.4" hidden="false" customHeight="false" outlineLevel="0" collapsed="false">
      <c r="A78" s="61" t="s">
        <v>1044</v>
      </c>
      <c r="B78" s="1" t="s">
        <v>889</v>
      </c>
      <c r="C78" s="199" t="n">
        <v>45572</v>
      </c>
      <c r="D78" s="9" t="n">
        <v>221</v>
      </c>
      <c r="E78" s="61" t="str">
        <f aca="false">_xlfn.xlookup(D78,'PO Client'!$A:$A,'PO Client'!$C:$C,FALSE())</f>
        <v>Imprimerie Ste-Julie</v>
      </c>
      <c r="F78" s="61"/>
      <c r="G78" s="61" t="n">
        <f aca="false">_xlfn.xlookup(D78,'PO Client'!$A:$A,'PO Client'!$F:$F,FALSE())</f>
        <v>104428</v>
      </c>
      <c r="H78" s="205" t="n">
        <f aca="false">_xlfn.xlookup(D78,'PO Client'!A:A,'PO Client'!L:L,"")</f>
        <v>45574</v>
      </c>
      <c r="I78" s="9" t="n">
        <v>40067</v>
      </c>
      <c r="J78" s="9" t="n">
        <v>30015</v>
      </c>
      <c r="K78" s="62" t="str">
        <f aca="false">_xlfn.xlookup(I78,'Prix vente'!$A:$A,'Prix vente'!$H:$H,"")</f>
        <v>S15</v>
      </c>
      <c r="L78" s="69" t="str">
        <f aca="false">_xlfn.xlookup(J78,'Prix MP'!A:A,'Prix MP'!F:F,FALSE())</f>
        <v>S15-3</v>
      </c>
      <c r="M78" s="69" t="str">
        <f aca="false">_xlfn.xlookup(J78,'Prix MP'!A:A,'Prix MP'!D:D,FALSE())</f>
        <v>Jinda</v>
      </c>
      <c r="N78" s="61" t="str">
        <f aca="false">_xlfn.xlookup(I78,'Prix vente'!$A:$A,'Prix vente'!$J:$J,"")</f>
        <v>SG - Acrylic Adhesive</v>
      </c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 t="s">
        <v>1045</v>
      </c>
      <c r="Z78" s="61"/>
      <c r="AA78" s="61"/>
      <c r="AB78" s="61"/>
      <c r="AC78" s="61"/>
      <c r="AD78" s="61"/>
      <c r="AE78" s="61"/>
      <c r="AF78" s="61"/>
      <c r="AG78" s="61"/>
      <c r="AH78" s="61"/>
      <c r="AI78" s="61" t="str">
        <f aca="false">IF(_xlfn.xlookup(I78,'Prix vente'!$A:$A,'Prix vente'!$O:$O,"")="msi","po","mm")</f>
        <v>po</v>
      </c>
      <c r="AJ78" s="61" t="n">
        <f aca="false">_xlfn.xlookup(I78,'Prix vente'!$A:$A,'Prix vente'!$Q:$Q,"")</f>
        <v>5000</v>
      </c>
      <c r="AK78" s="61" t="str">
        <f aca="false">IF(_xlfn.xlookup(I78,'Prix vente'!$A:$A,'Prix vente'!$O:$O,"")="msi","pi","m")</f>
        <v>pi</v>
      </c>
      <c r="AL78" s="61"/>
      <c r="AM78" s="1" t="n">
        <v>7</v>
      </c>
      <c r="AN78" s="15" t="s">
        <v>551</v>
      </c>
      <c r="AO78" s="1" t="n">
        <v>0</v>
      </c>
      <c r="AQ78" s="15" t="s">
        <v>1046</v>
      </c>
      <c r="AR78" s="62" t="n">
        <f aca="false">_xlfn.xlookup(I78,'Prix vente'!A:A,'Prix vente'!B:B,FALSE())</f>
        <v>20015</v>
      </c>
      <c r="AS78" s="9" t="n">
        <v>1</v>
      </c>
    </row>
    <row r="79" customFormat="false" ht="16.4" hidden="false" customHeight="false" outlineLevel="0" collapsed="false">
      <c r="A79" s="61" t="s">
        <v>1047</v>
      </c>
      <c r="B79" s="1" t="s">
        <v>889</v>
      </c>
      <c r="C79" s="199" t="n">
        <v>45575</v>
      </c>
      <c r="D79" s="9" t="n">
        <v>223</v>
      </c>
      <c r="E79" s="61" t="str">
        <f aca="false">_xlfn.xlookup(D79,'PO Client'!$A:$A,'PO Client'!$C:$C,FALSE())</f>
        <v>Étiquettes Rive-Sud</v>
      </c>
      <c r="F79" s="61"/>
      <c r="G79" s="61" t="str">
        <f aca="false">_xlfn.xlookup(D79,'PO Client'!$A:$A,'PO Client'!$F:$F,FALSE())</f>
        <v>091024-1</v>
      </c>
      <c r="H79" s="205" t="n">
        <f aca="false">_xlfn.xlookup(D79,'PO Client'!A:A,'PO Client'!L:L,"")</f>
        <v>45581</v>
      </c>
      <c r="I79" s="9" t="n">
        <v>40120</v>
      </c>
      <c r="J79" s="9" t="n">
        <v>30012</v>
      </c>
      <c r="K79" s="62" t="str">
        <f aca="false">_xlfn.xlookup(I79,'Prix vente'!$A:$A,'Prix vente'!$H:$H,"")</f>
        <v>D21</v>
      </c>
      <c r="L79" s="69" t="str">
        <f aca="false">_xlfn.xlookup(J79,'Prix MP'!A:A,'Prix MP'!F:F,FALSE())</f>
        <v>D21-1</v>
      </c>
      <c r="M79" s="69" t="str">
        <f aca="false">_xlfn.xlookup(J79,'Prix MP'!A:A,'Prix MP'!D:D,FALSE())</f>
        <v>AKO</v>
      </c>
      <c r="N79" s="61" t="str">
        <f aca="false">_xlfn.xlookup(I79,'Prix vente'!$A:$A,'Prix vente'!$J:$J,"")</f>
        <v>TC DT - Hotmelt Adhesive</v>
      </c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 t="n">
        <f aca="false">_xlfn.xlookup(I79,'Prix vente'!$A:$A,'Prix vente'!$P:$P,"")</f>
        <v>8.75</v>
      </c>
      <c r="Z79" s="61"/>
      <c r="AA79" s="61"/>
      <c r="AB79" s="61"/>
      <c r="AC79" s="61"/>
      <c r="AD79" s="61"/>
      <c r="AE79" s="61"/>
      <c r="AF79" s="61"/>
      <c r="AG79" s="61"/>
      <c r="AH79" s="61"/>
      <c r="AI79" s="61" t="str">
        <f aca="false">IF(_xlfn.xlookup(I79,'Prix vente'!$A:$A,'Prix vente'!$O:$O,"")="msi","po","mm")</f>
        <v>po</v>
      </c>
      <c r="AJ79" s="61" t="n">
        <f aca="false">_xlfn.xlookup(I79,'Prix vente'!$A:$A,'Prix vente'!$Q:$Q,"")</f>
        <v>5000</v>
      </c>
      <c r="AK79" s="61" t="str">
        <f aca="false">IF(_xlfn.xlookup(I79,'Prix vente'!$A:$A,'Prix vente'!$O:$O,"")="msi","pi","m")</f>
        <v>pi</v>
      </c>
      <c r="AL79" s="61"/>
      <c r="AM79" s="1" t="n">
        <v>18</v>
      </c>
      <c r="AN79" s="15" t="s">
        <v>551</v>
      </c>
      <c r="AO79" s="1" t="n">
        <v>0</v>
      </c>
      <c r="AQ79" s="15" t="s">
        <v>1048</v>
      </c>
      <c r="AR79" s="62" t="n">
        <f aca="false">_xlfn.xlookup(I79,'Prix vente'!A:A,'Prix vente'!B:B,FALSE())</f>
        <v>20012</v>
      </c>
      <c r="AS79" s="9" t="s">
        <v>1049</v>
      </c>
    </row>
    <row r="80" customFormat="false" ht="16.4" hidden="false" customHeight="false" outlineLevel="0" collapsed="false">
      <c r="A80" s="61" t="s">
        <v>1050</v>
      </c>
      <c r="B80" s="1" t="s">
        <v>889</v>
      </c>
      <c r="C80" s="199" t="n">
        <v>45575</v>
      </c>
      <c r="D80" s="9" t="n">
        <v>224</v>
      </c>
      <c r="E80" s="61" t="str">
        <f aca="false">_xlfn.xlookup(D80,'PO Client'!$A:$A,'PO Client'!$C:$C,FALSE())</f>
        <v>Étiquettes Rive-Sud</v>
      </c>
      <c r="F80" s="61"/>
      <c r="G80" s="61" t="s">
        <v>1051</v>
      </c>
      <c r="H80" s="205" t="n">
        <f aca="false">_xlfn.xlookup(D80,'PO Client'!A:A,'PO Client'!L:L,"")</f>
        <v>45575</v>
      </c>
      <c r="I80" s="9" t="n">
        <v>40121</v>
      </c>
      <c r="J80" s="9" t="n">
        <v>30016</v>
      </c>
      <c r="K80" s="62" t="str">
        <f aca="false">_xlfn.xlookup(I80,'Prix vente'!$A:$A,'Prix vente'!$H:$H,"")</f>
        <v>B15</v>
      </c>
      <c r="L80" s="69" t="str">
        <f aca="false">_xlfn.xlookup(J80,'Prix MP'!A:A,'Prix MP'!F:F,FALSE())</f>
        <v>B15-3</v>
      </c>
      <c r="M80" s="69" t="str">
        <f aca="false">_xlfn.xlookup(J80,'Prix MP'!A:A,'Prix MP'!D:D,FALSE())</f>
        <v>Jinda</v>
      </c>
      <c r="N80" s="61" t="str">
        <f aca="false">_xlfn.xlookup(I80,'Prix vente'!$A:$A,'Prix vente'!$J:$J,"")</f>
        <v>Clear BOPP - Acrylic Adhesive</v>
      </c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 t="n">
        <f aca="false">_xlfn.xlookup(I80,'Prix vente'!$A:$A,'Prix vente'!$P:$P,"")</f>
        <v>8.75</v>
      </c>
      <c r="Z80" s="61"/>
      <c r="AA80" s="61"/>
      <c r="AB80" s="61"/>
      <c r="AC80" s="61"/>
      <c r="AD80" s="61"/>
      <c r="AE80" s="61"/>
      <c r="AF80" s="61"/>
      <c r="AG80" s="61"/>
      <c r="AH80" s="61"/>
      <c r="AI80" s="61" t="str">
        <f aca="false">IF(_xlfn.xlookup(I80,'Prix vente'!$A:$A,'Prix vente'!$O:$O,"")="msi","po","mm")</f>
        <v>po</v>
      </c>
      <c r="AJ80" s="61" t="n">
        <f aca="false">_xlfn.xlookup(I80,'Prix vente'!$A:$A,'Prix vente'!$Q:$Q,"")</f>
        <v>5000</v>
      </c>
      <c r="AK80" s="61" t="str">
        <f aca="false">IF(_xlfn.xlookup(I80,'Prix vente'!$A:$A,'Prix vente'!$O:$O,"")="msi","pi","m")</f>
        <v>pi</v>
      </c>
      <c r="AL80" s="61"/>
      <c r="AM80" s="1" t="n">
        <v>11</v>
      </c>
      <c r="AN80" s="15" t="s">
        <v>551</v>
      </c>
      <c r="AO80" s="1" t="n">
        <v>0</v>
      </c>
      <c r="AQ80" s="15" t="s">
        <v>1052</v>
      </c>
      <c r="AR80" s="62" t="n">
        <f aca="false">_xlfn.xlookup(I80,'Prix vente'!A:A,'Prix vente'!B:B,FALSE())</f>
        <v>20016</v>
      </c>
    </row>
    <row r="81" customFormat="false" ht="16.4" hidden="false" customHeight="false" outlineLevel="0" collapsed="false">
      <c r="A81" s="61" t="s">
        <v>1053</v>
      </c>
      <c r="B81" s="1" t="s">
        <v>889</v>
      </c>
      <c r="C81" s="199" t="n">
        <v>45575</v>
      </c>
      <c r="D81" s="9" t="n">
        <v>225</v>
      </c>
      <c r="E81" s="61" t="str">
        <f aca="false">_xlfn.xlookup(D81,'PO Client'!$A:$A,'PO Client'!$C:$C,FALSE())</f>
        <v>Imprimerie Ste-Julie</v>
      </c>
      <c r="F81" s="61"/>
      <c r="G81" s="61" t="n">
        <f aca="false">_xlfn.xlookup(D81,'PO Client'!$A:$A,'PO Client'!$F:$F,FALSE())</f>
        <v>104575</v>
      </c>
      <c r="H81" s="205" t="n">
        <f aca="false">_xlfn.xlookup(D81,'PO Client'!A:A,'PO Client'!L:L,"")</f>
        <v>45580</v>
      </c>
      <c r="I81" s="9" t="n">
        <v>40067</v>
      </c>
      <c r="J81" s="9" t="n">
        <v>30015</v>
      </c>
      <c r="K81" s="62" t="str">
        <f aca="false">_xlfn.xlookup(I81,'Prix vente'!$A:$A,'Prix vente'!$H:$H,"")</f>
        <v>S15</v>
      </c>
      <c r="L81" s="69" t="str">
        <f aca="false">_xlfn.xlookup(J81,'Prix MP'!A:A,'Prix MP'!F:F,FALSE())</f>
        <v>S15-3</v>
      </c>
      <c r="M81" s="69" t="str">
        <f aca="false">_xlfn.xlookup(J81,'Prix MP'!A:A,'Prix MP'!D:D,FALSE())</f>
        <v>Jinda</v>
      </c>
      <c r="N81" s="61" t="str">
        <f aca="false">_xlfn.xlookup(I81,'Prix vente'!$A:$A,'Prix vente'!$J:$J,"")</f>
        <v>SG - Acrylic Adhesive</v>
      </c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 t="s">
        <v>1054</v>
      </c>
      <c r="Z81" s="61"/>
      <c r="AA81" s="61"/>
      <c r="AB81" s="61"/>
      <c r="AC81" s="61"/>
      <c r="AD81" s="61"/>
      <c r="AE81" s="61"/>
      <c r="AF81" s="61"/>
      <c r="AG81" s="61"/>
      <c r="AH81" s="61"/>
      <c r="AI81" s="61" t="str">
        <f aca="false">IF(_xlfn.xlookup(I81,'Prix vente'!$A:$A,'Prix vente'!$O:$O,"")="msi","po","mm")</f>
        <v>po</v>
      </c>
      <c r="AJ81" s="61" t="n">
        <f aca="false">_xlfn.xlookup(I81,'Prix vente'!$A:$A,'Prix vente'!$Q:$Q,"")</f>
        <v>5000</v>
      </c>
      <c r="AK81" s="61" t="str">
        <f aca="false">IF(_xlfn.xlookup(I81,'Prix vente'!$A:$A,'Prix vente'!$O:$O,"")="msi","pi","m")</f>
        <v>pi</v>
      </c>
      <c r="AL81" s="61"/>
      <c r="AM81" s="1" t="n">
        <v>5</v>
      </c>
      <c r="AN81" s="15" t="s">
        <v>551</v>
      </c>
      <c r="AO81" s="1" t="n">
        <v>0</v>
      </c>
      <c r="AQ81" s="15" t="s">
        <v>1055</v>
      </c>
      <c r="AR81" s="62" t="n">
        <f aca="false">_xlfn.xlookup(I81,'Prix vente'!A:A,'Prix vente'!B:B,FALSE())</f>
        <v>20015</v>
      </c>
      <c r="AS81" s="9" t="n">
        <v>1</v>
      </c>
    </row>
    <row r="82" customFormat="false" ht="16.4" hidden="false" customHeight="false" outlineLevel="0" collapsed="false">
      <c r="A82" s="61" t="s">
        <v>1056</v>
      </c>
      <c r="B82" s="1" t="s">
        <v>1057</v>
      </c>
      <c r="C82" s="199" t="n">
        <v>45575</v>
      </c>
      <c r="D82" s="9" t="n">
        <v>208</v>
      </c>
      <c r="E82" s="61" t="str">
        <f aca="false">_xlfn.xlookup(D82,'PO Client'!$A:$A,'PO Client'!$C:$C,FALSE())</f>
        <v>LabelEdge</v>
      </c>
      <c r="F82" s="61"/>
      <c r="G82" s="61" t="str">
        <f aca="false">_xlfn.xlookup(D82,'PO Client'!$A:$A,'PO Client'!$F:$F,FALSE())</f>
        <v>DEBUG MC</v>
      </c>
      <c r="H82" s="205" t="n">
        <f aca="false">_xlfn.xlookup(D82,'PO Client'!A:A,'PO Client'!L:L,"")</f>
        <v>45553</v>
      </c>
      <c r="I82" s="9" t="n">
        <v>40093</v>
      </c>
      <c r="J82" s="9" t="n">
        <v>30012</v>
      </c>
      <c r="K82" s="62" t="str">
        <f aca="false">_xlfn.xlookup(I82,'Prix vente'!$A:$A,'Prix vente'!$H:$H,"")</f>
        <v>D21</v>
      </c>
      <c r="L82" s="69" t="str">
        <f aca="false">_xlfn.xlookup(J82,'Prix MP'!A:A,'Prix MP'!F:F,FALSE())</f>
        <v>D21-1</v>
      </c>
      <c r="M82" s="69" t="str">
        <f aca="false">_xlfn.xlookup(J82,'Prix MP'!A:A,'Prix MP'!D:D,FALSE())</f>
        <v>AKO</v>
      </c>
      <c r="N82" s="61" t="str">
        <f aca="false">_xlfn.xlookup(I82,'Prix vente'!$A:$A,'Prix vente'!$J:$J,"")</f>
        <v>TC DT - Hotmelt Adhesive</v>
      </c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 t="n">
        <f aca="false">_xlfn.xlookup(I82,'Prix vente'!$A:$A,'Prix vente'!$P:$P,"")</f>
        <v>16.4</v>
      </c>
      <c r="Z82" s="61"/>
      <c r="AA82" s="61"/>
      <c r="AB82" s="61"/>
      <c r="AC82" s="61"/>
      <c r="AD82" s="61"/>
      <c r="AE82" s="61"/>
      <c r="AF82" s="61"/>
      <c r="AG82" s="61"/>
      <c r="AH82" s="61"/>
      <c r="AI82" s="61" t="str">
        <f aca="false">IF(_xlfn.xlookup(I82,'Prix vente'!$A:$A,'Prix vente'!$O:$O,"")="msi","po","mm")</f>
        <v>po</v>
      </c>
      <c r="AJ82" s="61" t="n">
        <f aca="false">_xlfn.xlookup(I82,'Prix vente'!$A:$A,'Prix vente'!$Q:$Q,"")</f>
        <v>10000</v>
      </c>
      <c r="AK82" s="61" t="str">
        <f aca="false">IF(_xlfn.xlookup(I82,'Prix vente'!$A:$A,'Prix vente'!$O:$O,"")="msi","pi","m")</f>
        <v>pi</v>
      </c>
      <c r="AL82" s="61"/>
      <c r="AQ82" s="15" t="n">
        <f aca="false">_xlfn.xlookup(E82,Clients!B:B,Clients!V:V)</f>
        <v>0</v>
      </c>
      <c r="AR82" s="62" t="n">
        <f aca="false">_xlfn.xlookup(I82,'Prix vente'!A:A,'Prix vente'!B:B,FALSE())</f>
        <v>20012</v>
      </c>
    </row>
    <row r="83" customFormat="false" ht="16.4" hidden="false" customHeight="false" outlineLevel="0" collapsed="false">
      <c r="A83" s="61" t="s">
        <v>1058</v>
      </c>
      <c r="B83" s="1" t="s">
        <v>889</v>
      </c>
      <c r="C83" s="199" t="n">
        <v>45576</v>
      </c>
      <c r="D83" s="9" t="n">
        <v>226</v>
      </c>
      <c r="E83" s="61" t="str">
        <f aca="false">_xlfn.xlookup(D83,'PO Client'!$A:$A,'PO Client'!$C:$C,FALSE())</f>
        <v>Emballages Mijo</v>
      </c>
      <c r="F83" s="61"/>
      <c r="G83" s="61" t="n">
        <f aca="false">_xlfn.xlookup(D83,'PO Client'!$A:$A,'PO Client'!$F:$F,FALSE())</f>
        <v>14258</v>
      </c>
      <c r="H83" s="205" t="n">
        <f aca="false">_xlfn.xlookup(D83,'PO Client'!A:A,'PO Client'!L:L,"")</f>
        <v>45582</v>
      </c>
      <c r="I83" s="9" t="n">
        <v>40126</v>
      </c>
      <c r="J83" s="9" t="n">
        <v>30015</v>
      </c>
      <c r="K83" s="62" t="str">
        <f aca="false">_xlfn.xlookup(I83,'Prix vente'!$A:$A,'Prix vente'!$H:$H,"")</f>
        <v>S15</v>
      </c>
      <c r="L83" s="69" t="str">
        <f aca="false">_xlfn.xlookup(J83,'Prix MP'!A:A,'Prix MP'!F:F,FALSE())</f>
        <v>S15-3</v>
      </c>
      <c r="M83" s="69" t="str">
        <f aca="false">_xlfn.xlookup(J83,'Prix MP'!A:A,'Prix MP'!D:D,FALSE())</f>
        <v>Jinda</v>
      </c>
      <c r="N83" s="61" t="str">
        <f aca="false">_xlfn.xlookup(I83,'Prix vente'!$A:$A,'Prix vente'!$J:$J,"")</f>
        <v>SG - Acrylic Adhesive</v>
      </c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 t="n">
        <f aca="false">_xlfn.xlookup(I83,'Prix vente'!$A:$A,'Prix vente'!$P:$P,"")</f>
        <v>12</v>
      </c>
      <c r="Z83" s="61"/>
      <c r="AA83" s="61"/>
      <c r="AB83" s="61"/>
      <c r="AC83" s="61"/>
      <c r="AD83" s="61"/>
      <c r="AE83" s="61"/>
      <c r="AF83" s="61"/>
      <c r="AG83" s="61"/>
      <c r="AH83" s="61"/>
      <c r="AI83" s="61" t="str">
        <f aca="false">IF(_xlfn.xlookup(I83,'Prix vente'!$A:$A,'Prix vente'!$O:$O,"")="msi","po","mm")</f>
        <v>po</v>
      </c>
      <c r="AJ83" s="61" t="n">
        <f aca="false">_xlfn.xlookup(I83,'Prix vente'!$A:$A,'Prix vente'!$Q:$Q,"")</f>
        <v>10000</v>
      </c>
      <c r="AK83" s="61" t="str">
        <f aca="false">IF(_xlfn.xlookup(I83,'Prix vente'!$A:$A,'Prix vente'!$O:$O,"")="msi","pi","m")</f>
        <v>pi</v>
      </c>
      <c r="AL83" s="61"/>
      <c r="AM83" s="1" t="n">
        <v>15</v>
      </c>
      <c r="AN83" s="15" t="s">
        <v>551</v>
      </c>
      <c r="AO83" s="1" t="n">
        <v>0</v>
      </c>
      <c r="AQ83" s="15" t="s">
        <v>1059</v>
      </c>
      <c r="AR83" s="62" t="n">
        <f aca="false">_xlfn.xlookup(I83,'Prix vente'!A:A,'Prix vente'!B:B,FALSE())</f>
        <v>20015</v>
      </c>
    </row>
    <row r="84" customFormat="false" ht="16.4" hidden="false" customHeight="false" outlineLevel="0" collapsed="false">
      <c r="A84" s="61" t="s">
        <v>1060</v>
      </c>
      <c r="B84" s="1" t="s">
        <v>889</v>
      </c>
      <c r="C84" s="199" t="n">
        <v>45576</v>
      </c>
      <c r="D84" s="9" t="n">
        <v>227</v>
      </c>
      <c r="E84" s="61" t="str">
        <f aca="false">_xlfn.xlookup(D84,'PO Client'!$A:$A,'PO Client'!$C:$C,FALSE())</f>
        <v>Imprimerie Ste-Julie</v>
      </c>
      <c r="F84" s="61"/>
      <c r="G84" s="61" t="n">
        <f aca="false">_xlfn.xlookup(D84,'PO Client'!$A:$A,'PO Client'!$F:$F,FALSE())</f>
        <v>104618</v>
      </c>
      <c r="H84" s="205" t="n">
        <f aca="false">_xlfn.xlookup(D84,'PO Client'!A:A,'PO Client'!L:L,"")</f>
        <v>45582</v>
      </c>
      <c r="I84" s="9" t="n">
        <v>40127</v>
      </c>
      <c r="J84" s="9" t="n">
        <v>30011</v>
      </c>
      <c r="K84" s="62" t="str">
        <f aca="false">_xlfn.xlookup(I84,'Prix vente'!$A:$A,'Prix vente'!$H:$H,"")</f>
        <v>S21</v>
      </c>
      <c r="L84" s="69" t="str">
        <f aca="false">_xlfn.xlookup(J84,'Prix MP'!A:A,'Prix MP'!F:F,FALSE())</f>
        <v>S21-1</v>
      </c>
      <c r="M84" s="69" t="str">
        <f aca="false">_xlfn.xlookup(J84,'Prix MP'!A:A,'Prix MP'!D:D,FALSE())</f>
        <v>AKO</v>
      </c>
      <c r="N84" s="61" t="str">
        <f aca="false">_xlfn.xlookup(I84,'Prix vente'!$A:$A,'Prix vente'!$J:$J,"")</f>
        <v>SG - Hotmelt Adhesive</v>
      </c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 t="s">
        <v>1061</v>
      </c>
      <c r="Z84" s="61"/>
      <c r="AA84" s="61"/>
      <c r="AB84" s="61"/>
      <c r="AC84" s="61"/>
      <c r="AD84" s="61"/>
      <c r="AE84" s="61"/>
      <c r="AF84" s="61"/>
      <c r="AG84" s="61"/>
      <c r="AH84" s="61"/>
      <c r="AI84" s="61" t="str">
        <f aca="false">IF(_xlfn.xlookup(I84,'Prix vente'!$A:$A,'Prix vente'!$O:$O,"")="msi","po","mm")</f>
        <v>po</v>
      </c>
      <c r="AJ84" s="61" t="n">
        <f aca="false">_xlfn.xlookup(I84,'Prix vente'!$A:$A,'Prix vente'!$Q:$Q,"")</f>
        <v>5000</v>
      </c>
      <c r="AK84" s="61" t="str">
        <f aca="false">IF(_xlfn.xlookup(I84,'Prix vente'!$A:$A,'Prix vente'!$O:$O,"")="msi","pi","m")</f>
        <v>pi</v>
      </c>
      <c r="AL84" s="61"/>
      <c r="AM84" s="1" t="n">
        <v>6</v>
      </c>
      <c r="AN84" s="15" t="s">
        <v>551</v>
      </c>
      <c r="AQ84" s="15" t="s">
        <v>1062</v>
      </c>
      <c r="AR84" s="62" t="n">
        <f aca="false">_xlfn.xlookup(I84,'Prix vente'!A:A,'Prix vente'!B:B,FALSE())</f>
        <v>20011</v>
      </c>
    </row>
    <row r="85" customFormat="false" ht="16.4" hidden="false" customHeight="false" outlineLevel="0" collapsed="false">
      <c r="A85" s="61" t="s">
        <v>1063</v>
      </c>
      <c r="B85" s="1" t="s">
        <v>889</v>
      </c>
      <c r="C85" s="199" t="n">
        <v>45581</v>
      </c>
      <c r="D85" s="9" t="n">
        <v>228</v>
      </c>
      <c r="E85" s="61" t="str">
        <f aca="false">_xlfn.xlookup(D85,'PO Client'!$A:$A,'PO Client'!$C:$C,FALSE())</f>
        <v>Lelys</v>
      </c>
      <c r="F85" s="61"/>
      <c r="G85" s="61" t="s">
        <v>1064</v>
      </c>
      <c r="H85" s="205" t="n">
        <f aca="false">_xlfn.xlookup(D85,'PO Client'!A:A,'PO Client'!L:L,"")</f>
        <v>45583</v>
      </c>
      <c r="I85" s="9" t="n">
        <v>40128</v>
      </c>
      <c r="J85" s="9" t="n">
        <v>30011</v>
      </c>
      <c r="K85" s="62" t="str">
        <f aca="false">_xlfn.xlookup(I85,'Prix vente'!$A:$A,'Prix vente'!$H:$H,"")</f>
        <v>S21</v>
      </c>
      <c r="L85" s="69" t="str">
        <f aca="false">_xlfn.xlookup(J85,'Prix MP'!A:A,'Prix MP'!F:F,FALSE())</f>
        <v>S21-1</v>
      </c>
      <c r="M85" s="69" t="str">
        <f aca="false">_xlfn.xlookup(J85,'Prix MP'!A:A,'Prix MP'!D:D,FALSE())</f>
        <v>AKO</v>
      </c>
      <c r="N85" s="61" t="str">
        <f aca="false">_xlfn.xlookup(I85,'Prix vente'!$A:$A,'Prix vente'!$J:$J,"")</f>
        <v>SG - Hotmelt Adhesive</v>
      </c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 t="n">
        <f aca="false">_xlfn.xlookup(I85,'Prix vente'!$A:$A,'Prix vente'!$P:$P,"")</f>
        <v>13</v>
      </c>
      <c r="Z85" s="61"/>
      <c r="AA85" s="61"/>
      <c r="AB85" s="61"/>
      <c r="AC85" s="61"/>
      <c r="AD85" s="61"/>
      <c r="AE85" s="61"/>
      <c r="AF85" s="61"/>
      <c r="AG85" s="61"/>
      <c r="AH85" s="61"/>
      <c r="AI85" s="61" t="str">
        <f aca="false">IF(_xlfn.xlookup(I85,'Prix vente'!$A:$A,'Prix vente'!$O:$O,"")="msi","po","mm")</f>
        <v>po</v>
      </c>
      <c r="AJ85" s="61" t="n">
        <v>2250</v>
      </c>
      <c r="AK85" s="61" t="str">
        <f aca="false">IF(_xlfn.xlookup(I85,'Prix vente'!$A:$A,'Prix vente'!$O:$O,"")="msi","pi","m")</f>
        <v>pi</v>
      </c>
      <c r="AL85" s="61"/>
      <c r="AM85" s="1" t="n">
        <v>1</v>
      </c>
      <c r="AN85" s="15" t="s">
        <v>551</v>
      </c>
      <c r="AQ85" s="15" t="s">
        <v>1065</v>
      </c>
      <c r="AR85" s="62" t="n">
        <f aca="false">_xlfn.xlookup(I85,'Prix vente'!A:A,'Prix vente'!B:B,FALSE())</f>
        <v>20011</v>
      </c>
    </row>
    <row r="86" customFormat="false" ht="16.4" hidden="false" customHeight="false" outlineLevel="0" collapsed="false">
      <c r="A86" s="61" t="s">
        <v>1066</v>
      </c>
      <c r="B86" s="1" t="s">
        <v>889</v>
      </c>
      <c r="C86" s="199" t="n">
        <v>45581</v>
      </c>
      <c r="D86" s="9" t="n">
        <v>228</v>
      </c>
      <c r="E86" s="61" t="str">
        <f aca="false">_xlfn.xlookup(D86,'PO Client'!$A:$A,'PO Client'!$C:$C,FALSE())</f>
        <v>Lelys</v>
      </c>
      <c r="F86" s="61"/>
      <c r="G86" s="61" t="s">
        <v>787</v>
      </c>
      <c r="H86" s="205" t="n">
        <f aca="false">_xlfn.xlookup(D86,'PO Client'!A:A,'PO Client'!L:L,"")</f>
        <v>45583</v>
      </c>
      <c r="I86" s="9" t="n">
        <v>40129</v>
      </c>
      <c r="J86" s="9" t="n">
        <v>30015</v>
      </c>
      <c r="K86" s="62" t="str">
        <f aca="false">_xlfn.xlookup(I86,'Prix vente'!$A:$A,'Prix vente'!$H:$H,"")</f>
        <v>S15</v>
      </c>
      <c r="L86" s="69" t="str">
        <f aca="false">_xlfn.xlookup(J86,'Prix MP'!A:A,'Prix MP'!F:F,FALSE())</f>
        <v>S15-3</v>
      </c>
      <c r="M86" s="69" t="str">
        <f aca="false">_xlfn.xlookup(J86,'Prix MP'!A:A,'Prix MP'!D:D,FALSE())</f>
        <v>Jinda</v>
      </c>
      <c r="N86" s="61" t="str">
        <f aca="false">_xlfn.xlookup(I86,'Prix vente'!$A:$A,'Prix vente'!$J:$J,"")</f>
        <v>SG - Acrylic Adhesive</v>
      </c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 t="n">
        <f aca="false">_xlfn.xlookup(I86,'Prix vente'!$A:$A,'Prix vente'!$P:$P,"")</f>
        <v>13</v>
      </c>
      <c r="Z86" s="61"/>
      <c r="AA86" s="61"/>
      <c r="AB86" s="61"/>
      <c r="AC86" s="61"/>
      <c r="AD86" s="61"/>
      <c r="AE86" s="61"/>
      <c r="AF86" s="61"/>
      <c r="AG86" s="61"/>
      <c r="AH86" s="61"/>
      <c r="AI86" s="61" t="str">
        <f aca="false">IF(_xlfn.xlookup(I86,'Prix vente'!$A:$A,'Prix vente'!$O:$O,"")="msi","po","mm")</f>
        <v>po</v>
      </c>
      <c r="AJ86" s="61" t="n">
        <v>2250</v>
      </c>
      <c r="AK86" s="61" t="str">
        <f aca="false">IF(_xlfn.xlookup(I86,'Prix vente'!$A:$A,'Prix vente'!$O:$O,"")="msi","pi","m")</f>
        <v>pi</v>
      </c>
      <c r="AL86" s="61"/>
      <c r="AM86" s="1" t="n">
        <v>1</v>
      </c>
      <c r="AN86" s="15" t="s">
        <v>551</v>
      </c>
      <c r="AQ86" s="15" t="s">
        <v>1067</v>
      </c>
      <c r="AR86" s="62" t="n">
        <f aca="false">_xlfn.xlookup(I86,'Prix vente'!A:A,'Prix vente'!B:B,FALSE())</f>
        <v>20015</v>
      </c>
    </row>
    <row r="87" customFormat="false" ht="16.4" hidden="false" customHeight="false" outlineLevel="0" collapsed="false">
      <c r="A87" s="61" t="s">
        <v>1068</v>
      </c>
      <c r="B87" s="1" t="s">
        <v>889</v>
      </c>
      <c r="C87" s="199" t="n">
        <v>45581</v>
      </c>
      <c r="D87" s="9" t="n">
        <v>228</v>
      </c>
      <c r="E87" s="61" t="str">
        <f aca="false">_xlfn.xlookup(D87,'PO Client'!$A:$A,'PO Client'!$C:$C,FALSE())</f>
        <v>Lelys</v>
      </c>
      <c r="F87" s="61"/>
      <c r="G87" s="61" t="s">
        <v>1069</v>
      </c>
      <c r="H87" s="205" t="n">
        <f aca="false">_xlfn.xlookup(D87,'PO Client'!A:A,'PO Client'!L:L,"")</f>
        <v>45583</v>
      </c>
      <c r="I87" s="9" t="n">
        <v>40130</v>
      </c>
      <c r="J87" s="9" t="n">
        <v>30016</v>
      </c>
      <c r="K87" s="62" t="str">
        <f aca="false">_xlfn.xlookup(I87,'Prix vente'!$A:$A,'Prix vente'!$H:$H,"")</f>
        <v>B15</v>
      </c>
      <c r="L87" s="69" t="str">
        <f aca="false">_xlfn.xlookup(J87,'Prix MP'!A:A,'Prix MP'!F:F,FALSE())</f>
        <v>B15-3</v>
      </c>
      <c r="M87" s="69" t="str">
        <f aca="false">_xlfn.xlookup(J87,'Prix MP'!A:A,'Prix MP'!D:D,FALSE())</f>
        <v>Jinda</v>
      </c>
      <c r="N87" s="61" t="str">
        <f aca="false">_xlfn.xlookup(I87,'Prix vente'!$A:$A,'Prix vente'!$J:$J,"")</f>
        <v>Clear BOPP - Acrylic Adhesive</v>
      </c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 t="n">
        <f aca="false">_xlfn.xlookup(I87,'Prix vente'!$A:$A,'Prix vente'!$P:$P,"")</f>
        <v>13</v>
      </c>
      <c r="Z87" s="61"/>
      <c r="AA87" s="61"/>
      <c r="AB87" s="61"/>
      <c r="AC87" s="61"/>
      <c r="AD87" s="61"/>
      <c r="AE87" s="61"/>
      <c r="AF87" s="61"/>
      <c r="AG87" s="61"/>
      <c r="AH87" s="61"/>
      <c r="AI87" s="61" t="str">
        <f aca="false">IF(_xlfn.xlookup(I87,'Prix vente'!$A:$A,'Prix vente'!$O:$O,"")="msi","po","mm")</f>
        <v>po</v>
      </c>
      <c r="AJ87" s="61" t="n">
        <v>1500</v>
      </c>
      <c r="AK87" s="61" t="str">
        <f aca="false">IF(_xlfn.xlookup(I87,'Prix vente'!$A:$A,'Prix vente'!$O:$O,"")="msi","pi","m")</f>
        <v>pi</v>
      </c>
      <c r="AL87" s="61"/>
      <c r="AM87" s="1" t="n">
        <v>2</v>
      </c>
      <c r="AN87" s="15" t="s">
        <v>551</v>
      </c>
      <c r="AQ87" s="15" t="s">
        <v>1070</v>
      </c>
      <c r="AR87" s="62" t="n">
        <f aca="false">_xlfn.xlookup(I87,'Prix vente'!A:A,'Prix vente'!B:B,FALSE())</f>
        <v>20016</v>
      </c>
    </row>
    <row r="88" customFormat="false" ht="16.4" hidden="false" customHeight="false" outlineLevel="0" collapsed="false">
      <c r="A88" s="61" t="s">
        <v>1071</v>
      </c>
      <c r="B88" s="1" t="s">
        <v>889</v>
      </c>
      <c r="C88" s="199" t="n">
        <v>45586</v>
      </c>
      <c r="D88" s="9" t="n">
        <v>229</v>
      </c>
      <c r="E88" s="61" t="str">
        <f aca="false">_xlfn.xlookup(D88,'PO Client'!$A:$A,'PO Client'!$C:$C,FALSE())</f>
        <v>Crucial Solutions LLC</v>
      </c>
      <c r="F88" s="61"/>
      <c r="G88" s="61" t="s">
        <v>1072</v>
      </c>
      <c r="H88" s="205" t="n">
        <f aca="false">_xlfn.xlookup(D88,'PO Client'!A:A,'PO Client'!L:L,"")</f>
        <v>45583</v>
      </c>
      <c r="I88" s="9" t="n">
        <v>40132</v>
      </c>
      <c r="J88" s="9" t="n">
        <v>30023</v>
      </c>
      <c r="K88" s="62" t="str">
        <f aca="false">_xlfn.xlookup(I88,'Prix vente'!$A:$A,'Prix vente'!$H:$H,"")</f>
        <v>T11</v>
      </c>
      <c r="L88" s="69" t="str">
        <f aca="false">_xlfn.xlookup(J88,'Prix MP'!A:A,'Prix MP'!F:F,FALSE())</f>
        <v>T11-1</v>
      </c>
      <c r="M88" s="69" t="str">
        <f aca="false">_xlfn.xlookup(J88,'Prix MP'!A:A,'Prix MP'!D:D,FALSE())</f>
        <v>AKO</v>
      </c>
      <c r="N88" s="61" t="str">
        <f aca="false">_xlfn.xlookup(I88,'Prix vente'!$A:$A,'Prix vente'!$J:$J,"")</f>
        <v>TT - HM Adhesive</v>
      </c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 t="s">
        <v>1073</v>
      </c>
      <c r="Z88" s="61"/>
      <c r="AA88" s="61"/>
      <c r="AB88" s="61"/>
      <c r="AC88" s="61"/>
      <c r="AD88" s="61"/>
      <c r="AE88" s="61"/>
      <c r="AF88" s="61"/>
      <c r="AG88" s="61"/>
      <c r="AH88" s="61"/>
      <c r="AI88" s="61" t="str">
        <f aca="false">IF(_xlfn.xlookup(I88,'Prix vente'!$A:$A,'Prix vente'!$O:$O,"")="msi","po","mm")</f>
        <v>po</v>
      </c>
      <c r="AJ88" s="61" t="n">
        <v>4800</v>
      </c>
      <c r="AK88" s="61" t="str">
        <f aca="false">IF(_xlfn.xlookup(I88,'Prix vente'!$A:$A,'Prix vente'!$O:$O,"")="msi","pi","m")</f>
        <v>pi</v>
      </c>
      <c r="AL88" s="61"/>
      <c r="AM88" s="1" t="n">
        <v>2</v>
      </c>
      <c r="AN88" s="15" t="s">
        <v>551</v>
      </c>
      <c r="AP88" s="15" t="s">
        <v>1074</v>
      </c>
      <c r="AQ88" s="15" t="s">
        <v>1075</v>
      </c>
      <c r="AR88" s="62" t="n">
        <f aca="false">_xlfn.xlookup(I88,'Prix vente'!A:A,'Prix vente'!B:B,FALSE())</f>
        <v>20003</v>
      </c>
    </row>
    <row r="89" customFormat="false" ht="16.4" hidden="false" customHeight="false" outlineLevel="0" collapsed="false">
      <c r="A89" s="61" t="s">
        <v>1076</v>
      </c>
      <c r="B89" s="1" t="s">
        <v>889</v>
      </c>
      <c r="C89" s="199" t="n">
        <v>45586</v>
      </c>
      <c r="D89" s="9" t="n">
        <v>229</v>
      </c>
      <c r="E89" s="61" t="str">
        <f aca="false">_xlfn.xlookup(D89,'PO Client'!$A:$A,'PO Client'!$C:$C,FALSE())</f>
        <v>Crucial Solutions LLC</v>
      </c>
      <c r="F89" s="61"/>
      <c r="G89" s="61" t="s">
        <v>1077</v>
      </c>
      <c r="H89" s="205" t="n">
        <f aca="false">_xlfn.xlookup(D89,'PO Client'!A:A,'PO Client'!L:L,"")</f>
        <v>45583</v>
      </c>
      <c r="I89" s="9" t="n">
        <v>40134</v>
      </c>
      <c r="J89" s="9" t="n">
        <v>30025</v>
      </c>
      <c r="K89" s="62" t="str">
        <f aca="false">_xlfn.xlookup(I89,'Prix vente'!$A:$A,'Prix vente'!$H:$H,"")</f>
        <v>D11</v>
      </c>
      <c r="L89" s="69" t="str">
        <f aca="false">_xlfn.xlookup(J89,'Prix MP'!A:A,'Prix MP'!F:F,FALSE())</f>
        <v>D11-1</v>
      </c>
      <c r="M89" s="69" t="str">
        <f aca="false">_xlfn.xlookup(J89,'Prix MP'!A:A,'Prix MP'!D:D,FALSE())</f>
        <v>AKO</v>
      </c>
      <c r="N89" s="61" t="str">
        <f aca="false">_xlfn.xlookup(I89,'Prix vente'!$A:$A,'Prix vente'!$J:$J,"")</f>
        <v>TC DT - Hotmelt Adhesive</v>
      </c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 t="s">
        <v>1078</v>
      </c>
      <c r="Z89" s="61"/>
      <c r="AA89" s="61"/>
      <c r="AB89" s="61"/>
      <c r="AC89" s="61"/>
      <c r="AD89" s="61"/>
      <c r="AE89" s="61"/>
      <c r="AF89" s="61"/>
      <c r="AG89" s="61"/>
      <c r="AH89" s="61"/>
      <c r="AI89" s="61" t="str">
        <f aca="false">IF(_xlfn.xlookup(I89,'Prix vente'!$A:$A,'Prix vente'!$O:$O,"")="msi","po","mm")</f>
        <v>po</v>
      </c>
      <c r="AJ89" s="61" t="n">
        <f aca="false">_xlfn.xlookup(I89,'Prix vente'!$A:$A,'Prix vente'!$Q:$Q,"")</f>
        <v>5000</v>
      </c>
      <c r="AK89" s="61" t="str">
        <f aca="false">IF(_xlfn.xlookup(I89,'Prix vente'!$A:$A,'Prix vente'!$O:$O,"")="msi","pi","m")</f>
        <v>pi</v>
      </c>
      <c r="AL89" s="61"/>
      <c r="AM89" s="1" t="n">
        <v>2</v>
      </c>
      <c r="AN89" s="15" t="s">
        <v>551</v>
      </c>
      <c r="AP89" s="1" t="n">
        <v>10034</v>
      </c>
      <c r="AQ89" s="15" t="s">
        <v>1079</v>
      </c>
      <c r="AR89" s="62" t="n">
        <f aca="false">_xlfn.xlookup(I89,'Prix vente'!A:A,'Prix vente'!B:B,FALSE())</f>
        <v>20013</v>
      </c>
    </row>
    <row r="90" customFormat="false" ht="16.4" hidden="false" customHeight="false" outlineLevel="0" collapsed="false">
      <c r="A90" s="61" t="s">
        <v>1080</v>
      </c>
      <c r="B90" s="1" t="s">
        <v>889</v>
      </c>
      <c r="C90" s="199" t="n">
        <v>45580</v>
      </c>
      <c r="D90" s="9" t="n">
        <v>230</v>
      </c>
      <c r="E90" s="61" t="str">
        <f aca="false">_xlfn.xlookup(D90,'PO Client'!$A:$A,'PO Client'!$C:$C,FALSE())</f>
        <v>Digi America Inc.</v>
      </c>
      <c r="F90" s="61"/>
      <c r="G90" s="61" t="n">
        <f aca="false">_xlfn.xlookup(D90,'PO Client'!$A:$A,'PO Client'!$F:$F,FALSE())</f>
        <v>50008700</v>
      </c>
      <c r="H90" s="205" t="n">
        <f aca="false">_xlfn.xlookup(D90,'PO Client'!A:A,'PO Client'!L:L,"")</f>
        <v>45590</v>
      </c>
      <c r="I90" s="9" t="n">
        <v>40103</v>
      </c>
      <c r="J90" s="9" t="n">
        <v>30019</v>
      </c>
      <c r="K90" s="62" t="str">
        <f aca="false">_xlfn.xlookup(I90,'Prix vente'!$A:$A,'Prix vente'!$H:$H,"")</f>
        <v>D16</v>
      </c>
      <c r="L90" s="69" t="str">
        <f aca="false">_xlfn.xlookup(J90,'Prix MP'!A:A,'Prix MP'!F:F,FALSE())</f>
        <v>D16-1</v>
      </c>
      <c r="M90" s="69" t="str">
        <f aca="false">_xlfn.xlookup(J90,'Prix MP'!A:A,'Prix MP'!D:D,FALSE())</f>
        <v>AKO</v>
      </c>
      <c r="N90" s="61" t="str">
        <f aca="false">_xlfn.xlookup(I90,'Prix vente'!$A:$A,'Prix vente'!$J:$J,"")</f>
        <v>TC DT - Acrylic Adhesive</v>
      </c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 t="n">
        <f aca="false">_xlfn.xlookup(I90,'Prix vente'!$A:$A,'Prix vente'!$P:$P,"")</f>
        <v>10</v>
      </c>
      <c r="Z90" s="61"/>
      <c r="AA90" s="61"/>
      <c r="AB90" s="61"/>
      <c r="AC90" s="61"/>
      <c r="AD90" s="61"/>
      <c r="AE90" s="61"/>
      <c r="AF90" s="61"/>
      <c r="AG90" s="61"/>
      <c r="AH90" s="61"/>
      <c r="AI90" s="61" t="str">
        <f aca="false">IF(_xlfn.xlookup(I90,'Prix vente'!$A:$A,'Prix vente'!$O:$O,"")="msi","po","mm")</f>
        <v>po</v>
      </c>
      <c r="AJ90" s="61" t="n">
        <f aca="false">_xlfn.xlookup(I90,'Prix vente'!$A:$A,'Prix vente'!$Q:$Q,"")</f>
        <v>5000</v>
      </c>
      <c r="AK90" s="61" t="str">
        <f aca="false">IF(_xlfn.xlookup(I90,'Prix vente'!$A:$A,'Prix vente'!$O:$O,"")="msi","pi","m")</f>
        <v>pi</v>
      </c>
      <c r="AL90" s="61"/>
      <c r="AM90" s="1" t="n">
        <v>72</v>
      </c>
      <c r="AN90" s="15" t="s">
        <v>551</v>
      </c>
      <c r="AQ90" s="15" t="s">
        <v>1081</v>
      </c>
      <c r="AR90" s="62" t="n">
        <f aca="false">_xlfn.xlookup(I90,'Prix vente'!A:A,'Prix vente'!B:B,FALSE())</f>
        <v>20018</v>
      </c>
    </row>
    <row r="91" customFormat="false" ht="16.4" hidden="false" customHeight="false" outlineLevel="0" collapsed="false">
      <c r="A91" s="61" t="s">
        <v>1082</v>
      </c>
      <c r="B91" s="1" t="s">
        <v>889</v>
      </c>
      <c r="C91" s="199" t="n">
        <v>45582</v>
      </c>
      <c r="D91" s="9" t="n">
        <v>232</v>
      </c>
      <c r="E91" s="61" t="str">
        <f aca="false">_xlfn.xlookup(D91,'PO Client'!$A:$A,'PO Client'!$C:$C,FALSE())</f>
        <v>Étiquettes Luso-Flex</v>
      </c>
      <c r="F91" s="61"/>
      <c r="G91" s="61" t="n">
        <f aca="false">_xlfn.xlookup(D91,'PO Client'!$A:$A,'PO Client'!$F:$F,FALSE())</f>
        <v>1931</v>
      </c>
      <c r="H91" s="205" t="n">
        <f aca="false">_xlfn.xlookup(D91,'PO Client'!A:A,'PO Client'!L:L,"")</f>
        <v>45586</v>
      </c>
      <c r="I91" s="9" t="n">
        <v>40137</v>
      </c>
      <c r="J91" s="9" t="n">
        <v>30023</v>
      </c>
      <c r="K91" s="62" t="str">
        <f aca="false">_xlfn.xlookup(I91,'Prix vente'!$A:$A,'Prix vente'!$H:$H,"")</f>
        <v>T11</v>
      </c>
      <c r="L91" s="69" t="str">
        <f aca="false">_xlfn.xlookup(J91,'Prix MP'!A:A,'Prix MP'!F:F,FALSE())</f>
        <v>T11-1</v>
      </c>
      <c r="M91" s="69" t="str">
        <f aca="false">_xlfn.xlookup(J91,'Prix MP'!A:A,'Prix MP'!D:D,FALSE())</f>
        <v>AKO</v>
      </c>
      <c r="N91" s="61" t="str">
        <f aca="false">_xlfn.xlookup(I91,'Prix vente'!$A:$A,'Prix vente'!$J:$J,"")</f>
        <v>TT - HM Adhesive</v>
      </c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 t="n">
        <f aca="false">_xlfn.xlookup(I91,'Prix vente'!$A:$A,'Prix vente'!$P:$P,"")</f>
        <v>12.875</v>
      </c>
      <c r="Z91" s="61"/>
      <c r="AA91" s="61"/>
      <c r="AB91" s="61"/>
      <c r="AC91" s="61"/>
      <c r="AD91" s="61"/>
      <c r="AE91" s="61"/>
      <c r="AF91" s="61"/>
      <c r="AG91" s="61"/>
      <c r="AH91" s="61"/>
      <c r="AI91" s="61" t="str">
        <f aca="false">IF(_xlfn.xlookup(I91,'Prix vente'!$A:$A,'Prix vente'!$O:$O,"")="msi","po","mm")</f>
        <v>po</v>
      </c>
      <c r="AJ91" s="61" t="n">
        <f aca="false">_xlfn.xlookup(I91,'Prix vente'!$A:$A,'Prix vente'!$Q:$Q,"")</f>
        <v>10000</v>
      </c>
      <c r="AK91" s="61" t="str">
        <f aca="false">IF(_xlfn.xlookup(I91,'Prix vente'!$A:$A,'Prix vente'!$O:$O,"")="msi","pi","m")</f>
        <v>pi</v>
      </c>
      <c r="AL91" s="61"/>
      <c r="AM91" s="1" t="n">
        <v>16</v>
      </c>
      <c r="AN91" s="15" t="s">
        <v>551</v>
      </c>
      <c r="AQ91" s="15" t="s">
        <v>1083</v>
      </c>
      <c r="AR91" s="62" t="n">
        <f aca="false">_xlfn.xlookup(I91,'Prix vente'!A:A,'Prix vente'!B:B,FALSE())</f>
        <v>20003</v>
      </c>
    </row>
    <row r="92" customFormat="false" ht="16.4" hidden="false" customHeight="false" outlineLevel="0" collapsed="false">
      <c r="A92" s="61" t="s">
        <v>1084</v>
      </c>
      <c r="B92" s="1" t="s">
        <v>889</v>
      </c>
      <c r="C92" s="199" t="n">
        <v>45586</v>
      </c>
      <c r="D92" s="9" t="n">
        <v>229</v>
      </c>
      <c r="E92" s="61" t="str">
        <f aca="false">_xlfn.xlookup(D92,'PO Client'!$A:$A,'PO Client'!$C:$C,FALSE())</f>
        <v>Crucial Solutions LLC</v>
      </c>
      <c r="F92" s="61"/>
      <c r="G92" s="61" t="s">
        <v>1085</v>
      </c>
      <c r="H92" s="205" t="n">
        <f aca="false">_xlfn.xlookup(D92,'PO Client'!A:A,'PO Client'!L:L,"")</f>
        <v>45583</v>
      </c>
      <c r="I92" s="9" t="n">
        <v>40139</v>
      </c>
      <c r="J92" s="9" t="n">
        <v>30025</v>
      </c>
      <c r="K92" s="62" t="str">
        <f aca="false">_xlfn.xlookup(I92,'Prix vente'!$A:$A,'Prix vente'!$H:$H,"")</f>
        <v>D21</v>
      </c>
      <c r="L92" s="69" t="str">
        <f aca="false">_xlfn.xlookup(J92,'Prix MP'!A:A,'Prix MP'!F:F,FALSE())</f>
        <v>D11-1</v>
      </c>
      <c r="M92" s="69" t="str">
        <f aca="false">_xlfn.xlookup(J92,'Prix MP'!A:A,'Prix MP'!D:D,FALSE())</f>
        <v>AKO</v>
      </c>
      <c r="N92" s="61" t="str">
        <f aca="false">_xlfn.xlookup(I92,'Prix vente'!$A:$A,'Prix vente'!$J:$J,"")</f>
        <v>TC DT - Hotmelt Adhesive</v>
      </c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 t="s">
        <v>1073</v>
      </c>
      <c r="Z92" s="61"/>
      <c r="AA92" s="61"/>
      <c r="AB92" s="61"/>
      <c r="AC92" s="61"/>
      <c r="AD92" s="61"/>
      <c r="AE92" s="61"/>
      <c r="AF92" s="61"/>
      <c r="AG92" s="61"/>
      <c r="AH92" s="61"/>
      <c r="AI92" s="61" t="str">
        <f aca="false">IF(_xlfn.xlookup(I92,'Prix vente'!$A:$A,'Prix vente'!$O:$O,"")="msi","po","mm")</f>
        <v>po</v>
      </c>
      <c r="AJ92" s="61" t="n">
        <f aca="false">_xlfn.xlookup(I92,'Prix vente'!$A:$A,'Prix vente'!$Q:$Q,"")</f>
        <v>5000</v>
      </c>
      <c r="AK92" s="61" t="str">
        <f aca="false">IF(_xlfn.xlookup(I92,'Prix vente'!$A:$A,'Prix vente'!$O:$O,"")="msi","pi","m")</f>
        <v>pi</v>
      </c>
      <c r="AL92" s="61"/>
      <c r="AM92" s="1" t="n">
        <v>2</v>
      </c>
      <c r="AN92" s="15" t="s">
        <v>551</v>
      </c>
      <c r="AP92" s="1" t="n">
        <v>2024138</v>
      </c>
      <c r="AQ92" s="15" t="s">
        <v>1086</v>
      </c>
      <c r="AR92" s="62" t="n">
        <f aca="false">_xlfn.xlookup(I92,'Prix vente'!A:A,'Prix vente'!B:B,FALSE())</f>
        <v>20012</v>
      </c>
    </row>
    <row r="93" customFormat="false" ht="16.4" hidden="false" customHeight="false" outlineLevel="0" collapsed="false">
      <c r="A93" s="61" t="s">
        <v>1087</v>
      </c>
      <c r="B93" s="1" t="s">
        <v>889</v>
      </c>
      <c r="C93" s="199" t="n">
        <v>45586</v>
      </c>
      <c r="D93" s="9" t="n">
        <v>233</v>
      </c>
      <c r="E93" s="61" t="str">
        <f aca="false">_xlfn.xlookup(D93,'PO Client'!$A:$A,'PO Client'!$C:$C,FALSE())</f>
        <v>Crucial Solutions LLC</v>
      </c>
      <c r="F93" s="61"/>
      <c r="G93" s="61" t="s">
        <v>1064</v>
      </c>
      <c r="H93" s="205" t="n">
        <f aca="false">_xlfn.xlookup(D93,'PO Client'!A:A,'PO Client'!L:L,"")</f>
        <v>45586</v>
      </c>
      <c r="I93" s="9" t="n">
        <v>40140</v>
      </c>
      <c r="J93" s="9" t="n">
        <v>30011</v>
      </c>
      <c r="K93" s="62" t="str">
        <f aca="false">_xlfn.xlookup(I93,'Prix vente'!$A:$A,'Prix vente'!$H:$H,"")</f>
        <v>S21</v>
      </c>
      <c r="L93" s="69" t="str">
        <f aca="false">_xlfn.xlookup(J93,'Prix MP'!A:A,'Prix MP'!F:F,FALSE())</f>
        <v>S21-1</v>
      </c>
      <c r="M93" s="69" t="str">
        <f aca="false">_xlfn.xlookup(J93,'Prix MP'!A:A,'Prix MP'!D:D,FALSE())</f>
        <v>AKO</v>
      </c>
      <c r="N93" s="61" t="str">
        <f aca="false">_xlfn.xlookup(I93,'Prix vente'!$A:$A,'Prix vente'!$J:$J,"")</f>
        <v>SG - Hotmelt Adhesive</v>
      </c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 t="n">
        <f aca="false">_xlfn.xlookup(I93,'Prix vente'!$A:$A,'Prix vente'!$P:$P,"")</f>
        <v>13</v>
      </c>
      <c r="Z93" s="61"/>
      <c r="AA93" s="61"/>
      <c r="AB93" s="61"/>
      <c r="AC93" s="61"/>
      <c r="AD93" s="61"/>
      <c r="AE93" s="61"/>
      <c r="AF93" s="61"/>
      <c r="AG93" s="61"/>
      <c r="AH93" s="61"/>
      <c r="AI93" s="61" t="str">
        <f aca="false">IF(_xlfn.xlookup(I93,'Prix vente'!$A:$A,'Prix vente'!$O:$O,"")="msi","po","mm")</f>
        <v>po</v>
      </c>
      <c r="AJ93" s="61" t="n">
        <f aca="false">_xlfn.xlookup(I93,'Prix vente'!$A:$A,'Prix vente'!$Q:$Q,"")</f>
        <v>5000</v>
      </c>
      <c r="AK93" s="61" t="str">
        <f aca="false">IF(_xlfn.xlookup(I93,'Prix vente'!$A:$A,'Prix vente'!$O:$O,"")="msi","pi","m")</f>
        <v>pi</v>
      </c>
      <c r="AL93" s="61"/>
      <c r="AM93" s="1" t="n">
        <v>1</v>
      </c>
      <c r="AN93" s="15" t="s">
        <v>551</v>
      </c>
      <c r="AP93" s="15" t="s">
        <v>1088</v>
      </c>
      <c r="AQ93" s="15" t="s">
        <v>1089</v>
      </c>
      <c r="AR93" s="62" t="n">
        <f aca="false">_xlfn.xlookup(I93,'Prix vente'!A:A,'Prix vente'!B:B,FALSE())</f>
        <v>20011</v>
      </c>
    </row>
    <row r="94" customFormat="false" ht="16.4" hidden="false" customHeight="false" outlineLevel="0" collapsed="false">
      <c r="A94" s="61" t="s">
        <v>1090</v>
      </c>
      <c r="B94" s="1" t="s">
        <v>889</v>
      </c>
      <c r="C94" s="199" t="n">
        <v>45586</v>
      </c>
      <c r="D94" s="9" t="n">
        <v>234</v>
      </c>
      <c r="E94" s="61" t="str">
        <f aca="false">_xlfn.xlookup(D94,'PO Client'!$A:$A,'PO Client'!$C:$C,FALSE())</f>
        <v>IMS</v>
      </c>
      <c r="F94" s="61"/>
      <c r="G94" s="61" t="s">
        <v>783</v>
      </c>
      <c r="H94" s="205" t="n">
        <f aca="false">_xlfn.xlookup(D94,'PO Client'!A:A,'PO Client'!L:L,"")</f>
        <v>45586</v>
      </c>
      <c r="I94" s="9" t="n">
        <v>40141</v>
      </c>
      <c r="J94" s="9" t="n">
        <v>30025</v>
      </c>
      <c r="K94" s="62" t="str">
        <f aca="false">_xlfn.xlookup(I94,'Prix vente'!$A:$A,'Prix vente'!$H:$H,"")</f>
        <v>D21</v>
      </c>
      <c r="L94" s="69" t="str">
        <f aca="false">_xlfn.xlookup(J94,'Prix MP'!A:A,'Prix MP'!F:F,FALSE())</f>
        <v>D11-1</v>
      </c>
      <c r="M94" s="69" t="str">
        <f aca="false">_xlfn.xlookup(J94,'Prix MP'!A:A,'Prix MP'!D:D,FALSE())</f>
        <v>AKO</v>
      </c>
      <c r="N94" s="61" t="str">
        <f aca="false">_xlfn.xlookup(I94,'Prix vente'!$A:$A,'Prix vente'!$J:$J,"")</f>
        <v>TC DT - Hotmelt Adhesive</v>
      </c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 t="n">
        <f aca="false">_xlfn.xlookup(I94,'Prix vente'!$A:$A,'Prix vente'!$P:$P,"")</f>
        <v>12.75</v>
      </c>
      <c r="Z94" s="61"/>
      <c r="AA94" s="61"/>
      <c r="AB94" s="61"/>
      <c r="AC94" s="61"/>
      <c r="AD94" s="61"/>
      <c r="AE94" s="61"/>
      <c r="AF94" s="61"/>
      <c r="AG94" s="61"/>
      <c r="AH94" s="61"/>
      <c r="AI94" s="61" t="str">
        <f aca="false">IF(_xlfn.xlookup(I94,'Prix vente'!$A:$A,'Prix vente'!$O:$O,"")="msi","po","mm")</f>
        <v>po</v>
      </c>
      <c r="AJ94" s="61" t="n">
        <f aca="false">_xlfn.xlookup(I94,'Prix vente'!$A:$A,'Prix vente'!$Q:$Q,"")</f>
        <v>2500</v>
      </c>
      <c r="AK94" s="61" t="str">
        <f aca="false">IF(_xlfn.xlookup(I94,'Prix vente'!$A:$A,'Prix vente'!$O:$O,"")="msi","pi","m")</f>
        <v>pi</v>
      </c>
      <c r="AL94" s="61"/>
      <c r="AM94" s="1" t="n">
        <v>1</v>
      </c>
      <c r="AN94" s="15" t="s">
        <v>551</v>
      </c>
      <c r="AP94" s="1" t="n">
        <v>2024138</v>
      </c>
      <c r="AQ94" s="15" t="s">
        <v>1091</v>
      </c>
      <c r="AR94" s="62" t="n">
        <f aca="false">_xlfn.xlookup(I94,'Prix vente'!A:A,'Prix vente'!B:B,FALSE())</f>
        <v>20012</v>
      </c>
    </row>
    <row r="95" customFormat="false" ht="16.4" hidden="false" customHeight="false" outlineLevel="0" collapsed="false">
      <c r="A95" s="61" t="s">
        <v>1092</v>
      </c>
      <c r="B95" s="1" t="s">
        <v>889</v>
      </c>
      <c r="C95" s="199" t="n">
        <v>45586</v>
      </c>
      <c r="D95" s="9" t="n">
        <v>234</v>
      </c>
      <c r="E95" s="61" t="s">
        <v>1093</v>
      </c>
      <c r="F95" s="61"/>
      <c r="G95" s="61" t="s">
        <v>1072</v>
      </c>
      <c r="H95" s="205" t="n">
        <f aca="false">_xlfn.xlookup(D95,'PO Client'!A:A,'PO Client'!L:L,"")</f>
        <v>45586</v>
      </c>
      <c r="I95" s="9" t="n">
        <v>40142</v>
      </c>
      <c r="J95" s="9" t="n">
        <v>30023</v>
      </c>
      <c r="K95" s="62" t="str">
        <f aca="false">_xlfn.xlookup(I95,'Prix vente'!$A:$A,'Prix vente'!$H:$H,"")</f>
        <v>T11</v>
      </c>
      <c r="L95" s="69" t="str">
        <f aca="false">_xlfn.xlookup(J95,'Prix MP'!A:A,'Prix MP'!F:F,FALSE())</f>
        <v>T11-1</v>
      </c>
      <c r="M95" s="69" t="str">
        <f aca="false">_xlfn.xlookup(J95,'Prix MP'!A:A,'Prix MP'!D:D,FALSE())</f>
        <v>AKO</v>
      </c>
      <c r="N95" s="61" t="str">
        <f aca="false">_xlfn.xlookup(I95,'Prix vente'!$A:$A,'Prix vente'!$J:$J,"")</f>
        <v>TT - HM Adhesive</v>
      </c>
      <c r="O95" s="1" t="n">
        <v>12.75</v>
      </c>
      <c r="P95" s="1" t="n">
        <v>1</v>
      </c>
      <c r="Q95" s="1" t="n">
        <v>8.625</v>
      </c>
      <c r="R95" s="1" t="n">
        <v>1</v>
      </c>
      <c r="S95" s="1" t="n">
        <v>38.865</v>
      </c>
      <c r="T95" s="1" t="n">
        <v>1</v>
      </c>
      <c r="Y95" s="1" t="n">
        <v>12.75</v>
      </c>
      <c r="Z95" s="1" t="n">
        <v>8.625</v>
      </c>
      <c r="AA95" s="15" t="n">
        <f aca="false">60.24-Z95-Y95</f>
        <v>38.865</v>
      </c>
      <c r="AI95" s="15" t="s">
        <v>890</v>
      </c>
      <c r="AJ95" s="15" t="n">
        <f aca="false">_xlfn.xlookup(I95,'Prix vente'!$A:$A,'Prix vente'!$Q:$Q,"")</f>
        <v>2500</v>
      </c>
      <c r="AK95" s="15" t="str">
        <f aca="false">IF(_xlfn.xlookup(I95,'Prix vente'!$A:$A,'Prix vente'!$O:$O,"")="msi","pi","m")</f>
        <v>pi</v>
      </c>
      <c r="AL95" s="1" t="n">
        <v>1</v>
      </c>
      <c r="AM95" s="1" t="n">
        <v>2</v>
      </c>
      <c r="AN95" s="15" t="s">
        <v>551</v>
      </c>
      <c r="AP95" s="15" t="s">
        <v>1094</v>
      </c>
      <c r="AQ95" s="15" t="s">
        <v>1095</v>
      </c>
      <c r="AR95" s="62" t="n">
        <f aca="false">_xlfn.xlookup(I95,'Prix vente'!A:A,'Prix vente'!B:B,FALSE())</f>
        <v>20003</v>
      </c>
    </row>
    <row r="96" customFormat="false" ht="16.4" hidden="false" customHeight="false" outlineLevel="0" collapsed="false">
      <c r="A96" s="61" t="s">
        <v>1096</v>
      </c>
      <c r="B96" s="1" t="s">
        <v>889</v>
      </c>
      <c r="C96" s="199" t="n">
        <v>45587</v>
      </c>
      <c r="D96" s="9" t="n">
        <v>236</v>
      </c>
      <c r="E96" s="61" t="str">
        <f aca="false">_xlfn.xlookup(D96,'PO Client'!$A:$A,'PO Client'!$C:$C,FALSE())</f>
        <v>Damaflex Imprimerie Multiservices Inc.</v>
      </c>
      <c r="F96" s="61"/>
      <c r="G96" s="61" t="str">
        <f aca="false">_xlfn.xlookup(D96,'PO Client'!$A:$A,'PO Client'!$F:$F,FALSE())</f>
        <v>179960-1</v>
      </c>
      <c r="H96" s="205" t="n">
        <f aca="false">_xlfn.xlookup(D96,'PO Client'!A:A,'PO Client'!L:L,"")</f>
        <v>45594</v>
      </c>
      <c r="I96" s="9" t="n">
        <v>40144</v>
      </c>
      <c r="J96" s="9" t="n">
        <v>30025</v>
      </c>
      <c r="K96" s="62" t="str">
        <f aca="false">_xlfn.xlookup(I96,'Prix vente'!$A:$A,'Prix vente'!$H:$H,"")</f>
        <v>D11</v>
      </c>
      <c r="L96" s="69" t="str">
        <f aca="false">_xlfn.xlookup(J96,'Prix MP'!A:A,'Prix MP'!F:F,FALSE())</f>
        <v>D11-1</v>
      </c>
      <c r="M96" s="69" t="str">
        <f aca="false">_xlfn.xlookup(J96,'Prix MP'!A:A,'Prix MP'!D:D,FALSE())</f>
        <v>AKO</v>
      </c>
      <c r="N96" s="61" t="str">
        <f aca="false">_xlfn.xlookup(I96,'Prix vente'!$A:$A,'Prix vente'!$J:$J,"")</f>
        <v>TC DT - Hotmelt Adhesive</v>
      </c>
      <c r="O96" s="1" t="n">
        <v>9.5</v>
      </c>
      <c r="P96" s="1" t="n">
        <v>3</v>
      </c>
      <c r="Q96" s="1" t="n">
        <v>9</v>
      </c>
      <c r="R96" s="1" t="n">
        <v>3</v>
      </c>
      <c r="S96" s="1" t="n">
        <v>4.5</v>
      </c>
      <c r="T96" s="1" t="n">
        <v>1</v>
      </c>
      <c r="Y96" s="1" t="n">
        <v>9.5</v>
      </c>
      <c r="Z96" s="1" t="n">
        <v>9.5</v>
      </c>
      <c r="AA96" s="1" t="n">
        <v>9.5</v>
      </c>
      <c r="AB96" s="1" t="n">
        <v>9</v>
      </c>
      <c r="AC96" s="1" t="n">
        <v>9</v>
      </c>
      <c r="AD96" s="1" t="n">
        <v>9</v>
      </c>
      <c r="AE96" s="1" t="n">
        <v>4.5</v>
      </c>
      <c r="AI96" s="15" t="s">
        <v>890</v>
      </c>
      <c r="AJ96" s="15" t="n">
        <f aca="false">_xlfn.xlookup(I96,'Prix vente'!$A:$A,'Prix vente'!$Q:$Q,"")</f>
        <v>5000</v>
      </c>
      <c r="AK96" s="15" t="str">
        <f aca="false">IF(_xlfn.xlookup(I96,'Prix vente'!$A:$A,'Prix vente'!$O:$O,"")="msi","pi","m")</f>
        <v>pi</v>
      </c>
      <c r="AL96" s="1" t="n">
        <v>2</v>
      </c>
      <c r="AM96" s="1" t="n">
        <v>14</v>
      </c>
      <c r="AN96" s="15" t="s">
        <v>551</v>
      </c>
      <c r="AP96" s="1" t="n">
        <v>10034</v>
      </c>
      <c r="AQ96" s="15" t="s">
        <v>1097</v>
      </c>
      <c r="AR96" s="62" t="n">
        <f aca="false">_xlfn.xlookup(I96,'Prix vente'!A:A,'Prix vente'!B:B,FALSE())</f>
        <v>20013</v>
      </c>
    </row>
    <row r="97" customFormat="false" ht="16.4" hidden="false" customHeight="false" outlineLevel="0" collapsed="false">
      <c r="A97" s="61" t="s">
        <v>1098</v>
      </c>
      <c r="B97" s="1" t="s">
        <v>889</v>
      </c>
      <c r="C97" s="199" t="n">
        <v>45587</v>
      </c>
      <c r="D97" s="9" t="n">
        <v>238</v>
      </c>
      <c r="E97" s="61" t="str">
        <f aca="false">_xlfn.xlookup(D97,'PO Client'!$A:$A,'PO Client'!$C:$C,FALSE())</f>
        <v>Digi America Inc.</v>
      </c>
      <c r="F97" s="61"/>
      <c r="G97" s="61" t="n">
        <f aca="false">_xlfn.xlookup(D97,'PO Client'!$A:$A,'PO Client'!$F:$F,FALSE())</f>
        <v>50008739</v>
      </c>
      <c r="H97" s="205" t="n">
        <f aca="false">_xlfn.xlookup(D97,'PO Client'!A:A,'PO Client'!L:L,"")</f>
        <v>45600</v>
      </c>
      <c r="I97" s="9" t="n">
        <v>40103</v>
      </c>
      <c r="J97" s="9" t="n">
        <v>30019</v>
      </c>
      <c r="K97" s="62" t="str">
        <f aca="false">_xlfn.xlookup(I97,'Prix vente'!$A:$A,'Prix vente'!$H:$H,"")</f>
        <v>D16</v>
      </c>
      <c r="L97" s="69" t="str">
        <f aca="false">_xlfn.xlookup(J97,'Prix MP'!A:A,'Prix MP'!F:F,FALSE())</f>
        <v>D16-1</v>
      </c>
      <c r="M97" s="69" t="str">
        <f aca="false">_xlfn.xlookup(J97,'Prix MP'!A:A,'Prix MP'!D:D,FALSE())</f>
        <v>AKO</v>
      </c>
      <c r="N97" s="61" t="str">
        <f aca="false">_xlfn.xlookup(I97,'Prix vente'!$A:$A,'Prix vente'!$J:$J,"")</f>
        <v>TC DT - Acrylic Adhesive</v>
      </c>
      <c r="O97" s="1" t="n">
        <v>10</v>
      </c>
      <c r="P97" s="1" t="n">
        <v>6</v>
      </c>
      <c r="Y97" s="15" t="n">
        <f aca="false">_xlfn.xlookup(I97,'Prix vente'!$A:$A,'Prix vente'!$P:$P,"")</f>
        <v>10</v>
      </c>
      <c r="Z97" s="1" t="n">
        <v>10</v>
      </c>
      <c r="AA97" s="1" t="n">
        <v>10</v>
      </c>
      <c r="AB97" s="1" t="n">
        <v>10</v>
      </c>
      <c r="AC97" s="1" t="n">
        <v>10</v>
      </c>
      <c r="AD97" s="1" t="n">
        <v>10</v>
      </c>
      <c r="AI97" s="15" t="s">
        <v>890</v>
      </c>
      <c r="AJ97" s="15" t="n">
        <f aca="false">_xlfn.xlookup(I97,'Prix vente'!$A:$A,'Prix vente'!$Q:$Q,"")</f>
        <v>5000</v>
      </c>
      <c r="AK97" s="15" t="str">
        <f aca="false">IF(_xlfn.xlookup(I97,'Prix vente'!$A:$A,'Prix vente'!$O:$O,"")="msi","pi","m")</f>
        <v>pi</v>
      </c>
      <c r="AL97" s="1" t="n">
        <v>12</v>
      </c>
      <c r="AM97" s="1" t="n">
        <v>72</v>
      </c>
      <c r="AN97" s="15" t="s">
        <v>551</v>
      </c>
      <c r="AO97" s="1" t="n">
        <v>0</v>
      </c>
      <c r="AP97" s="1" t="n">
        <v>10033</v>
      </c>
      <c r="AQ97" s="15" t="s">
        <v>1081</v>
      </c>
      <c r="AR97" s="62" t="n">
        <f aca="false">_xlfn.xlookup(I97,'Prix vente'!A:A,'Prix vente'!B:B,FALSE())</f>
        <v>20018</v>
      </c>
    </row>
    <row r="98" customFormat="false" ht="16.4" hidden="false" customHeight="false" outlineLevel="0" collapsed="false">
      <c r="A98" s="61" t="s">
        <v>1099</v>
      </c>
      <c r="B98" s="1" t="s">
        <v>889</v>
      </c>
      <c r="C98" s="199" t="n">
        <v>45590</v>
      </c>
      <c r="D98" s="9" t="n">
        <v>239</v>
      </c>
      <c r="E98" s="61" t="str">
        <f aca="false">_xlfn.xlookup(D98,'PO Client'!$A:$A,'PO Client'!$C:$C,FALSE())</f>
        <v>Amstik</v>
      </c>
      <c r="F98" s="61"/>
      <c r="G98" s="61" t="str">
        <f aca="false">_xlfn.xlookup(D98,'PO Client'!$A:$A,'PO Client'!$F:$F,FALSE())</f>
        <v>Échantillon D11</v>
      </c>
      <c r="H98" s="205" t="n">
        <f aca="false">_xlfn.xlookup(D98,'PO Client'!A:A,'PO Client'!L:L,"")</f>
        <v>45590</v>
      </c>
      <c r="I98" s="9" t="n">
        <v>40149</v>
      </c>
      <c r="J98" s="9" t="n">
        <v>30013</v>
      </c>
      <c r="K98" s="62" t="str">
        <f aca="false">_xlfn.xlookup(I98,'Prix vente'!$A:$A,'Prix vente'!$H:$H,"")</f>
        <v>D11</v>
      </c>
      <c r="L98" s="69" t="str">
        <f aca="false">_xlfn.xlookup(J98,'Prix MP'!A:A,'Prix MP'!F:F,FALSE())</f>
        <v>D11-1</v>
      </c>
      <c r="M98" s="69" t="str">
        <f aca="false">_xlfn.xlookup(J98,'Prix MP'!A:A,'Prix MP'!D:D,FALSE())</f>
        <v>AKO</v>
      </c>
      <c r="N98" s="61" t="str">
        <f aca="false">_xlfn.xlookup(I98,'Prix vente'!$A:$A,'Prix vente'!$J:$J,"")</f>
        <v>TC DT - Hotmelt Adhesive</v>
      </c>
      <c r="Y98" s="15" t="n">
        <f aca="false">_xlfn.xlookup(I98,'Prix vente'!$A:$A,'Prix vente'!$P:$P,"")</f>
        <v>9.4</v>
      </c>
      <c r="AI98" s="15" t="s">
        <v>890</v>
      </c>
      <c r="AJ98" s="15" t="n">
        <f aca="false">_xlfn.xlookup(I98,'Prix vente'!$A:$A,'Prix vente'!$Q:$Q,"")</f>
        <v>2000</v>
      </c>
      <c r="AK98" s="15" t="str">
        <f aca="false">IF(_xlfn.xlookup(I98,'Prix vente'!$A:$A,'Prix vente'!$O:$O,"")="msi","pi","m")</f>
        <v>pi</v>
      </c>
      <c r="AL98" s="1" t="n">
        <v>0</v>
      </c>
      <c r="AM98" s="1" t="n">
        <v>0</v>
      </c>
      <c r="AP98" s="15" t="s">
        <v>1100</v>
      </c>
      <c r="AQ98" s="15" t="s">
        <v>1101</v>
      </c>
      <c r="AR98" s="62" t="n">
        <f aca="false">_xlfn.xlookup(I98,'Prix vente'!A:A,'Prix vente'!B:B,FALSE())</f>
        <v>20013</v>
      </c>
    </row>
    <row r="99" customFormat="false" ht="16.4" hidden="false" customHeight="false" outlineLevel="0" collapsed="false">
      <c r="A99" s="61" t="s">
        <v>1102</v>
      </c>
      <c r="B99" s="1" t="s">
        <v>889</v>
      </c>
      <c r="C99" s="199" t="n">
        <v>45593</v>
      </c>
      <c r="D99" s="9" t="n">
        <v>240</v>
      </c>
      <c r="E99" s="61" t="str">
        <f aca="false">_xlfn.xlookup(D99,'PO Client'!$A:$A,'PO Client'!$C:$C,FALSE())</f>
        <v>Imprimerie Ste-Julie</v>
      </c>
      <c r="F99" s="61"/>
      <c r="G99" s="61" t="n">
        <f aca="false">_xlfn.xlookup(D99,'PO Client'!$A:$A,'PO Client'!$F:$F,FALSE())</f>
        <v>104997</v>
      </c>
      <c r="H99" s="205" t="n">
        <f aca="false">_xlfn.xlookup(D99,'PO Client'!A:A,'PO Client'!L:L,"")</f>
        <v>45600</v>
      </c>
      <c r="I99" s="9" t="n">
        <v>40117</v>
      </c>
      <c r="J99" s="9" t="n">
        <v>30015</v>
      </c>
      <c r="K99" s="62" t="str">
        <f aca="false">_xlfn.xlookup(I99,'Prix vente'!$A:$A,'Prix vente'!$H:$H,"")</f>
        <v>S15</v>
      </c>
      <c r="L99" s="69" t="str">
        <f aca="false">_xlfn.xlookup(J99,'Prix MP'!A:A,'Prix MP'!F:F,FALSE())</f>
        <v>S15-3</v>
      </c>
      <c r="M99" s="69" t="str">
        <f aca="false">_xlfn.xlookup(J99,'Prix MP'!A:A,'Prix MP'!D:D,FALSE())</f>
        <v>Jinda</v>
      </c>
      <c r="N99" s="61" t="str">
        <f aca="false">_xlfn.xlookup(I99,'Prix vente'!$A:$A,'Prix vente'!$J:$J,"")</f>
        <v>SG - Acrylic Adhesive</v>
      </c>
      <c r="O99" s="1" t="n">
        <v>12</v>
      </c>
      <c r="P99" s="1" t="n">
        <v>2</v>
      </c>
      <c r="Q99" s="1" t="n">
        <v>10</v>
      </c>
      <c r="R99" s="1" t="n">
        <v>3</v>
      </c>
      <c r="S99" s="1" t="n">
        <v>6</v>
      </c>
      <c r="T99" s="1" t="n">
        <v>1</v>
      </c>
      <c r="Y99" s="1" t="n">
        <v>12</v>
      </c>
      <c r="Z99" s="1" t="n">
        <v>12</v>
      </c>
      <c r="AA99" s="1" t="n">
        <v>10</v>
      </c>
      <c r="AB99" s="1" t="n">
        <v>10</v>
      </c>
      <c r="AC99" s="1" t="n">
        <v>10</v>
      </c>
      <c r="AD99" s="1" t="n">
        <v>6</v>
      </c>
      <c r="AI99" s="15" t="s">
        <v>890</v>
      </c>
      <c r="AJ99" s="15" t="n">
        <f aca="false">_xlfn.xlookup(I99,'Prix vente'!$A:$A,'Prix vente'!$Q:$Q,"")</f>
        <v>5000</v>
      </c>
      <c r="AK99" s="15" t="str">
        <f aca="false">IF(_xlfn.xlookup(I99,'Prix vente'!$A:$A,'Prix vente'!$O:$O,"")="msi","pi","m")</f>
        <v>pi</v>
      </c>
      <c r="AL99" s="1" t="n">
        <v>1</v>
      </c>
      <c r="AP99" s="15" t="s">
        <v>1103</v>
      </c>
      <c r="AQ99" s="15" t="s">
        <v>1104</v>
      </c>
      <c r="AR99" s="62" t="n">
        <f aca="false">_xlfn.xlookup(I99,'Prix vente'!A:A,'Prix vente'!B:B,FALSE())</f>
        <v>20015</v>
      </c>
    </row>
    <row r="100" customFormat="false" ht="16.4" hidden="false" customHeight="false" outlineLevel="0" collapsed="false">
      <c r="A100" s="61" t="s">
        <v>1105</v>
      </c>
      <c r="B100" s="1" t="s">
        <v>889</v>
      </c>
      <c r="C100" s="199" t="n">
        <v>45594</v>
      </c>
      <c r="D100" s="9" t="n">
        <v>222</v>
      </c>
      <c r="E100" s="61" t="str">
        <f aca="false">_xlfn.xlookup(D100,'PO Client'!$A:$A,'PO Client'!$C:$C,FALSE())</f>
        <v>Imprimerie Ste-Julie</v>
      </c>
      <c r="F100" s="61"/>
      <c r="G100" s="61" t="n">
        <f aca="false">_xlfn.xlookup(D100,'PO Client'!$A:$A,'PO Client'!$F:$F,FALSE())</f>
        <v>104106</v>
      </c>
      <c r="H100" s="205" t="n">
        <f aca="false">_xlfn.xlookup(D100,'PO Client'!A:A,'PO Client'!L:L,"")</f>
        <v>45604</v>
      </c>
      <c r="I100" s="9" t="n">
        <v>40150</v>
      </c>
      <c r="J100" s="9" t="n">
        <v>30027</v>
      </c>
      <c r="K100" s="62" t="str">
        <f aca="false">_xlfn.xlookup(I100,'Prix vente'!$A:$A,'Prix vente'!$H:$H,"")</f>
        <v>B25</v>
      </c>
      <c r="L100" s="69" t="str">
        <f aca="false">_xlfn.xlookup(J100,'Prix MP'!A:A,'Prix MP'!F:F,FALSE())</f>
        <v>B25-3</v>
      </c>
      <c r="M100" s="69" t="str">
        <f aca="false">_xlfn.xlookup(J100,'Prix MP'!A:A,'Prix MP'!D:D,FALSE())</f>
        <v>Jinda</v>
      </c>
      <c r="N100" s="61" t="str">
        <f aca="false">_xlfn.xlookup(I100,'Prix vente'!$A:$A,'Prix vente'!$J:$J,"")</f>
        <v>White BOPP - Acrylic Adhesive</v>
      </c>
      <c r="O100" s="1" t="n">
        <v>10</v>
      </c>
      <c r="P100" s="1" t="n">
        <v>12</v>
      </c>
      <c r="Q100" s="1" t="n">
        <v>12</v>
      </c>
      <c r="R100" s="1" t="n">
        <v>5</v>
      </c>
      <c r="AI100" s="15" t="s">
        <v>890</v>
      </c>
      <c r="AJ100" s="15" t="n">
        <f aca="false">_xlfn.xlookup(I100,'Prix vente'!$A:$A,'Prix vente'!$Q:$Q,"")</f>
        <v>5000</v>
      </c>
      <c r="AK100" s="15" t="str">
        <f aca="false">IF(_xlfn.xlookup(I100,'Prix vente'!$A:$A,'Prix vente'!$O:$O,"")="msi","pi","m")</f>
        <v>pi</v>
      </c>
      <c r="AL100" s="1" t="n">
        <v>3</v>
      </c>
      <c r="AP100" s="15" t="s">
        <v>1106</v>
      </c>
      <c r="AQ100" s="15" t="s">
        <v>1107</v>
      </c>
      <c r="AR100" s="62" t="n">
        <f aca="false">_xlfn.xlookup(I100,'Prix vente'!A:A,'Prix vente'!B:B,FALSE())</f>
        <v>20017</v>
      </c>
    </row>
    <row r="101" customFormat="false" ht="16.4" hidden="false" customHeight="false" outlineLevel="0" collapsed="false">
      <c r="A101" s="61" t="s">
        <v>1108</v>
      </c>
      <c r="B101" s="1" t="s">
        <v>889</v>
      </c>
      <c r="C101" s="199" t="n">
        <v>45594</v>
      </c>
      <c r="D101" s="9" t="n">
        <v>241</v>
      </c>
      <c r="E101" s="61" t="str">
        <f aca="false">_xlfn.xlookup(D101,'PO Client'!$A:$A,'PO Client'!$C:$C,FALSE())</f>
        <v>Digi America Inc.</v>
      </c>
      <c r="F101" s="61"/>
      <c r="G101" s="61" t="n">
        <f aca="false">_xlfn.xlookup(D101,'PO Client'!$A:$A,'PO Client'!$F:$F,FALSE())</f>
        <v>50008774</v>
      </c>
      <c r="H101" s="205" t="n">
        <f aca="false">_xlfn.xlookup(D101,'PO Client'!A:A,'PO Client'!L:L,"")</f>
        <v>45609</v>
      </c>
      <c r="I101" s="9" t="n">
        <v>40103</v>
      </c>
      <c r="J101" s="9" t="n">
        <v>30019</v>
      </c>
      <c r="K101" s="62" t="str">
        <f aca="false">_xlfn.xlookup(I101,'Prix vente'!$A:$A,'Prix vente'!$H:$H,"")</f>
        <v>D16</v>
      </c>
      <c r="L101" s="69" t="str">
        <f aca="false">_xlfn.xlookup(J101,'Prix MP'!A:A,'Prix MP'!F:F,FALSE())</f>
        <v>D16-1</v>
      </c>
      <c r="M101" s="69" t="str">
        <f aca="false">_xlfn.xlookup(J101,'Prix MP'!A:A,'Prix MP'!D:D,FALSE())</f>
        <v>AKO</v>
      </c>
      <c r="N101" s="61" t="str">
        <f aca="false">_xlfn.xlookup(I101,'Prix vente'!$A:$A,'Prix vente'!$J:$J,"")</f>
        <v>TC DT - Acrylic Adhesive</v>
      </c>
      <c r="O101" s="1" t="n">
        <v>10</v>
      </c>
      <c r="P101" s="1" t="n">
        <v>72</v>
      </c>
      <c r="Y101" s="1" t="n">
        <v>10</v>
      </c>
      <c r="Z101" s="1" t="n">
        <v>10</v>
      </c>
      <c r="AA101" s="1" t="n">
        <v>10</v>
      </c>
      <c r="AB101" s="1" t="n">
        <v>10</v>
      </c>
      <c r="AC101" s="1" t="n">
        <v>10</v>
      </c>
      <c r="AD101" s="1" t="n">
        <v>10</v>
      </c>
      <c r="AI101" s="15" t="s">
        <v>890</v>
      </c>
      <c r="AJ101" s="15" t="n">
        <f aca="false">_xlfn.xlookup(I101,'Prix vente'!$A:$A,'Prix vente'!$Q:$Q,"")</f>
        <v>5000</v>
      </c>
      <c r="AK101" s="15" t="str">
        <f aca="false">IF(_xlfn.xlookup(I101,'Prix vente'!$A:$A,'Prix vente'!$O:$O,"")="msi","pi","m")</f>
        <v>pi</v>
      </c>
      <c r="AL101" s="1" t="n">
        <v>12</v>
      </c>
      <c r="AP101" s="1" t="n">
        <v>10033</v>
      </c>
      <c r="AQ101" s="15" t="n">
        <f aca="false">_xlfn.xlookup(E101,Clients!B:B,Clients!V:V)</f>
        <v>0</v>
      </c>
      <c r="AR101" s="62" t="n">
        <f aca="false">_xlfn.xlookup(I101,'Prix vente'!A:A,'Prix vente'!B:B,FALSE())</f>
        <v>20018</v>
      </c>
    </row>
    <row r="102" customFormat="false" ht="16.4" hidden="false" customHeight="false" outlineLevel="0" collapsed="false">
      <c r="A102" s="61" t="s">
        <v>1109</v>
      </c>
      <c r="B102" s="1" t="s">
        <v>889</v>
      </c>
      <c r="C102" s="199" t="n">
        <v>45595</v>
      </c>
      <c r="D102" s="9" t="n">
        <v>242</v>
      </c>
      <c r="E102" s="61" t="str">
        <f aca="false">_xlfn.xlookup(D102,'PO Client'!$A:$A,'PO Client'!$C:$C,FALSE())</f>
        <v>Étiquettes Rive-Sud</v>
      </c>
      <c r="F102" s="61"/>
      <c r="G102" s="61" t="n">
        <f aca="false">_xlfn.xlookup(D102,'PO Client'!$A:$A,'PO Client'!$F:$F,FALSE())</f>
        <v>301024</v>
      </c>
      <c r="H102" s="205" t="str">
        <f aca="false">_xlfn.xlookup(D102,'PO Client'!A:A,'PO Client'!L:L,"")</f>
        <v>TBD</v>
      </c>
      <c r="I102" s="9" t="n">
        <v>40155</v>
      </c>
      <c r="J102" s="9" t="n">
        <v>30027</v>
      </c>
      <c r="K102" s="62" t="str">
        <f aca="false">_xlfn.xlookup(I102,'Prix vente'!$A:$A,'Prix vente'!$H:$H,"")</f>
        <v>B25</v>
      </c>
      <c r="L102" s="69" t="str">
        <f aca="false">_xlfn.xlookup(J102,'Prix MP'!A:A,'Prix MP'!F:F,FALSE())</f>
        <v>B25-3</v>
      </c>
      <c r="M102" s="69" t="str">
        <f aca="false">_xlfn.xlookup(J102,'Prix MP'!A:A,'Prix MP'!D:D,FALSE())</f>
        <v>Jinda</v>
      </c>
      <c r="N102" s="61" t="str">
        <f aca="false">_xlfn.xlookup(I102,'Prix vente'!$A:$A,'Prix vente'!$J:$J,"")</f>
        <v>White BOPP - Acrylic Adhesive</v>
      </c>
      <c r="O102" s="1" t="n">
        <v>8.6</v>
      </c>
      <c r="P102" s="1" t="n">
        <v>7</v>
      </c>
      <c r="Y102" s="1" t="n">
        <v>8.6</v>
      </c>
      <c r="Z102" s="1" t="n">
        <v>8.6</v>
      </c>
      <c r="AA102" s="1" t="n">
        <v>8.6</v>
      </c>
      <c r="AB102" s="1" t="n">
        <v>8.6</v>
      </c>
      <c r="AC102" s="1" t="n">
        <v>8.6</v>
      </c>
      <c r="AD102" s="1" t="n">
        <v>8.6</v>
      </c>
      <c r="AE102" s="1" t="n">
        <v>8.6</v>
      </c>
      <c r="AI102" s="15" t="s">
        <v>890</v>
      </c>
      <c r="AJ102" s="15" t="n">
        <f aca="false">_xlfn.xlookup(I102,'Prix vente'!$A:$A,'Prix vente'!$Q:$Q,"")</f>
        <v>5000</v>
      </c>
      <c r="AK102" s="15" t="str">
        <f aca="false">IF(_xlfn.xlookup(I102,'Prix vente'!$A:$A,'Prix vente'!$O:$O,"")="msi","pi","m")</f>
        <v>pi</v>
      </c>
      <c r="AL102" s="1" t="n">
        <v>1</v>
      </c>
      <c r="AQ102" s="15" t="str">
        <f aca="false">_xlfn.xlookup(E102,Clients!B:B,Clients!V:V)</f>
        <v>* Livrer les bobines debout</v>
      </c>
      <c r="AR102" s="62" t="n">
        <f aca="false">_xlfn.xlookup(I102,'Prix vente'!A:A,'Prix vente'!B:B,FALSE())</f>
        <v>20017</v>
      </c>
    </row>
    <row r="103" customFormat="false" ht="16.4" hidden="false" customHeight="false" outlineLevel="0" collapsed="false">
      <c r="A103" s="61" t="s">
        <v>1110</v>
      </c>
      <c r="B103" s="1" t="s">
        <v>889</v>
      </c>
      <c r="C103" s="199" t="n">
        <v>45595</v>
      </c>
      <c r="D103" s="9" t="n">
        <v>243</v>
      </c>
      <c r="E103" s="61" t="str">
        <f aca="false">_xlfn.xlookup(D103,'PO Client'!$A:$A,'PO Client'!$C:$C,FALSE())</f>
        <v>3G Print Group Inc.</v>
      </c>
      <c r="F103" s="61"/>
      <c r="G103" s="61" t="n">
        <f aca="false">_xlfn.xlookup(D103,'PO Client'!$A:$A,'PO Client'!$F:$F,FALSE())</f>
        <v>2842</v>
      </c>
      <c r="H103" s="205" t="n">
        <f aca="false">_xlfn.xlookup(D103,'PO Client'!A:A,'PO Client'!L:L,"")</f>
        <v>45604</v>
      </c>
      <c r="I103" s="9" t="n">
        <v>40151</v>
      </c>
      <c r="J103" s="9" t="n">
        <v>30011</v>
      </c>
      <c r="K103" s="62" t="str">
        <f aca="false">_xlfn.xlookup(I103,'Prix vente'!$A:$A,'Prix vente'!$H:$H,"")</f>
        <v>S21</v>
      </c>
      <c r="L103" s="69" t="str">
        <f aca="false">_xlfn.xlookup(J103,'Prix MP'!A:A,'Prix MP'!F:F,FALSE())</f>
        <v>S21-1</v>
      </c>
      <c r="M103" s="69" t="str">
        <f aca="false">_xlfn.xlookup(J103,'Prix MP'!A:A,'Prix MP'!D:D,FALSE())</f>
        <v>AKO</v>
      </c>
      <c r="N103" s="61" t="str">
        <f aca="false">_xlfn.xlookup(I103,'Prix vente'!$A:$A,'Prix vente'!$J:$J,"")</f>
        <v>SG - Hotmelt Adhesive</v>
      </c>
      <c r="O103" s="1" t="n">
        <v>13</v>
      </c>
      <c r="P103" s="1" t="n">
        <v>1</v>
      </c>
      <c r="Q103" s="1" t="n">
        <v>47</v>
      </c>
      <c r="R103" s="1" t="n">
        <v>1</v>
      </c>
      <c r="Y103" s="1" t="n">
        <v>13</v>
      </c>
      <c r="Z103" s="1" t="n">
        <v>47</v>
      </c>
      <c r="AI103" s="15" t="s">
        <v>890</v>
      </c>
      <c r="AJ103" s="1" t="n">
        <v>4900</v>
      </c>
      <c r="AK103" s="15" t="str">
        <f aca="false">IF(_xlfn.xlookup(I103,'Prix vente'!$A:$A,'Prix vente'!$O:$O,"")="msi","pi","m")</f>
        <v>pi</v>
      </c>
      <c r="AP103" s="15" t="s">
        <v>1111</v>
      </c>
      <c r="AQ103" s="15" t="s">
        <v>1112</v>
      </c>
      <c r="AR103" s="62" t="n">
        <f aca="false">_xlfn.xlookup(I103,'Prix vente'!A:A,'Prix vente'!B:B,FALSE())</f>
        <v>20011</v>
      </c>
    </row>
    <row r="104" customFormat="false" ht="16.4" hidden="false" customHeight="false" outlineLevel="0" collapsed="false">
      <c r="A104" s="61" t="s">
        <v>1113</v>
      </c>
      <c r="B104" s="1" t="s">
        <v>889</v>
      </c>
      <c r="C104" s="199" t="n">
        <v>45595</v>
      </c>
      <c r="D104" s="9" t="n">
        <v>243</v>
      </c>
      <c r="E104" s="61" t="str">
        <f aca="false">_xlfn.xlookup(D104,'PO Client'!$A:$A,'PO Client'!$C:$C,FALSE())</f>
        <v>3G Print Group Inc.</v>
      </c>
      <c r="F104" s="61"/>
      <c r="G104" s="61" t="n">
        <f aca="false">_xlfn.xlookup(D104,'PO Client'!$A:$A,'PO Client'!$F:$F,FALSE())</f>
        <v>2842</v>
      </c>
      <c r="H104" s="205" t="n">
        <f aca="false">_xlfn.xlookup(D104,'PO Client'!A:A,'PO Client'!L:L,"")</f>
        <v>45604</v>
      </c>
      <c r="I104" s="9" t="n">
        <v>40152</v>
      </c>
      <c r="J104" s="9" t="n">
        <v>30030</v>
      </c>
      <c r="K104" s="62" t="str">
        <f aca="false">_xlfn.xlookup(I104,'Prix vente'!$A:$A,'Prix vente'!$H:$H,"")</f>
        <v>S35</v>
      </c>
      <c r="L104" s="69" t="str">
        <f aca="false">_xlfn.xlookup(J104,'Prix MP'!A:A,'Prix MP'!F:F,FALSE())</f>
        <v>S35-3</v>
      </c>
      <c r="M104" s="69" t="str">
        <f aca="false">_xlfn.xlookup(J104,'Prix MP'!A:A,'Prix MP'!D:D,FALSE())</f>
        <v>Jinda</v>
      </c>
      <c r="N104" s="61" t="str">
        <f aca="false">_xlfn.xlookup(I104,'Prix vente'!$A:$A,'Prix vente'!$J:$J,"")</f>
        <v>SG - ACR Adh - PET liner</v>
      </c>
      <c r="O104" s="1" t="n">
        <v>13</v>
      </c>
      <c r="P104" s="1" t="n">
        <v>1</v>
      </c>
      <c r="Q104" s="1" t="n">
        <v>47</v>
      </c>
      <c r="R104" s="1" t="n">
        <v>1</v>
      </c>
      <c r="Y104" s="1" t="n">
        <v>13</v>
      </c>
      <c r="Z104" s="1" t="n">
        <v>47</v>
      </c>
      <c r="AI104" s="15" t="s">
        <v>890</v>
      </c>
      <c r="AJ104" s="15" t="n">
        <f aca="false">_xlfn.xlookup(I104,'Prix vente'!$A:$A,'Prix vente'!$Q:$Q,"")</f>
        <v>2000</v>
      </c>
      <c r="AK104" s="15" t="str">
        <f aca="false">IF(_xlfn.xlookup(I104,'Prix vente'!$A:$A,'Prix vente'!$O:$O,"")="msi","pi","m")</f>
        <v>pi</v>
      </c>
      <c r="AQ104" s="15" t="n">
        <f aca="false">_xlfn.xlookup(E104,Clients!B:B,Clients!V:V)</f>
        <v>0</v>
      </c>
      <c r="AR104" s="62" t="n">
        <f aca="false">_xlfn.xlookup(I104,'Prix vente'!A:A,'Prix vente'!B:B,FALSE())</f>
        <v>20023</v>
      </c>
    </row>
    <row r="105" customFormat="false" ht="16.4" hidden="false" customHeight="false" outlineLevel="0" collapsed="false">
      <c r="A105" s="61" t="s">
        <v>1114</v>
      </c>
      <c r="B105" s="1" t="s">
        <v>889</v>
      </c>
      <c r="C105" s="199" t="n">
        <v>45595</v>
      </c>
      <c r="D105" s="9" t="n">
        <v>243</v>
      </c>
      <c r="E105" s="61" t="str">
        <f aca="false">_xlfn.xlookup(D105,'PO Client'!$A:$A,'PO Client'!$C:$C,FALSE())</f>
        <v>3G Print Group Inc.</v>
      </c>
      <c r="F105" s="61"/>
      <c r="G105" s="61" t="n">
        <f aca="false">_xlfn.xlookup(D105,'PO Client'!$A:$A,'PO Client'!$F:$F,FALSE())</f>
        <v>2842</v>
      </c>
      <c r="H105" s="205" t="n">
        <f aca="false">_xlfn.xlookup(D105,'PO Client'!A:A,'PO Client'!L:L,"")</f>
        <v>45604</v>
      </c>
      <c r="I105" s="9" t="n">
        <v>40153</v>
      </c>
      <c r="J105" s="9" t="n">
        <v>30016</v>
      </c>
      <c r="K105" s="62" t="str">
        <f aca="false">_xlfn.xlookup(I105,'Prix vente'!$A:$A,'Prix vente'!$H:$H,"")</f>
        <v>B15</v>
      </c>
      <c r="L105" s="69" t="str">
        <f aca="false">_xlfn.xlookup(J105,'Prix MP'!A:A,'Prix MP'!F:F,FALSE())</f>
        <v>B15-3</v>
      </c>
      <c r="M105" s="69" t="str">
        <f aca="false">_xlfn.xlookup(J105,'Prix MP'!A:A,'Prix MP'!D:D,FALSE())</f>
        <v>Jinda</v>
      </c>
      <c r="N105" s="61" t="str">
        <f aca="false">_xlfn.xlookup(I105,'Prix vente'!$A:$A,'Prix vente'!$J:$J,"")</f>
        <v>Clear BOPP - Acrylic Adhesive</v>
      </c>
      <c r="O105" s="1" t="n">
        <v>13</v>
      </c>
      <c r="P105" s="1" t="n">
        <v>2</v>
      </c>
      <c r="Q105" s="15" t="n">
        <f aca="false">34-13-13</f>
        <v>8</v>
      </c>
      <c r="R105" s="1" t="n">
        <v>1</v>
      </c>
      <c r="Y105" s="1" t="n">
        <v>13</v>
      </c>
      <c r="Z105" s="1" t="n">
        <v>13</v>
      </c>
      <c r="AA105" s="1" t="n">
        <v>8</v>
      </c>
      <c r="AI105" s="15" t="s">
        <v>890</v>
      </c>
      <c r="AJ105" s="1" t="n">
        <v>3000</v>
      </c>
      <c r="AK105" s="15" t="str">
        <f aca="false">IF(_xlfn.xlookup(I105,'Prix vente'!$A:$A,'Prix vente'!$O:$O,"")="msi","pi","m")</f>
        <v>pi</v>
      </c>
      <c r="AP105" s="15" t="s">
        <v>1115</v>
      </c>
      <c r="AQ105" s="15" t="s">
        <v>1116</v>
      </c>
      <c r="AR105" s="62" t="n">
        <f aca="false">_xlfn.xlookup(I105,'Prix vente'!A:A,'Prix vente'!B:B,FALSE())</f>
        <v>20016</v>
      </c>
    </row>
    <row r="106" customFormat="false" ht="16.4" hidden="false" customHeight="false" outlineLevel="0" collapsed="false">
      <c r="A106" s="61" t="s">
        <v>1117</v>
      </c>
      <c r="B106" s="1" t="s">
        <v>889</v>
      </c>
      <c r="C106" s="199" t="n">
        <v>45595</v>
      </c>
      <c r="D106" s="9" t="n">
        <v>243</v>
      </c>
      <c r="E106" s="61" t="str">
        <f aca="false">_xlfn.xlookup(D106,'PO Client'!$A:$A,'PO Client'!$C:$C,FALSE())</f>
        <v>3G Print Group Inc.</v>
      </c>
      <c r="F106" s="61"/>
      <c r="G106" s="61" t="n">
        <f aca="false">_xlfn.xlookup(D106,'PO Client'!$A:$A,'PO Client'!$F:$F,FALSE())</f>
        <v>2842</v>
      </c>
      <c r="H106" s="205" t="n">
        <f aca="false">_xlfn.xlookup(D106,'PO Client'!A:A,'PO Client'!L:L,"")</f>
        <v>45604</v>
      </c>
      <c r="I106" s="9" t="n">
        <v>40154</v>
      </c>
      <c r="J106" s="9" t="n">
        <v>30027</v>
      </c>
      <c r="K106" s="62" t="str">
        <f aca="false">_xlfn.xlookup(I106,'Prix vente'!$A:$A,'Prix vente'!$H:$H,"")</f>
        <v>B25</v>
      </c>
      <c r="L106" s="69" t="str">
        <f aca="false">_xlfn.xlookup(J106,'Prix MP'!A:A,'Prix MP'!F:F,FALSE())</f>
        <v>B25-3</v>
      </c>
      <c r="M106" s="69" t="str">
        <f aca="false">_xlfn.xlookup(J106,'Prix MP'!A:A,'Prix MP'!D:D,FALSE())</f>
        <v>Jinda</v>
      </c>
      <c r="N106" s="61" t="str">
        <f aca="false">_xlfn.xlookup(I106,'Prix vente'!$A:$A,'Prix vente'!$J:$J,"")</f>
        <v>White BOPP - Acrylic Adhesive</v>
      </c>
      <c r="O106" s="1" t="n">
        <v>13</v>
      </c>
      <c r="P106" s="1" t="n">
        <v>1</v>
      </c>
      <c r="Q106" s="1" t="n">
        <v>47</v>
      </c>
      <c r="R106" s="1" t="n">
        <v>1</v>
      </c>
      <c r="Y106" s="1" t="n">
        <v>13</v>
      </c>
      <c r="Z106" s="1" t="n">
        <v>47</v>
      </c>
      <c r="AI106" s="15" t="s">
        <v>890</v>
      </c>
      <c r="AJ106" s="15" t="n">
        <f aca="false">_xlfn.xlookup(I106,'Prix vente'!$A:$A,'Prix vente'!$Q:$Q,"")</f>
        <v>2000</v>
      </c>
      <c r="AK106" s="15" t="str">
        <f aca="false">IF(_xlfn.xlookup(I106,'Prix vente'!$A:$A,'Prix vente'!$O:$O,"")="msi","pi","m")</f>
        <v>pi</v>
      </c>
      <c r="AQ106" s="15" t="n">
        <f aca="false">_xlfn.xlookup(E106,Clients!B:B,Clients!V:V)</f>
        <v>0</v>
      </c>
      <c r="AR106" s="62" t="n">
        <f aca="false">_xlfn.xlookup(I106,'Prix vente'!A:A,'Prix vente'!B:B,FALSE())</f>
        <v>20017</v>
      </c>
    </row>
    <row r="107" customFormat="false" ht="16.4" hidden="false" customHeight="false" outlineLevel="0" collapsed="false">
      <c r="A107" s="61" t="s">
        <v>1118</v>
      </c>
      <c r="B107" s="1" t="s">
        <v>889</v>
      </c>
      <c r="C107" s="199" t="n">
        <v>45596</v>
      </c>
      <c r="D107" s="9" t="n">
        <v>244</v>
      </c>
      <c r="E107" s="61" t="str">
        <f aca="false">_xlfn.xlookup(D107,'PO Client'!$A:$A,'PO Client'!$C:$C,FALSE())</f>
        <v>Imprimerie Ste-Julie</v>
      </c>
      <c r="F107" s="61"/>
      <c r="G107" s="61" t="n">
        <f aca="false">_xlfn.xlookup(D107,'PO Client'!$A:$A,'PO Client'!$F:$F,FALSE())</f>
        <v>105111</v>
      </c>
      <c r="H107" s="205" t="n">
        <f aca="false">_xlfn.xlookup(D107,'PO Client'!A:A,'PO Client'!L:L,"")</f>
        <v>0</v>
      </c>
      <c r="I107" s="9" t="n">
        <v>40150</v>
      </c>
      <c r="J107" s="9" t="n">
        <v>30027</v>
      </c>
      <c r="K107" s="62" t="str">
        <f aca="false">_xlfn.xlookup(I107,'Prix vente'!$A:$A,'Prix vente'!$H:$H,"")</f>
        <v>B25</v>
      </c>
      <c r="L107" s="69" t="str">
        <f aca="false">_xlfn.xlookup(J107,'Prix MP'!A:A,'Prix MP'!F:F,FALSE())</f>
        <v>B25-3</v>
      </c>
      <c r="M107" s="69" t="str">
        <f aca="false">_xlfn.xlookup(J107,'Prix MP'!A:A,'Prix MP'!D:D,FALSE())</f>
        <v>Jinda</v>
      </c>
      <c r="N107" s="61" t="str">
        <f aca="false">_xlfn.xlookup(I107,'Prix vente'!$A:$A,'Prix vente'!$J:$J,"")</f>
        <v>White BOPP - Acrylic Adhesive</v>
      </c>
      <c r="O107" s="1" t="n">
        <v>10</v>
      </c>
      <c r="P107" s="1" t="n">
        <v>18</v>
      </c>
      <c r="Y107" s="1" t="n">
        <v>10</v>
      </c>
      <c r="Z107" s="1" t="n">
        <v>10</v>
      </c>
      <c r="AA107" s="1" t="n">
        <v>10</v>
      </c>
      <c r="AB107" s="1" t="n">
        <v>10</v>
      </c>
      <c r="AC107" s="1" t="n">
        <v>10</v>
      </c>
      <c r="AD107" s="1" t="n">
        <v>10</v>
      </c>
      <c r="AI107" s="15" t="s">
        <v>890</v>
      </c>
      <c r="AJ107" s="15" t="n">
        <f aca="false">_xlfn.xlookup(I107,'Prix vente'!$A:$A,'Prix vente'!$Q:$Q,"")</f>
        <v>5000</v>
      </c>
      <c r="AK107" s="15" t="str">
        <f aca="false">IF(_xlfn.xlookup(I107,'Prix vente'!$A:$A,'Prix vente'!$O:$O,"")="msi","pi","m")</f>
        <v>pi</v>
      </c>
      <c r="AL107" s="1" t="n">
        <v>3</v>
      </c>
      <c r="AP107" s="15" t="s">
        <v>1106</v>
      </c>
      <c r="AQ107" s="15" t="s">
        <v>1119</v>
      </c>
      <c r="AR107" s="62" t="n">
        <f aca="false">_xlfn.xlookup(I107,'Prix vente'!A:A,'Prix vente'!B:B,FALSE())</f>
        <v>20017</v>
      </c>
    </row>
    <row r="108" customFormat="false" ht="16.4" hidden="false" customHeight="false" outlineLevel="0" collapsed="false">
      <c r="A108" s="61" t="s">
        <v>1120</v>
      </c>
      <c r="B108" s="1" t="s">
        <v>889</v>
      </c>
      <c r="C108" s="199" t="n">
        <v>45600</v>
      </c>
      <c r="D108" s="9" t="n">
        <v>245</v>
      </c>
      <c r="E108" s="61" t="str">
        <f aca="false">_xlfn.xlookup(D108,'PO Client'!$A:$A,'PO Client'!$C:$C,FALSE())</f>
        <v>Étiquettes Luso-Flex</v>
      </c>
      <c r="F108" s="61"/>
      <c r="G108" s="61" t="str">
        <f aca="false">_xlfn.xlookup(D108,'PO Client'!$A:$A,'PO Client'!$F:$F,FALSE())</f>
        <v>440-2</v>
      </c>
      <c r="H108" s="205" t="str">
        <f aca="false">_xlfn.xlookup(D108,'PO Client'!A:A,'PO Client'!L:L,"")</f>
        <v>ASAP</v>
      </c>
      <c r="I108" s="9" t="n">
        <v>40136</v>
      </c>
      <c r="J108" s="9" t="n">
        <v>30026</v>
      </c>
      <c r="K108" s="62" t="str">
        <f aca="false">_xlfn.xlookup(I108,'Prix vente'!$A:$A,'Prix vente'!$H:$H,"")</f>
        <v>4 x 6</v>
      </c>
      <c r="L108" s="69" t="str">
        <f aca="false">_xlfn.xlookup(J108,'Prix MP'!A:A,'Prix MP'!F:F,FALSE())</f>
        <v>D11-2</v>
      </c>
      <c r="M108" s="69" t="str">
        <f aca="false">_xlfn.xlookup(J108,'Prix MP'!A:A,'Prix MP'!D:D,FALSE())</f>
        <v>Etsuhiro</v>
      </c>
      <c r="N108" s="61" t="str">
        <f aca="false">_xlfn.xlookup(I108,'Prix vente'!$A:$A,'Prix vente'!$J:$J,"")</f>
        <v>1000 /roll ; 4 roll / box</v>
      </c>
      <c r="O108" s="1" t="n">
        <v>17.125</v>
      </c>
      <c r="P108" s="1" t="n">
        <v>3</v>
      </c>
      <c r="Q108" s="1" t="n">
        <v>8.87</v>
      </c>
      <c r="R108" s="1" t="n">
        <v>1</v>
      </c>
      <c r="Y108" s="1" t="n">
        <v>17.125</v>
      </c>
      <c r="Z108" s="1" t="n">
        <v>17.125</v>
      </c>
      <c r="AA108" s="1" t="n">
        <v>17.125</v>
      </c>
      <c r="AB108" s="1" t="n">
        <v>8.87</v>
      </c>
      <c r="AI108" s="15" t="s">
        <v>890</v>
      </c>
      <c r="AJ108" s="1" t="n">
        <v>10000</v>
      </c>
      <c r="AK108" s="15" t="s">
        <v>891</v>
      </c>
      <c r="AQ108" s="15" t="s">
        <v>1121</v>
      </c>
      <c r="AR108" s="62" t="n">
        <f aca="false">_xlfn.xlookup(I108,'Prix vente'!A:A,'Prix vente'!B:B,FALSE())</f>
        <v>20035</v>
      </c>
    </row>
    <row r="109" customFormat="false" ht="16.4" hidden="false" customHeight="false" outlineLevel="0" collapsed="false">
      <c r="A109" s="61" t="s">
        <v>1122</v>
      </c>
      <c r="B109" s="1" t="s">
        <v>889</v>
      </c>
      <c r="C109" s="199" t="n">
        <v>45601</v>
      </c>
      <c r="D109" s="9" t="n">
        <v>246</v>
      </c>
      <c r="E109" s="61" t="str">
        <f aca="false">_xlfn.xlookup(D109,'PO Client'!$A:$A,'PO Client'!$C:$C,FALSE())</f>
        <v>Étiquettes Luso-Flex</v>
      </c>
      <c r="F109" s="61"/>
      <c r="G109" s="61" t="n">
        <f aca="false">_xlfn.xlookup(D109,'PO Client'!$A:$A,'PO Client'!$F:$F,FALSE())</f>
        <v>1942</v>
      </c>
      <c r="H109" s="205" t="n">
        <f aca="false">_xlfn.xlookup(D109,'PO Client'!A:A,'PO Client'!L:L,"")</f>
        <v>45607</v>
      </c>
      <c r="I109" s="9" t="n">
        <v>40156</v>
      </c>
      <c r="J109" s="9" t="n">
        <v>30026</v>
      </c>
      <c r="K109" s="62" t="str">
        <f aca="false">_xlfn.xlookup(I109,'Prix vente'!$A:$A,'Prix vente'!$H:$H,"")</f>
        <v>D21</v>
      </c>
      <c r="L109" s="69" t="str">
        <f aca="false">_xlfn.xlookup(J109,'Prix MP'!A:A,'Prix MP'!F:F,FALSE())</f>
        <v>D11-2</v>
      </c>
      <c r="M109" s="69" t="str">
        <f aca="false">_xlfn.xlookup(J109,'Prix MP'!A:A,'Prix MP'!D:D,FALSE())</f>
        <v>Etsuhiro</v>
      </c>
      <c r="N109" s="61" t="str">
        <f aca="false">_xlfn.xlookup(I109,'Prix vente'!$A:$A,'Prix vente'!$J:$J,"")</f>
        <v>TC DT - Hotmelt Adhesive</v>
      </c>
      <c r="O109" s="1" t="n">
        <v>8.6</v>
      </c>
      <c r="P109" s="1" t="n">
        <v>7</v>
      </c>
      <c r="Y109" s="1" t="n">
        <v>8.6</v>
      </c>
      <c r="Z109" s="1" t="n">
        <v>8.6</v>
      </c>
      <c r="AA109" s="1" t="n">
        <v>8.6</v>
      </c>
      <c r="AB109" s="1" t="n">
        <v>8.6</v>
      </c>
      <c r="AC109" s="1" t="n">
        <v>8.6</v>
      </c>
      <c r="AD109" s="1" t="n">
        <v>8.6</v>
      </c>
      <c r="AE109" s="1" t="n">
        <v>8.6</v>
      </c>
      <c r="AI109" s="15" t="s">
        <v>890</v>
      </c>
      <c r="AJ109" s="15" t="n">
        <f aca="false">_xlfn.xlookup(I109,'Prix vente'!$A:$A,'Prix vente'!$Q:$Q,"")</f>
        <v>10000</v>
      </c>
      <c r="AK109" s="15" t="str">
        <f aca="false">IF(_xlfn.xlookup(I109,'Prix vente'!$A:$A,'Prix vente'!$O:$O,"")="msi","pi","m")</f>
        <v>pi</v>
      </c>
      <c r="AL109" s="1" t="n">
        <v>1</v>
      </c>
      <c r="AM109" s="1" t="n">
        <v>7</v>
      </c>
      <c r="AO109" s="1" t="n">
        <v>70000</v>
      </c>
      <c r="AP109" s="1" t="n">
        <v>10036</v>
      </c>
      <c r="AQ109" s="15" t="s">
        <v>1123</v>
      </c>
      <c r="AR109" s="62" t="n">
        <f aca="false">_xlfn.xlookup(I109,'Prix vente'!A:A,'Prix vente'!B:B,FALSE())</f>
        <v>20025</v>
      </c>
    </row>
    <row r="110" customFormat="false" ht="16.4" hidden="false" customHeight="false" outlineLevel="0" collapsed="false">
      <c r="A110" s="61" t="s">
        <v>1124</v>
      </c>
      <c r="B110" s="1" t="s">
        <v>889</v>
      </c>
      <c r="C110" s="199" t="n">
        <v>45601</v>
      </c>
      <c r="D110" s="9" t="n">
        <v>247</v>
      </c>
      <c r="E110" s="61" t="str">
        <f aca="false">_xlfn.xlookup(D110,'PO Client'!$A:$A,'PO Client'!$C:$C,FALSE())</f>
        <v>Étiquettes Luso-Flex</v>
      </c>
      <c r="F110" s="61"/>
      <c r="G110" s="61" t="n">
        <f aca="false">_xlfn.xlookup(D110,'PO Client'!$A:$A,'PO Client'!$F:$F,FALSE())</f>
        <v>1944</v>
      </c>
      <c r="H110" s="205" t="n">
        <f aca="false">_xlfn.xlookup(D110,'PO Client'!A:A,'PO Client'!L:L,"")</f>
        <v>45607</v>
      </c>
      <c r="I110" s="9" t="n">
        <v>40157</v>
      </c>
      <c r="J110" s="9" t="n">
        <v>30026</v>
      </c>
      <c r="K110" s="62" t="str">
        <f aca="false">_xlfn.xlookup(I110,'Prix vente'!$A:$A,'Prix vente'!$H:$H,"")</f>
        <v>D21</v>
      </c>
      <c r="L110" s="69" t="str">
        <f aca="false">_xlfn.xlookup(J110,'Prix MP'!A:A,'Prix MP'!F:F,FALSE())</f>
        <v>D11-2</v>
      </c>
      <c r="M110" s="69" t="str">
        <f aca="false">_xlfn.xlookup(J110,'Prix MP'!A:A,'Prix MP'!D:D,FALSE())</f>
        <v>Etsuhiro</v>
      </c>
      <c r="N110" s="61" t="str">
        <f aca="false">_xlfn.xlookup(I110,'Prix vente'!$A:$A,'Prix vente'!$J:$J,"")</f>
        <v>TC DT - Hotmelt Adhesive</v>
      </c>
      <c r="O110" s="1" t="n">
        <v>4.5</v>
      </c>
      <c r="P110" s="1" t="n">
        <v>4</v>
      </c>
      <c r="Q110" s="1" t="n">
        <v>8.625</v>
      </c>
      <c r="R110" s="1" t="n">
        <v>4</v>
      </c>
      <c r="S110" s="1" t="n">
        <v>7.5</v>
      </c>
      <c r="T110" s="1" t="n">
        <v>1</v>
      </c>
      <c r="AI110" s="15" t="s">
        <v>890</v>
      </c>
      <c r="AJ110" s="15" t="n">
        <f aca="false">_xlfn.xlookup(I110,'Prix vente'!$A:$A,'Prix vente'!$Q:$Q,"")</f>
        <v>5000</v>
      </c>
      <c r="AK110" s="15" t="str">
        <f aca="false">IF(_xlfn.xlookup(I110,'Prix vente'!$A:$A,'Prix vente'!$O:$O,"")="msi","pi","m")</f>
        <v>pi</v>
      </c>
      <c r="AL110" s="1" t="n">
        <v>1</v>
      </c>
      <c r="AM110" s="1" t="n">
        <v>9</v>
      </c>
      <c r="AO110" s="1" t="n">
        <v>45000</v>
      </c>
      <c r="AP110" s="1" t="n">
        <v>10036</v>
      </c>
      <c r="AQ110" s="15" t="s">
        <v>1125</v>
      </c>
      <c r="AR110" s="62" t="n">
        <f aca="false">_xlfn.xlookup(I110,'Prix vente'!A:A,'Prix vente'!B:B,FALSE())</f>
        <v>20025</v>
      </c>
    </row>
    <row r="111" customFormat="false" ht="16.4" hidden="false" customHeight="false" outlineLevel="0" collapsed="false">
      <c r="A111" s="61" t="s">
        <v>1126</v>
      </c>
      <c r="B111" s="214" t="s">
        <v>889</v>
      </c>
      <c r="C111" s="199" t="n">
        <v>45618</v>
      </c>
      <c r="D111" s="9" t="n">
        <v>248</v>
      </c>
      <c r="E111" s="61" t="str">
        <f aca="false">_xlfn.xlookup(D111,'PO Client'!$A:$A,'PO Client'!$C:$C,FALSE())</f>
        <v>Imprimerie Bas St-Laurent</v>
      </c>
      <c r="F111" s="61"/>
      <c r="G111" s="61" t="str">
        <f aca="false">_xlfn.xlookup(D111,'PO Client'!$A:$A,'PO Client'!$F:$F,FALSE())</f>
        <v>Échantillon D11</v>
      </c>
      <c r="H111" s="205" t="n">
        <v>45621</v>
      </c>
      <c r="I111" s="9" t="n">
        <v>40160</v>
      </c>
      <c r="J111" s="9" t="n">
        <v>30026</v>
      </c>
      <c r="K111" s="62" t="str">
        <f aca="false">_xlfn.xlookup(I111,'Prix vente'!$A:$A,'Prix vente'!$H:$H,"")</f>
        <v>D11</v>
      </c>
      <c r="L111" s="69" t="str">
        <f aca="false">_xlfn.xlookup(J111,'Prix MP'!A:A,'Prix MP'!F:F,FALSE())</f>
        <v>D11-2</v>
      </c>
      <c r="M111" s="69" t="str">
        <f aca="false">_xlfn.xlookup(J111,'Prix MP'!A:A,'Prix MP'!D:D,FALSE())</f>
        <v>Etsuhiro</v>
      </c>
      <c r="N111" s="61" t="str">
        <f aca="false">_xlfn.xlookup(I111,'Prix vente'!$A:$A,'Prix vente'!$J:$J,"")</f>
        <v>TC DT - HM ADH</v>
      </c>
      <c r="O111" s="1" t="n">
        <v>7.128</v>
      </c>
      <c r="P111" s="1" t="n">
        <v>1</v>
      </c>
      <c r="Q111" s="15" t="n">
        <f aca="false">8.8-7.128</f>
        <v>1.672</v>
      </c>
      <c r="R111" s="1" t="n">
        <v>1</v>
      </c>
      <c r="Y111" s="1" t="n">
        <v>7.128</v>
      </c>
      <c r="Z111" s="15" t="n">
        <f aca="false">8.8-Y111</f>
        <v>1.672</v>
      </c>
      <c r="AI111" s="15" t="s">
        <v>890</v>
      </c>
      <c r="AJ111" s="1" t="n">
        <v>2500</v>
      </c>
      <c r="AK111" s="15" t="str">
        <f aca="false">IF(_xlfn.xlookup(I111,'Prix vente'!$A:$A,'Prix vente'!$O:$O,"")="msi","pi","m")</f>
        <v>pi</v>
      </c>
      <c r="AL111" s="1" t="n">
        <v>0</v>
      </c>
      <c r="AM111" s="1" t="n">
        <v>1</v>
      </c>
      <c r="AO111" s="1" t="n">
        <v>2500</v>
      </c>
      <c r="AP111" s="15" t="s">
        <v>1127</v>
      </c>
      <c r="AQ111" s="15" t="s">
        <v>1128</v>
      </c>
      <c r="AR111" s="62" t="n">
        <f aca="false">_xlfn.xlookup(I111,'Prix vente'!A:A,'Prix vente'!B:B,FALSE())</f>
        <v>20025</v>
      </c>
    </row>
    <row r="112" customFormat="false" ht="16.4" hidden="false" customHeight="false" outlineLevel="0" collapsed="false">
      <c r="A112" s="61" t="s">
        <v>1129</v>
      </c>
      <c r="B112" s="1" t="s">
        <v>889</v>
      </c>
      <c r="C112" s="199" t="n">
        <v>45601</v>
      </c>
      <c r="D112" s="9" t="n">
        <v>245</v>
      </c>
      <c r="E112" s="61" t="str">
        <f aca="false">_xlfn.xlookup(D112,'PO Client'!$A:$A,'PO Client'!$C:$C,FALSE())</f>
        <v>Étiquettes Luso-Flex</v>
      </c>
      <c r="F112" s="61"/>
      <c r="G112" s="61" t="str">
        <f aca="false">_xlfn.xlookup(D112,'PO Client'!$A:$A,'PO Client'!$F:$F,FALSE())</f>
        <v>440-2</v>
      </c>
      <c r="H112" s="205" t="str">
        <f aca="false">_xlfn.xlookup(D112,'PO Client'!A:A,'PO Client'!L:L,"")</f>
        <v>ASAP</v>
      </c>
      <c r="K112" s="62" t="e">
        <f aca="false">_xlfn.xlookup(I112,'Prix vente'!$A:$A,'Prix vente'!$H:$H,"")</f>
        <v>#NAME?</v>
      </c>
      <c r="L112" s="69" t="e">
        <f aca="false">_xlfn.xlookup(J112,'Prix MP'!A:A,'Prix MP'!F:F,FALSE())</f>
        <v>#NAME?</v>
      </c>
      <c r="M112" s="69" t="e">
        <f aca="false">_xlfn.xlookup(J112,'Prix MP'!A:A,'Prix MP'!D:D,FALSE())</f>
        <v>#NAME?</v>
      </c>
      <c r="N112" s="61" t="e">
        <f aca="false">_xlfn.xlookup(I112,'Prix vente'!$A:$A,'Prix vente'!$J:$J,"")</f>
        <v>#NAME?</v>
      </c>
      <c r="O112" s="15" t="s">
        <v>1130</v>
      </c>
      <c r="P112" s="1" t="n">
        <v>400</v>
      </c>
      <c r="AI112" s="15" t="s">
        <v>890</v>
      </c>
      <c r="AJ112" s="15" t="e">
        <f aca="false">_xlfn.xlookup(I112,'Prix vente'!$A:$A,'Prix vente'!$Q:$Q,"")</f>
        <v>#NAME?</v>
      </c>
      <c r="AK112" s="15" t="str">
        <f aca="false">IF(_xlfn.xlookup(I112,'Prix vente'!$A:$A,'Prix vente'!$O:$O,"")="msi","pi","m")</f>
        <v>m</v>
      </c>
      <c r="AM112" s="1" t="n">
        <v>384</v>
      </c>
      <c r="AP112" s="15" t="s">
        <v>1131</v>
      </c>
      <c r="AQ112" s="15" t="s">
        <v>1132</v>
      </c>
      <c r="AR112" s="62" t="e">
        <f aca="false">_xlfn.xlookup(I112,'Prix vente'!A:A,'Prix vente'!B:B,FALSE())</f>
        <v>#NAME?</v>
      </c>
    </row>
    <row r="113" customFormat="false" ht="16.4" hidden="false" customHeight="false" outlineLevel="0" collapsed="false">
      <c r="A113" s="61" t="s">
        <v>1133</v>
      </c>
      <c r="B113" s="1" t="s">
        <v>889</v>
      </c>
      <c r="C113" s="199" t="n">
        <v>45607</v>
      </c>
      <c r="E113" s="61" t="s">
        <v>199</v>
      </c>
      <c r="F113" s="61"/>
      <c r="G113" s="61" t="s">
        <v>1134</v>
      </c>
      <c r="H113" s="205" t="n">
        <v>45607</v>
      </c>
      <c r="I113" s="9" t="n">
        <v>40166</v>
      </c>
      <c r="J113" s="9" t="n">
        <v>30026</v>
      </c>
      <c r="K113" s="62" t="str">
        <f aca="false">_xlfn.xlookup(I113,'Prix vente'!$A:$A,'Prix vente'!$H:$H,"")</f>
        <v>D11</v>
      </c>
      <c r="L113" s="69" t="str">
        <f aca="false">_xlfn.xlookup(J113,'Prix MP'!A:A,'Prix MP'!F:F,FALSE())</f>
        <v>D11-2</v>
      </c>
      <c r="M113" s="69" t="str">
        <f aca="false">_xlfn.xlookup(J113,'Prix MP'!A:A,'Prix MP'!D:D,FALSE())</f>
        <v>Etsuhiro</v>
      </c>
      <c r="N113" s="61" t="str">
        <f aca="false">_xlfn.xlookup(I113,'Prix vente'!$A:$A,'Prix vente'!$J:$J,"")</f>
        <v>TC DT - Hotmelt Adhesive</v>
      </c>
      <c r="O113" s="1" t="n">
        <v>17.125</v>
      </c>
      <c r="P113" s="1" t="n">
        <v>3</v>
      </c>
      <c r="Q113" s="1" t="n">
        <v>8.8</v>
      </c>
      <c r="R113" s="1" t="n">
        <v>1</v>
      </c>
      <c r="Y113" s="1" t="n">
        <v>17.125</v>
      </c>
      <c r="Z113" s="1" t="n">
        <v>17.125</v>
      </c>
      <c r="AA113" s="1" t="n">
        <v>17.125</v>
      </c>
      <c r="AB113" s="1" t="n">
        <v>8.8</v>
      </c>
      <c r="AI113" s="15" t="s">
        <v>890</v>
      </c>
      <c r="AJ113" s="15" t="n">
        <f aca="false">_xlfn.xlookup(I113,'Prix vente'!$A:$A,'Prix vente'!$Q:$Q,"")</f>
        <v>10000</v>
      </c>
      <c r="AK113" s="15" t="str">
        <f aca="false">IF(_xlfn.xlookup(I113,'Prix vente'!$A:$A,'Prix vente'!$O:$O,"")="msi","pi","m")</f>
        <v>pi</v>
      </c>
      <c r="AL113" s="1" t="n">
        <v>1</v>
      </c>
      <c r="AM113" s="1" t="n">
        <v>3</v>
      </c>
      <c r="AO113" s="1" t="n">
        <v>30000</v>
      </c>
      <c r="AP113" s="15" t="s">
        <v>1135</v>
      </c>
      <c r="AQ113" s="15" t="s">
        <v>1136</v>
      </c>
      <c r="AR113" s="62" t="n">
        <f aca="false">_xlfn.xlookup(I113,'Prix vente'!A:A,'Prix vente'!B:B,FALSE())</f>
        <v>20025</v>
      </c>
    </row>
    <row r="114" customFormat="false" ht="16.4" hidden="false" customHeight="false" outlineLevel="0" collapsed="false">
      <c r="A114" s="61" t="s">
        <v>1137</v>
      </c>
      <c r="B114" s="1" t="s">
        <v>889</v>
      </c>
      <c r="C114" s="199" t="n">
        <v>45608</v>
      </c>
      <c r="E114" s="61" t="s">
        <v>199</v>
      </c>
      <c r="F114" s="61"/>
      <c r="G114" s="61" t="s">
        <v>1138</v>
      </c>
      <c r="H114" s="205" t="n">
        <v>45608</v>
      </c>
      <c r="I114" s="9" t="n">
        <v>40167</v>
      </c>
      <c r="J114" s="9" t="n">
        <v>30012</v>
      </c>
      <c r="K114" s="62" t="str">
        <f aca="false">_xlfn.xlookup(I114,'Prix vente'!$A:$A,'Prix vente'!$H:$H,"")</f>
        <v>D21</v>
      </c>
      <c r="L114" s="69" t="str">
        <f aca="false">_xlfn.xlookup(J114,'Prix MP'!A:A,'Prix MP'!F:F,FALSE())</f>
        <v>D21-1</v>
      </c>
      <c r="M114" s="69" t="str">
        <f aca="false">_xlfn.xlookup(J114,'Prix MP'!A:A,'Prix MP'!D:D,FALSE())</f>
        <v>AKO</v>
      </c>
      <c r="N114" s="61" t="str">
        <f aca="false">_xlfn.xlookup(I114,'Prix vente'!$A:$A,'Prix vente'!$J:$J,"")</f>
        <v>TC DT - Hotmelt Adhesive</v>
      </c>
      <c r="O114" s="1" t="n">
        <v>17.125</v>
      </c>
      <c r="P114" s="1" t="n">
        <v>3</v>
      </c>
      <c r="Q114" s="1" t="n">
        <v>8.8</v>
      </c>
      <c r="R114" s="1" t="n">
        <v>1</v>
      </c>
      <c r="Y114" s="1" t="n">
        <v>17.125</v>
      </c>
      <c r="Z114" s="1" t="n">
        <v>17.125</v>
      </c>
      <c r="AA114" s="1" t="n">
        <v>17.125</v>
      </c>
      <c r="AB114" s="1" t="n">
        <v>8.8</v>
      </c>
      <c r="AI114" s="15" t="s">
        <v>890</v>
      </c>
      <c r="AJ114" s="15" t="n">
        <f aca="false">_xlfn.xlookup(I114,'Prix vente'!$A:$A,'Prix vente'!$Q:$Q,"")</f>
        <v>10000</v>
      </c>
      <c r="AK114" s="15" t="str">
        <f aca="false">IF(_xlfn.xlookup(I114,'Prix vente'!$A:$A,'Prix vente'!$O:$O,"")="msi","pi","m")</f>
        <v>pi</v>
      </c>
      <c r="AL114" s="1" t="n">
        <v>1</v>
      </c>
      <c r="AM114" s="1" t="n">
        <v>3</v>
      </c>
      <c r="AO114" s="1" t="n">
        <v>30000</v>
      </c>
      <c r="AQ114" s="15" t="s">
        <v>1139</v>
      </c>
      <c r="AR114" s="62" t="n">
        <f aca="false">_xlfn.xlookup(I114,'Prix vente'!A:A,'Prix vente'!B:B,FALSE())</f>
        <v>20012</v>
      </c>
    </row>
    <row r="115" customFormat="false" ht="16.4" hidden="false" customHeight="false" outlineLevel="0" collapsed="false">
      <c r="A115" s="61" t="s">
        <v>1140</v>
      </c>
      <c r="B115" s="1" t="s">
        <v>889</v>
      </c>
      <c r="C115" s="199" t="n">
        <v>45608</v>
      </c>
      <c r="D115" s="9" t="n">
        <v>252</v>
      </c>
      <c r="E115" s="61" t="str">
        <f aca="false">_xlfn.xlookup(D115,'PO Client'!$A:$A,'PO Client'!$C:$C,FALSE())</f>
        <v>Étiquettes Multi-Flex</v>
      </c>
      <c r="F115" s="61"/>
      <c r="G115" s="61" t="str">
        <f aca="false">_xlfn.xlookup(D115,'PO Client'!$A:$A,'PO Client'!$F:$F,FALSE())</f>
        <v>Échantillon D11</v>
      </c>
      <c r="H115" s="205" t="n">
        <f aca="false">_xlfn.xlookup(D115,'PO Client'!A:A,'PO Client'!L:L,"")</f>
        <v>45608</v>
      </c>
      <c r="I115" s="9" t="n">
        <v>40168</v>
      </c>
      <c r="J115" s="9" t="n">
        <v>30025</v>
      </c>
      <c r="K115" s="62" t="str">
        <f aca="false">_xlfn.xlookup(I115,'Prix vente'!$A:$A,'Prix vente'!$H:$H,"")</f>
        <v>D11</v>
      </c>
      <c r="L115" s="69" t="str">
        <f aca="false">_xlfn.xlookup(J115,'Prix MP'!A:A,'Prix MP'!F:F,FALSE())</f>
        <v>D11-1</v>
      </c>
      <c r="M115" s="69" t="str">
        <f aca="false">_xlfn.xlookup(J115,'Prix MP'!A:A,'Prix MP'!D:D,FALSE())</f>
        <v>AKO</v>
      </c>
      <c r="N115" s="61" t="str">
        <f aca="false">_xlfn.xlookup(I115,'Prix vente'!$A:$A,'Prix vente'!$J:$J,"")</f>
        <v>TC DT - Hotmelt Adhesive</v>
      </c>
      <c r="O115" s="1" t="n">
        <v>9.875</v>
      </c>
      <c r="P115" s="1" t="n">
        <v>1</v>
      </c>
      <c r="Q115" s="15" t="n">
        <f aca="false">12.75-9.875</f>
        <v>2.875</v>
      </c>
      <c r="R115" s="1" t="n">
        <v>1</v>
      </c>
      <c r="Y115" s="1" t="n">
        <v>9.987</v>
      </c>
      <c r="Z115" s="15" t="n">
        <f aca="false">12.75-Y115</f>
        <v>2.763</v>
      </c>
      <c r="AI115" s="15" t="s">
        <v>890</v>
      </c>
      <c r="AJ115" s="15" t="n">
        <f aca="false">_xlfn.xlookup(I115,'Prix vente'!$A:$A,'Prix vente'!$Q:$Q,"")</f>
        <v>2500</v>
      </c>
      <c r="AK115" s="15" t="str">
        <f aca="false">IF(_xlfn.xlookup(I115,'Prix vente'!$A:$A,'Prix vente'!$O:$O,"")="msi","pi","m")</f>
        <v>pi</v>
      </c>
      <c r="AM115" s="1" t="n">
        <v>1</v>
      </c>
      <c r="AO115" s="1" t="n">
        <v>2500</v>
      </c>
      <c r="AP115" s="15" t="s">
        <v>1141</v>
      </c>
      <c r="AQ115" s="15" t="s">
        <v>1142</v>
      </c>
      <c r="AR115" s="62" t="n">
        <f aca="false">_xlfn.xlookup(I115,'Prix vente'!A:A,'Prix vente'!B:B,FALSE())</f>
        <v>20013</v>
      </c>
    </row>
    <row r="116" customFormat="false" ht="16.4" hidden="false" customHeight="false" outlineLevel="0" collapsed="false">
      <c r="A116" s="61" t="s">
        <v>1143</v>
      </c>
      <c r="B116" s="1" t="s">
        <v>889</v>
      </c>
      <c r="C116" s="199" t="n">
        <v>45608</v>
      </c>
      <c r="D116" s="9" t="n">
        <v>251</v>
      </c>
      <c r="E116" s="61" t="str">
        <f aca="false">_xlfn.xlookup(D116,'PO Client'!$A:$A,'PO Client'!$C:$C,FALSE())</f>
        <v>Digi America Inc.</v>
      </c>
      <c r="F116" s="61"/>
      <c r="G116" s="61" t="n">
        <f aca="false">_xlfn.xlookup(D116,'PO Client'!$A:$A,'PO Client'!$F:$F,FALSE())</f>
        <v>50008821</v>
      </c>
      <c r="H116" s="205" t="n">
        <f aca="false">_xlfn.xlookup(D116,'PO Client'!A:A,'PO Client'!L:L,"")</f>
        <v>45616</v>
      </c>
      <c r="I116" s="9" t="n">
        <v>40103</v>
      </c>
      <c r="J116" s="9" t="n">
        <v>30019</v>
      </c>
      <c r="K116" s="62" t="str">
        <f aca="false">_xlfn.xlookup(I116,'Prix vente'!$A:$A,'Prix vente'!$H:$H,"")</f>
        <v>D16</v>
      </c>
      <c r="L116" s="69" t="str">
        <f aca="false">_xlfn.xlookup(J116,'Prix MP'!A:A,'Prix MP'!F:F,FALSE())</f>
        <v>D16-1</v>
      </c>
      <c r="M116" s="69" t="str">
        <f aca="false">_xlfn.xlookup(J116,'Prix MP'!A:A,'Prix MP'!D:D,FALSE())</f>
        <v>AKO</v>
      </c>
      <c r="N116" s="61" t="str">
        <f aca="false">_xlfn.xlookup(I116,'Prix vente'!$A:$A,'Prix vente'!$J:$J,"")</f>
        <v>TC DT - Acrylic Adhesive</v>
      </c>
      <c r="O116" s="1" t="n">
        <v>10</v>
      </c>
      <c r="P116" s="15" t="n">
        <f aca="false">5*7</f>
        <v>35</v>
      </c>
      <c r="Q116" s="1" t="n">
        <v>9.5</v>
      </c>
      <c r="R116" s="1" t="n">
        <v>7</v>
      </c>
      <c r="Y116" s="1" t="n">
        <v>10</v>
      </c>
      <c r="Z116" s="1" t="n">
        <v>10</v>
      </c>
      <c r="AA116" s="1" t="n">
        <v>10</v>
      </c>
      <c r="AB116" s="1" t="n">
        <v>10</v>
      </c>
      <c r="AC116" s="1" t="n">
        <v>10</v>
      </c>
      <c r="AD116" s="1" t="n">
        <v>9.5</v>
      </c>
      <c r="AI116" s="15" t="s">
        <v>890</v>
      </c>
      <c r="AJ116" s="15" t="n">
        <f aca="false">_xlfn.xlookup(I116,'Prix vente'!$A:$A,'Prix vente'!$Q:$Q,"")</f>
        <v>5000</v>
      </c>
      <c r="AK116" s="15" t="str">
        <f aca="false">IF(_xlfn.xlookup(I116,'Prix vente'!$A:$A,'Prix vente'!$O:$O,"")="msi","pi","m")</f>
        <v>pi</v>
      </c>
      <c r="AL116" s="1" t="n">
        <v>7</v>
      </c>
      <c r="AM116" s="1" t="n">
        <v>35</v>
      </c>
      <c r="AO116" s="15" t="n">
        <f aca="false">35*5000</f>
        <v>175000</v>
      </c>
      <c r="AP116" s="1" t="n">
        <v>10033</v>
      </c>
      <c r="AQ116" s="15" t="s">
        <v>1144</v>
      </c>
      <c r="AR116" s="62" t="n">
        <f aca="false">_xlfn.xlookup(I116,'Prix vente'!A:A,'Prix vente'!B:B,FALSE())</f>
        <v>20018</v>
      </c>
    </row>
    <row r="117" customFormat="false" ht="16.4" hidden="false" customHeight="false" outlineLevel="0" collapsed="false">
      <c r="A117" s="61" t="s">
        <v>1145</v>
      </c>
      <c r="B117" s="1" t="s">
        <v>889</v>
      </c>
      <c r="C117" s="199" t="n">
        <v>45608</v>
      </c>
      <c r="D117" s="9" t="n">
        <v>251</v>
      </c>
      <c r="E117" s="61" t="str">
        <f aca="false">_xlfn.xlookup(D117,'PO Client'!$A:$A,'PO Client'!$C:$C,FALSE())</f>
        <v>Digi America Inc.</v>
      </c>
      <c r="F117" s="61"/>
      <c r="G117" s="61" t="n">
        <f aca="false">_xlfn.xlookup(D117,'PO Client'!$A:$A,'PO Client'!$F:$F,FALSE())</f>
        <v>50008821</v>
      </c>
      <c r="H117" s="205" t="n">
        <f aca="false">_xlfn.xlookup(D117,'PO Client'!A:A,'PO Client'!L:L,"")</f>
        <v>45616</v>
      </c>
      <c r="I117" s="9" t="n">
        <v>40103</v>
      </c>
      <c r="J117" s="9" t="n">
        <v>30019</v>
      </c>
      <c r="K117" s="62" t="str">
        <f aca="false">_xlfn.xlookup(I117,'Prix vente'!$A:$A,'Prix vente'!$H:$H,"")</f>
        <v>D16</v>
      </c>
      <c r="L117" s="69" t="str">
        <f aca="false">_xlfn.xlookup(J117,'Prix MP'!A:A,'Prix MP'!F:F,FALSE())</f>
        <v>D16-1</v>
      </c>
      <c r="M117" s="69" t="str">
        <f aca="false">_xlfn.xlookup(J117,'Prix MP'!A:A,'Prix MP'!D:D,FALSE())</f>
        <v>AKO</v>
      </c>
      <c r="N117" s="61" t="str">
        <f aca="false">_xlfn.xlookup(I117,'Prix vente'!$A:$A,'Prix vente'!$J:$J,"")</f>
        <v>TC DT - Acrylic Adhesive</v>
      </c>
      <c r="O117" s="1" t="n">
        <v>10</v>
      </c>
      <c r="P117" s="1" t="n">
        <v>36</v>
      </c>
      <c r="Y117" s="1" t="n">
        <v>10</v>
      </c>
      <c r="Z117" s="1" t="n">
        <v>10</v>
      </c>
      <c r="AA117" s="1" t="n">
        <v>10</v>
      </c>
      <c r="AB117" s="1" t="n">
        <v>10</v>
      </c>
      <c r="AC117" s="1" t="n">
        <v>10</v>
      </c>
      <c r="AD117" s="1" t="n">
        <v>10</v>
      </c>
      <c r="AI117" s="15" t="s">
        <v>890</v>
      </c>
      <c r="AJ117" s="15" t="n">
        <f aca="false">_xlfn.xlookup(I117,'Prix vente'!$A:$A,'Prix vente'!$Q:$Q,"")</f>
        <v>5000</v>
      </c>
      <c r="AK117" s="15" t="str">
        <f aca="false">IF(_xlfn.xlookup(I117,'Prix vente'!$A:$A,'Prix vente'!$O:$O,"")="msi","pi","m")</f>
        <v>pi</v>
      </c>
      <c r="AL117" s="1" t="n">
        <v>6</v>
      </c>
      <c r="AM117" s="1" t="n">
        <v>36</v>
      </c>
      <c r="AO117" s="15" t="n">
        <f aca="false">36*5000</f>
        <v>180000</v>
      </c>
      <c r="AP117" s="1" t="n">
        <v>10034</v>
      </c>
      <c r="AQ117" s="15" t="s">
        <v>1146</v>
      </c>
      <c r="AR117" s="62" t="n">
        <f aca="false">_xlfn.xlookup(I117,'Prix vente'!A:A,'Prix vente'!B:B,FALSE())</f>
        <v>20018</v>
      </c>
    </row>
    <row r="118" customFormat="false" ht="16.5" hidden="false" customHeight="true" outlineLevel="0" collapsed="false">
      <c r="A118" s="61" t="s">
        <v>1147</v>
      </c>
      <c r="B118" s="1" t="s">
        <v>889</v>
      </c>
      <c r="C118" s="199" t="n">
        <v>45608</v>
      </c>
      <c r="D118" s="9" t="n">
        <v>253</v>
      </c>
      <c r="E118" s="61" t="str">
        <f aca="false">_xlfn.xlookup(D118,'PO Client'!$A:$A,'PO Client'!$C:$C,FALSE())</f>
        <v>Digi America Inc.</v>
      </c>
      <c r="F118" s="61"/>
      <c r="G118" s="61" t="n">
        <f aca="false">_xlfn.xlookup(D118,'PO Client'!$A:$A,'PO Client'!$F:$F,FALSE())</f>
        <v>50008822</v>
      </c>
      <c r="H118" s="205" t="n">
        <f aca="false">_xlfn.xlookup(D118,'PO Client'!A:A,'PO Client'!L:L,"")</f>
        <v>45616</v>
      </c>
      <c r="I118" s="9" t="n">
        <v>40169</v>
      </c>
      <c r="J118" s="9" t="n">
        <v>30025</v>
      </c>
      <c r="K118" s="62" t="str">
        <f aca="false">_xlfn.xlookup(I118,'Prix vente'!$A:$A,'Prix vente'!$H:$H,"")</f>
        <v>D16</v>
      </c>
      <c r="L118" s="69" t="str">
        <f aca="false">_xlfn.xlookup(J118,'Prix MP'!A:A,'Prix MP'!F:F,FALSE())</f>
        <v>D11-1</v>
      </c>
      <c r="M118" s="69" t="str">
        <f aca="false">_xlfn.xlookup(J118,'Prix MP'!A:A,'Prix MP'!D:D,FALSE())</f>
        <v>AKO</v>
      </c>
      <c r="N118" s="61" t="str">
        <f aca="false">_xlfn.xlookup(I118,'Prix vente'!$A:$A,'Prix vente'!$J:$J,"")</f>
        <v>TC DT - Acrylic Adhesive</v>
      </c>
      <c r="O118" s="1" t="n">
        <v>5.875</v>
      </c>
      <c r="P118" s="1" t="n">
        <v>24</v>
      </c>
      <c r="Q118" s="1" t="n">
        <v>6.875</v>
      </c>
      <c r="R118" s="1" t="n">
        <v>23</v>
      </c>
      <c r="AI118" s="15" t="s">
        <v>890</v>
      </c>
      <c r="AJ118" s="15" t="n">
        <f aca="false">_xlfn.xlookup(I118,'Prix vente'!$A:$A,'Prix vente'!$Q:$Q,"")</f>
        <v>5000</v>
      </c>
      <c r="AK118" s="15" t="str">
        <f aca="false">IF(_xlfn.xlookup(I118,'Prix vente'!$A:$A,'Prix vente'!$O:$O,"")="msi","pi","m")</f>
        <v>pi</v>
      </c>
      <c r="AL118" s="1" t="n">
        <v>5</v>
      </c>
      <c r="AM118" s="1" t="n">
        <v>47</v>
      </c>
      <c r="AO118" s="15" t="n">
        <f aca="false">47*5000</f>
        <v>235000</v>
      </c>
      <c r="AP118" s="1" t="n">
        <v>10034</v>
      </c>
      <c r="AQ118" s="82" t="s">
        <v>1148</v>
      </c>
      <c r="AR118" s="62" t="n">
        <f aca="false">_xlfn.xlookup(I118,'Prix vente'!A:A,'Prix vente'!B:B,FALSE())</f>
        <v>20018</v>
      </c>
    </row>
    <row r="119" customFormat="false" ht="16.4" hidden="false" customHeight="false" outlineLevel="0" collapsed="false">
      <c r="A119" s="61" t="s">
        <v>1149</v>
      </c>
      <c r="B119" s="1" t="s">
        <v>889</v>
      </c>
      <c r="C119" s="199" t="n">
        <v>45610</v>
      </c>
      <c r="D119" s="9" t="n">
        <v>254</v>
      </c>
      <c r="E119" s="61" t="str">
        <f aca="false">_xlfn.xlookup(D119,'PO Client'!$A:$A,'PO Client'!$C:$C,FALSE())</f>
        <v>Emballages Mijo</v>
      </c>
      <c r="F119" s="61"/>
      <c r="G119" s="61" t="n">
        <f aca="false">_xlfn.xlookup(D119,'PO Client'!$A:$A,'PO Client'!$F:$F,FALSE())</f>
        <v>14287</v>
      </c>
      <c r="H119" s="205" t="n">
        <f aca="false">_xlfn.xlookup(D119,'PO Client'!A:A,'PO Client'!L:L,"")</f>
        <v>45614</v>
      </c>
      <c r="I119" s="9" t="n">
        <v>40171</v>
      </c>
      <c r="J119" s="9" t="n">
        <v>30015</v>
      </c>
      <c r="K119" s="62" t="str">
        <f aca="false">_xlfn.xlookup(I119,'Prix vente'!$A:$A,'Prix vente'!$H:$H,"")</f>
        <v>S15</v>
      </c>
      <c r="L119" s="69" t="str">
        <f aca="false">_xlfn.xlookup(J119,'Prix MP'!A:A,'Prix MP'!F:F,FALSE())</f>
        <v>S15-3</v>
      </c>
      <c r="M119" s="69" t="str">
        <f aca="false">_xlfn.xlookup(J119,'Prix MP'!A:A,'Prix MP'!D:D,FALSE())</f>
        <v>Jinda</v>
      </c>
      <c r="N119" s="61" t="str">
        <f aca="false">_xlfn.xlookup(I119,'Prix vente'!$A:$A,'Prix vente'!$J:$J,"")</f>
        <v>SG - Acrylic Adhesive</v>
      </c>
      <c r="O119" s="1" t="n">
        <v>10</v>
      </c>
      <c r="P119" s="1" t="n">
        <v>6</v>
      </c>
      <c r="Y119" s="1" t="n">
        <v>10</v>
      </c>
      <c r="Z119" s="1" t="n">
        <v>10</v>
      </c>
      <c r="AA119" s="1" t="n">
        <v>10</v>
      </c>
      <c r="AB119" s="1" t="n">
        <v>10</v>
      </c>
      <c r="AC119" s="1" t="n">
        <v>10</v>
      </c>
      <c r="AD119" s="1" t="n">
        <v>10</v>
      </c>
      <c r="AI119" s="15" t="s">
        <v>890</v>
      </c>
      <c r="AJ119" s="15" t="n">
        <f aca="false">_xlfn.xlookup(I119,'Prix vente'!$A:$A,'Prix vente'!$Q:$Q,"")</f>
        <v>10000</v>
      </c>
      <c r="AK119" s="15" t="str">
        <f aca="false">IF(_xlfn.xlookup(I119,'Prix vente'!$A:$A,'Prix vente'!$O:$O,"")="msi","pi","m")</f>
        <v>pi</v>
      </c>
      <c r="AL119" s="1" t="n">
        <v>1</v>
      </c>
      <c r="AM119" s="1" t="n">
        <v>6</v>
      </c>
      <c r="AO119" s="15" t="n">
        <f aca="false">6*10000</f>
        <v>60000</v>
      </c>
      <c r="AQ119" s="15" t="n">
        <f aca="false">_xlfn.xlookup(E119,Clients!B:B,Clients!V:V)</f>
        <v>0</v>
      </c>
      <c r="AR119" s="62" t="n">
        <f aca="false">_xlfn.xlookup(I119,'Prix vente'!A:A,'Prix vente'!B:B,FALSE())</f>
        <v>20015</v>
      </c>
    </row>
    <row r="120" customFormat="false" ht="16.4" hidden="false" customHeight="false" outlineLevel="0" collapsed="false">
      <c r="A120" s="61" t="s">
        <v>1150</v>
      </c>
      <c r="B120" s="1" t="s">
        <v>889</v>
      </c>
      <c r="C120" s="199" t="n">
        <v>45614</v>
      </c>
      <c r="D120" s="9" t="n">
        <v>255</v>
      </c>
      <c r="E120" s="61" t="str">
        <f aca="false">_xlfn.xlookup(D120,'PO Client'!$A:$A,'PO Client'!$C:$C,FALSE())</f>
        <v>Étiquettes iFlex Inc.</v>
      </c>
      <c r="F120" s="61"/>
      <c r="G120" s="61" t="n">
        <f aca="false">_xlfn.xlookup(D120,'PO Client'!$A:$A,'PO Client'!$F:$F,FALSE())</f>
        <v>1003018</v>
      </c>
      <c r="H120" s="205" t="n">
        <f aca="false">_xlfn.xlookup(D120,'PO Client'!A:A,'PO Client'!L:L,"")</f>
        <v>45616</v>
      </c>
      <c r="I120" s="9" t="n">
        <v>40172</v>
      </c>
      <c r="J120" s="9" t="n">
        <v>30011</v>
      </c>
      <c r="K120" s="62" t="str">
        <f aca="false">_xlfn.xlookup(I120,'Prix vente'!$A:$A,'Prix vente'!$H:$H,"")</f>
        <v>S21</v>
      </c>
      <c r="L120" s="69" t="str">
        <f aca="false">_xlfn.xlookup(J120,'Prix MP'!A:A,'Prix MP'!F:F,FALSE())</f>
        <v>S21-1</v>
      </c>
      <c r="M120" s="69" t="str">
        <f aca="false">_xlfn.xlookup(J120,'Prix MP'!A:A,'Prix MP'!D:D,FALSE())</f>
        <v>AKO</v>
      </c>
      <c r="N120" s="61" t="str">
        <f aca="false">_xlfn.xlookup(I120,'Prix vente'!$A:$A,'Prix vente'!$J:$J,"")</f>
        <v>SG - Hotmelt Adhesive</v>
      </c>
      <c r="O120" s="1" t="n">
        <v>13</v>
      </c>
      <c r="P120" s="1" t="n">
        <v>2</v>
      </c>
      <c r="Q120" s="1" t="n">
        <v>5.625</v>
      </c>
      <c r="R120" s="1" t="n">
        <v>6</v>
      </c>
      <c r="S120" s="1" t="n">
        <v>0.5</v>
      </c>
      <c r="T120" s="1" t="n">
        <v>1</v>
      </c>
      <c r="Y120" s="1" t="n">
        <v>13</v>
      </c>
      <c r="Z120" s="1" t="n">
        <v>13</v>
      </c>
      <c r="AA120" s="1" t="n">
        <v>5.625</v>
      </c>
      <c r="AB120" s="1" t="n">
        <v>5.625</v>
      </c>
      <c r="AC120" s="1" t="n">
        <v>5.625</v>
      </c>
      <c r="AD120" s="1" t="n">
        <v>5.625</v>
      </c>
      <c r="AE120" s="1" t="n">
        <v>5.625</v>
      </c>
      <c r="AF120" s="1" t="n">
        <v>5.625</v>
      </c>
      <c r="AI120" s="15" t="s">
        <v>890</v>
      </c>
      <c r="AJ120" s="15" t="n">
        <f aca="false">_xlfn.xlookup(I120,'Prix vente'!$A:$A,'Prix vente'!$Q:$Q,"")</f>
        <v>5000</v>
      </c>
      <c r="AK120" s="15" t="str">
        <f aca="false">IF(_xlfn.xlookup(I120,'Prix vente'!$A:$A,'Prix vente'!$O:$O,"")="msi","pi","m")</f>
        <v>pi</v>
      </c>
      <c r="AL120" s="1" t="n">
        <v>1</v>
      </c>
      <c r="AM120" s="1" t="n">
        <v>8</v>
      </c>
      <c r="AO120" s="15" t="n">
        <f aca="false">8*5000</f>
        <v>40000</v>
      </c>
      <c r="AP120" s="15" t="s">
        <v>504</v>
      </c>
      <c r="AQ120" s="15" t="s">
        <v>1151</v>
      </c>
      <c r="AR120" s="62" t="n">
        <f aca="false">_xlfn.xlookup(I120,'Prix vente'!A:A,'Prix vente'!B:B,FALSE())</f>
        <v>20011</v>
      </c>
    </row>
    <row r="121" customFormat="false" ht="15.75" hidden="false" customHeight="true" outlineLevel="0" collapsed="false">
      <c r="A121" s="61" t="s">
        <v>1152</v>
      </c>
      <c r="B121" s="1" t="s">
        <v>889</v>
      </c>
      <c r="C121" s="199" t="n">
        <v>45614</v>
      </c>
      <c r="D121" s="9" t="n">
        <v>256</v>
      </c>
      <c r="E121" s="61" t="str">
        <f aca="false">_xlfn.xlookup(D121,'PO Client'!$A:$A,'PO Client'!$C:$C,FALSE())</f>
        <v>Imprimerie Ste-Julie</v>
      </c>
      <c r="F121" s="61"/>
      <c r="G121" s="61" t="n">
        <f aca="false">_xlfn.xlookup(D121,'PO Client'!$A:$A,'PO Client'!$F:$F,FALSE())</f>
        <v>105646</v>
      </c>
      <c r="H121" s="205" t="n">
        <f aca="false">_xlfn.xlookup(D121,'PO Client'!A:A,'PO Client'!L:L,"")</f>
        <v>45621</v>
      </c>
      <c r="I121" s="9" t="n">
        <v>40048</v>
      </c>
      <c r="J121" s="9" t="n">
        <v>30011</v>
      </c>
      <c r="K121" s="62" t="str">
        <f aca="false">_xlfn.xlookup(I121,'Prix vente'!$A:$A,'Prix vente'!$H:$H,"")</f>
        <v>S21</v>
      </c>
      <c r="L121" s="69" t="str">
        <f aca="false">_xlfn.xlookup(J121,'Prix MP'!A:A,'Prix MP'!F:F,FALSE())</f>
        <v>S21-1</v>
      </c>
      <c r="M121" s="69" t="str">
        <f aca="false">_xlfn.xlookup(J121,'Prix MP'!A:A,'Prix MP'!D:D,FALSE())</f>
        <v>AKO</v>
      </c>
      <c r="N121" s="61" t="str">
        <f aca="false">_xlfn.xlookup(I121,'Prix vente'!$A:$A,'Prix vente'!$J:$J,"")</f>
        <v>SG - Hotmelt Adhesive</v>
      </c>
      <c r="O121" s="1" t="n">
        <v>12</v>
      </c>
      <c r="P121" s="1" t="n">
        <v>10</v>
      </c>
      <c r="Y121" s="1" t="n">
        <v>12</v>
      </c>
      <c r="Z121" s="1" t="n">
        <v>12</v>
      </c>
      <c r="AA121" s="1" t="n">
        <v>12</v>
      </c>
      <c r="AB121" s="1" t="n">
        <v>12</v>
      </c>
      <c r="AC121" s="1" t="n">
        <v>12</v>
      </c>
      <c r="AI121" s="15" t="s">
        <v>890</v>
      </c>
      <c r="AJ121" s="15" t="s">
        <v>1153</v>
      </c>
      <c r="AK121" s="15" t="str">
        <f aca="false">IF(_xlfn.xlookup(I121,'Prix vente'!$A:$A,'Prix vente'!$O:$O,"")="msi","pi","m")</f>
        <v>pi</v>
      </c>
      <c r="AL121" s="1" t="n">
        <v>2</v>
      </c>
      <c r="AM121" s="1" t="n">
        <v>10</v>
      </c>
      <c r="AO121" s="1" t="n">
        <v>75000</v>
      </c>
      <c r="AP121" s="15" t="s">
        <v>504</v>
      </c>
      <c r="AQ121" s="82" t="s">
        <v>1154</v>
      </c>
      <c r="AR121" s="62" t="n">
        <f aca="false">_xlfn.xlookup(I121,'Prix vente'!A:A,'Prix vente'!B:B,FALSE())</f>
        <v>20011</v>
      </c>
    </row>
    <row r="122" customFormat="false" ht="16.4" hidden="false" customHeight="false" outlineLevel="0" collapsed="false">
      <c r="A122" s="61" t="s">
        <v>1155</v>
      </c>
      <c r="B122" s="1" t="s">
        <v>889</v>
      </c>
      <c r="C122" s="199" t="n">
        <v>45614</v>
      </c>
      <c r="D122" s="9" t="n">
        <v>257</v>
      </c>
      <c r="E122" s="61" t="str">
        <f aca="false">_xlfn.xlookup(D122,'PO Client'!$A:$A,'PO Client'!$C:$C,FALSE())</f>
        <v>Imprimerie Ste-Julie</v>
      </c>
      <c r="F122" s="61"/>
      <c r="G122" s="61" t="n">
        <f aca="false">_xlfn.xlookup(D122,'PO Client'!$A:$A,'PO Client'!$F:$F,FALSE())</f>
        <v>105648</v>
      </c>
      <c r="H122" s="205" t="n">
        <f aca="false">_xlfn.xlookup(D122,'PO Client'!A:A,'PO Client'!L:L,"")</f>
        <v>45621</v>
      </c>
      <c r="I122" s="9" t="n">
        <v>40117</v>
      </c>
      <c r="J122" s="9" t="n">
        <v>30015</v>
      </c>
      <c r="K122" s="62" t="str">
        <f aca="false">_xlfn.xlookup(I122,'Prix vente'!$A:$A,'Prix vente'!$H:$H,"")</f>
        <v>S15</v>
      </c>
      <c r="L122" s="69" t="str">
        <f aca="false">_xlfn.xlookup(J122,'Prix MP'!A:A,'Prix MP'!F:F,FALSE())</f>
        <v>S15-3</v>
      </c>
      <c r="M122" s="69" t="str">
        <f aca="false">_xlfn.xlookup(J122,'Prix MP'!A:A,'Prix MP'!D:D,FALSE())</f>
        <v>Jinda</v>
      </c>
      <c r="N122" s="61" t="str">
        <f aca="false">_xlfn.xlookup(I122,'Prix vente'!$A:$A,'Prix vente'!$J:$J,"")</f>
        <v>SG - Acrylic Adhesive</v>
      </c>
      <c r="O122" s="1" t="n">
        <v>10</v>
      </c>
      <c r="P122" s="1" t="n">
        <v>6</v>
      </c>
      <c r="Y122" s="1" t="n">
        <v>10</v>
      </c>
      <c r="Z122" s="1" t="n">
        <v>10</v>
      </c>
      <c r="AA122" s="1" t="n">
        <v>10</v>
      </c>
      <c r="AB122" s="1" t="n">
        <v>10</v>
      </c>
      <c r="AC122" s="1" t="n">
        <v>10</v>
      </c>
      <c r="AD122" s="1" t="n">
        <v>10</v>
      </c>
      <c r="AI122" s="15" t="s">
        <v>890</v>
      </c>
      <c r="AJ122" s="15" t="n">
        <f aca="false">_xlfn.xlookup(I122,'Prix vente'!$A:$A,'Prix vente'!$Q:$Q,"")</f>
        <v>5000</v>
      </c>
      <c r="AK122" s="15" t="str">
        <f aca="false">IF(_xlfn.xlookup(I122,'Prix vente'!$A:$A,'Prix vente'!$O:$O,"")="msi","pi","m")</f>
        <v>pi</v>
      </c>
      <c r="AL122" s="1" t="n">
        <v>1</v>
      </c>
      <c r="AM122" s="1" t="n">
        <v>6</v>
      </c>
      <c r="AO122" s="1" t="n">
        <v>30000</v>
      </c>
      <c r="AP122" s="15" t="s">
        <v>1156</v>
      </c>
      <c r="AQ122" s="15" t="s">
        <v>1157</v>
      </c>
      <c r="AR122" s="62" t="n">
        <f aca="false">_xlfn.xlookup(I122,'Prix vente'!A:A,'Prix vente'!B:B,FALSE())</f>
        <v>20015</v>
      </c>
    </row>
    <row r="123" customFormat="false" ht="16.4" hidden="false" customHeight="false" outlineLevel="0" collapsed="false">
      <c r="A123" s="61" t="s">
        <v>1158</v>
      </c>
      <c r="B123" s="1" t="s">
        <v>889</v>
      </c>
      <c r="C123" s="199" t="n">
        <v>45617</v>
      </c>
      <c r="D123" s="9" t="n">
        <v>259</v>
      </c>
      <c r="E123" s="61" t="str">
        <f aca="false">_xlfn.xlookup(D123,'PO Client'!$A:$A,'PO Client'!$C:$C,FALSE())</f>
        <v>Imprimerie Ste-Julie</v>
      </c>
      <c r="F123" s="61"/>
      <c r="G123" s="61" t="n">
        <f aca="false">_xlfn.xlookup(D123,'PO Client'!$A:$A,'PO Client'!$F:$F,FALSE())</f>
        <v>105765</v>
      </c>
      <c r="H123" s="205" t="n">
        <f aca="false">_xlfn.xlookup(D123,'PO Client'!A:A,'PO Client'!L:L,"")</f>
        <v>45623</v>
      </c>
      <c r="I123" s="9" t="n">
        <v>40117</v>
      </c>
      <c r="J123" s="9" t="n">
        <v>30015</v>
      </c>
      <c r="K123" s="62" t="str">
        <f aca="false">_xlfn.xlookup(I123,'Prix vente'!$A:$A,'Prix vente'!$H:$H,"")</f>
        <v>S15</v>
      </c>
      <c r="L123" s="69" t="str">
        <f aca="false">_xlfn.xlookup(J123,'Prix MP'!A:A,'Prix MP'!F:F,FALSE())</f>
        <v>S15-3</v>
      </c>
      <c r="M123" s="69" t="str">
        <f aca="false">_xlfn.xlookup(J123,'Prix MP'!A:A,'Prix MP'!D:D,FALSE())</f>
        <v>Jinda</v>
      </c>
      <c r="N123" s="61" t="str">
        <f aca="false">_xlfn.xlookup(I123,'Prix vente'!$A:$A,'Prix vente'!$J:$J,"")</f>
        <v>SG - Acrylic Adhesive</v>
      </c>
      <c r="O123" s="1" t="n">
        <v>13</v>
      </c>
      <c r="P123" s="1" t="n">
        <v>4</v>
      </c>
      <c r="Q123" s="1" t="n">
        <v>8</v>
      </c>
      <c r="R123" s="1" t="n">
        <v>1</v>
      </c>
      <c r="Y123" s="1" t="n">
        <v>13</v>
      </c>
      <c r="Z123" s="1" t="n">
        <v>13</v>
      </c>
      <c r="AA123" s="1" t="n">
        <v>13</v>
      </c>
      <c r="AB123" s="1" t="n">
        <v>13</v>
      </c>
      <c r="AC123" s="1" t="n">
        <v>8</v>
      </c>
      <c r="AI123" s="15" t="s">
        <v>890</v>
      </c>
      <c r="AJ123" s="15" t="n">
        <f aca="false">_xlfn.xlookup(I123,'Prix vente'!$A:$A,'Prix vente'!$Q:$Q,"")</f>
        <v>5000</v>
      </c>
      <c r="AK123" s="15" t="str">
        <f aca="false">IF(_xlfn.xlookup(I123,'Prix vente'!$A:$A,'Prix vente'!$O:$O,"")="msi","pi","m")</f>
        <v>pi</v>
      </c>
      <c r="AL123" s="1" t="n">
        <v>1</v>
      </c>
      <c r="AM123" s="1" t="n">
        <v>5</v>
      </c>
      <c r="AO123" s="1" t="n">
        <v>25000</v>
      </c>
      <c r="AP123" s="15" t="s">
        <v>1159</v>
      </c>
      <c r="AQ123" s="15" t="s">
        <v>1160</v>
      </c>
      <c r="AR123" s="62" t="n">
        <f aca="false">_xlfn.xlookup(I123,'Prix vente'!A:A,'Prix vente'!B:B,FALSE())</f>
        <v>20015</v>
      </c>
    </row>
    <row r="124" customFormat="false" ht="16.4" hidden="false" customHeight="false" outlineLevel="0" collapsed="false">
      <c r="A124" s="61" t="s">
        <v>1161</v>
      </c>
      <c r="B124" s="1" t="s">
        <v>889</v>
      </c>
      <c r="C124" s="199" t="n">
        <v>45617</v>
      </c>
      <c r="D124" s="9" t="n">
        <v>251</v>
      </c>
      <c r="E124" s="61" t="str">
        <f aca="false">_xlfn.xlookup(D124,'PO Client'!$A:$A,'PO Client'!$C:$C,FALSE())</f>
        <v>Digi America Inc.</v>
      </c>
      <c r="F124" s="61"/>
      <c r="G124" s="61" t="s">
        <v>1162</v>
      </c>
      <c r="H124" s="205" t="n">
        <f aca="false">_xlfn.xlookup(D124,'PO Client'!A:A,'PO Client'!L:L,"")</f>
        <v>45616</v>
      </c>
      <c r="I124" s="9" t="n">
        <v>40103</v>
      </c>
      <c r="J124" s="9" t="n">
        <v>30025</v>
      </c>
      <c r="K124" s="62" t="str">
        <f aca="false">_xlfn.xlookup(I124,'Prix vente'!$A:$A,'Prix vente'!$H:$H,"")</f>
        <v>D16</v>
      </c>
      <c r="L124" s="69" t="str">
        <f aca="false">_xlfn.xlookup(J124,'Prix MP'!A:A,'Prix MP'!F:F,FALSE())</f>
        <v>D11-1</v>
      </c>
      <c r="M124" s="69" t="str">
        <f aca="false">_xlfn.xlookup(J124,'Prix MP'!A:A,'Prix MP'!D:D,FALSE())</f>
        <v>AKO</v>
      </c>
      <c r="N124" s="61" t="str">
        <f aca="false">_xlfn.xlookup(I124,'Prix vente'!$A:$A,'Prix vente'!$J:$J,"")</f>
        <v>TC DT - Acrylic Adhesive</v>
      </c>
      <c r="O124" s="1" t="n">
        <v>10</v>
      </c>
      <c r="P124" s="1" t="n">
        <v>72</v>
      </c>
      <c r="Y124" s="1" t="n">
        <v>10</v>
      </c>
      <c r="Z124" s="1" t="n">
        <v>10</v>
      </c>
      <c r="AA124" s="1" t="n">
        <v>10</v>
      </c>
      <c r="AB124" s="1" t="n">
        <v>10</v>
      </c>
      <c r="AC124" s="1" t="n">
        <v>10</v>
      </c>
      <c r="AD124" s="1" t="n">
        <v>10</v>
      </c>
      <c r="AI124" s="15" t="s">
        <v>890</v>
      </c>
      <c r="AJ124" s="15" t="n">
        <f aca="false">_xlfn.xlookup(I124,'Prix vente'!$A:$A,'Prix vente'!$Q:$Q,"")</f>
        <v>5000</v>
      </c>
      <c r="AK124" s="15" t="str">
        <f aca="false">IF(_xlfn.xlookup(I124,'Prix vente'!$A:$A,'Prix vente'!$O:$O,"")="msi","pi","m")</f>
        <v>pi</v>
      </c>
      <c r="AL124" s="1" t="n">
        <v>12</v>
      </c>
      <c r="AM124" s="1" t="n">
        <v>72</v>
      </c>
      <c r="AO124" s="15" t="n">
        <f aca="false">72*5000</f>
        <v>360000</v>
      </c>
      <c r="AP124" s="15" t="s">
        <v>1163</v>
      </c>
      <c r="AQ124" s="15" t="n">
        <f aca="false">_xlfn.xlookup(E124,Clients!B:B,Clients!V:V)</f>
        <v>0</v>
      </c>
      <c r="AR124" s="62" t="n">
        <f aca="false">_xlfn.xlookup(I124,'Prix vente'!A:A,'Prix vente'!B:B,FALSE())</f>
        <v>20018</v>
      </c>
    </row>
    <row r="125" customFormat="false" ht="16.4" hidden="false" customHeight="false" outlineLevel="0" collapsed="false">
      <c r="A125" s="61" t="s">
        <v>1164</v>
      </c>
      <c r="B125" s="1" t="s">
        <v>889</v>
      </c>
      <c r="C125" s="199" t="n">
        <v>45618</v>
      </c>
      <c r="D125" s="9" t="n">
        <v>260</v>
      </c>
      <c r="E125" s="61" t="str">
        <f aca="false">_xlfn.xlookup(D125,'PO Client'!$A:$A,'PO Client'!$C:$C,FALSE())</f>
        <v>Imprimerie Ste-Julie</v>
      </c>
      <c r="F125" s="61"/>
      <c r="G125" s="61" t="n">
        <f aca="false">_xlfn.xlookup(D125,'PO Client'!$A:$A,'PO Client'!$F:$F,FALSE())</f>
        <v>105799</v>
      </c>
      <c r="H125" s="205" t="n">
        <f aca="false">_xlfn.xlookup(D125,'PO Client'!A:A,'PO Client'!L:L,"")</f>
        <v>45624</v>
      </c>
      <c r="I125" s="9" t="n">
        <v>40117</v>
      </c>
      <c r="J125" s="9" t="n">
        <v>30015</v>
      </c>
      <c r="K125" s="62" t="str">
        <f aca="false">_xlfn.xlookup(I125,'Prix vente'!$A:$A,'Prix vente'!$H:$H,"")</f>
        <v>S15</v>
      </c>
      <c r="L125" s="69" t="str">
        <f aca="false">_xlfn.xlookup(J125,'Prix MP'!A:A,'Prix MP'!F:F,FALSE())</f>
        <v>S15-3</v>
      </c>
      <c r="M125" s="69" t="str">
        <f aca="false">_xlfn.xlookup(J125,'Prix MP'!A:A,'Prix MP'!D:D,FALSE())</f>
        <v>Jinda</v>
      </c>
      <c r="N125" s="61" t="str">
        <f aca="false">_xlfn.xlookup(I125,'Prix vente'!$A:$A,'Prix vente'!$J:$J,"")</f>
        <v>SG - Acrylic Adhesive</v>
      </c>
      <c r="O125" s="1" t="n">
        <v>10</v>
      </c>
      <c r="P125" s="1" t="n">
        <v>6</v>
      </c>
      <c r="Y125" s="1" t="n">
        <v>10</v>
      </c>
      <c r="Z125" s="1" t="n">
        <v>10</v>
      </c>
      <c r="AA125" s="1" t="n">
        <v>10</v>
      </c>
      <c r="AB125" s="1" t="n">
        <v>10</v>
      </c>
      <c r="AC125" s="1" t="n">
        <v>10</v>
      </c>
      <c r="AD125" s="1" t="n">
        <v>10</v>
      </c>
      <c r="AI125" s="15" t="s">
        <v>890</v>
      </c>
      <c r="AJ125" s="15" t="n">
        <f aca="false">_xlfn.xlookup(I125,'Prix vente'!$A:$A,'Prix vente'!$Q:$Q,"")</f>
        <v>5000</v>
      </c>
      <c r="AK125" s="15" t="str">
        <f aca="false">IF(_xlfn.xlookup(I125,'Prix vente'!$A:$A,'Prix vente'!$O:$O,"")="msi","pi","m")</f>
        <v>pi</v>
      </c>
      <c r="AL125" s="1" t="n">
        <v>1</v>
      </c>
      <c r="AM125" s="1" t="n">
        <v>6</v>
      </c>
      <c r="AO125" s="15" t="n">
        <f aca="false">6*5000</f>
        <v>30000</v>
      </c>
      <c r="AP125" s="15" t="s">
        <v>1165</v>
      </c>
      <c r="AQ125" s="15" t="s">
        <v>1166</v>
      </c>
      <c r="AR125" s="62" t="n">
        <f aca="false">_xlfn.xlookup(I125,'Prix vente'!A:A,'Prix vente'!B:B,FALSE())</f>
        <v>20015</v>
      </c>
    </row>
    <row r="126" customFormat="false" ht="16.4" hidden="false" customHeight="false" outlineLevel="0" collapsed="false">
      <c r="A126" s="61" t="s">
        <v>1167</v>
      </c>
      <c r="B126" s="214" t="s">
        <v>889</v>
      </c>
      <c r="C126" s="199" t="n">
        <v>45618</v>
      </c>
      <c r="D126" s="9" t="n">
        <v>248</v>
      </c>
      <c r="E126" s="61" t="str">
        <f aca="false">_xlfn.xlookup(D126,'PO Client'!$A:$A,'PO Client'!$C:$C,FALSE())</f>
        <v>Imprimerie Bas St-Laurent</v>
      </c>
      <c r="F126" s="61"/>
      <c r="G126" s="61" t="s">
        <v>818</v>
      </c>
      <c r="H126" s="205" t="n">
        <f aca="false">_xlfn.xlookup(D126,'PO Client'!A:A,'PO Client'!L:L,"")</f>
        <v>45608</v>
      </c>
      <c r="I126" s="9" t="n">
        <v>40176</v>
      </c>
      <c r="J126" s="9" t="n">
        <v>30023</v>
      </c>
      <c r="K126" s="62" t="str">
        <f aca="false">_xlfn.xlookup(I126,'Prix vente'!$A:$A,'Prix vente'!$H:$H,"")</f>
        <v>T11</v>
      </c>
      <c r="L126" s="69" t="str">
        <f aca="false">_xlfn.xlookup(J126,'Prix MP'!A:A,'Prix MP'!F:F,FALSE())</f>
        <v>T11-1</v>
      </c>
      <c r="M126" s="69" t="str">
        <f aca="false">_xlfn.xlookup(J126,'Prix MP'!A:A,'Prix MP'!D:D,FALSE())</f>
        <v>AKO</v>
      </c>
      <c r="N126" s="61" t="str">
        <f aca="false">_xlfn.xlookup(I126,'Prix vente'!$A:$A,'Prix vente'!$J:$J,"")</f>
        <v>TT - HM Adhesive</v>
      </c>
      <c r="O126" s="1" t="n">
        <v>4.5</v>
      </c>
      <c r="P126" s="1" t="n">
        <v>1</v>
      </c>
      <c r="Q126" s="15" t="n">
        <f aca="false">38.58-O126</f>
        <v>34.08</v>
      </c>
      <c r="R126" s="1" t="n">
        <v>1</v>
      </c>
      <c r="Y126" s="1" t="n">
        <v>4.5</v>
      </c>
      <c r="Z126" s="15" t="n">
        <f aca="false">38.58-Y126</f>
        <v>34.08</v>
      </c>
      <c r="AI126" s="15" t="s">
        <v>890</v>
      </c>
      <c r="AJ126" s="15" t="n">
        <f aca="false">_xlfn.xlookup(I126,'Prix vente'!$A:$A,'Prix vente'!$Q:$Q,"")</f>
        <v>2500</v>
      </c>
      <c r="AK126" s="15" t="str">
        <f aca="false">IF(_xlfn.xlookup(I126,'Prix vente'!$A:$A,'Prix vente'!$O:$O,"")="msi","pi","m")</f>
        <v>pi</v>
      </c>
      <c r="AL126" s="1" t="n">
        <v>0</v>
      </c>
      <c r="AM126" s="1" t="n">
        <v>1</v>
      </c>
      <c r="AO126" s="1" t="n">
        <v>2500</v>
      </c>
      <c r="AP126" s="15" t="s">
        <v>1168</v>
      </c>
      <c r="AQ126" s="15" t="s">
        <v>1169</v>
      </c>
      <c r="AR126" s="62" t="n">
        <f aca="false">_xlfn.xlookup(I126,'Prix vente'!A:A,'Prix vente'!B:B,FALSE())</f>
        <v>20003</v>
      </c>
    </row>
    <row r="127" customFormat="false" ht="16.4" hidden="false" customHeight="false" outlineLevel="0" collapsed="false">
      <c r="A127" s="61" t="s">
        <v>1170</v>
      </c>
      <c r="B127" s="214" t="s">
        <v>889</v>
      </c>
      <c r="C127" s="199" t="n">
        <v>45621</v>
      </c>
      <c r="D127" s="9" t="n">
        <v>261</v>
      </c>
      <c r="E127" s="61" t="str">
        <f aca="false">_xlfn.xlookup(D127,'PO Client'!$A:$A,'PO Client'!$C:$C,FALSE())</f>
        <v>Imprimerie Ste-Julie</v>
      </c>
      <c r="F127" s="61"/>
      <c r="G127" s="61" t="n">
        <f aca="false">_xlfn.xlookup(D127,'PO Client'!$A:$A,'PO Client'!$F:$F,FALSE())</f>
        <v>105844</v>
      </c>
      <c r="H127" s="205" t="n">
        <f aca="false">_xlfn.xlookup(D127,'PO Client'!A:A,'PO Client'!L:L,"")</f>
        <v>45625</v>
      </c>
      <c r="I127" s="9" t="n">
        <v>40117</v>
      </c>
      <c r="J127" s="9" t="n">
        <v>30015</v>
      </c>
      <c r="K127" s="62" t="str">
        <f aca="false">_xlfn.xlookup(I127,'Prix vente'!$A:$A,'Prix vente'!$H:$H,"")</f>
        <v>S15</v>
      </c>
      <c r="L127" s="69" t="str">
        <f aca="false">_xlfn.xlookup(J127,'Prix MP'!A:A,'Prix MP'!F:F,FALSE())</f>
        <v>S15-3</v>
      </c>
      <c r="M127" s="69" t="str">
        <f aca="false">_xlfn.xlookup(J127,'Prix MP'!A:A,'Prix MP'!D:D,FALSE())</f>
        <v>Jinda</v>
      </c>
      <c r="N127" s="61" t="str">
        <f aca="false">_xlfn.xlookup(I127,'Prix vente'!$A:$A,'Prix vente'!$J:$J,"")</f>
        <v>SG - Acrylic Adhesive</v>
      </c>
      <c r="O127" s="1" t="n">
        <v>13</v>
      </c>
      <c r="P127" s="1" t="n">
        <v>4</v>
      </c>
      <c r="Q127" s="1" t="n">
        <v>8</v>
      </c>
      <c r="R127" s="1" t="n">
        <v>1</v>
      </c>
      <c r="Y127" s="1" t="n">
        <v>13</v>
      </c>
      <c r="Z127" s="1" t="n">
        <v>13</v>
      </c>
      <c r="AA127" s="1" t="n">
        <v>13</v>
      </c>
      <c r="AB127" s="1" t="n">
        <v>13</v>
      </c>
      <c r="AC127" s="1" t="n">
        <v>8</v>
      </c>
      <c r="AI127" s="15" t="s">
        <v>890</v>
      </c>
      <c r="AJ127" s="1" t="n">
        <v>9600</v>
      </c>
      <c r="AK127" s="15" t="str">
        <f aca="false">IF(_xlfn.xlookup(I127,'Prix vente'!$A:$A,'Prix vente'!$O:$O,"")="msi","pi","m")</f>
        <v>pi</v>
      </c>
      <c r="AL127" s="1" t="n">
        <v>1</v>
      </c>
      <c r="AM127" s="1" t="n">
        <v>5</v>
      </c>
      <c r="AO127" s="1" t="n">
        <v>9600</v>
      </c>
      <c r="AP127" s="15" t="s">
        <v>1171</v>
      </c>
      <c r="AQ127" s="15" t="s">
        <v>1172</v>
      </c>
      <c r="AR127" s="62" t="n">
        <f aca="false">_xlfn.xlookup(I127,'Prix vente'!A:A,'Prix vente'!B:B,FALSE())</f>
        <v>20015</v>
      </c>
    </row>
    <row r="128" customFormat="false" ht="16.4" hidden="false" customHeight="false" outlineLevel="0" collapsed="false">
      <c r="A128" s="61" t="s">
        <v>1173</v>
      </c>
      <c r="B128" s="214" t="s">
        <v>889</v>
      </c>
      <c r="C128" s="199" t="n">
        <v>45621</v>
      </c>
      <c r="D128" s="9" t="n">
        <v>262</v>
      </c>
      <c r="E128" s="61" t="str">
        <f aca="false">_xlfn.xlookup(D128,'PO Client'!$A:$A,'PO Client'!$C:$C,FALSE())</f>
        <v>3G Print Group Inc.</v>
      </c>
      <c r="F128" s="61"/>
      <c r="G128" s="61" t="n">
        <f aca="false">_xlfn.xlookup(D128,'PO Client'!$A:$A,'PO Client'!$F:$F,FALSE())</f>
        <v>2898</v>
      </c>
      <c r="H128" s="205" t="n">
        <f aca="false">_xlfn.xlookup(D128,'PO Client'!A:A,'PO Client'!L:L,"")</f>
        <v>45625</v>
      </c>
      <c r="I128" s="9" t="n">
        <v>40179</v>
      </c>
      <c r="J128" s="9" t="n">
        <v>30011</v>
      </c>
      <c r="K128" s="62" t="str">
        <f aca="false">_xlfn.xlookup(I128,'Prix vente'!$A:$A,'Prix vente'!$H:$H,"")</f>
        <v>S21</v>
      </c>
      <c r="L128" s="69" t="str">
        <f aca="false">_xlfn.xlookup(J128,'Prix MP'!A:A,'Prix MP'!F:F,FALSE())</f>
        <v>S21-1</v>
      </c>
      <c r="M128" s="69" t="str">
        <f aca="false">_xlfn.xlookup(J128,'Prix MP'!A:A,'Prix MP'!D:D,FALSE())</f>
        <v>AKO</v>
      </c>
      <c r="N128" s="61" t="str">
        <f aca="false">_xlfn.xlookup(I128,'Prix vente'!$A:$A,'Prix vente'!$J:$J,"")</f>
        <v>SG - Hotmelt Adhesive</v>
      </c>
      <c r="O128" s="1" t="n">
        <v>12</v>
      </c>
      <c r="P128" s="1" t="n">
        <v>5</v>
      </c>
      <c r="Y128" s="1" t="n">
        <v>12</v>
      </c>
      <c r="Z128" s="1" t="n">
        <v>12</v>
      </c>
      <c r="AA128" s="1" t="n">
        <v>12</v>
      </c>
      <c r="AB128" s="1" t="n">
        <v>12</v>
      </c>
      <c r="AC128" s="1" t="n">
        <v>12</v>
      </c>
      <c r="AI128" s="15" t="s">
        <v>890</v>
      </c>
      <c r="AJ128" s="15" t="n">
        <f aca="false">_xlfn.xlookup(I128,'Prix vente'!$A:$A,'Prix vente'!$Q:$Q,"")</f>
        <v>10000</v>
      </c>
      <c r="AK128" s="15" t="str">
        <f aca="false">IF(_xlfn.xlookup(I128,'Prix vente'!$A:$A,'Prix vente'!$O:$O,"")="msi","pi","m")</f>
        <v>pi</v>
      </c>
      <c r="AL128" s="1" t="n">
        <v>1</v>
      </c>
      <c r="AM128" s="1" t="n">
        <v>5</v>
      </c>
      <c r="AO128" s="1" t="n">
        <v>50000</v>
      </c>
      <c r="AP128" s="15" t="s">
        <v>1174</v>
      </c>
      <c r="AQ128" s="15" t="s">
        <v>1175</v>
      </c>
      <c r="AR128" s="62" t="n">
        <f aca="false">_xlfn.xlookup(I128,'Prix vente'!A:A,'Prix vente'!B:B,FALSE())</f>
        <v>20011</v>
      </c>
    </row>
    <row r="129" customFormat="false" ht="15" hidden="false" customHeight="true" outlineLevel="0" collapsed="false">
      <c r="A129" s="61" t="s">
        <v>1176</v>
      </c>
      <c r="B129" s="214" t="s">
        <v>889</v>
      </c>
      <c r="C129" s="199" t="n">
        <v>45622</v>
      </c>
      <c r="D129" s="9" t="n">
        <v>263</v>
      </c>
      <c r="E129" s="61" t="str">
        <f aca="false">_xlfn.xlookup(D129,'PO Client'!$A:$A,'PO Client'!$C:$C,FALSE())</f>
        <v>Étiquettes Multi-Flex</v>
      </c>
      <c r="F129" s="61"/>
      <c r="G129" s="61" t="n">
        <f aca="false">_xlfn.xlookup(D129,'PO Client'!$A:$A,'PO Client'!$F:$F,FALSE())</f>
        <v>9869</v>
      </c>
      <c r="H129" s="205" t="n">
        <f aca="false">_xlfn.xlookup(D129,'PO Client'!A:A,'PO Client'!L:L,"")</f>
        <v>45628</v>
      </c>
      <c r="I129" s="9" t="n">
        <v>40180</v>
      </c>
      <c r="J129" s="9" t="n">
        <v>30025</v>
      </c>
      <c r="K129" s="62" t="str">
        <f aca="false">_xlfn.xlookup(I129,'Prix vente'!$A:$A,'Prix vente'!$H:$H,"")</f>
        <v>D11</v>
      </c>
      <c r="L129" s="69" t="str">
        <f aca="false">_xlfn.xlookup(J129,'Prix MP'!A:A,'Prix MP'!F:F,FALSE())</f>
        <v>D11-1</v>
      </c>
      <c r="M129" s="69" t="str">
        <f aca="false">_xlfn.xlookup(J129,'Prix MP'!A:A,'Prix MP'!D:D,FALSE())</f>
        <v>AKO</v>
      </c>
      <c r="N129" s="61" t="str">
        <f aca="false">_xlfn.xlookup(I129,'Prix vente'!$A:$A,'Prix vente'!$J:$J,"")</f>
        <v>TC DT - Hotmelt Adhesive</v>
      </c>
      <c r="O129" s="1" t="n">
        <v>9</v>
      </c>
      <c r="P129" s="1" t="n">
        <v>2</v>
      </c>
      <c r="Q129" s="1" t="n">
        <v>42</v>
      </c>
      <c r="R129" s="1" t="n">
        <v>1</v>
      </c>
      <c r="Y129" s="1" t="n">
        <v>9</v>
      </c>
      <c r="Z129" s="1" t="n">
        <v>9</v>
      </c>
      <c r="AI129" s="15" t="s">
        <v>890</v>
      </c>
      <c r="AJ129" s="15" t="n">
        <f aca="false">_xlfn.xlookup(I129,'Prix vente'!$A:$A,'Prix vente'!$Q:$Q,"")</f>
        <v>10000</v>
      </c>
      <c r="AK129" s="15" t="str">
        <f aca="false">IF(_xlfn.xlookup(I129,'Prix vente'!$A:$A,'Prix vente'!$O:$O,"")="msi","pi","m")</f>
        <v>pi</v>
      </c>
      <c r="AL129" s="1" t="n">
        <v>1</v>
      </c>
      <c r="AM129" s="1" t="n">
        <v>2</v>
      </c>
      <c r="AO129" s="1" t="n">
        <v>20000</v>
      </c>
      <c r="AP129" s="15" t="s">
        <v>1163</v>
      </c>
      <c r="AQ129" s="82" t="s">
        <v>1177</v>
      </c>
      <c r="AR129" s="62" t="n">
        <f aca="false">_xlfn.xlookup(I129,'Prix vente'!A:A,'Prix vente'!B:B,FALSE())</f>
        <v>20013</v>
      </c>
    </row>
    <row r="130" customFormat="false" ht="15" hidden="false" customHeight="true" outlineLevel="0" collapsed="false">
      <c r="A130" s="61" t="s">
        <v>1178</v>
      </c>
      <c r="B130" s="214" t="s">
        <v>889</v>
      </c>
      <c r="C130" s="199" t="n">
        <v>45623</v>
      </c>
      <c r="D130" s="9" t="n">
        <v>265</v>
      </c>
      <c r="E130" s="61" t="str">
        <f aca="false">_xlfn.xlookup(D130,'PO Client'!$A:$A,'PO Client'!$C:$C,FALSE())</f>
        <v>Étiquettes Multi-Flex</v>
      </c>
      <c r="F130" s="61"/>
      <c r="G130" s="61" t="n">
        <f aca="false">_xlfn.xlookup(D130,'PO Client'!$A:$A,'PO Client'!$F:$F,FALSE())</f>
        <v>9875</v>
      </c>
      <c r="H130" s="205" t="n">
        <f aca="false">_xlfn.xlookup(D130,'PO Client'!A:A,'PO Client'!L:L,"")</f>
        <v>45629</v>
      </c>
      <c r="I130" s="9" t="n">
        <v>40096</v>
      </c>
      <c r="J130" s="9" t="n">
        <v>30027</v>
      </c>
      <c r="K130" s="62" t="str">
        <f aca="false">_xlfn.xlookup(I130,'Prix vente'!$A:$A,'Prix vente'!$H:$H,"")</f>
        <v>B25</v>
      </c>
      <c r="L130" s="69" t="str">
        <f aca="false">_xlfn.xlookup(J130,'Prix MP'!A:A,'Prix MP'!F:F,FALSE())</f>
        <v>B25-3</v>
      </c>
      <c r="M130" s="69" t="str">
        <f aca="false">_xlfn.xlookup(J130,'Prix MP'!A:A,'Prix MP'!D:D,FALSE())</f>
        <v>Jinda</v>
      </c>
      <c r="N130" s="61" t="str">
        <f aca="false">_xlfn.xlookup(I130,'Prix vente'!$A:$A,'Prix vente'!$J:$J,"")</f>
        <v>White BOPP - Acrylic Adhesive</v>
      </c>
      <c r="O130" s="1" t="n">
        <v>13</v>
      </c>
      <c r="P130" s="1" t="n">
        <v>16</v>
      </c>
      <c r="Q130" s="1" t="n">
        <v>8</v>
      </c>
      <c r="R130" s="1" t="n">
        <v>4</v>
      </c>
      <c r="Y130" s="1" t="n">
        <v>13</v>
      </c>
      <c r="Z130" s="1" t="n">
        <v>13</v>
      </c>
      <c r="AA130" s="1" t="n">
        <v>13</v>
      </c>
      <c r="AB130" s="1" t="n">
        <v>13</v>
      </c>
      <c r="AC130" s="1" t="n">
        <v>8</v>
      </c>
      <c r="AI130" s="15" t="s">
        <v>890</v>
      </c>
      <c r="AJ130" s="15" t="n">
        <f aca="false">_xlfn.xlookup(I130,'Prix vente'!$A:$A,'Prix vente'!$Q:$Q,"")</f>
        <v>5000</v>
      </c>
      <c r="AK130" s="15" t="str">
        <f aca="false">IF(_xlfn.xlookup(I130,'Prix vente'!$A:$A,'Prix vente'!$O:$O,"")="msi","pi","m")</f>
        <v>pi</v>
      </c>
      <c r="AL130" s="1" t="n">
        <v>4</v>
      </c>
      <c r="AM130" s="1" t="n">
        <v>20</v>
      </c>
      <c r="AO130" s="1" t="n">
        <v>100000</v>
      </c>
      <c r="AP130" s="15" t="s">
        <v>1106</v>
      </c>
      <c r="AQ130" s="82" t="s">
        <v>1179</v>
      </c>
      <c r="AR130" s="62" t="n">
        <f aca="false">_xlfn.xlookup(I130,'Prix vente'!A:A,'Prix vente'!B:B,FALSE())</f>
        <v>20017</v>
      </c>
    </row>
    <row r="131" customFormat="false" ht="15" hidden="false" customHeight="true" outlineLevel="0" collapsed="false">
      <c r="A131" s="61" t="s">
        <v>1180</v>
      </c>
      <c r="B131" s="214" t="s">
        <v>889</v>
      </c>
      <c r="C131" s="199" t="n">
        <v>45623</v>
      </c>
      <c r="D131" s="9" t="n">
        <v>266</v>
      </c>
      <c r="E131" s="61" t="str">
        <f aca="false">_xlfn.xlookup(D131,'PO Client'!$A:$A,'PO Client'!$C:$C,FALSE())</f>
        <v>Étiquettes Luso-Flex</v>
      </c>
      <c r="F131" s="61"/>
      <c r="G131" s="61" t="n">
        <f aca="false">_xlfn.xlookup(D131,'PO Client'!$A:$A,'PO Client'!$F:$F,FALSE())</f>
        <v>1954</v>
      </c>
      <c r="H131" s="205" t="n">
        <f aca="false">_xlfn.xlookup(D131,'PO Client'!A:A,'PO Client'!L:L,"")</f>
        <v>45625</v>
      </c>
      <c r="I131" s="9" t="n">
        <v>40183</v>
      </c>
      <c r="J131" s="9" t="n">
        <v>30011</v>
      </c>
      <c r="K131" s="62" t="str">
        <f aca="false">_xlfn.xlookup(I131,'Prix vente'!$A:$A,'Prix vente'!$H:$H,"")</f>
        <v>S21</v>
      </c>
      <c r="L131" s="69" t="str">
        <f aca="false">_xlfn.xlookup(J131,'Prix MP'!A:A,'Prix MP'!F:F,FALSE())</f>
        <v>S21-1</v>
      </c>
      <c r="M131" s="69" t="str">
        <f aca="false">_xlfn.xlookup(J131,'Prix MP'!A:A,'Prix MP'!D:D,FALSE())</f>
        <v>AKO</v>
      </c>
      <c r="N131" s="61" t="str">
        <f aca="false">_xlfn.xlookup(I131,'Prix vente'!$A:$A,'Prix vente'!$J:$J,"")</f>
        <v>SG - Hotmelt Adhesive</v>
      </c>
      <c r="O131" s="1" t="n">
        <v>10.75</v>
      </c>
      <c r="P131" s="1" t="n">
        <v>4</v>
      </c>
      <c r="Q131" s="1" t="n">
        <v>6</v>
      </c>
      <c r="R131" s="1" t="n">
        <v>2</v>
      </c>
      <c r="S131" s="1" t="n">
        <v>5</v>
      </c>
      <c r="T131" s="1" t="n">
        <v>1</v>
      </c>
      <c r="Y131" s="1" t="n">
        <v>10.75</v>
      </c>
      <c r="Z131" s="1" t="n">
        <v>10.75</v>
      </c>
      <c r="AA131" s="1" t="n">
        <v>10.75</v>
      </c>
      <c r="AB131" s="1" t="n">
        <v>10.75</v>
      </c>
      <c r="AC131" s="1" t="n">
        <v>6</v>
      </c>
      <c r="AD131" s="1" t="n">
        <v>6</v>
      </c>
      <c r="AE131" s="1" t="n">
        <v>5</v>
      </c>
      <c r="AF131" s="1" t="n">
        <v>5</v>
      </c>
      <c r="AI131" s="15" t="s">
        <v>890</v>
      </c>
      <c r="AJ131" s="15" t="n">
        <f aca="false">_xlfn.xlookup(I131,'Prix vente'!$A:$A,'Prix vente'!$Q:$Q,"")</f>
        <v>5000</v>
      </c>
      <c r="AK131" s="15" t="str">
        <f aca="false">IF(_xlfn.xlookup(I131,'Prix vente'!$A:$A,'Prix vente'!$O:$O,"")="msi","pi","m")</f>
        <v>pi</v>
      </c>
      <c r="AL131" s="1" t="n">
        <v>1</v>
      </c>
      <c r="AM131" s="1" t="n">
        <v>7</v>
      </c>
      <c r="AO131" s="1" t="n">
        <v>35000</v>
      </c>
      <c r="AP131" s="15" t="s">
        <v>1174</v>
      </c>
      <c r="AQ131" s="15" t="s">
        <v>1181</v>
      </c>
      <c r="AR131" s="62" t="n">
        <f aca="false">_xlfn.xlookup(I131,'Prix vente'!A:A,'Prix vente'!B:B,FALSE())</f>
        <v>20011</v>
      </c>
    </row>
    <row r="132" customFormat="false" ht="15" hidden="false" customHeight="true" outlineLevel="0" collapsed="false">
      <c r="A132" s="61" t="s">
        <v>1182</v>
      </c>
      <c r="B132" s="214" t="s">
        <v>889</v>
      </c>
      <c r="C132" s="199" t="n">
        <v>45623</v>
      </c>
      <c r="D132" s="9" t="n">
        <v>267</v>
      </c>
      <c r="E132" s="61" t="str">
        <f aca="false">_xlfn.xlookup(D132,'PO Client'!$A:$A,'PO Client'!$C:$C,FALSE())</f>
        <v>3G Print Group Inc.</v>
      </c>
      <c r="F132" s="61"/>
      <c r="G132" s="61" t="s">
        <v>1183</v>
      </c>
      <c r="H132" s="205" t="n">
        <f aca="false">_xlfn.xlookup(D132,'PO Client'!A:A,'PO Client'!L:L,"")</f>
        <v>45629</v>
      </c>
      <c r="I132" s="9" t="n">
        <v>40186</v>
      </c>
      <c r="J132" s="9" t="n">
        <v>30027</v>
      </c>
      <c r="K132" s="62" t="str">
        <f aca="false">_xlfn.xlookup(I132,'Prix vente'!$A:$A,'Prix vente'!$H:$H,"")</f>
        <v>B25</v>
      </c>
      <c r="L132" s="69" t="str">
        <f aca="false">_xlfn.xlookup(J132,'Prix MP'!A:A,'Prix MP'!F:F,FALSE())</f>
        <v>B25-3</v>
      </c>
      <c r="M132" s="69" t="str">
        <f aca="false">_xlfn.xlookup(J132,'Prix MP'!A:A,'Prix MP'!D:D,FALSE())</f>
        <v>Jinda</v>
      </c>
      <c r="N132" s="61" t="str">
        <f aca="false">_xlfn.xlookup(I132,'Prix vente'!$A:$A,'Prix vente'!$J:$J,"")</f>
        <v>White BOPP - Acrylic Adhesive</v>
      </c>
      <c r="O132" s="1" t="n">
        <v>13</v>
      </c>
      <c r="P132" s="1" t="n">
        <v>2</v>
      </c>
      <c r="Q132" s="1" t="n">
        <v>12.5</v>
      </c>
      <c r="R132" s="1" t="n">
        <v>2</v>
      </c>
      <c r="S132" s="1" t="n">
        <v>9</v>
      </c>
      <c r="T132" s="1" t="n">
        <v>1</v>
      </c>
      <c r="Y132" s="1" t="n">
        <v>13</v>
      </c>
      <c r="Z132" s="1" t="n">
        <v>13</v>
      </c>
      <c r="AA132" s="1" t="n">
        <v>12.5</v>
      </c>
      <c r="AB132" s="1" t="n">
        <v>12.5</v>
      </c>
      <c r="AC132" s="1" t="n">
        <v>9</v>
      </c>
      <c r="AI132" s="15" t="s">
        <v>890</v>
      </c>
      <c r="AJ132" s="15" t="n">
        <f aca="false">_xlfn.xlookup(I132,'Prix vente'!$A:$A,'Prix vente'!$Q:$Q,"")</f>
        <v>10000</v>
      </c>
      <c r="AK132" s="15" t="str">
        <f aca="false">IF(_xlfn.xlookup(I132,'Prix vente'!$A:$A,'Prix vente'!$O:$O,"")="msi","pi","m")</f>
        <v>pi</v>
      </c>
      <c r="AL132" s="1" t="n">
        <v>1</v>
      </c>
      <c r="AM132" s="1" t="n">
        <v>5</v>
      </c>
      <c r="AO132" s="1" t="n">
        <v>50000</v>
      </c>
      <c r="AP132" s="15" t="s">
        <v>1106</v>
      </c>
      <c r="AQ132" s="82" t="s">
        <v>1184</v>
      </c>
      <c r="AR132" s="62" t="n">
        <f aca="false">_xlfn.xlookup(I132,'Prix vente'!A:A,'Prix vente'!B:B,FALSE())</f>
        <v>20017</v>
      </c>
    </row>
    <row r="133" customFormat="false" ht="15" hidden="false" customHeight="true" outlineLevel="0" collapsed="false">
      <c r="A133" s="61" t="s">
        <v>1185</v>
      </c>
      <c r="B133" s="214" t="s">
        <v>889</v>
      </c>
      <c r="C133" s="199" t="n">
        <v>45623</v>
      </c>
      <c r="D133" s="9" t="n">
        <v>267</v>
      </c>
      <c r="E133" s="61" t="str">
        <f aca="false">_xlfn.xlookup(D133,'PO Client'!$A:$A,'PO Client'!$C:$C,FALSE())</f>
        <v>3G Print Group Inc.</v>
      </c>
      <c r="F133" s="61"/>
      <c r="G133" s="61" t="s">
        <v>1183</v>
      </c>
      <c r="H133" s="205" t="n">
        <f aca="false">_xlfn.xlookup(D133,'PO Client'!A:A,'PO Client'!L:L,"")</f>
        <v>45629</v>
      </c>
      <c r="I133" s="9" t="n">
        <v>40189</v>
      </c>
      <c r="J133" s="9" t="n">
        <v>30016</v>
      </c>
      <c r="K133" s="62" t="str">
        <f aca="false">_xlfn.xlookup(I133,'Prix vente'!$A:$A,'Prix vente'!$H:$H,"")</f>
        <v>B15</v>
      </c>
      <c r="L133" s="69" t="str">
        <f aca="false">_xlfn.xlookup(J133,'Prix MP'!A:A,'Prix MP'!F:F,FALSE())</f>
        <v>B15-3</v>
      </c>
      <c r="M133" s="69" t="str">
        <f aca="false">_xlfn.xlookup(J133,'Prix MP'!A:A,'Prix MP'!D:D,FALSE())</f>
        <v>Jinda</v>
      </c>
      <c r="N133" s="61" t="str">
        <f aca="false">_xlfn.xlookup(I133,'Prix vente'!$A:$A,'Prix vente'!$J:$J,"")</f>
        <v>Clear BOPP - Acrylic Adhesive</v>
      </c>
      <c r="O133" s="1" t="n">
        <v>13</v>
      </c>
      <c r="P133" s="1" t="n">
        <v>4</v>
      </c>
      <c r="Q133" s="1" t="n">
        <v>12.5</v>
      </c>
      <c r="R133" s="1" t="n">
        <v>4</v>
      </c>
      <c r="S133" s="1" t="n">
        <v>9</v>
      </c>
      <c r="T133" s="1" t="n">
        <v>2</v>
      </c>
      <c r="Y133" s="1" t="n">
        <v>13</v>
      </c>
      <c r="Z133" s="1" t="n">
        <v>13</v>
      </c>
      <c r="AA133" s="1" t="n">
        <v>12.5</v>
      </c>
      <c r="AB133" s="1" t="n">
        <v>12.5</v>
      </c>
      <c r="AC133" s="1" t="n">
        <v>9</v>
      </c>
      <c r="AI133" s="15" t="s">
        <v>890</v>
      </c>
      <c r="AJ133" s="15" t="n">
        <f aca="false">_xlfn.xlookup(I133,'Prix vente'!$A:$A,'Prix vente'!$Q:$Q,"")</f>
        <v>10000</v>
      </c>
      <c r="AK133" s="15" t="str">
        <f aca="false">IF(_xlfn.xlookup(I133,'Prix vente'!$A:$A,'Prix vente'!$O:$O,"")="msi","pi","m")</f>
        <v>pi</v>
      </c>
      <c r="AL133" s="1" t="n">
        <v>2</v>
      </c>
      <c r="AM133" s="1" t="n">
        <v>10</v>
      </c>
      <c r="AO133" s="1" t="n">
        <v>100000</v>
      </c>
      <c r="AP133" s="15" t="s">
        <v>1186</v>
      </c>
      <c r="AQ133" s="82" t="s">
        <v>1187</v>
      </c>
      <c r="AR133" s="62" t="n">
        <f aca="false">_xlfn.xlookup(I133,'Prix vente'!A:A,'Prix vente'!B:B,FALSE())</f>
        <v>20016</v>
      </c>
    </row>
    <row r="134" customFormat="false" ht="15" hidden="false" customHeight="true" outlineLevel="0" collapsed="false">
      <c r="A134" s="61" t="s">
        <v>1188</v>
      </c>
      <c r="B134" s="214" t="s">
        <v>889</v>
      </c>
      <c r="C134" s="199" t="n">
        <v>45623</v>
      </c>
      <c r="D134" s="9" t="n">
        <v>267</v>
      </c>
      <c r="E134" s="61" t="str">
        <f aca="false">_xlfn.xlookup(D134,'PO Client'!$A:$A,'PO Client'!$C:$C,FALSE())</f>
        <v>3G Print Group Inc.</v>
      </c>
      <c r="F134" s="61"/>
      <c r="G134" s="61" t="s">
        <v>1183</v>
      </c>
      <c r="H134" s="205" t="n">
        <f aca="false">_xlfn.xlookup(D134,'PO Client'!A:A,'PO Client'!L:L,"")</f>
        <v>45629</v>
      </c>
      <c r="I134" s="9" t="n">
        <v>40189</v>
      </c>
      <c r="J134" s="9" t="n">
        <v>30028</v>
      </c>
      <c r="K134" s="62" t="str">
        <f aca="false">_xlfn.xlookup(I134,'Prix vente'!$A:$A,'Prix vente'!$H:$H,"")</f>
        <v>B15</v>
      </c>
      <c r="L134" s="69" t="str">
        <f aca="false">_xlfn.xlookup(J134,'Prix MP'!A:A,'Prix MP'!F:F,FALSE())</f>
        <v>B15-3</v>
      </c>
      <c r="M134" s="69" t="str">
        <f aca="false">_xlfn.xlookup(J134,'Prix MP'!A:A,'Prix MP'!D:D,FALSE())</f>
        <v>Jinda</v>
      </c>
      <c r="N134" s="61" t="str">
        <f aca="false">_xlfn.xlookup(I134,'Prix vente'!$A:$A,'Prix vente'!$J:$J,"")</f>
        <v>Clear BOPP - Acrylic Adhesive</v>
      </c>
      <c r="O134" s="1" t="n">
        <v>13</v>
      </c>
      <c r="P134" s="1" t="n">
        <v>3</v>
      </c>
      <c r="Q134" s="1" t="n">
        <v>12.5</v>
      </c>
      <c r="R134" s="1" t="n">
        <v>1</v>
      </c>
      <c r="S134" s="1" t="n">
        <v>8.5</v>
      </c>
      <c r="T134" s="1" t="n">
        <v>1</v>
      </c>
      <c r="Y134" s="1" t="n">
        <v>13</v>
      </c>
      <c r="Z134" s="1" t="n">
        <v>13</v>
      </c>
      <c r="AA134" s="1" t="n">
        <v>13</v>
      </c>
      <c r="AB134" s="1" t="n">
        <v>12.5</v>
      </c>
      <c r="AC134" s="1" t="n">
        <v>8.5</v>
      </c>
      <c r="AI134" s="15" t="s">
        <v>890</v>
      </c>
      <c r="AJ134" s="15" t="n">
        <f aca="false">_xlfn.xlookup(I134,'Prix vente'!$A:$A,'Prix vente'!$Q:$Q,"")</f>
        <v>10000</v>
      </c>
      <c r="AK134" s="15" t="str">
        <f aca="false">IF(_xlfn.xlookup(I134,'Prix vente'!$A:$A,'Prix vente'!$O:$O,"")="msi","pi","m")</f>
        <v>pi</v>
      </c>
      <c r="AL134" s="1" t="n">
        <v>1</v>
      </c>
      <c r="AM134" s="1" t="n">
        <v>5</v>
      </c>
      <c r="AO134" s="1" t="n">
        <v>50000</v>
      </c>
      <c r="AP134" s="1" t="n">
        <v>10039</v>
      </c>
      <c r="AQ134" s="82" t="s">
        <v>1189</v>
      </c>
      <c r="AR134" s="62" t="n">
        <f aca="false">_xlfn.xlookup(I134,'Prix vente'!A:A,'Prix vente'!B:B,FALSE())</f>
        <v>20016</v>
      </c>
    </row>
    <row r="135" customFormat="false" ht="16.4" hidden="false" customHeight="false" outlineLevel="0" collapsed="false">
      <c r="A135" s="61" t="s">
        <v>1190</v>
      </c>
      <c r="B135" s="214" t="s">
        <v>889</v>
      </c>
      <c r="C135" s="199" t="n">
        <v>45623</v>
      </c>
      <c r="E135" s="61" t="s">
        <v>258</v>
      </c>
      <c r="F135" s="61"/>
      <c r="G135" s="61" t="s">
        <v>1191</v>
      </c>
      <c r="H135" s="205" t="n">
        <v>45628</v>
      </c>
      <c r="K135" s="62" t="s">
        <v>586</v>
      </c>
      <c r="L135" s="69" t="s">
        <v>378</v>
      </c>
      <c r="M135" s="69" t="s">
        <v>375</v>
      </c>
      <c r="N135" s="61" t="s">
        <v>381</v>
      </c>
      <c r="O135" s="1" t="n">
        <v>12</v>
      </c>
      <c r="P135" s="1" t="n">
        <v>1</v>
      </c>
      <c r="Q135" s="1" t="n">
        <v>5.25</v>
      </c>
      <c r="R135" s="1" t="n">
        <v>1</v>
      </c>
      <c r="Y135" s="1" t="n">
        <v>12</v>
      </c>
      <c r="Z135" s="1" t="n">
        <v>5.25</v>
      </c>
      <c r="AI135" s="15" t="s">
        <v>890</v>
      </c>
      <c r="AJ135" s="1" t="n">
        <v>2000</v>
      </c>
      <c r="AK135" s="15" t="str">
        <f aca="false">IF(_xlfn.xlookup(I135,'Prix vente'!$A:$A,'Prix vente'!$O:$O,"")="msi","pi","m")</f>
        <v>m</v>
      </c>
      <c r="AL135" s="1" t="n">
        <v>0</v>
      </c>
      <c r="AM135" s="1" t="n">
        <v>1</v>
      </c>
      <c r="AO135" s="1" t="n">
        <v>2000</v>
      </c>
      <c r="AP135" s="15" t="s">
        <v>1192</v>
      </c>
      <c r="AQ135" s="15" t="s">
        <v>1193</v>
      </c>
      <c r="AR135" s="62" t="e">
        <f aca="false">_xlfn.xlookup(I135,'Prix vente'!A:A,'Prix vente'!B:B,FALSE())</f>
        <v>#NAME?</v>
      </c>
    </row>
    <row r="136" customFormat="false" ht="15" hidden="false" customHeight="true" outlineLevel="0" collapsed="false">
      <c r="A136" s="61" t="s">
        <v>1194</v>
      </c>
      <c r="B136" s="214" t="s">
        <v>889</v>
      </c>
      <c r="C136" s="199" t="n">
        <v>45624</v>
      </c>
      <c r="D136" s="9" t="n">
        <v>268</v>
      </c>
      <c r="E136" s="61" t="str">
        <f aca="false">_xlfn.xlookup(D136,'PO Client'!$A:$A,'PO Client'!$C:$C,FALSE())</f>
        <v>Étiquettes Multi-Flex</v>
      </c>
      <c r="F136" s="61"/>
      <c r="G136" s="61" t="n">
        <f aca="false">_xlfn.xlookup(D136,'PO Client'!$A:$A,'PO Client'!$F:$F,FALSE())</f>
        <v>9889</v>
      </c>
      <c r="H136" s="205" t="n">
        <f aca="false">_xlfn.xlookup(D136,'PO Client'!A:A,'PO Client'!L:L,"")</f>
        <v>45630</v>
      </c>
      <c r="I136" s="9" t="n">
        <v>40193</v>
      </c>
      <c r="J136" s="9" t="n">
        <v>30027</v>
      </c>
      <c r="K136" s="62" t="str">
        <f aca="false">_xlfn.xlookup(I136,'Prix vente'!$A:$A,'Prix vente'!$H:$H,"")</f>
        <v>B25</v>
      </c>
      <c r="L136" s="69" t="str">
        <f aca="false">_xlfn.xlookup(J136,'Prix MP'!A:A,'Prix MP'!F:F,FALSE())</f>
        <v>B25-3</v>
      </c>
      <c r="M136" s="69" t="str">
        <f aca="false">_xlfn.xlookup(J136,'Prix MP'!A:A,'Prix MP'!D:D,FALSE())</f>
        <v>Jinda</v>
      </c>
      <c r="N136" s="61" t="str">
        <f aca="false">_xlfn.xlookup(I136,'Prix vente'!$A:$A,'Prix vente'!$J:$J,"")</f>
        <v>White BOPP - Acrylic Adhesive</v>
      </c>
      <c r="O136" s="1" t="n">
        <v>10</v>
      </c>
      <c r="P136" s="1" t="n">
        <v>6</v>
      </c>
      <c r="Y136" s="1" t="n">
        <v>10</v>
      </c>
      <c r="Z136" s="1" t="n">
        <v>10</v>
      </c>
      <c r="AA136" s="1" t="n">
        <v>10</v>
      </c>
      <c r="AB136" s="1" t="n">
        <v>10</v>
      </c>
      <c r="AC136" s="1" t="n">
        <v>10</v>
      </c>
      <c r="AD136" s="1" t="n">
        <v>10</v>
      </c>
      <c r="AI136" s="15" t="s">
        <v>890</v>
      </c>
      <c r="AJ136" s="15" t="n">
        <f aca="false">_xlfn.xlookup(I136,'Prix vente'!$A:$A,'Prix vente'!$Q:$Q,"")</f>
        <v>10000</v>
      </c>
      <c r="AK136" s="15" t="str">
        <f aca="false">IF(_xlfn.xlookup(I136,'Prix vente'!$A:$A,'Prix vente'!$O:$O,"")="msi","pi","m")</f>
        <v>pi</v>
      </c>
      <c r="AL136" s="1" t="n">
        <v>1</v>
      </c>
      <c r="AM136" s="1" t="n">
        <v>6</v>
      </c>
      <c r="AO136" s="1" t="n">
        <v>60000</v>
      </c>
      <c r="AQ136" s="82" t="s">
        <v>1195</v>
      </c>
      <c r="AR136" s="62" t="n">
        <f aca="false">_xlfn.xlookup(I136,'Prix vente'!A:A,'Prix vente'!B:B,FALSE())</f>
        <v>20017</v>
      </c>
    </row>
    <row r="137" customFormat="false" ht="15" hidden="false" customHeight="true" outlineLevel="0" collapsed="false">
      <c r="A137" s="61" t="s">
        <v>1196</v>
      </c>
      <c r="B137" s="214" t="s">
        <v>889</v>
      </c>
      <c r="C137" s="199" t="n">
        <v>45624</v>
      </c>
      <c r="D137" s="9" t="n">
        <v>269</v>
      </c>
      <c r="E137" s="61" t="str">
        <f aca="false">_xlfn.xlookup(D137,'PO Client'!$A:$A,'PO Client'!$C:$C,FALSE())</f>
        <v>Imprimerie Ste-Julie</v>
      </c>
      <c r="F137" s="61"/>
      <c r="G137" s="61" t="n">
        <f aca="false">_xlfn.xlookup(D137,'PO Client'!$A:$A,'PO Client'!$F:$F,FALSE())</f>
        <v>105970</v>
      </c>
      <c r="H137" s="205" t="n">
        <f aca="false">_xlfn.xlookup(D137,'PO Client'!A:A,'PO Client'!L:L,"")</f>
        <v>45628</v>
      </c>
      <c r="I137" s="9" t="n">
        <v>40084</v>
      </c>
      <c r="J137" s="9" t="n">
        <v>30027</v>
      </c>
      <c r="K137" s="62" t="str">
        <f aca="false">_xlfn.xlookup(I137,'Prix vente'!$A:$A,'Prix vente'!$H:$H,"")</f>
        <v>B25</v>
      </c>
      <c r="L137" s="69" t="str">
        <f aca="false">_xlfn.xlookup(J137,'Prix MP'!A:A,'Prix MP'!F:F,FALSE())</f>
        <v>B25-3</v>
      </c>
      <c r="M137" s="69" t="str">
        <f aca="false">_xlfn.xlookup(J137,'Prix MP'!A:A,'Prix MP'!D:D,FALSE())</f>
        <v>Jinda</v>
      </c>
      <c r="N137" s="61" t="str">
        <f aca="false">_xlfn.xlookup(I137,'Prix vente'!$A:$A,'Prix vente'!$J:$J,"")</f>
        <v>White BOPP - Acrylic Adhesive</v>
      </c>
      <c r="O137" s="1" t="n">
        <v>12</v>
      </c>
      <c r="P137" s="1" t="n">
        <v>5</v>
      </c>
      <c r="Y137" s="1" t="n">
        <v>12</v>
      </c>
      <c r="Z137" s="1" t="n">
        <v>12</v>
      </c>
      <c r="AA137" s="1" t="n">
        <v>12</v>
      </c>
      <c r="AB137" s="1" t="n">
        <v>12</v>
      </c>
      <c r="AC137" s="1" t="n">
        <v>12</v>
      </c>
      <c r="AI137" s="15" t="s">
        <v>890</v>
      </c>
      <c r="AJ137" s="15" t="n">
        <f aca="false">_xlfn.xlookup(I137,'Prix vente'!$A:$A,'Prix vente'!$Q:$Q,"")</f>
        <v>5000</v>
      </c>
      <c r="AK137" s="15" t="str">
        <f aca="false">IF(_xlfn.xlookup(I137,'Prix vente'!$A:$A,'Prix vente'!$O:$O,"")="msi","pi","m")</f>
        <v>pi</v>
      </c>
      <c r="AL137" s="1" t="n">
        <v>1</v>
      </c>
      <c r="AM137" s="1" t="n">
        <v>5</v>
      </c>
      <c r="AO137" s="1" t="n">
        <v>25000</v>
      </c>
      <c r="AP137" s="15" t="s">
        <v>1197</v>
      </c>
      <c r="AQ137" s="82" t="s">
        <v>1198</v>
      </c>
      <c r="AR137" s="62" t="n">
        <f aca="false">_xlfn.xlookup(I137,'Prix vente'!A:A,'Prix vente'!B:B,FALSE())</f>
        <v>20017</v>
      </c>
    </row>
    <row r="138" customFormat="false" ht="16.4" hidden="false" customHeight="false" outlineLevel="0" collapsed="false">
      <c r="A138" s="61" t="s">
        <v>1199</v>
      </c>
      <c r="B138" s="214" t="s">
        <v>889</v>
      </c>
      <c r="C138" s="199" t="n">
        <v>45624</v>
      </c>
      <c r="D138" s="9" t="n">
        <v>270</v>
      </c>
      <c r="E138" s="61" t="str">
        <f aca="false">_xlfn.xlookup(D138,'PO Client'!$A:$A,'PO Client'!$C:$C,FALSE())</f>
        <v>Gignac + Unik</v>
      </c>
      <c r="F138" s="61"/>
      <c r="G138" s="61" t="s">
        <v>821</v>
      </c>
      <c r="H138" s="205" t="n">
        <f aca="false">_xlfn.xlookup(D138,'PO Client'!A:A,'PO Client'!L:L,"")</f>
        <v>45632</v>
      </c>
      <c r="I138" s="9" t="n">
        <v>40195</v>
      </c>
      <c r="J138" s="9" t="n">
        <v>30029</v>
      </c>
      <c r="K138" s="62" t="str">
        <f aca="false">_xlfn.xlookup(I138,'Prix vente'!$A:$A,'Prix vente'!$H:$H,"")</f>
        <v>D11</v>
      </c>
      <c r="L138" s="69" t="str">
        <f aca="false">_xlfn.xlookup(J138,'Prix MP'!A:A,'Prix MP'!F:F,FALSE())</f>
        <v>D11-3</v>
      </c>
      <c r="M138" s="69" t="str">
        <f aca="false">_xlfn.xlookup(J138,'Prix MP'!A:A,'Prix MP'!D:D,FALSE())</f>
        <v>Jinda</v>
      </c>
      <c r="N138" s="61" t="str">
        <f aca="false">_xlfn.xlookup(I138,'Prix vente'!$A:$A,'Prix vente'!$J:$J,"")</f>
        <v>TC DT - Hotmelt Adhesive</v>
      </c>
      <c r="O138" s="1" t="n">
        <v>10</v>
      </c>
      <c r="P138" s="1" t="n">
        <v>1</v>
      </c>
      <c r="AI138" s="15" t="s">
        <v>890</v>
      </c>
      <c r="AJ138" s="15" t="n">
        <f aca="false">_xlfn.xlookup(I138,'Prix vente'!$A:$A,'Prix vente'!$Q:$Q,"")</f>
        <v>2500</v>
      </c>
      <c r="AK138" s="15" t="str">
        <f aca="false">IF(_xlfn.xlookup(I138,'Prix vente'!$A:$A,'Prix vente'!$O:$O,"")="msi","pi","m")</f>
        <v>pi</v>
      </c>
      <c r="AM138" s="1" t="n">
        <v>1</v>
      </c>
      <c r="AO138" s="1" t="n">
        <v>4800</v>
      </c>
      <c r="AP138" s="15" t="s">
        <v>1200</v>
      </c>
      <c r="AQ138" s="15" t="s">
        <v>1201</v>
      </c>
      <c r="AR138" s="62" t="n">
        <f aca="false">_xlfn.xlookup(I138,'Prix vente'!A:A,'Prix vente'!B:B,FALSE())</f>
        <v>20024</v>
      </c>
    </row>
    <row r="139" customFormat="false" ht="16.4" hidden="false" customHeight="false" outlineLevel="0" collapsed="false">
      <c r="A139" s="61" t="s">
        <v>1202</v>
      </c>
      <c r="B139" s="214" t="s">
        <v>889</v>
      </c>
      <c r="C139" s="199" t="n">
        <v>45624</v>
      </c>
      <c r="D139" s="9" t="n">
        <v>270</v>
      </c>
      <c r="E139" s="61" t="str">
        <f aca="false">_xlfn.xlookup(D139,'PO Client'!$A:$A,'PO Client'!$C:$C,FALSE())</f>
        <v>Gignac + Unik</v>
      </c>
      <c r="F139" s="61"/>
      <c r="G139" s="61" t="s">
        <v>818</v>
      </c>
      <c r="H139" s="205" t="n">
        <f aca="false">_xlfn.xlookup(D139,'PO Client'!A:A,'PO Client'!L:L,"")</f>
        <v>45632</v>
      </c>
      <c r="I139" s="9" t="n">
        <v>40196</v>
      </c>
      <c r="J139" s="9" t="n">
        <v>30023</v>
      </c>
      <c r="K139" s="62" t="str">
        <f aca="false">_xlfn.xlookup(I139,'Prix vente'!$A:$A,'Prix vente'!$H:$H,"")</f>
        <v>T11</v>
      </c>
      <c r="L139" s="69" t="str">
        <f aca="false">_xlfn.xlookup(J139,'Prix MP'!A:A,'Prix MP'!F:F,FALSE())</f>
        <v>T11-1</v>
      </c>
      <c r="M139" s="69" t="str">
        <f aca="false">_xlfn.xlookup(J139,'Prix MP'!A:A,'Prix MP'!D:D,FALSE())</f>
        <v>AKO</v>
      </c>
      <c r="N139" s="61" t="str">
        <f aca="false">_xlfn.xlookup(I139,'Prix vente'!$A:$A,'Prix vente'!$J:$J,"")</f>
        <v>TT - HM Adhesive</v>
      </c>
      <c r="O139" s="1" t="n">
        <v>10</v>
      </c>
      <c r="P139" s="1" t="n">
        <v>1</v>
      </c>
      <c r="Q139" s="1" t="n">
        <v>24</v>
      </c>
      <c r="R139" s="1" t="n">
        <v>1</v>
      </c>
      <c r="Y139" s="1" t="n">
        <v>10</v>
      </c>
      <c r="Z139" s="1" t="n">
        <v>24</v>
      </c>
      <c r="AI139" s="15" t="s">
        <v>890</v>
      </c>
      <c r="AJ139" s="15" t="n">
        <f aca="false">_xlfn.xlookup(I139,'Prix vente'!$A:$A,'Prix vente'!$Q:$Q,"")</f>
        <v>2500</v>
      </c>
      <c r="AK139" s="15" t="str">
        <f aca="false">IF(_xlfn.xlookup(I139,'Prix vente'!$A:$A,'Prix vente'!$O:$O,"")="msi","pi","m")</f>
        <v>pi</v>
      </c>
      <c r="AL139" s="1" t="n">
        <v>0</v>
      </c>
      <c r="AM139" s="1" t="n">
        <v>1</v>
      </c>
      <c r="AO139" s="1" t="n">
        <v>2500</v>
      </c>
      <c r="AP139" s="15" t="s">
        <v>1203</v>
      </c>
      <c r="AQ139" s="15" t="s">
        <v>1204</v>
      </c>
      <c r="AR139" s="62" t="n">
        <f aca="false">_xlfn.xlookup(I139,'Prix vente'!A:A,'Prix vente'!B:B,FALSE())</f>
        <v>20003</v>
      </c>
    </row>
    <row r="140" customFormat="false" ht="16.4" hidden="false" customHeight="false" outlineLevel="0" collapsed="false">
      <c r="A140" s="61" t="s">
        <v>1205</v>
      </c>
      <c r="B140" s="214" t="s">
        <v>889</v>
      </c>
      <c r="C140" s="199" t="n">
        <v>45624</v>
      </c>
      <c r="D140" s="9" t="n">
        <v>270</v>
      </c>
      <c r="E140" s="61" t="str">
        <f aca="false">_xlfn.xlookup(D140,'PO Client'!$A:$A,'PO Client'!$C:$C,FALSE())</f>
        <v>Gignac + Unik</v>
      </c>
      <c r="F140" s="61"/>
      <c r="G140" s="61" t="s">
        <v>1035</v>
      </c>
      <c r="H140" s="205" t="n">
        <f aca="false">_xlfn.xlookup(D140,'PO Client'!A:A,'PO Client'!L:L,"")</f>
        <v>45632</v>
      </c>
      <c r="I140" s="9" t="n">
        <v>40197</v>
      </c>
      <c r="J140" s="9" t="n">
        <v>30015</v>
      </c>
      <c r="K140" s="62" t="str">
        <f aca="false">_xlfn.xlookup(I140,'Prix vente'!$A:$A,'Prix vente'!$H:$H,"")</f>
        <v>S15</v>
      </c>
      <c r="L140" s="69" t="str">
        <f aca="false">_xlfn.xlookup(J140,'Prix MP'!A:A,'Prix MP'!F:F,FALSE())</f>
        <v>S15-3</v>
      </c>
      <c r="M140" s="69" t="str">
        <f aca="false">_xlfn.xlookup(J140,'Prix MP'!A:A,'Prix MP'!D:D,FALSE())</f>
        <v>Jinda</v>
      </c>
      <c r="N140" s="61" t="str">
        <f aca="false">_xlfn.xlookup(I140,'Prix vente'!$A:$A,'Prix vente'!$J:$J,"")</f>
        <v>SG - Acrylic Adhesive</v>
      </c>
      <c r="O140" s="1" t="n">
        <v>10</v>
      </c>
      <c r="P140" s="1" t="n">
        <v>1</v>
      </c>
      <c r="Q140" s="1" t="n">
        <v>20.5</v>
      </c>
      <c r="R140" s="1" t="n">
        <v>1</v>
      </c>
      <c r="Y140" s="1" t="n">
        <v>10</v>
      </c>
      <c r="Z140" s="1" t="n">
        <v>205</v>
      </c>
      <c r="AI140" s="15" t="s">
        <v>890</v>
      </c>
      <c r="AJ140" s="15" t="n">
        <f aca="false">_xlfn.xlookup(I140,'Prix vente'!$A:$A,'Prix vente'!$Q:$Q,"")</f>
        <v>2500</v>
      </c>
      <c r="AK140" s="15" t="str">
        <f aca="false">IF(_xlfn.xlookup(I140,'Prix vente'!$A:$A,'Prix vente'!$O:$O,"")="msi","pi","m")</f>
        <v>pi</v>
      </c>
      <c r="AL140" s="1" t="n">
        <v>0</v>
      </c>
      <c r="AM140" s="1" t="n">
        <v>1</v>
      </c>
      <c r="AO140" s="1" t="n">
        <v>2500</v>
      </c>
      <c r="AP140" s="15" t="s">
        <v>1206</v>
      </c>
      <c r="AQ140" s="15" t="s">
        <v>1207</v>
      </c>
      <c r="AR140" s="62" t="n">
        <f aca="false">_xlfn.xlookup(I140,'Prix vente'!A:A,'Prix vente'!B:B,FALSE())</f>
        <v>20015</v>
      </c>
    </row>
    <row r="141" customFormat="false" ht="15" hidden="false" customHeight="true" outlineLevel="0" collapsed="false">
      <c r="A141" s="61" t="s">
        <v>1208</v>
      </c>
      <c r="B141" s="1" t="s">
        <v>889</v>
      </c>
      <c r="C141" s="199" t="n">
        <v>45628</v>
      </c>
      <c r="D141" s="9" t="n">
        <v>271</v>
      </c>
      <c r="E141" s="61" t="str">
        <f aca="false">_xlfn.xlookup(D141,'PO Client'!$A:$A,'PO Client'!$C:$C,FALSE())</f>
        <v>Emballages Mijo</v>
      </c>
      <c r="F141" s="61"/>
      <c r="G141" s="61" t="n">
        <f aca="false">_xlfn.xlookup(D141,'PO Client'!$A:$A,'PO Client'!$F:$F,FALSE())</f>
        <v>14302</v>
      </c>
      <c r="H141" s="205" t="n">
        <f aca="false">_xlfn.xlookup(D141,'PO Client'!A:A,'PO Client'!L:L,"")</f>
        <v>45631</v>
      </c>
      <c r="I141" s="9" t="n">
        <v>40171</v>
      </c>
      <c r="J141" s="9" t="n">
        <v>30031</v>
      </c>
      <c r="K141" s="62" t="str">
        <f aca="false">_xlfn.xlookup(I141,'Prix vente'!$A:$A,'Prix vente'!$H:$H,"")</f>
        <v>S15</v>
      </c>
      <c r="L141" s="69" t="str">
        <f aca="false">_xlfn.xlookup(J141,'Prix MP'!A:A,'Prix MP'!F:F,FALSE())</f>
        <v>S15-3</v>
      </c>
      <c r="M141" s="69" t="str">
        <f aca="false">_xlfn.xlookup(J141,'Prix MP'!A:A,'Prix MP'!D:D,FALSE())</f>
        <v>Jinda</v>
      </c>
      <c r="N141" s="61" t="str">
        <f aca="false">_xlfn.xlookup(I141,'Prix vente'!$A:$A,'Prix vente'!$J:$J,"")</f>
        <v>SG - Acrylic Adhesive</v>
      </c>
      <c r="O141" s="1" t="n">
        <v>10</v>
      </c>
      <c r="P141" s="1" t="n">
        <v>6</v>
      </c>
      <c r="Q141" s="1" t="n">
        <v>12</v>
      </c>
      <c r="R141" s="1" t="n">
        <v>10</v>
      </c>
      <c r="AI141" s="15" t="s">
        <v>890</v>
      </c>
      <c r="AJ141" s="15" t="s">
        <v>1209</v>
      </c>
      <c r="AK141" s="15" t="str">
        <f aca="false">IF(_xlfn.xlookup(I141,'Prix vente'!$A:$A,'Prix vente'!$O:$O,"")="msi","pi","m")</f>
        <v>pi</v>
      </c>
      <c r="AL141" s="1" t="n">
        <v>2</v>
      </c>
      <c r="AM141" s="1" t="n">
        <v>16</v>
      </c>
      <c r="AO141" s="15" t="n">
        <f aca="false">75000+60000</f>
        <v>135000</v>
      </c>
      <c r="AQ141" s="82" t="s">
        <v>1210</v>
      </c>
      <c r="AR141" s="62" t="n">
        <f aca="false">_xlfn.xlookup(I141,'Prix vente'!A:A,'Prix vente'!B:B,FALSE())</f>
        <v>20015</v>
      </c>
    </row>
    <row r="142" customFormat="false" ht="15" hidden="false" customHeight="true" outlineLevel="0" collapsed="false">
      <c r="A142" s="61" t="s">
        <v>1211</v>
      </c>
      <c r="B142" s="1" t="s">
        <v>889</v>
      </c>
      <c r="C142" s="199" t="n">
        <v>45628</v>
      </c>
      <c r="D142" s="9" t="n">
        <v>272</v>
      </c>
      <c r="E142" s="61" t="s">
        <v>1212</v>
      </c>
      <c r="F142" s="61"/>
      <c r="G142" s="61" t="n">
        <f aca="false">_xlfn.xlookup(D142,'PO Client'!$A:$A,'PO Client'!$F:$F,FALSE())</f>
        <v>281124</v>
      </c>
      <c r="H142" s="205" t="n">
        <f aca="false">_xlfn.xlookup(D142,'PO Client'!A:A,'PO Client'!L:L,"")</f>
        <v>45628</v>
      </c>
      <c r="I142" s="9" t="n">
        <v>40199</v>
      </c>
      <c r="J142" s="9" t="n">
        <v>30029</v>
      </c>
      <c r="K142" s="62" t="str">
        <f aca="false">_xlfn.xlookup(I142,'Prix vente'!$A:$A,'Prix vente'!$H:$H,"")</f>
        <v>D21</v>
      </c>
      <c r="L142" s="69" t="str">
        <f aca="false">_xlfn.xlookup(J142,'Prix MP'!A:A,'Prix MP'!F:F,FALSE())</f>
        <v>D11-3</v>
      </c>
      <c r="M142" s="69" t="str">
        <f aca="false">_xlfn.xlookup(J142,'Prix MP'!A:A,'Prix MP'!D:D,FALSE())</f>
        <v>Jinda</v>
      </c>
      <c r="N142" s="61" t="str">
        <f aca="false">_xlfn.xlookup(I142,'Prix vente'!$A:$A,'Prix vente'!$J:$J,"")</f>
        <v>TC DT - Hotmelt Adhesive</v>
      </c>
      <c r="O142" s="1" t="n">
        <v>8.75</v>
      </c>
      <c r="P142" s="1" t="n">
        <v>9</v>
      </c>
      <c r="Q142" s="1" t="n">
        <v>7.5</v>
      </c>
      <c r="R142" s="1" t="n">
        <v>1</v>
      </c>
      <c r="S142" s="1" t="n">
        <v>10</v>
      </c>
      <c r="T142" s="1" t="n">
        <v>1</v>
      </c>
      <c r="U142" s="1" t="n">
        <v>23.75</v>
      </c>
      <c r="V142" s="1" t="n">
        <v>1</v>
      </c>
      <c r="AI142" s="15" t="s">
        <v>890</v>
      </c>
      <c r="AJ142" s="1" t="n">
        <v>4800</v>
      </c>
      <c r="AK142" s="15" t="str">
        <f aca="false">IF(_xlfn.xlookup(I142,'Prix vente'!$A:$A,'Prix vente'!$O:$O,"")="msi","pi","m")</f>
        <v>pi</v>
      </c>
      <c r="AM142" s="15" t="s">
        <v>1213</v>
      </c>
      <c r="AO142" s="15" t="n">
        <f aca="false">9*5000</f>
        <v>45000</v>
      </c>
      <c r="AP142" s="15" t="s">
        <v>1214</v>
      </c>
      <c r="AQ142" s="82" t="s">
        <v>1215</v>
      </c>
      <c r="AR142" s="62" t="n">
        <f aca="false">_xlfn.xlookup(I142,'Prix vente'!A:A,'Prix vente'!B:B,FALSE())</f>
        <v>20024</v>
      </c>
    </row>
    <row r="143" customFormat="false" ht="16.4" hidden="false" customHeight="false" outlineLevel="0" collapsed="false">
      <c r="A143" s="61" t="s">
        <v>1216</v>
      </c>
      <c r="B143" s="1" t="s">
        <v>889</v>
      </c>
      <c r="C143" s="199" t="n">
        <v>45628</v>
      </c>
      <c r="E143" s="61" t="s">
        <v>222</v>
      </c>
      <c r="F143" s="61"/>
      <c r="G143" s="61" t="s">
        <v>1031</v>
      </c>
      <c r="H143" s="205" t="n">
        <v>45629</v>
      </c>
      <c r="J143" s="9" t="n">
        <v>30011</v>
      </c>
      <c r="K143" s="62" t="s">
        <v>602</v>
      </c>
      <c r="L143" s="69" t="str">
        <f aca="false">_xlfn.xlookup(J143,'Prix MP'!A:A,'Prix MP'!F:F,FALSE())</f>
        <v>S21-1</v>
      </c>
      <c r="M143" s="69" t="str">
        <f aca="false">_xlfn.xlookup(J143,'Prix MP'!A:A,'Prix MP'!D:D,FALSE())</f>
        <v>AKO</v>
      </c>
      <c r="N143" s="61" t="s">
        <v>366</v>
      </c>
      <c r="O143" s="1" t="n">
        <v>13</v>
      </c>
      <c r="P143" s="1" t="n">
        <v>2</v>
      </c>
      <c r="Q143" s="15" t="n">
        <f aca="false">47-13</f>
        <v>34</v>
      </c>
      <c r="R143" s="1" t="n">
        <v>1</v>
      </c>
      <c r="Y143" s="1" t="n">
        <v>13</v>
      </c>
      <c r="Z143" s="1" t="n">
        <v>34</v>
      </c>
      <c r="AI143" s="15" t="s">
        <v>890</v>
      </c>
      <c r="AJ143" s="1" t="n">
        <v>2200</v>
      </c>
      <c r="AK143" s="15" t="s">
        <v>891</v>
      </c>
      <c r="AM143" s="1" t="n">
        <v>2</v>
      </c>
      <c r="AO143" s="1" t="n">
        <v>4500</v>
      </c>
      <c r="AP143" s="15" t="s">
        <v>1217</v>
      </c>
      <c r="AQ143" s="15" t="s">
        <v>1218</v>
      </c>
      <c r="AR143" s="62" t="e">
        <f aca="false">_xlfn.xlookup(I143,'Prix vente'!A:A,'Prix vente'!B:B,FALSE())</f>
        <v>#NAME?</v>
      </c>
    </row>
    <row r="144" customFormat="false" ht="15" hidden="false" customHeight="true" outlineLevel="0" collapsed="false">
      <c r="A144" s="61" t="s">
        <v>1219</v>
      </c>
      <c r="B144" s="1" t="s">
        <v>889</v>
      </c>
      <c r="C144" s="199" t="n">
        <v>45629</v>
      </c>
      <c r="D144" s="9" t="n">
        <v>274</v>
      </c>
      <c r="E144" s="61" t="str">
        <f aca="false">_xlfn.xlookup(D144,'PO Client'!$A:$A,'PO Client'!$C:$C,FALSE())</f>
        <v>Imprimerie Ste-Julie</v>
      </c>
      <c r="F144" s="61"/>
      <c r="G144" s="61" t="n">
        <f aca="false">_xlfn.xlookup(D144,'PO Client'!$A:$A,'PO Client'!$F:$F,FALSE())</f>
        <v>106059</v>
      </c>
      <c r="H144" s="205" t="n">
        <f aca="false">_xlfn.xlookup(D144,'PO Client'!A:A,'PO Client'!L:L,"")</f>
        <v>45635</v>
      </c>
      <c r="I144" s="9" t="n">
        <v>40048</v>
      </c>
      <c r="J144" s="9" t="n">
        <v>30011</v>
      </c>
      <c r="K144" s="62" t="str">
        <f aca="false">_xlfn.xlookup(I144,'Prix vente'!$A:$A,'Prix vente'!$H:$H,"")</f>
        <v>S21</v>
      </c>
      <c r="L144" s="69" t="str">
        <f aca="false">_xlfn.xlookup(J144,'Prix MP'!A:A,'Prix MP'!F:F,FALSE())</f>
        <v>S21-1</v>
      </c>
      <c r="M144" s="69" t="str">
        <f aca="false">_xlfn.xlookup(J144,'Prix MP'!A:A,'Prix MP'!D:D,FALSE())</f>
        <v>AKO</v>
      </c>
      <c r="N144" s="61" t="str">
        <f aca="false">_xlfn.xlookup(I144,'Prix vente'!$A:$A,'Prix vente'!$J:$J,"")</f>
        <v>SG - Hotmelt Adhesive</v>
      </c>
      <c r="O144" s="1" t="n">
        <v>12</v>
      </c>
      <c r="P144" s="1" t="n">
        <v>5</v>
      </c>
      <c r="Y144" s="1" t="n">
        <v>12</v>
      </c>
      <c r="Z144" s="1" t="n">
        <v>12</v>
      </c>
      <c r="AA144" s="1" t="n">
        <v>12</v>
      </c>
      <c r="AB144" s="1" t="n">
        <v>12</v>
      </c>
      <c r="AC144" s="1" t="n">
        <v>12</v>
      </c>
      <c r="AI144" s="15" t="s">
        <v>890</v>
      </c>
      <c r="AJ144" s="15" t="n">
        <f aca="false">_xlfn.xlookup(I144,'Prix vente'!$A:$A,'Prix vente'!$Q:$Q,"")</f>
        <v>5000</v>
      </c>
      <c r="AK144" s="15" t="str">
        <f aca="false">IF(_xlfn.xlookup(I144,'Prix vente'!$A:$A,'Prix vente'!$O:$O,"")="msi","pi","m")</f>
        <v>pi</v>
      </c>
      <c r="AL144" s="1" t="n">
        <v>1</v>
      </c>
      <c r="AM144" s="1" t="n">
        <v>5</v>
      </c>
      <c r="AO144" s="1" t="n">
        <v>25000</v>
      </c>
      <c r="AQ144" s="82" t="s">
        <v>1220</v>
      </c>
      <c r="AR144" s="62" t="n">
        <f aca="false">_xlfn.xlookup(I144,'Prix vente'!A:A,'Prix vente'!B:B,FALSE())</f>
        <v>20011</v>
      </c>
    </row>
    <row r="145" customFormat="false" ht="15" hidden="false" customHeight="true" outlineLevel="0" collapsed="false">
      <c r="A145" s="61" t="s">
        <v>1221</v>
      </c>
      <c r="B145" s="1" t="s">
        <v>889</v>
      </c>
      <c r="C145" s="199" t="n">
        <v>45631</v>
      </c>
      <c r="D145" s="9" t="n">
        <v>275</v>
      </c>
      <c r="E145" s="61" t="str">
        <f aca="false">_xlfn.xlookup(D145,'PO Client'!$A:$A,'PO Client'!$C:$C,FALSE())</f>
        <v>Digi America Inc.</v>
      </c>
      <c r="F145" s="61"/>
      <c r="G145" s="61" t="n">
        <f aca="false">_xlfn.xlookup(D145,'PO Client'!$A:$A,'PO Client'!$F:$F,FALSE())</f>
        <v>50008916</v>
      </c>
      <c r="H145" s="205" t="n">
        <f aca="false">_xlfn.xlookup(D145,'PO Client'!A:A,'PO Client'!L:L,"")</f>
        <v>45637</v>
      </c>
      <c r="I145" s="9" t="n">
        <v>40054</v>
      </c>
      <c r="J145" s="9" t="n">
        <v>30025</v>
      </c>
      <c r="K145" s="62" t="str">
        <f aca="false">_xlfn.xlookup(I145,'Prix vente'!$A:$A,'Prix vente'!$H:$H,"")</f>
        <v>D16</v>
      </c>
      <c r="L145" s="69" t="str">
        <f aca="false">_xlfn.xlookup(J145,'Prix MP'!A:A,'Prix MP'!F:F,FALSE())</f>
        <v>D11-1</v>
      </c>
      <c r="M145" s="69" t="str">
        <f aca="false">_xlfn.xlookup(J145,'Prix MP'!A:A,'Prix MP'!D:D,FALSE())</f>
        <v>AKO</v>
      </c>
      <c r="N145" s="61" t="str">
        <f aca="false">_xlfn.xlookup(I145,'Prix vente'!$A:$A,'Prix vente'!$J:$J,"")</f>
        <v>DT Paper, Acrylic adhesive</v>
      </c>
      <c r="O145" s="1" t="n">
        <v>9.5</v>
      </c>
      <c r="P145" s="1" t="n">
        <v>10</v>
      </c>
      <c r="Y145" s="1" t="n">
        <v>9.5</v>
      </c>
      <c r="Z145" s="1" t="n">
        <v>9.5</v>
      </c>
      <c r="AA145" s="1" t="n">
        <v>9.5</v>
      </c>
      <c r="AB145" s="1" t="n">
        <v>9.5</v>
      </c>
      <c r="AC145" s="1" t="n">
        <v>9.5</v>
      </c>
      <c r="AI145" s="15" t="s">
        <v>890</v>
      </c>
      <c r="AJ145" s="1" t="n">
        <v>4800</v>
      </c>
      <c r="AK145" s="15" t="str">
        <f aca="false">IF(_xlfn.xlookup(I145,'Prix vente'!$A:$A,'Prix vente'!$O:$O,"")="msi","pi","m")</f>
        <v>pi</v>
      </c>
      <c r="AM145" s="1" t="n">
        <v>10</v>
      </c>
      <c r="AO145" s="1" t="n">
        <v>50000</v>
      </c>
      <c r="AP145" s="15" t="s">
        <v>1163</v>
      </c>
      <c r="AQ145" s="82" t="s">
        <v>1222</v>
      </c>
      <c r="AR145" s="62" t="n">
        <f aca="false">_xlfn.xlookup(I145,'Prix vente'!A:A,'Prix vente'!B:B,FALSE())</f>
        <v>20013</v>
      </c>
    </row>
    <row r="146" customFormat="false" ht="15" hidden="false" customHeight="true" outlineLevel="0" collapsed="false">
      <c r="A146" s="61" t="s">
        <v>1223</v>
      </c>
      <c r="B146" s="1" t="s">
        <v>889</v>
      </c>
      <c r="C146" s="199" t="n">
        <v>45631</v>
      </c>
      <c r="D146" s="9" t="n">
        <v>276</v>
      </c>
      <c r="E146" s="61" t="str">
        <f aca="false">_xlfn.xlookup(D146,'PO Client'!$A:$A,'PO Client'!$C:$C,FALSE())</f>
        <v>Étiquettes Luso-Flex</v>
      </c>
      <c r="F146" s="61"/>
      <c r="G146" s="61" t="n">
        <f aca="false">_xlfn.xlookup(D146,'PO Client'!$A:$A,'PO Client'!$F:$F,FALSE())</f>
        <v>1958</v>
      </c>
      <c r="H146" s="205" t="n">
        <f aca="false">_xlfn.xlookup(D146,'PO Client'!A:A,'PO Client'!L:L,"")</f>
        <v>45638</v>
      </c>
      <c r="I146" s="9" t="n">
        <v>40156</v>
      </c>
      <c r="J146" s="9" t="n">
        <v>30026</v>
      </c>
      <c r="K146" s="62" t="str">
        <f aca="false">_xlfn.xlookup(I146,'Prix vente'!$A:$A,'Prix vente'!$H:$H,"")</f>
        <v>D21</v>
      </c>
      <c r="L146" s="69" t="str">
        <f aca="false">_xlfn.xlookup(J146,'Prix MP'!A:A,'Prix MP'!F:F,FALSE())</f>
        <v>D11-2</v>
      </c>
      <c r="M146" s="69" t="str">
        <f aca="false">_xlfn.xlookup(J146,'Prix MP'!A:A,'Prix MP'!D:D,FALSE())</f>
        <v>Etsuhiro</v>
      </c>
      <c r="N146" s="61" t="str">
        <f aca="false">_xlfn.xlookup(I146,'Prix vente'!$A:$A,'Prix vente'!$J:$J,"")</f>
        <v>TC DT - Hotmelt Adhesive</v>
      </c>
      <c r="O146" s="1" t="n">
        <v>8.6</v>
      </c>
      <c r="P146" s="1" t="n">
        <v>14</v>
      </c>
      <c r="Y146" s="1" t="n">
        <v>8.6</v>
      </c>
      <c r="Z146" s="1" t="n">
        <v>8.6</v>
      </c>
      <c r="AA146" s="1" t="n">
        <v>8.6</v>
      </c>
      <c r="AB146" s="1" t="n">
        <v>8.6</v>
      </c>
      <c r="AC146" s="1" t="n">
        <v>8.6</v>
      </c>
      <c r="AD146" s="1" t="n">
        <v>8.6</v>
      </c>
      <c r="AE146" s="1" t="n">
        <v>8.6</v>
      </c>
      <c r="AI146" s="15" t="s">
        <v>890</v>
      </c>
      <c r="AJ146" s="1" t="n">
        <v>9800</v>
      </c>
      <c r="AK146" s="15" t="str">
        <f aca="false">IF(_xlfn.xlookup(I146,'Prix vente'!$A:$A,'Prix vente'!$O:$O,"")="msi","pi","m")</f>
        <v>pi</v>
      </c>
      <c r="AL146" s="1" t="n">
        <v>2</v>
      </c>
      <c r="AM146" s="1" t="n">
        <v>14</v>
      </c>
      <c r="AO146" s="15" t="n">
        <f aca="false">140000</f>
        <v>140000</v>
      </c>
      <c r="AP146" s="1" t="n">
        <v>10036</v>
      </c>
      <c r="AQ146" s="82" t="s">
        <v>1224</v>
      </c>
      <c r="AR146" s="62" t="n">
        <f aca="false">_xlfn.xlookup(I146,'Prix vente'!A:A,'Prix vente'!B:B,FALSE())</f>
        <v>20025</v>
      </c>
    </row>
    <row r="147" customFormat="false" ht="15" hidden="false" customHeight="true" outlineLevel="0" collapsed="false">
      <c r="A147" s="61" t="s">
        <v>1225</v>
      </c>
      <c r="B147" s="1" t="s">
        <v>889</v>
      </c>
      <c r="C147" s="199" t="n">
        <v>45631</v>
      </c>
      <c r="D147" s="9" t="n">
        <v>277</v>
      </c>
      <c r="E147" s="61" t="str">
        <f aca="false">_xlfn.xlookup(D147,'PO Client'!$A:$A,'PO Client'!$C:$C,FALSE())</f>
        <v>Étiquettes Luso-Flex</v>
      </c>
      <c r="F147" s="61"/>
      <c r="G147" s="61" t="n">
        <f aca="false">_xlfn.xlookup(D147,'PO Client'!$A:$A,'PO Client'!$F:$F,FALSE())</f>
        <v>1959</v>
      </c>
      <c r="H147" s="205" t="n">
        <f aca="false">_xlfn.xlookup(D147,'PO Client'!A:A,'PO Client'!L:L,"")</f>
        <v>45638</v>
      </c>
      <c r="I147" s="9" t="n">
        <v>40202</v>
      </c>
      <c r="J147" s="9" t="n">
        <v>30017</v>
      </c>
      <c r="K147" s="62" t="str">
        <f aca="false">_xlfn.xlookup(I147,'Prix vente'!$A:$A,'Prix vente'!$H:$H,"")</f>
        <v>B25</v>
      </c>
      <c r="L147" s="69" t="str">
        <f aca="false">_xlfn.xlookup(J147,'Prix MP'!A:A,'Prix MP'!F:F,FALSE())</f>
        <v>B25-3</v>
      </c>
      <c r="M147" s="69" t="str">
        <f aca="false">_xlfn.xlookup(J147,'Prix MP'!A:A,'Prix MP'!D:D,FALSE())</f>
        <v>Jinda</v>
      </c>
      <c r="N147" s="61" t="str">
        <f aca="false">_xlfn.xlookup(I147,'Prix vente'!$A:$A,'Prix vente'!$J:$J,"")</f>
        <v>White BOPP - Acrylic Adhesive</v>
      </c>
      <c r="O147" s="1" t="n">
        <v>4.75</v>
      </c>
      <c r="P147" s="1" t="n">
        <v>2</v>
      </c>
      <c r="Y147" s="1" t="n">
        <v>4.75</v>
      </c>
      <c r="Z147" s="1" t="n">
        <v>4.75</v>
      </c>
      <c r="AI147" s="15" t="s">
        <v>890</v>
      </c>
      <c r="AJ147" s="15" t="n">
        <f aca="false">_xlfn.xlookup(I147,'Prix vente'!$A:$A,'Prix vente'!$Q:$Q,"")</f>
        <v>2500</v>
      </c>
      <c r="AK147" s="15" t="str">
        <f aca="false">IF(_xlfn.xlookup(I147,'Prix vente'!$A:$A,'Prix vente'!$O:$O,"")="msi","pi","m")</f>
        <v>pi</v>
      </c>
      <c r="AM147" s="1" t="n">
        <v>2</v>
      </c>
      <c r="AO147" s="1" t="n">
        <v>5000</v>
      </c>
      <c r="AQ147" s="82" t="s">
        <v>1226</v>
      </c>
      <c r="AR147" s="62" t="n">
        <f aca="false">_xlfn.xlookup(I147,'Prix vente'!A:A,'Prix vente'!B:B,FALSE())</f>
        <v>20017</v>
      </c>
    </row>
    <row r="148" customFormat="false" ht="15" hidden="false" customHeight="true" outlineLevel="0" collapsed="false">
      <c r="A148" s="61" t="s">
        <v>1227</v>
      </c>
      <c r="B148" s="1" t="s">
        <v>889</v>
      </c>
      <c r="C148" s="199" t="n">
        <v>45635</v>
      </c>
      <c r="D148" s="9" t="n">
        <v>278</v>
      </c>
      <c r="E148" s="61" t="str">
        <f aca="false">_xlfn.xlookup(D148,'PO Client'!$A:$A,'PO Client'!$C:$C,FALSE())</f>
        <v>Imprimerie Ste-Julie</v>
      </c>
      <c r="F148" s="61"/>
      <c r="G148" s="61" t="n">
        <f aca="false">_xlfn.xlookup(D148,'PO Client'!$A:$A,'PO Client'!$F:$F,FALSE())</f>
        <v>106205</v>
      </c>
      <c r="H148" s="205" t="n">
        <f aca="false">_xlfn.xlookup(D148,'PO Client'!A:A,'PO Client'!L:L,"")</f>
        <v>45639</v>
      </c>
      <c r="I148" s="9" t="n">
        <v>40117</v>
      </c>
      <c r="J148" s="9" t="n">
        <v>30015</v>
      </c>
      <c r="K148" s="62" t="str">
        <f aca="false">_xlfn.xlookup(I148,'Prix vente'!$A:$A,'Prix vente'!$H:$H,"")</f>
        <v>S15</v>
      </c>
      <c r="L148" s="69" t="str">
        <f aca="false">_xlfn.xlookup(J148,'Prix MP'!A:A,'Prix MP'!F:F,FALSE())</f>
        <v>S15-3</v>
      </c>
      <c r="M148" s="69" t="str">
        <f aca="false">_xlfn.xlookup(J148,'Prix MP'!A:A,'Prix MP'!D:D,FALSE())</f>
        <v>Jinda</v>
      </c>
      <c r="N148" s="61" t="str">
        <f aca="false">_xlfn.xlookup(I148,'Prix vente'!$A:$A,'Prix vente'!$J:$J,"")</f>
        <v>SG - Acrylic Adhesive</v>
      </c>
      <c r="O148" s="1" t="n">
        <v>10</v>
      </c>
      <c r="P148" s="1" t="n">
        <v>4</v>
      </c>
      <c r="Q148" s="1" t="n">
        <v>13</v>
      </c>
      <c r="R148" s="1" t="n">
        <v>1</v>
      </c>
      <c r="S148" s="1" t="n">
        <v>7</v>
      </c>
      <c r="T148" s="1" t="n">
        <v>1</v>
      </c>
      <c r="Y148" s="1" t="n">
        <v>10</v>
      </c>
      <c r="Z148" s="1" t="n">
        <v>10</v>
      </c>
      <c r="AA148" s="1" t="n">
        <v>10</v>
      </c>
      <c r="AB148" s="1" t="n">
        <v>10</v>
      </c>
      <c r="AC148" s="1" t="n">
        <v>13</v>
      </c>
      <c r="AD148" s="1" t="n">
        <v>7</v>
      </c>
      <c r="AI148" s="15" t="s">
        <v>890</v>
      </c>
      <c r="AJ148" s="1" t="n">
        <v>5000</v>
      </c>
      <c r="AK148" s="15" t="str">
        <f aca="false">IF(_xlfn.xlookup(I148,'Prix vente'!$A:$A,'Prix vente'!$O:$O,"")="msi","pi","m")</f>
        <v>pi</v>
      </c>
      <c r="AM148" s="1" t="n">
        <v>6</v>
      </c>
      <c r="AO148" s="1" t="n">
        <v>30000</v>
      </c>
      <c r="AP148" s="15" t="s">
        <v>1228</v>
      </c>
      <c r="AQ148" s="82" t="s">
        <v>1229</v>
      </c>
      <c r="AR148" s="62" t="n">
        <f aca="false">_xlfn.xlookup(I148,'Prix vente'!A:A,'Prix vente'!B:B,FALSE())</f>
        <v>20015</v>
      </c>
    </row>
    <row r="149" customFormat="false" ht="15" hidden="false" customHeight="true" outlineLevel="0" collapsed="false">
      <c r="A149" s="61" t="s">
        <v>1230</v>
      </c>
      <c r="B149" s="1" t="s">
        <v>889</v>
      </c>
      <c r="C149" s="199" t="n">
        <v>45636</v>
      </c>
      <c r="D149" s="9" t="n">
        <v>279</v>
      </c>
      <c r="E149" s="61" t="str">
        <f aca="false">_xlfn.xlookup(D149,'PO Client'!$A:$A,'PO Client'!$C:$C,FALSE())</f>
        <v>Damaflex Imprimerie Multiservices Inc.</v>
      </c>
      <c r="F149" s="61"/>
      <c r="G149" s="61" t="n">
        <f aca="false">_xlfn.xlookup(D149,'PO Client'!$A:$A,'PO Client'!$F:$F,FALSE())</f>
        <v>179977</v>
      </c>
      <c r="H149" s="205" t="n">
        <f aca="false">_xlfn.xlookup(D149,'PO Client'!A:A,'PO Client'!L:L,"")</f>
        <v>45642</v>
      </c>
      <c r="I149" s="9" t="n">
        <v>40144</v>
      </c>
      <c r="J149" s="9" t="n">
        <v>30025</v>
      </c>
      <c r="K149" s="62" t="str">
        <f aca="false">_xlfn.xlookup(I149,'Prix vente'!$A:$A,'Prix vente'!$H:$H,"")</f>
        <v>D11</v>
      </c>
      <c r="L149" s="69" t="str">
        <f aca="false">_xlfn.xlookup(J149,'Prix MP'!A:A,'Prix MP'!F:F,FALSE())</f>
        <v>D11-1</v>
      </c>
      <c r="M149" s="69" t="str">
        <f aca="false">_xlfn.xlookup(J149,'Prix MP'!A:A,'Prix MP'!D:D,FALSE())</f>
        <v>AKO</v>
      </c>
      <c r="N149" s="61" t="str">
        <f aca="false">_xlfn.xlookup(I149,'Prix vente'!$A:$A,'Prix vente'!$J:$J,"")</f>
        <v>TC DT - Hotmelt Adhesive</v>
      </c>
      <c r="O149" s="1" t="n">
        <v>9</v>
      </c>
      <c r="P149" s="1" t="n">
        <v>2</v>
      </c>
      <c r="Q149" s="1" t="n">
        <v>9.5</v>
      </c>
      <c r="R149" s="1" t="n">
        <v>8</v>
      </c>
      <c r="S149" s="1" t="n">
        <v>6.5</v>
      </c>
      <c r="T149" s="1" t="n">
        <v>4</v>
      </c>
      <c r="Y149" s="1" t="n">
        <v>9</v>
      </c>
      <c r="Z149" s="1" t="n">
        <v>9.5</v>
      </c>
      <c r="AA149" s="1" t="n">
        <v>9.5</v>
      </c>
      <c r="AB149" s="1" t="n">
        <v>9.5</v>
      </c>
      <c r="AC149" s="1" t="n">
        <v>9.5</v>
      </c>
      <c r="AD149" s="1" t="n">
        <v>6.5</v>
      </c>
      <c r="AE149" s="1" t="n">
        <v>6.5</v>
      </c>
      <c r="AI149" s="15" t="s">
        <v>890</v>
      </c>
      <c r="AJ149" s="1" t="n">
        <v>4800</v>
      </c>
      <c r="AK149" s="15" t="str">
        <f aca="false">IF(_xlfn.xlookup(I149,'Prix vente'!$A:$A,'Prix vente'!$O:$O,"")="msi","pi","m")</f>
        <v>pi</v>
      </c>
      <c r="AL149" s="1" t="n">
        <v>1</v>
      </c>
      <c r="AM149" s="1" t="n">
        <v>14</v>
      </c>
      <c r="AO149" s="15" t="n">
        <f aca="false">14*5000</f>
        <v>70000</v>
      </c>
      <c r="AP149" s="15" t="s">
        <v>1163</v>
      </c>
      <c r="AQ149" s="82" t="s">
        <v>1231</v>
      </c>
      <c r="AR149" s="62" t="n">
        <f aca="false">_xlfn.xlookup(I149,'Prix vente'!A:A,'Prix vente'!B:B,FALSE())</f>
        <v>20013</v>
      </c>
    </row>
    <row r="150" customFormat="false" ht="15" hidden="false" customHeight="true" outlineLevel="0" collapsed="false">
      <c r="A150" s="61" t="s">
        <v>1232</v>
      </c>
      <c r="B150" s="1" t="s">
        <v>889</v>
      </c>
      <c r="C150" s="199" t="n">
        <v>45636</v>
      </c>
      <c r="D150" s="9" t="n">
        <v>281</v>
      </c>
      <c r="E150" s="61" t="str">
        <f aca="false">_xlfn.xlookup(D150,'PO Client'!$A:$A,'PO Client'!$C:$C,FALSE())</f>
        <v>Imprimerie Ste-Julie</v>
      </c>
      <c r="F150" s="61"/>
      <c r="G150" s="61" t="n">
        <f aca="false">_xlfn.xlookup(D150,'PO Client'!$A:$A,'PO Client'!$F:$F,FALSE())</f>
        <v>106247</v>
      </c>
      <c r="H150" s="205" t="n">
        <f aca="false">_xlfn.xlookup(D150,'PO Client'!A:A,'PO Client'!L:L,"")</f>
        <v>45643</v>
      </c>
      <c r="I150" s="9" t="n">
        <v>40081</v>
      </c>
      <c r="J150" s="9" t="n">
        <v>30011</v>
      </c>
      <c r="K150" s="62" t="str">
        <f aca="false">_xlfn.xlookup(I150,'Prix vente'!$A:$A,'Prix vente'!$H:$H,"")</f>
        <v>S21</v>
      </c>
      <c r="L150" s="69" t="str">
        <f aca="false">_xlfn.xlookup(J150,'Prix MP'!A:A,'Prix MP'!F:F,FALSE())</f>
        <v>S21-1</v>
      </c>
      <c r="M150" s="69" t="str">
        <f aca="false">_xlfn.xlookup(J150,'Prix MP'!A:A,'Prix MP'!D:D,FALSE())</f>
        <v>AKO</v>
      </c>
      <c r="N150" s="61" t="str">
        <f aca="false">_xlfn.xlookup(I150,'Prix vente'!$A:$A,'Prix vente'!$J:$J,"")</f>
        <v>SG - Hotmelt Adhesive</v>
      </c>
      <c r="O150" s="1" t="n">
        <v>10</v>
      </c>
      <c r="P150" s="1" t="n">
        <v>4</v>
      </c>
      <c r="Q150" s="1" t="n">
        <v>13</v>
      </c>
      <c r="R150" s="1" t="n">
        <v>1</v>
      </c>
      <c r="S150" s="1" t="n">
        <v>7</v>
      </c>
      <c r="T150" s="1" t="n">
        <v>1</v>
      </c>
      <c r="Y150" s="1" t="n">
        <v>10</v>
      </c>
      <c r="Z150" s="1" t="n">
        <v>10</v>
      </c>
      <c r="AA150" s="1" t="n">
        <v>10</v>
      </c>
      <c r="AB150" s="1" t="n">
        <v>10</v>
      </c>
      <c r="AC150" s="1" t="n">
        <v>13</v>
      </c>
      <c r="AD150" s="1" t="n">
        <v>7</v>
      </c>
      <c r="AI150" s="15" t="s">
        <v>890</v>
      </c>
      <c r="AJ150" s="15" t="n">
        <f aca="false">_xlfn.xlookup(I150,'Prix vente'!$A:$A,'Prix vente'!$Q:$Q,"")</f>
        <v>5000</v>
      </c>
      <c r="AK150" s="15" t="str">
        <f aca="false">IF(_xlfn.xlookup(I150,'Prix vente'!$A:$A,'Prix vente'!$O:$O,"")="msi","pi","m")</f>
        <v>pi</v>
      </c>
      <c r="AM150" s="1" t="n">
        <v>6</v>
      </c>
      <c r="AO150" s="1" t="n">
        <v>30000</v>
      </c>
      <c r="AQ150" s="82" t="s">
        <v>1233</v>
      </c>
      <c r="AR150" s="62" t="n">
        <f aca="false">_xlfn.xlookup(I150,'Prix vente'!A:A,'Prix vente'!B:B,FALSE())</f>
        <v>20011</v>
      </c>
    </row>
    <row r="151" customFormat="false" ht="15" hidden="false" customHeight="true" outlineLevel="0" collapsed="false">
      <c r="A151" s="61" t="s">
        <v>1234</v>
      </c>
      <c r="B151" s="1" t="s">
        <v>889</v>
      </c>
      <c r="C151" s="199" t="n">
        <v>45637</v>
      </c>
      <c r="D151" s="9" t="n">
        <v>282</v>
      </c>
      <c r="E151" s="61" t="str">
        <f aca="false">_xlfn.xlookup(D151,'PO Client'!$A:$A,'PO Client'!$C:$C,FALSE())</f>
        <v>Emballages Mijo</v>
      </c>
      <c r="F151" s="61"/>
      <c r="G151" s="61" t="n">
        <f aca="false">_xlfn.xlookup(D151,'PO Client'!$A:$A,'PO Client'!$F:$F,FALSE())</f>
        <v>14315</v>
      </c>
      <c r="H151" s="205" t="n">
        <f aca="false">_xlfn.xlookup(D151,'PO Client'!A:A,'PO Client'!L:L,"")</f>
        <v>45643</v>
      </c>
      <c r="I151" s="9" t="n">
        <v>40171</v>
      </c>
      <c r="J151" s="9" t="n">
        <v>30015</v>
      </c>
      <c r="K151" s="62" t="str">
        <f aca="false">_xlfn.xlookup(I151,'Prix vente'!$A:$A,'Prix vente'!$H:$H,"")</f>
        <v>S15</v>
      </c>
      <c r="L151" s="69" t="str">
        <f aca="false">_xlfn.xlookup(J151,'Prix MP'!A:A,'Prix MP'!F:F,FALSE())</f>
        <v>S15-3</v>
      </c>
      <c r="M151" s="69" t="str">
        <f aca="false">_xlfn.xlookup(J151,'Prix MP'!A:A,'Prix MP'!D:D,FALSE())</f>
        <v>Jinda</v>
      </c>
      <c r="N151" s="61" t="str">
        <f aca="false">_xlfn.xlookup(I151,'Prix vente'!$A:$A,'Prix vente'!$J:$J,"")</f>
        <v>SG - Acrylic Adhesive</v>
      </c>
      <c r="O151" s="1" t="n">
        <v>10</v>
      </c>
      <c r="P151" s="1" t="n">
        <v>6</v>
      </c>
      <c r="Y151" s="1" t="n">
        <v>10</v>
      </c>
      <c r="Z151" s="1" t="n">
        <v>10</v>
      </c>
      <c r="AA151" s="1" t="n">
        <v>10</v>
      </c>
      <c r="AB151" s="1" t="n">
        <v>10</v>
      </c>
      <c r="AC151" s="1" t="n">
        <v>10</v>
      </c>
      <c r="AD151" s="1" t="n">
        <v>10</v>
      </c>
      <c r="AI151" s="15" t="s">
        <v>890</v>
      </c>
      <c r="AJ151" s="15" t="n">
        <f aca="false">_xlfn.xlookup(I151,'Prix vente'!$A:$A,'Prix vente'!$Q:$Q,"")</f>
        <v>10000</v>
      </c>
      <c r="AK151" s="15" t="str">
        <f aca="false">IF(_xlfn.xlookup(I151,'Prix vente'!$A:$A,'Prix vente'!$O:$O,"")="msi","pi","m")</f>
        <v>pi</v>
      </c>
      <c r="AM151" s="1" t="n">
        <v>6</v>
      </c>
      <c r="AO151" s="1" t="n">
        <v>60000</v>
      </c>
      <c r="AP151" s="15" t="s">
        <v>1235</v>
      </c>
      <c r="AQ151" s="82" t="s">
        <v>1236</v>
      </c>
      <c r="AR151" s="62" t="n">
        <f aca="false">_xlfn.xlookup(I151,'Prix vente'!A:A,'Prix vente'!B:B,FALSE())</f>
        <v>20015</v>
      </c>
    </row>
    <row r="152" customFormat="false" ht="15" hidden="false" customHeight="true" outlineLevel="0" collapsed="false">
      <c r="A152" s="61" t="s">
        <v>1237</v>
      </c>
      <c r="B152" s="1" t="s">
        <v>889</v>
      </c>
      <c r="C152" s="199" t="n">
        <v>45637</v>
      </c>
      <c r="D152" s="9" t="n">
        <v>283</v>
      </c>
      <c r="E152" s="61" t="str">
        <f aca="false">_xlfn.xlookup(D152,'PO Client'!$A:$A,'PO Client'!$C:$C,FALSE())</f>
        <v>Imprimerie Ste-Julie</v>
      </c>
      <c r="F152" s="61"/>
      <c r="G152" s="61" t="n">
        <f aca="false">_xlfn.xlookup(D152,'PO Client'!$A:$A,'PO Client'!$F:$F,FALSE())</f>
        <v>106272</v>
      </c>
      <c r="H152" s="205" t="n">
        <f aca="false">_xlfn.xlookup(D152,'PO Client'!A:A,'PO Client'!L:L,"")</f>
        <v>45644</v>
      </c>
      <c r="I152" s="9" t="n">
        <v>40084</v>
      </c>
      <c r="J152" s="9" t="n">
        <v>30027</v>
      </c>
      <c r="K152" s="62" t="str">
        <f aca="false">_xlfn.xlookup(I152,'Prix vente'!$A:$A,'Prix vente'!$H:$H,"")</f>
        <v>B25</v>
      </c>
      <c r="L152" s="69" t="str">
        <f aca="false">_xlfn.xlookup(J152,'Prix MP'!A:A,'Prix MP'!F:F,FALSE())</f>
        <v>B25-3</v>
      </c>
      <c r="M152" s="69" t="str">
        <f aca="false">_xlfn.xlookup(J152,'Prix MP'!A:A,'Prix MP'!D:D,FALSE())</f>
        <v>Jinda</v>
      </c>
      <c r="N152" s="61" t="str">
        <f aca="false">_xlfn.xlookup(I152,'Prix vente'!$A:$A,'Prix vente'!$J:$J,"")</f>
        <v>White BOPP - Acrylic Adhesive</v>
      </c>
      <c r="O152" s="1" t="n">
        <v>12</v>
      </c>
      <c r="P152" s="1" t="n">
        <v>5</v>
      </c>
      <c r="Y152" s="1" t="n">
        <v>12</v>
      </c>
      <c r="Z152" s="1" t="n">
        <v>12</v>
      </c>
      <c r="AA152" s="1" t="n">
        <v>12</v>
      </c>
      <c r="AB152" s="1" t="n">
        <v>12</v>
      </c>
      <c r="AC152" s="1" t="n">
        <v>12</v>
      </c>
      <c r="AI152" s="15" t="s">
        <v>890</v>
      </c>
      <c r="AJ152" s="1" t="n">
        <v>4750</v>
      </c>
      <c r="AK152" s="15" t="str">
        <f aca="false">IF(_xlfn.xlookup(I152,'Prix vente'!$A:$A,'Prix vente'!$O:$O,"")="msi","pi","m")</f>
        <v>pi</v>
      </c>
      <c r="AM152" s="1" t="n">
        <v>5</v>
      </c>
      <c r="AO152" s="15" t="n">
        <f aca="false">5*4750</f>
        <v>23750</v>
      </c>
      <c r="AP152" s="15" t="s">
        <v>1238</v>
      </c>
      <c r="AQ152" s="82" t="s">
        <v>1239</v>
      </c>
      <c r="AR152" s="62" t="n">
        <f aca="false">_xlfn.xlookup(I152,'Prix vente'!A:A,'Prix vente'!B:B,FALSE())</f>
        <v>20017</v>
      </c>
    </row>
    <row r="153" customFormat="false" ht="15" hidden="false" customHeight="true" outlineLevel="0" collapsed="false">
      <c r="A153" s="61" t="s">
        <v>1240</v>
      </c>
      <c r="B153" s="1" t="s">
        <v>889</v>
      </c>
      <c r="C153" s="199" t="n">
        <v>45638</v>
      </c>
      <c r="D153" s="9" t="n">
        <v>284</v>
      </c>
      <c r="E153" s="61" t="str">
        <f aca="false">_xlfn.xlookup(D153,'PO Client'!$A:$A,'PO Client'!$C:$C,FALSE())</f>
        <v>Étiquettes Multi-Flex</v>
      </c>
      <c r="F153" s="61"/>
      <c r="G153" s="61" t="n">
        <f aca="false">_xlfn.xlookup(D153,'PO Client'!$A:$A,'PO Client'!$F:$F,FALSE())</f>
        <v>9936</v>
      </c>
      <c r="H153" s="205" t="n">
        <f aca="false">_xlfn.xlookup(D153,'PO Client'!A:A,'PO Client'!L:L,"")</f>
        <v>45644</v>
      </c>
      <c r="I153" s="9" t="n">
        <v>40206</v>
      </c>
      <c r="J153" s="9" t="n">
        <v>30015</v>
      </c>
      <c r="K153" s="62" t="str">
        <f aca="false">_xlfn.xlookup(I153,'Prix vente'!$A:$A,'Prix vente'!$H:$H,"")</f>
        <v>S15</v>
      </c>
      <c r="L153" s="69" t="str">
        <f aca="false">_xlfn.xlookup(J153,'Prix MP'!A:A,'Prix MP'!F:F,FALSE())</f>
        <v>S15-3</v>
      </c>
      <c r="M153" s="69" t="str">
        <f aca="false">_xlfn.xlookup(J153,'Prix MP'!A:A,'Prix MP'!D:D,FALSE())</f>
        <v>Jinda</v>
      </c>
      <c r="N153" s="61" t="str">
        <f aca="false">_xlfn.xlookup(I153,'Prix vente'!$A:$A,'Prix vente'!$J:$J,"")</f>
        <v>SG - Acrylic Adhesive</v>
      </c>
      <c r="O153" s="1" t="n">
        <v>10</v>
      </c>
      <c r="P153" s="1" t="n">
        <v>6</v>
      </c>
      <c r="Q153" s="1" t="n">
        <v>8.75</v>
      </c>
      <c r="R153" s="1" t="n">
        <v>6</v>
      </c>
      <c r="S153" s="1" t="n">
        <v>7.5</v>
      </c>
      <c r="T153" s="1" t="n">
        <v>1</v>
      </c>
      <c r="AI153" s="15" t="s">
        <v>890</v>
      </c>
      <c r="AJ153" s="15" t="n">
        <f aca="false">_xlfn.xlookup(I153,'Prix vente'!$A:$A,'Prix vente'!$Q:$Q,"")</f>
        <v>10000</v>
      </c>
      <c r="AK153" s="15" t="str">
        <f aca="false">IF(_xlfn.xlookup(I153,'Prix vente'!$A:$A,'Prix vente'!$O:$O,"")="msi","pi","m")</f>
        <v>pi</v>
      </c>
      <c r="AP153" s="15" t="s">
        <v>1241</v>
      </c>
      <c r="AQ153" s="82" t="s">
        <v>1242</v>
      </c>
      <c r="AR153" s="62" t="n">
        <f aca="false">_xlfn.xlookup(I153,'Prix vente'!A:A,'Prix vente'!B:B,FALSE())</f>
        <v>20015</v>
      </c>
    </row>
    <row r="154" customFormat="false" ht="15" hidden="false" customHeight="true" outlineLevel="0" collapsed="false">
      <c r="A154" s="61" t="s">
        <v>1243</v>
      </c>
      <c r="B154" s="1" t="str">
        <f aca="false">_xlfn.xlookup(A154,'Prix revient'!A:A,'Prix revient'!B:B)</f>
        <v>Ouvert</v>
      </c>
      <c r="C154" s="199" t="n">
        <v>45639</v>
      </c>
      <c r="E154" s="61" t="s">
        <v>1244</v>
      </c>
      <c r="F154" s="61"/>
      <c r="G154" s="61" t="s">
        <v>367</v>
      </c>
      <c r="H154" s="205"/>
      <c r="K154" s="62" t="s">
        <v>367</v>
      </c>
      <c r="L154" s="69" t="s">
        <v>367</v>
      </c>
      <c r="M154" s="69" t="s">
        <v>92</v>
      </c>
      <c r="N154" s="61" t="s">
        <v>1245</v>
      </c>
      <c r="AI154" s="15" t="s">
        <v>890</v>
      </c>
      <c r="AJ154" s="1" t="n">
        <v>10000</v>
      </c>
      <c r="AK154" s="15" t="s">
        <v>891</v>
      </c>
      <c r="AP154" s="15" t="s">
        <v>1246</v>
      </c>
      <c r="AQ154" s="82" t="s">
        <v>1247</v>
      </c>
      <c r="AR154" s="62" t="e">
        <f aca="false">_xlfn.xlookup(I154,'Prix vente'!A:A,'Prix vente'!B:B,FALSE())</f>
        <v>#NAME?</v>
      </c>
    </row>
    <row r="155" customFormat="false" ht="15" hidden="false" customHeight="true" outlineLevel="0" collapsed="false">
      <c r="A155" s="61" t="s">
        <v>1248</v>
      </c>
      <c r="B155" s="1" t="str">
        <f aca="false">_xlfn.xlookup(A155,'Prix revient'!A:A,'Prix revient'!B:B)</f>
        <v>Ouvert</v>
      </c>
      <c r="C155" s="199" t="n">
        <v>45639</v>
      </c>
      <c r="E155" s="61" t="s">
        <v>1244</v>
      </c>
      <c r="F155" s="61"/>
      <c r="G155" s="61" t="s">
        <v>421</v>
      </c>
      <c r="H155" s="205"/>
      <c r="K155" s="62" t="s">
        <v>421</v>
      </c>
      <c r="L155" s="69" t="s">
        <v>421</v>
      </c>
      <c r="M155" s="69" t="s">
        <v>92</v>
      </c>
      <c r="N155" s="61" t="s">
        <v>1249</v>
      </c>
      <c r="AI155" s="15" t="s">
        <v>890</v>
      </c>
      <c r="AJ155" s="1" t="n">
        <v>10000</v>
      </c>
      <c r="AK155" s="15" t="s">
        <v>891</v>
      </c>
      <c r="AP155" s="15" t="s">
        <v>1106</v>
      </c>
      <c r="AQ155" s="82" t="s">
        <v>1250</v>
      </c>
      <c r="AR155" s="62" t="e">
        <f aca="false">_xlfn.xlookup(I155,'Prix vente'!A:A,'Prix vente'!B:B,FALSE())</f>
        <v>#NAME?</v>
      </c>
    </row>
    <row r="156" customFormat="false" ht="15" hidden="false" customHeight="true" outlineLevel="0" collapsed="false">
      <c r="A156" s="61" t="s">
        <v>1251</v>
      </c>
      <c r="B156" s="1" t="str">
        <f aca="false">_xlfn.xlookup(A156,'Prix revient'!A:A,'Prix revient'!B:B)</f>
        <v>Ouvert</v>
      </c>
      <c r="C156" s="199" t="n">
        <v>45639</v>
      </c>
      <c r="E156" s="61" t="s">
        <v>1252</v>
      </c>
      <c r="F156" s="61"/>
      <c r="G156" s="61" t="s">
        <v>1253</v>
      </c>
      <c r="H156" s="205"/>
      <c r="K156" s="62" t="s">
        <v>367</v>
      </c>
      <c r="L156" s="69" t="s">
        <v>367</v>
      </c>
      <c r="M156" s="69" t="s">
        <v>92</v>
      </c>
      <c r="N156" s="61" t="s">
        <v>1254</v>
      </c>
      <c r="AI156" s="15" t="s">
        <v>890</v>
      </c>
      <c r="AJ156" s="15" t="e">
        <f aca="false">_xlfn.xlookup(I156,'Prix vente'!$A:$A,'Prix vente'!$Q:$Q,"")</f>
        <v>#NAME?</v>
      </c>
      <c r="AK156" s="15" t="str">
        <f aca="false">IF(_xlfn.xlookup(I156,'Prix vente'!$A:$A,'Prix vente'!$O:$O,"")="msi","pi","m")</f>
        <v>m</v>
      </c>
      <c r="AQ156" s="82" t="s">
        <v>1255</v>
      </c>
      <c r="AR156" s="62" t="e">
        <f aca="false">_xlfn.xlookup(I156,'Prix vente'!A:A,'Prix vente'!B:B,FALSE())</f>
        <v>#NAME?</v>
      </c>
    </row>
    <row r="157" customFormat="false" ht="15" hidden="false" customHeight="true" outlineLevel="0" collapsed="false">
      <c r="A157" s="61" t="s">
        <v>1256</v>
      </c>
      <c r="B157" s="1" t="str">
        <f aca="false">_xlfn.xlookup(A157,'Prix revient'!A:A,'Prix revient'!B:B)</f>
        <v>Ouvert</v>
      </c>
      <c r="C157" s="199" t="n">
        <v>45639</v>
      </c>
      <c r="E157" s="61" t="s">
        <v>1252</v>
      </c>
      <c r="F157" s="61"/>
      <c r="G157" s="61" t="s">
        <v>1257</v>
      </c>
      <c r="H157" s="205" t="n">
        <f aca="false">_xlfn.xlookup(D157,'PO Client'!A:A,'PO Client'!L:L,"")</f>
        <v>0</v>
      </c>
      <c r="K157" s="62" t="s">
        <v>421</v>
      </c>
      <c r="L157" s="69" t="s">
        <v>421</v>
      </c>
      <c r="M157" s="69" t="s">
        <v>92</v>
      </c>
      <c r="N157" s="61" t="s">
        <v>1254</v>
      </c>
      <c r="AI157" s="15" t="s">
        <v>890</v>
      </c>
      <c r="AJ157" s="15" t="e">
        <f aca="false">_xlfn.xlookup(I157,'Prix vente'!$A:$A,'Prix vente'!$Q:$Q,"")</f>
        <v>#NAME?</v>
      </c>
      <c r="AK157" s="15" t="str">
        <f aca="false">IF(_xlfn.xlookup(I157,'Prix vente'!$A:$A,'Prix vente'!$O:$O,"")="msi","pi","m")</f>
        <v>m</v>
      </c>
      <c r="AQ157" s="82" t="s">
        <v>1258</v>
      </c>
      <c r="AR157" s="62" t="e">
        <f aca="false">_xlfn.xlookup(I157,'Prix vente'!A:A,'Prix vente'!B:B,FALSE())</f>
        <v>#NAME?</v>
      </c>
    </row>
    <row r="158" customFormat="false" ht="15" hidden="false" customHeight="true" outlineLevel="0" collapsed="false">
      <c r="A158" s="61" t="s">
        <v>1259</v>
      </c>
      <c r="B158" s="1" t="str">
        <f aca="false">_xlfn.xlookup(A158,'Prix revient'!A:A,'Prix revient'!B:B)</f>
        <v>Fermé</v>
      </c>
      <c r="C158" s="199" t="n">
        <v>45643</v>
      </c>
      <c r="D158" s="9" t="n">
        <v>286</v>
      </c>
      <c r="E158" s="61" t="str">
        <f aca="false">_xlfn.xlookup(D158,'PO Client'!$A:$A,'PO Client'!$C:$C,FALSE())</f>
        <v>Digi America Inc.</v>
      </c>
      <c r="F158" s="61"/>
      <c r="G158" s="61" t="n">
        <f aca="false">_xlfn.xlookup(D158,'PO Client'!$A:$A,'PO Client'!$F:$F,FALSE())</f>
        <v>50008960</v>
      </c>
      <c r="H158" s="205" t="n">
        <f aca="false">_xlfn.xlookup(D158,'PO Client'!A:A,'PO Client'!L:L,"")</f>
        <v>45649</v>
      </c>
      <c r="I158" s="9" t="n">
        <v>40103</v>
      </c>
      <c r="J158" s="9" t="n">
        <v>30025</v>
      </c>
      <c r="K158" s="62" t="str">
        <f aca="false">_xlfn.xlookup(I158,'Prix vente'!$A:$A,'Prix vente'!$H:$H,"")</f>
        <v>D16</v>
      </c>
      <c r="L158" s="69" t="str">
        <f aca="false">_xlfn.xlookup(J158,'Prix MP'!A:A,'Prix MP'!F:F,FALSE())</f>
        <v>D11-1</v>
      </c>
      <c r="M158" s="69" t="str">
        <f aca="false">_xlfn.xlookup(J158,'Prix MP'!A:A,'Prix MP'!D:D,FALSE())</f>
        <v>AKO</v>
      </c>
      <c r="N158" s="61" t="str">
        <f aca="false">_xlfn.xlookup(I158,'Prix vente'!$A:$A,'Prix vente'!$J:$J,"")</f>
        <v>TC DT - Acrylic Adhesive</v>
      </c>
      <c r="O158" s="1" t="n">
        <v>10</v>
      </c>
      <c r="P158" s="1" t="n">
        <v>84</v>
      </c>
      <c r="Q158" s="1" t="n">
        <v>9</v>
      </c>
      <c r="R158" s="1" t="n">
        <v>12</v>
      </c>
      <c r="S158" s="1" t="n">
        <v>6</v>
      </c>
      <c r="T158" s="1" t="n">
        <v>22</v>
      </c>
      <c r="AI158" s="15" t="s">
        <v>890</v>
      </c>
      <c r="AJ158" s="1" t="n">
        <v>4800</v>
      </c>
      <c r="AK158" s="15" t="str">
        <f aca="false">IF(_xlfn.xlookup(I158,'Prix vente'!$A:$A,'Prix vente'!$O:$O,"")="msi","pi","m")</f>
        <v>pi</v>
      </c>
      <c r="AL158" s="1" t="n">
        <v>18</v>
      </c>
      <c r="AM158" s="15" t="n">
        <f aca="false">84+12+22</f>
        <v>118</v>
      </c>
      <c r="AO158" s="15" t="n">
        <f aca="false">AM158*5000</f>
        <v>590000</v>
      </c>
      <c r="AP158" s="15" t="s">
        <v>1163</v>
      </c>
      <c r="AQ158" s="82" t="s">
        <v>1260</v>
      </c>
      <c r="AR158" s="62" t="n">
        <f aca="false">_xlfn.xlookup(I158,'Prix vente'!A:A,'Prix vente'!B:B,FALSE())</f>
        <v>20018</v>
      </c>
    </row>
    <row r="159" customFormat="false" ht="15" hidden="false" customHeight="true" outlineLevel="0" collapsed="false">
      <c r="A159" s="61" t="s">
        <v>1261</v>
      </c>
      <c r="B159" s="1" t="str">
        <f aca="false">_xlfn.xlookup(A159,'Prix revient'!A:A,'Prix revient'!B:B)</f>
        <v>Fermé</v>
      </c>
      <c r="C159" s="199" t="n">
        <v>45670</v>
      </c>
      <c r="D159" s="9" t="n">
        <v>264</v>
      </c>
      <c r="E159" s="61" t="str">
        <f aca="false">_xlfn.xlookup(D159,'PO Client'!$A:$A,'PO Client'!$C:$C,FALSE())</f>
        <v>Étiquettes Luso-Flex</v>
      </c>
      <c r="F159" s="61"/>
      <c r="G159" s="61" t="s">
        <v>1262</v>
      </c>
      <c r="H159" s="205" t="n">
        <f aca="false">_xlfn.xlookup(D159,'PO Client'!A:A,'PO Client'!L:L,"")</f>
        <v>45665</v>
      </c>
      <c r="I159" s="9" t="n">
        <v>40181</v>
      </c>
      <c r="J159" s="9" t="n">
        <v>30042</v>
      </c>
      <c r="K159" s="62" t="str">
        <f aca="false">_xlfn.xlookup(I159,'Prix vente'!$A:$A,'Prix vente'!$H:$H,"")</f>
        <v>T11</v>
      </c>
      <c r="L159" s="69" t="str">
        <f aca="false">_xlfn.xlookup(J159,'Prix MP'!A:A,'Prix MP'!F:F,FALSE())</f>
        <v>T11-1</v>
      </c>
      <c r="M159" s="69" t="str">
        <f aca="false">_xlfn.xlookup(J159,'Prix MP'!A:A,'Prix MP'!D:D,FALSE())</f>
        <v>AKO</v>
      </c>
      <c r="N159" s="61" t="str">
        <f aca="false">_xlfn.xlookup(I159,'Prix vente'!$A:$A,'Prix vente'!$J:$J,"")</f>
        <v>TT - HM Adhesive</v>
      </c>
      <c r="O159" s="1" t="n">
        <v>12.875</v>
      </c>
      <c r="P159" s="1" t="n">
        <v>10</v>
      </c>
      <c r="Q159" s="1" t="n">
        <v>8.625</v>
      </c>
      <c r="R159" s="1" t="n">
        <v>34</v>
      </c>
      <c r="AI159" s="15" t="s">
        <v>890</v>
      </c>
      <c r="AJ159" s="1" t="n">
        <v>10000</v>
      </c>
      <c r="AK159" s="15" t="str">
        <f aca="false">IF(_xlfn.xlookup(I159,'Prix vente'!$A:$A,'Prix vente'!$O:$O,"")="msi","pi","m")</f>
        <v>pi</v>
      </c>
      <c r="AL159" s="1" t="n">
        <v>6.5</v>
      </c>
      <c r="AM159" s="1" t="n">
        <v>44</v>
      </c>
      <c r="AO159" s="15" t="n">
        <f aca="false">44*10000</f>
        <v>440000</v>
      </c>
      <c r="AP159" s="15" t="s">
        <v>1263</v>
      </c>
      <c r="AQ159" s="82" t="s">
        <v>1264</v>
      </c>
      <c r="AR159" s="62" t="n">
        <f aca="false">_xlfn.xlookup(I159,'Prix vente'!A:A,'Prix vente'!B:B,FALSE())</f>
        <v>20003</v>
      </c>
    </row>
    <row r="160" customFormat="false" ht="15" hidden="false" customHeight="true" outlineLevel="0" collapsed="false">
      <c r="A160" s="61" t="s">
        <v>1265</v>
      </c>
      <c r="B160" s="1" t="str">
        <f aca="false">_xlfn.xlookup(A160,'Prix revient'!A:A,'Prix revient'!B:B)</f>
        <v>Fermé</v>
      </c>
      <c r="C160" s="199" t="n">
        <v>45671</v>
      </c>
      <c r="D160" s="9" t="n">
        <v>237</v>
      </c>
      <c r="E160" s="61" t="str">
        <f aca="false">_xlfn.xlookup(D160,'PO Client'!$A:$A,'PO Client'!$C:$C,FALSE())</f>
        <v>Damaflex Imprimerie Multiservices Inc.</v>
      </c>
      <c r="F160" s="61"/>
      <c r="G160" s="61" t="str">
        <f aca="false">_xlfn.xlookup(D160,'PO Client'!$A:$A,'PO Client'!$F:$F,FALSE())</f>
        <v>179960-2</v>
      </c>
      <c r="H160" s="205" t="n">
        <f aca="false">_xlfn.xlookup(D160,'PO Client'!A:A,'PO Client'!L:L,"")</f>
        <v>45602</v>
      </c>
      <c r="I160" s="9" t="n">
        <v>40147</v>
      </c>
      <c r="J160" s="9" t="n">
        <v>30042</v>
      </c>
      <c r="K160" s="62" t="str">
        <f aca="false">_xlfn.xlookup(I160,'Prix vente'!$A:$A,'Prix vente'!$H:$H,"")</f>
        <v>T11</v>
      </c>
      <c r="L160" s="69" t="str">
        <f aca="false">_xlfn.xlookup(J160,'Prix MP'!A:A,'Prix MP'!F:F,FALSE())</f>
        <v>T11-1</v>
      </c>
      <c r="M160" s="69" t="str">
        <f aca="false">_xlfn.xlookup(J160,'Prix MP'!A:A,'Prix MP'!D:D,FALSE())</f>
        <v>AKO</v>
      </c>
      <c r="N160" s="61" t="str">
        <f aca="false">_xlfn.xlookup(I160,'Prix vente'!$A:$A,'Prix vente'!$J:$J,"")</f>
        <v>TT - HM Adhesive</v>
      </c>
      <c r="O160" s="1" t="n">
        <v>6.5625</v>
      </c>
      <c r="P160" s="1" t="n">
        <v>15</v>
      </c>
      <c r="Q160" s="1" t="n">
        <v>9.0625</v>
      </c>
      <c r="R160" s="1" t="n">
        <v>9</v>
      </c>
      <c r="Y160" s="1" t="n">
        <v>6.5625</v>
      </c>
      <c r="Z160" s="1" t="n">
        <v>6.5625</v>
      </c>
      <c r="AA160" s="1" t="n">
        <v>6.5625</v>
      </c>
      <c r="AB160" s="1" t="n">
        <v>6.5625</v>
      </c>
      <c r="AC160" s="1" t="n">
        <v>6.5625</v>
      </c>
      <c r="AD160" s="1" t="n">
        <v>9.0625</v>
      </c>
      <c r="AE160" s="1" t="n">
        <v>9.0625</v>
      </c>
      <c r="AF160" s="1" t="n">
        <v>9.0625</v>
      </c>
      <c r="AI160" s="15" t="s">
        <v>890</v>
      </c>
      <c r="AJ160" s="15" t="n">
        <f aca="false">_xlfn.xlookup(I160,'Prix vente'!$A:$A,'Prix vente'!$Q:$Q,"")</f>
        <v>10000</v>
      </c>
      <c r="AK160" s="15" t="str">
        <f aca="false">IF(_xlfn.xlookup(I160,'Prix vente'!$A:$A,'Prix vente'!$O:$O,"")="msi","pi","m")</f>
        <v>pi</v>
      </c>
      <c r="AL160" s="1" t="n">
        <v>3</v>
      </c>
      <c r="AM160" s="15" t="n">
        <f aca="false">24</f>
        <v>24</v>
      </c>
      <c r="AO160" s="15" t="n">
        <f aca="false">AJ160*AM160</f>
        <v>240000</v>
      </c>
      <c r="AP160" s="15" t="s">
        <v>1263</v>
      </c>
      <c r="AQ160" s="82" t="s">
        <v>1266</v>
      </c>
      <c r="AR160" s="62" t="n">
        <f aca="false">_xlfn.xlookup(I160,'Prix vente'!A:A,'Prix vente'!B:B,FALSE())</f>
        <v>20003</v>
      </c>
    </row>
    <row r="161" customFormat="false" ht="15" hidden="false" customHeight="true" outlineLevel="0" collapsed="false">
      <c r="A161" s="61" t="s">
        <v>1267</v>
      </c>
      <c r="B161" s="1" t="str">
        <f aca="false">_xlfn.xlookup(A161,'Prix revient'!A:A,'Prix revient'!B:B)</f>
        <v>Fermé</v>
      </c>
      <c r="C161" s="199" t="n">
        <v>45672</v>
      </c>
      <c r="D161" s="9" t="n">
        <v>288</v>
      </c>
      <c r="E161" s="61" t="str">
        <f aca="false">_xlfn.xlookup(D161,'PO Client'!$A:$A,'PO Client'!$C:$C,FALSE())</f>
        <v>Étiquettes Corsair</v>
      </c>
      <c r="F161" s="61"/>
      <c r="G161" s="61" t="n">
        <f aca="false">_xlfn.xlookup(D161,'PO Client'!$A:$A,'PO Client'!$F:$F,FALSE())</f>
        <v>31758</v>
      </c>
      <c r="H161" s="205" t="n">
        <f aca="false">_xlfn.xlookup(D161,'PO Client'!A:A,'PO Client'!L:L,"")</f>
        <v>45680</v>
      </c>
      <c r="I161" s="9" t="n">
        <v>40214</v>
      </c>
      <c r="J161" s="9" t="n">
        <v>30042</v>
      </c>
      <c r="K161" s="62" t="str">
        <f aca="false">_xlfn.xlookup(I161,'Prix vente'!$A:$A,'Prix vente'!$H:$H,"")</f>
        <v>T11</v>
      </c>
      <c r="L161" s="69" t="str">
        <f aca="false">_xlfn.xlookup(J161,'Prix MP'!A:A,'Prix MP'!F:F,FALSE())</f>
        <v>T11-1</v>
      </c>
      <c r="M161" s="69" t="str">
        <f aca="false">_xlfn.xlookup(J161,'Prix MP'!A:A,'Prix MP'!D:D,FALSE())</f>
        <v>AKO</v>
      </c>
      <c r="N161" s="61" t="str">
        <f aca="false">_xlfn.xlookup(I161,'Prix vente'!$A:$A,'Prix vente'!$J:$J,"")</f>
        <v>TT - HM Adhesive</v>
      </c>
      <c r="O161" s="1" t="n">
        <v>8.75</v>
      </c>
      <c r="P161" s="1" t="n">
        <v>2</v>
      </c>
      <c r="Q161" s="1" t="n">
        <v>8.625</v>
      </c>
      <c r="R161" s="1" t="n">
        <v>4</v>
      </c>
      <c r="S161" s="1" t="n">
        <v>7.875</v>
      </c>
      <c r="T161" s="1" t="n">
        <v>1</v>
      </c>
      <c r="Y161" s="1" t="n">
        <v>8.75</v>
      </c>
      <c r="Z161" s="1" t="n">
        <v>8.75</v>
      </c>
      <c r="AA161" s="1" t="n">
        <v>8.625</v>
      </c>
      <c r="AB161" s="1" t="n">
        <v>8.625</v>
      </c>
      <c r="AC161" s="1" t="n">
        <v>8.625</v>
      </c>
      <c r="AD161" s="1" t="n">
        <v>8.625</v>
      </c>
      <c r="AE161" s="1" t="n">
        <v>7.875</v>
      </c>
      <c r="AI161" s="15" t="s">
        <v>890</v>
      </c>
      <c r="AJ161" s="15" t="n">
        <f aca="false">_xlfn.xlookup(I161,'Prix vente'!$A:$A,'Prix vente'!$Q:$Q,"")</f>
        <v>10000</v>
      </c>
      <c r="AK161" s="15" t="str">
        <f aca="false">IF(_xlfn.xlookup(I161,'Prix vente'!$A:$A,'Prix vente'!$O:$O,"")="msi","pi","m")</f>
        <v>pi</v>
      </c>
      <c r="AL161" s="1" t="n">
        <v>1</v>
      </c>
      <c r="AM161" s="1" t="n">
        <v>7</v>
      </c>
      <c r="AO161" s="15" t="n">
        <f aca="false">AJ161*AM161</f>
        <v>70000</v>
      </c>
      <c r="AP161" s="15" t="s">
        <v>1263</v>
      </c>
      <c r="AQ161" s="15" t="s">
        <v>1268</v>
      </c>
      <c r="AR161" s="62" t="n">
        <f aca="false">_xlfn.xlookup(I161,'Prix vente'!A:A,'Prix vente'!B:B,FALSE())</f>
        <v>20003</v>
      </c>
    </row>
    <row r="162" customFormat="false" ht="15" hidden="false" customHeight="true" outlineLevel="0" collapsed="false">
      <c r="A162" s="61" t="s">
        <v>1269</v>
      </c>
      <c r="B162" s="1" t="str">
        <f aca="false">_xlfn.xlookup(A162,'Prix revient'!A:A,'Prix revient'!B:B)</f>
        <v>Fermé</v>
      </c>
      <c r="C162" s="199" t="n">
        <v>45645</v>
      </c>
      <c r="D162" s="9" t="n">
        <v>289</v>
      </c>
      <c r="E162" s="61" t="str">
        <f aca="false">_xlfn.xlookup(D162,'PO Client'!$A:$A,'PO Client'!$C:$C,FALSE())</f>
        <v>Groupe Produlith Inc.</v>
      </c>
      <c r="F162" s="61"/>
      <c r="G162" s="61" t="str">
        <f aca="false">_xlfn.xlookup(D162,'PO Client'!$A:$A,'PO Client'!$F:$F,FALSE())</f>
        <v>1-1-32391</v>
      </c>
      <c r="H162" s="205" t="n">
        <f aca="false">_xlfn.xlookup(D162,'PO Client'!A:A,'PO Client'!L:L,"")</f>
        <v>45646</v>
      </c>
      <c r="I162" s="9" t="n">
        <v>40089</v>
      </c>
      <c r="J162" s="9" t="n">
        <v>30027</v>
      </c>
      <c r="K162" s="62" t="str">
        <f aca="false">_xlfn.xlookup(I162,'Prix vente'!$A:$A,'Prix vente'!$H:$H,"")</f>
        <v>B25</v>
      </c>
      <c r="L162" s="69" t="str">
        <f aca="false">_xlfn.xlookup(J162,'Prix MP'!A:A,'Prix MP'!F:F,FALSE())</f>
        <v>B25-3</v>
      </c>
      <c r="M162" s="69" t="str">
        <f aca="false">_xlfn.xlookup(J162,'Prix MP'!A:A,'Prix MP'!D:D,FALSE())</f>
        <v>Jinda</v>
      </c>
      <c r="N162" s="61" t="str">
        <f aca="false">_xlfn.xlookup(I162,'Prix vente'!$A:$A,'Prix vente'!$J:$J,"")</f>
        <v>White BOPP - Acrylic Adhesive</v>
      </c>
      <c r="O162" s="1" t="n">
        <v>15</v>
      </c>
      <c r="P162" s="1" t="n">
        <v>4</v>
      </c>
      <c r="Y162" s="1" t="n">
        <v>15</v>
      </c>
      <c r="Z162" s="1" t="n">
        <v>15</v>
      </c>
      <c r="AA162" s="1" t="n">
        <v>15</v>
      </c>
      <c r="AB162" s="1" t="n">
        <v>15</v>
      </c>
      <c r="AI162" s="15" t="s">
        <v>890</v>
      </c>
      <c r="AJ162" s="1" t="n">
        <v>4600</v>
      </c>
      <c r="AK162" s="15" t="str">
        <f aca="false">IF(_xlfn.xlookup(I162,'Prix vente'!$A:$A,'Prix vente'!$O:$O,"")="msi","pi","m")</f>
        <v>pi</v>
      </c>
      <c r="AM162" s="1" t="n">
        <v>4</v>
      </c>
      <c r="AO162" s="1" t="n">
        <v>20000</v>
      </c>
      <c r="AP162" s="15" t="s">
        <v>1270</v>
      </c>
      <c r="AQ162" s="82" t="s">
        <v>1271</v>
      </c>
      <c r="AR162" s="62" t="n">
        <f aca="false">_xlfn.xlookup(I162,'Prix vente'!A:A,'Prix vente'!B:B,FALSE())</f>
        <v>20017</v>
      </c>
    </row>
    <row r="163" customFormat="false" ht="15" hidden="false" customHeight="true" outlineLevel="0" collapsed="false">
      <c r="A163" s="61" t="s">
        <v>1272</v>
      </c>
      <c r="B163" s="1" t="str">
        <f aca="false">_xlfn.xlookup(A163,'Prix revient'!A:A,'Prix revient'!B:B)</f>
        <v>Fermé</v>
      </c>
      <c r="C163" s="199" t="n">
        <v>45646</v>
      </c>
      <c r="D163" s="9" t="n">
        <v>290</v>
      </c>
      <c r="E163" s="61" t="str">
        <f aca="false">_xlfn.xlookup(D163,'PO Client'!$A:$A,'PO Client'!$C:$C,FALSE())</f>
        <v>Imprimerie Bas St-Laurent</v>
      </c>
      <c r="F163" s="61"/>
      <c r="G163" s="61" t="str">
        <f aca="false">_xlfn.xlookup(D163,'PO Client'!$A:$A,'PO Client'!$F:$F,FALSE())</f>
        <v>0046</v>
      </c>
      <c r="H163" s="205" t="n">
        <f aca="false">_xlfn.xlookup(D163,'PO Client'!A:A,'PO Client'!L:L,"")</f>
        <v>45300</v>
      </c>
      <c r="I163" s="9" t="n">
        <v>40217</v>
      </c>
      <c r="J163" s="9" t="n">
        <v>30026</v>
      </c>
      <c r="K163" s="62" t="str">
        <f aca="false">_xlfn.xlookup(I163,'Prix vente'!$A:$A,'Prix vente'!$H:$H,"")</f>
        <v>D11</v>
      </c>
      <c r="L163" s="69" t="str">
        <f aca="false">_xlfn.xlookup(J163,'Prix MP'!A:A,'Prix MP'!F:F,FALSE())</f>
        <v>D11-2</v>
      </c>
      <c r="M163" s="69" t="str">
        <f aca="false">_xlfn.xlookup(J163,'Prix MP'!A:A,'Prix MP'!D:D,FALSE())</f>
        <v>Etsuhiro</v>
      </c>
      <c r="N163" s="61" t="str">
        <f aca="false">_xlfn.xlookup(I163,'Prix vente'!$A:$A,'Prix vente'!$J:$J,"")</f>
        <v>TC DT - Hotmelt Adhesive</v>
      </c>
      <c r="O163" s="1" t="n">
        <v>7.125</v>
      </c>
      <c r="P163" s="1" t="n">
        <v>14</v>
      </c>
      <c r="Q163" s="1" t="n">
        <v>6.75</v>
      </c>
      <c r="R163" s="1" t="n">
        <v>2</v>
      </c>
      <c r="S163" s="1" t="n">
        <v>3.375</v>
      </c>
      <c r="T163" s="1" t="n">
        <v>2</v>
      </c>
      <c r="Y163" s="1" t="n">
        <v>7.125</v>
      </c>
      <c r="Z163" s="1" t="n">
        <v>7.125</v>
      </c>
      <c r="AA163" s="1" t="n">
        <v>7.125</v>
      </c>
      <c r="AB163" s="1" t="n">
        <v>7.125</v>
      </c>
      <c r="AC163" s="1" t="n">
        <v>7.125</v>
      </c>
      <c r="AD163" s="1" t="n">
        <v>7.125</v>
      </c>
      <c r="AE163" s="1" t="n">
        <v>7.125</v>
      </c>
      <c r="AF163" s="1" t="n">
        <v>6.75</v>
      </c>
      <c r="AG163" s="1" t="n">
        <v>3.375</v>
      </c>
      <c r="AI163" s="15" t="s">
        <v>890</v>
      </c>
      <c r="AJ163" s="15" t="n">
        <f aca="false">_xlfn.xlookup(I163,'Prix vente'!$A:$A,'Prix vente'!$Q:$Q,"")</f>
        <v>10000</v>
      </c>
      <c r="AK163" s="15" t="str">
        <f aca="false">IF(_xlfn.xlookup(I163,'Prix vente'!$A:$A,'Prix vente'!$O:$O,"")="msi","pi","m")</f>
        <v>pi</v>
      </c>
      <c r="AL163" s="1" t="n">
        <v>2</v>
      </c>
      <c r="AM163" s="1" t="n">
        <v>18</v>
      </c>
      <c r="AO163" s="15" t="n">
        <f aca="false">AM163*AJ163</f>
        <v>180000</v>
      </c>
      <c r="AP163" s="1" t="n">
        <v>10036</v>
      </c>
      <c r="AQ163" s="82" t="s">
        <v>1273</v>
      </c>
      <c r="AR163" s="62" t="n">
        <f aca="false">_xlfn.xlookup(I163,'Prix vente'!A:A,'Prix vente'!B:B,FALSE())</f>
        <v>20025</v>
      </c>
    </row>
    <row r="164" customFormat="false" ht="15" hidden="false" customHeight="true" outlineLevel="0" collapsed="false">
      <c r="A164" s="61" t="s">
        <v>1274</v>
      </c>
      <c r="B164" s="1" t="str">
        <f aca="false">_xlfn.xlookup(A164,'Prix revient'!A:A,'Prix revient'!B:B)</f>
        <v>Fermé</v>
      </c>
      <c r="C164" s="199" t="n">
        <v>45663</v>
      </c>
      <c r="D164" s="9" t="n">
        <v>291</v>
      </c>
      <c r="E164" s="61" t="str">
        <f aca="false">_xlfn.xlookup(D164,'PO Client'!$A:$A,'PO Client'!$C:$C,FALSE())</f>
        <v>Damaflex Imprimerie Multiservices Inc.</v>
      </c>
      <c r="F164" s="61"/>
      <c r="G164" s="61" t="n">
        <f aca="false">_xlfn.xlookup(D164,'PO Client'!$A:$A,'PO Client'!$F:$F,FALSE())</f>
        <v>179984</v>
      </c>
      <c r="H164" s="205" t="n">
        <f aca="false">_xlfn.xlookup(D164,'PO Client'!A:A,'PO Client'!L:L,"")</f>
        <v>45304</v>
      </c>
      <c r="I164" s="9" t="n">
        <v>40220</v>
      </c>
      <c r="J164" s="9" t="n">
        <v>30025</v>
      </c>
      <c r="K164" s="62" t="str">
        <f aca="false">_xlfn.xlookup(I164,'Prix vente'!$A:$A,'Prix vente'!$H:$H,"")</f>
        <v>D11</v>
      </c>
      <c r="L164" s="69" t="str">
        <f aca="false">_xlfn.xlookup(J164,'Prix MP'!A:A,'Prix MP'!F:F,FALSE())</f>
        <v>D11-1</v>
      </c>
      <c r="M164" s="69" t="str">
        <f aca="false">_xlfn.xlookup(J164,'Prix MP'!A:A,'Prix MP'!D:D,FALSE())</f>
        <v>AKO</v>
      </c>
      <c r="N164" s="61" t="str">
        <f aca="false">_xlfn.xlookup(I164,'Prix vente'!$A:$A,'Prix vente'!$J:$J,"")</f>
        <v>TC DT - Hotmelt Adhesive</v>
      </c>
      <c r="O164" s="1" t="n">
        <v>10</v>
      </c>
      <c r="P164" s="1" t="n">
        <v>12</v>
      </c>
      <c r="Y164" s="1" t="n">
        <v>10</v>
      </c>
      <c r="Z164" s="1" t="n">
        <v>10</v>
      </c>
      <c r="AA164" s="1" t="n">
        <v>10</v>
      </c>
      <c r="AB164" s="1" t="n">
        <v>10</v>
      </c>
      <c r="AC164" s="1" t="n">
        <v>10</v>
      </c>
      <c r="AD164" s="1" t="n">
        <v>10</v>
      </c>
      <c r="AI164" s="15" t="s">
        <v>890</v>
      </c>
      <c r="AJ164" s="1" t="n">
        <v>4800</v>
      </c>
      <c r="AK164" s="15" t="str">
        <f aca="false">IF(_xlfn.xlookup(I164,'Prix vente'!$A:$A,'Prix vente'!$O:$O,"")="msi","pi","m")</f>
        <v>pi</v>
      </c>
      <c r="AL164" s="1" t="n">
        <v>1</v>
      </c>
      <c r="AM164" s="1" t="n">
        <v>12</v>
      </c>
      <c r="AO164" s="15" t="n">
        <f aca="false">AM164*AJ164</f>
        <v>57600</v>
      </c>
      <c r="AP164" s="15" t="s">
        <v>1163</v>
      </c>
      <c r="AQ164" s="82" t="s">
        <v>1275</v>
      </c>
      <c r="AR164" s="62" t="n">
        <f aca="false">_xlfn.xlookup(I164,'Prix vente'!A:A,'Prix vente'!B:B,FALSE())</f>
        <v>20013</v>
      </c>
    </row>
    <row r="165" customFormat="false" ht="15" hidden="false" customHeight="true" outlineLevel="0" collapsed="false">
      <c r="A165" s="61" t="s">
        <v>1276</v>
      </c>
      <c r="B165" s="1" t="str">
        <f aca="false">_xlfn.xlookup(A165,'Prix revient'!A:A,'Prix revient'!B:B)</f>
        <v>Fermé</v>
      </c>
      <c r="C165" s="199" t="n">
        <v>45664</v>
      </c>
      <c r="D165" s="9" t="n">
        <v>292</v>
      </c>
      <c r="E165" s="61" t="str">
        <f aca="false">_xlfn.xlookup(D165,'PO Client'!$A:$A,'PO Client'!$C:$C,FALSE())</f>
        <v>Imprimerie Ste-Julie</v>
      </c>
      <c r="F165" s="61"/>
      <c r="G165" s="61" t="n">
        <f aca="false">_xlfn.xlookup(D165,'PO Client'!$A:$A,'PO Client'!$F:$F,FALSE())</f>
        <v>106618</v>
      </c>
      <c r="H165" s="205" t="n">
        <f aca="false">_xlfn.xlookup(D165,'PO Client'!A:A,'PO Client'!L:L,"")</f>
        <v>45304</v>
      </c>
      <c r="I165" s="9" t="n">
        <v>40173</v>
      </c>
      <c r="J165" s="9" t="n">
        <v>30011</v>
      </c>
      <c r="K165" s="62" t="str">
        <f aca="false">_xlfn.xlookup(I165,'Prix vente'!$A:$A,'Prix vente'!$H:$H,"")</f>
        <v>S21</v>
      </c>
      <c r="L165" s="69" t="str">
        <f aca="false">_xlfn.xlookup(J165,'Prix MP'!A:A,'Prix MP'!F:F,FALSE())</f>
        <v>S21-1</v>
      </c>
      <c r="M165" s="69" t="str">
        <f aca="false">_xlfn.xlookup(J165,'Prix MP'!A:A,'Prix MP'!D:D,FALSE())</f>
        <v>AKO</v>
      </c>
      <c r="N165" s="61" t="str">
        <f aca="false">_xlfn.xlookup(I165,'Prix vente'!$A:$A,'Prix vente'!$J:$J,"")</f>
        <v>SG - Hotmelt Adhesive</v>
      </c>
      <c r="O165" s="1" t="n">
        <v>12</v>
      </c>
      <c r="P165" s="1" t="n">
        <v>10</v>
      </c>
      <c r="Q165" s="1" t="n">
        <v>14</v>
      </c>
      <c r="R165" s="1" t="n">
        <v>4</v>
      </c>
      <c r="S165" s="1" t="n">
        <v>4</v>
      </c>
      <c r="T165" s="1" t="n">
        <v>1</v>
      </c>
      <c r="AI165" s="15" t="s">
        <v>890</v>
      </c>
      <c r="AJ165" s="1" t="n">
        <v>10000</v>
      </c>
      <c r="AK165" s="15" t="str">
        <f aca="false">IF(_xlfn.xlookup(I165,'Prix vente'!$A:$A,'Prix vente'!$O:$O,"")="msi","pi","m")</f>
        <v>pi</v>
      </c>
      <c r="AL165" s="1" t="n">
        <v>2</v>
      </c>
      <c r="AM165" s="1" t="n">
        <v>15</v>
      </c>
      <c r="AO165" s="15" t="n">
        <f aca="false">5*10000+10*5000</f>
        <v>100000</v>
      </c>
      <c r="AQ165" s="82" t="s">
        <v>1277</v>
      </c>
      <c r="AR165" s="62" t="n">
        <f aca="false">_xlfn.xlookup(I165,'Prix vente'!A:A,'Prix vente'!B:B,FALSE())</f>
        <v>20011</v>
      </c>
    </row>
    <row r="166" customFormat="false" ht="15" hidden="false" customHeight="true" outlineLevel="0" collapsed="false">
      <c r="A166" s="61" t="s">
        <v>1278</v>
      </c>
      <c r="B166" s="1" t="str">
        <f aca="false">_xlfn.xlookup(A166,'Prix revient'!A:A,'Prix revient'!B:B)</f>
        <v>Fermé</v>
      </c>
      <c r="C166" s="199" t="n">
        <v>45664</v>
      </c>
      <c r="D166" s="9" t="n">
        <v>293</v>
      </c>
      <c r="E166" s="61" t="str">
        <f aca="false">_xlfn.xlookup(D166,'PO Client'!$A:$A,'PO Client'!$C:$C,FALSE())</f>
        <v>Imprimerie Ste-Julie</v>
      </c>
      <c r="F166" s="61"/>
      <c r="G166" s="61" t="n">
        <f aca="false">_xlfn.xlookup(D166,'PO Client'!$A:$A,'PO Client'!$F:$F,FALSE())</f>
        <v>106246</v>
      </c>
      <c r="H166" s="205" t="n">
        <f aca="false">_xlfn.xlookup(D166,'PO Client'!A:A,'PO Client'!L:L,"")</f>
        <v>45304</v>
      </c>
      <c r="I166" s="9" t="n">
        <v>40067</v>
      </c>
      <c r="J166" s="9" t="n">
        <v>30031</v>
      </c>
      <c r="K166" s="62" t="str">
        <f aca="false">_xlfn.xlookup(I166,'Prix vente'!$A:$A,'Prix vente'!$H:$H,"")</f>
        <v>S15</v>
      </c>
      <c r="L166" s="69" t="str">
        <f aca="false">_xlfn.xlookup(J166,'Prix MP'!A:A,'Prix MP'!F:F,FALSE())</f>
        <v>S15-3</v>
      </c>
      <c r="M166" s="69" t="str">
        <f aca="false">_xlfn.xlookup(J166,'Prix MP'!A:A,'Prix MP'!D:D,FALSE())</f>
        <v>Jinda</v>
      </c>
      <c r="N166" s="61" t="str">
        <f aca="false">_xlfn.xlookup(I166,'Prix vente'!$A:$A,'Prix vente'!$J:$J,"")</f>
        <v>SG - Acrylic Adhesive</v>
      </c>
      <c r="O166" s="1" t="n">
        <v>12</v>
      </c>
      <c r="P166" s="1" t="n">
        <v>5</v>
      </c>
      <c r="Y166" s="1" t="n">
        <v>12</v>
      </c>
      <c r="Z166" s="1" t="n">
        <v>12</v>
      </c>
      <c r="AA166" s="1" t="n">
        <v>12</v>
      </c>
      <c r="AB166" s="1" t="n">
        <v>12</v>
      </c>
      <c r="AC166" s="1" t="n">
        <v>12</v>
      </c>
      <c r="AI166" s="15" t="s">
        <v>890</v>
      </c>
      <c r="AJ166" s="1" t="n">
        <v>5000</v>
      </c>
      <c r="AK166" s="15" t="str">
        <f aca="false">IF(_xlfn.xlookup(I166,'Prix vente'!$A:$A,'Prix vente'!$O:$O,"")="msi","pi","m")</f>
        <v>pi</v>
      </c>
      <c r="AL166" s="1" t="n">
        <v>1</v>
      </c>
      <c r="AM166" s="1" t="n">
        <v>5</v>
      </c>
      <c r="AO166" s="15" t="n">
        <f aca="false">AM166*AJ166</f>
        <v>25000</v>
      </c>
      <c r="AP166" s="15" t="s">
        <v>1279</v>
      </c>
      <c r="AQ166" s="82" t="s">
        <v>1280</v>
      </c>
      <c r="AR166" s="62" t="n">
        <f aca="false">_xlfn.xlookup(I166,'Prix vente'!A:A,'Prix vente'!B:B,FALSE())</f>
        <v>20015</v>
      </c>
    </row>
    <row r="167" customFormat="false" ht="15" hidden="false" customHeight="true" outlineLevel="0" collapsed="false">
      <c r="A167" s="61" t="s">
        <v>1281</v>
      </c>
      <c r="B167" s="1" t="str">
        <f aca="false">_xlfn.xlookup(A167,'Prix revient'!A:A,'Prix revient'!B:B)</f>
        <v>Fermé</v>
      </c>
      <c r="C167" s="199" t="n">
        <v>45665</v>
      </c>
      <c r="D167" s="9" t="n">
        <v>287</v>
      </c>
      <c r="E167" s="61" t="str">
        <f aca="false">_xlfn.xlookup(D167,'PO Client'!$A:$A,'PO Client'!$C:$C,FALSE())</f>
        <v>Étiquettes Luso-Flex</v>
      </c>
      <c r="F167" s="61"/>
      <c r="G167" s="61" t="n">
        <f aca="false">_xlfn.xlookup(D167,'PO Client'!$A:$A,'PO Client'!$F:$F,FALSE())</f>
        <v>1966</v>
      </c>
      <c r="H167" s="205" t="n">
        <f aca="false">_xlfn.xlookup(D167,'PO Client'!A:A,'PO Client'!L:L,"")</f>
        <v>45666</v>
      </c>
      <c r="I167" s="9" t="n">
        <v>40212</v>
      </c>
      <c r="J167" s="9" t="n">
        <v>30011</v>
      </c>
      <c r="K167" s="62" t="str">
        <f aca="false">_xlfn.xlookup(I167,'Prix vente'!$A:$A,'Prix vente'!$H:$H,"")</f>
        <v>S21</v>
      </c>
      <c r="L167" s="69" t="str">
        <f aca="false">_xlfn.xlookup(J167,'Prix MP'!A:A,'Prix MP'!F:F,FALSE())</f>
        <v>S21-1</v>
      </c>
      <c r="M167" s="69" t="str">
        <f aca="false">_xlfn.xlookup(J167,'Prix MP'!A:A,'Prix MP'!D:D,FALSE())</f>
        <v>AKO</v>
      </c>
      <c r="N167" s="61" t="str">
        <f aca="false">_xlfn.xlookup(I167,'Prix vente'!$A:$A,'Prix vente'!$J:$J,"")</f>
        <v>SG - Hotmelt Adhesive</v>
      </c>
      <c r="O167" s="1" t="n">
        <v>4.75</v>
      </c>
      <c r="P167" s="1" t="n">
        <v>5</v>
      </c>
      <c r="Q167" s="1" t="n">
        <v>6</v>
      </c>
      <c r="R167" s="1" t="n">
        <v>5</v>
      </c>
      <c r="S167" s="1" t="n">
        <v>6.25</v>
      </c>
      <c r="T167" s="1" t="n">
        <v>1</v>
      </c>
      <c r="AI167" s="15" t="s">
        <v>890</v>
      </c>
      <c r="AJ167" s="1" t="n">
        <v>4800</v>
      </c>
      <c r="AK167" s="15" t="str">
        <f aca="false">IF(_xlfn.xlookup(I167,'Prix vente'!$A:$A,'Prix vente'!$O:$O,"")="msi","pi","m")</f>
        <v>pi</v>
      </c>
      <c r="AL167" s="1" t="n">
        <v>1</v>
      </c>
      <c r="AM167" s="1" t="n">
        <v>11</v>
      </c>
      <c r="AO167" s="15" t="n">
        <f aca="false">11*5000</f>
        <v>55000</v>
      </c>
      <c r="AQ167" s="82" t="s">
        <v>1282</v>
      </c>
      <c r="AR167" s="62" t="n">
        <f aca="false">_xlfn.xlookup(I167,'Prix vente'!A:A,'Prix vente'!B:B,FALSE())</f>
        <v>20011</v>
      </c>
    </row>
    <row r="168" customFormat="false" ht="15" hidden="false" customHeight="true" outlineLevel="0" collapsed="false">
      <c r="A168" s="61" t="s">
        <v>1283</v>
      </c>
      <c r="B168" s="1" t="str">
        <f aca="false">_xlfn.xlookup(A168,'Prix revient'!A:A,'Prix revient'!B:B)</f>
        <v>Fermé</v>
      </c>
      <c r="C168" s="199" t="n">
        <v>45665</v>
      </c>
      <c r="E168" s="61" t="s">
        <v>276</v>
      </c>
      <c r="F168" s="61"/>
      <c r="G168" s="61" t="s">
        <v>1035</v>
      </c>
      <c r="H168" s="205" t="n">
        <v>45666</v>
      </c>
      <c r="J168" s="9" t="n">
        <v>30015</v>
      </c>
      <c r="K168" s="62" t="s">
        <v>586</v>
      </c>
      <c r="L168" s="69" t="s">
        <v>378</v>
      </c>
      <c r="M168" s="69" t="s">
        <v>375</v>
      </c>
      <c r="N168" s="61" t="s">
        <v>381</v>
      </c>
      <c r="O168" s="1" t="n">
        <v>13</v>
      </c>
      <c r="P168" s="1" t="n">
        <v>1</v>
      </c>
      <c r="Q168" s="1" t="n">
        <v>7.25</v>
      </c>
      <c r="R168" s="1" t="n">
        <v>1</v>
      </c>
      <c r="Y168" s="1" t="n">
        <v>13</v>
      </c>
      <c r="Z168" s="1" t="n">
        <v>7.25</v>
      </c>
      <c r="AI168" s="15" t="s">
        <v>890</v>
      </c>
      <c r="AJ168" s="1" t="n">
        <v>2300</v>
      </c>
      <c r="AK168" s="15" t="s">
        <v>891</v>
      </c>
      <c r="AM168" s="1" t="n">
        <v>1</v>
      </c>
      <c r="AO168" s="1" t="n">
        <v>2300</v>
      </c>
      <c r="AP168" s="15" t="s">
        <v>1284</v>
      </c>
      <c r="AQ168" s="82" t="s">
        <v>1285</v>
      </c>
      <c r="AR168" s="62"/>
    </row>
    <row r="169" customFormat="false" ht="15" hidden="false" customHeight="true" outlineLevel="0" collapsed="false">
      <c r="A169" s="61" t="s">
        <v>1286</v>
      </c>
      <c r="B169" s="1" t="str">
        <f aca="false">_xlfn.xlookup(A169,'Prix revient'!A:A,'Prix revient'!B:B)</f>
        <v>Fermé</v>
      </c>
      <c r="C169" s="199" t="n">
        <v>45666</v>
      </c>
      <c r="D169" s="9" t="n">
        <v>294</v>
      </c>
      <c r="E169" s="61" t="str">
        <f aca="false">_xlfn.xlookup(D169,'PO Client'!$A:$A,'PO Client'!$C:$C,FALSE())</f>
        <v>Digi America Inc.</v>
      </c>
      <c r="F169" s="61"/>
      <c r="G169" s="61" t="n">
        <f aca="false">_xlfn.xlookup(D169,'PO Client'!$A:$A,'PO Client'!$F:$F,FALSE())</f>
        <v>50009018</v>
      </c>
      <c r="H169" s="205" t="n">
        <f aca="false">_xlfn.xlookup(D169,'PO Client'!A:A,'PO Client'!L:L,"")</f>
        <v>45679</v>
      </c>
      <c r="I169" s="9" t="n">
        <v>40103</v>
      </c>
      <c r="J169" s="9" t="n">
        <v>30025</v>
      </c>
      <c r="K169" s="62" t="str">
        <f aca="false">_xlfn.xlookup(I169,'Prix vente'!$A:$A,'Prix vente'!$H:$H,"")</f>
        <v>D16</v>
      </c>
      <c r="L169" s="69" t="str">
        <f aca="false">_xlfn.xlookup(J169,'Prix MP'!A:A,'Prix MP'!F:F,FALSE())</f>
        <v>D11-1</v>
      </c>
      <c r="M169" s="69" t="str">
        <f aca="false">_xlfn.xlookup(J169,'Prix MP'!A:A,'Prix MP'!D:D,FALSE())</f>
        <v>AKO</v>
      </c>
      <c r="N169" s="61" t="str">
        <f aca="false">_xlfn.xlookup(I169,'Prix vente'!$A:$A,'Prix vente'!$J:$J,"")</f>
        <v>TC DT - Acrylic Adhesive</v>
      </c>
      <c r="O169" s="1" t="n">
        <v>10</v>
      </c>
      <c r="P169" s="1" t="n">
        <v>72</v>
      </c>
      <c r="Y169" s="1" t="n">
        <v>10</v>
      </c>
      <c r="Z169" s="1" t="n">
        <v>10</v>
      </c>
      <c r="AA169" s="1" t="n">
        <v>10</v>
      </c>
      <c r="AB169" s="1" t="n">
        <v>10</v>
      </c>
      <c r="AC169" s="1" t="n">
        <v>10</v>
      </c>
      <c r="AD169" s="1" t="n">
        <v>10</v>
      </c>
      <c r="AI169" s="15" t="s">
        <v>890</v>
      </c>
      <c r="AJ169" s="1" t="n">
        <v>5000</v>
      </c>
      <c r="AK169" s="15" t="str">
        <f aca="false">IF(_xlfn.xlookup(I169,'Prix vente'!$A:$A,'Prix vente'!$O:$O,"")="msi","pi","m")</f>
        <v>pi</v>
      </c>
      <c r="AL169" s="1" t="n">
        <v>6</v>
      </c>
      <c r="AM169" s="1" t="n">
        <v>72</v>
      </c>
      <c r="AO169" s="15" t="n">
        <f aca="false">AM169*AJ169</f>
        <v>360000</v>
      </c>
      <c r="AP169" s="1" t="n">
        <v>10034</v>
      </c>
      <c r="AQ169" s="82" t="s">
        <v>1287</v>
      </c>
      <c r="AR169" s="62" t="n">
        <f aca="false">_xlfn.xlookup(I169,'Prix vente'!A:A,'Prix vente'!B:B,FALSE())</f>
        <v>20018</v>
      </c>
    </row>
    <row r="170" customFormat="false" ht="15" hidden="false" customHeight="true" outlineLevel="0" collapsed="false">
      <c r="A170" s="61" t="s">
        <v>1288</v>
      </c>
      <c r="B170" s="1" t="str">
        <f aca="false">_xlfn.xlookup(A170,'Prix revient'!A:A,'Prix revient'!B:B)</f>
        <v>Fermé</v>
      </c>
      <c r="C170" s="199" t="n">
        <v>45672</v>
      </c>
      <c r="D170" s="9" t="n">
        <v>295</v>
      </c>
      <c r="E170" s="61" t="str">
        <f aca="false">_xlfn.xlookup(D170,'PO Client'!$A:$A,'PO Client'!$C:$C,FALSE())</f>
        <v>IMS</v>
      </c>
      <c r="F170" s="61"/>
      <c r="G170" s="61" t="n">
        <f aca="false">_xlfn.xlookup(D170,'PO Client'!$A:$A,'PO Client'!$F:$F,FALSE())</f>
        <v>2501687</v>
      </c>
      <c r="H170" s="205" t="n">
        <f aca="false">_xlfn.xlookup(D170,'PO Client'!A:A,'PO Client'!L:L,"")</f>
        <v>45679</v>
      </c>
      <c r="I170" s="9" t="n">
        <v>40223</v>
      </c>
      <c r="J170" s="9" t="n">
        <v>30042</v>
      </c>
      <c r="K170" s="62" t="str">
        <f aca="false">_xlfn.xlookup(I170,'Prix vente'!$A:$A,'Prix vente'!$H:$H,"")</f>
        <v>T11</v>
      </c>
      <c r="L170" s="69" t="str">
        <f aca="false">_xlfn.xlookup(J170,'Prix MP'!A:A,'Prix MP'!F:F,FALSE())</f>
        <v>T11-1</v>
      </c>
      <c r="M170" s="69" t="str">
        <f aca="false">_xlfn.xlookup(J170,'Prix MP'!A:A,'Prix MP'!D:D,FALSE())</f>
        <v>AKO</v>
      </c>
      <c r="N170" s="61" t="str">
        <f aca="false">_xlfn.xlookup(I170,'Prix vente'!$A:$A,'Prix vente'!$J:$J,"")</f>
        <v>TT - HM Adhesive</v>
      </c>
      <c r="O170" s="1" t="n">
        <v>12.75</v>
      </c>
      <c r="P170" s="1" t="n">
        <v>4</v>
      </c>
      <c r="Q170" s="1" t="n">
        <v>9</v>
      </c>
      <c r="R170" s="1" t="n">
        <v>1</v>
      </c>
      <c r="Y170" s="1" t="n">
        <v>12.75</v>
      </c>
      <c r="Z170" s="1" t="n">
        <v>12.75</v>
      </c>
      <c r="AA170" s="1" t="n">
        <v>12.75</v>
      </c>
      <c r="AB170" s="1" t="n">
        <v>12.75</v>
      </c>
      <c r="AC170" s="1" t="n">
        <v>9</v>
      </c>
      <c r="AI170" s="15" t="s">
        <v>890</v>
      </c>
      <c r="AJ170" s="15" t="n">
        <f aca="false">_xlfn.xlookup(I170,'Prix vente'!$A:$A,'Prix vente'!$Q:$Q,"")</f>
        <v>10000</v>
      </c>
      <c r="AK170" s="15" t="str">
        <f aca="false">IF(_xlfn.xlookup(I170,'Prix vente'!$A:$A,'Prix vente'!$O:$O,"")="msi","pi","m")</f>
        <v>pi</v>
      </c>
      <c r="AL170" s="1" t="n">
        <v>1</v>
      </c>
      <c r="AM170" s="1" t="n">
        <v>5</v>
      </c>
      <c r="AO170" s="15" t="n">
        <f aca="false">AM170*AJ170</f>
        <v>50000</v>
      </c>
      <c r="AP170" s="15" t="s">
        <v>1289</v>
      </c>
      <c r="AQ170" s="82" t="s">
        <v>1290</v>
      </c>
      <c r="AR170" s="62" t="n">
        <f aca="false">_xlfn.xlookup(I170,'Prix vente'!A:A,'Prix vente'!B:B,FALSE())</f>
        <v>20003</v>
      </c>
    </row>
    <row r="171" customFormat="false" ht="15" hidden="false" customHeight="true" outlineLevel="0" collapsed="false">
      <c r="A171" s="61" t="s">
        <v>1291</v>
      </c>
      <c r="B171" s="1" t="str">
        <f aca="false">_xlfn.xlookup(A171,'Prix revient'!A:A,'Prix revient'!B:B)</f>
        <v>Fermé</v>
      </c>
      <c r="C171" s="199" t="n">
        <v>45672</v>
      </c>
      <c r="D171" s="9" t="n">
        <v>296</v>
      </c>
      <c r="E171" s="61" t="str">
        <f aca="false">_xlfn.xlookup(D171,'PO Client'!$A:$A,'PO Client'!$C:$C,FALSE())</f>
        <v>IMS</v>
      </c>
      <c r="F171" s="61"/>
      <c r="G171" s="61" t="n">
        <f aca="false">_xlfn.xlookup(D171,'PO Client'!$A:$A,'PO Client'!$F:$F,FALSE())</f>
        <v>2501688</v>
      </c>
      <c r="H171" s="205" t="n">
        <f aca="false">_xlfn.xlookup(D171,'PO Client'!A:A,'PO Client'!L:L,"")</f>
        <v>45679</v>
      </c>
      <c r="I171" s="9" t="n">
        <v>40224</v>
      </c>
      <c r="J171" s="9" t="n">
        <v>30042</v>
      </c>
      <c r="K171" s="62" t="str">
        <f aca="false">_xlfn.xlookup(I171,'Prix vente'!$A:$A,'Prix vente'!$H:$H,"")</f>
        <v>T11</v>
      </c>
      <c r="L171" s="69" t="str">
        <f aca="false">_xlfn.xlookup(J171,'Prix MP'!A:A,'Prix MP'!F:F,FALSE())</f>
        <v>T11-1</v>
      </c>
      <c r="M171" s="69" t="str">
        <f aca="false">_xlfn.xlookup(J171,'Prix MP'!A:A,'Prix MP'!D:D,FALSE())</f>
        <v>AKO</v>
      </c>
      <c r="N171" s="61" t="str">
        <f aca="false">_xlfn.xlookup(I171,'Prix vente'!$A:$A,'Prix vente'!$J:$J,"")</f>
        <v>TT - HM Adhesive</v>
      </c>
      <c r="O171" s="1" t="n">
        <v>9</v>
      </c>
      <c r="P171" s="1" t="n">
        <v>5</v>
      </c>
      <c r="Q171" s="1" t="n">
        <v>4.5</v>
      </c>
      <c r="R171" s="1" t="n">
        <v>2</v>
      </c>
      <c r="S171" s="1" t="n">
        <v>6</v>
      </c>
      <c r="T171" s="1" t="n">
        <v>1</v>
      </c>
      <c r="Y171" s="1" t="n">
        <v>9</v>
      </c>
      <c r="Z171" s="1" t="n">
        <v>9</v>
      </c>
      <c r="AA171" s="1" t="n">
        <v>9</v>
      </c>
      <c r="AB171" s="1" t="n">
        <v>9</v>
      </c>
      <c r="AC171" s="1" t="n">
        <v>9</v>
      </c>
      <c r="AD171" s="1" t="n">
        <v>4.5</v>
      </c>
      <c r="AE171" s="1" t="n">
        <v>4.5</v>
      </c>
      <c r="AF171" s="1" t="n">
        <v>6</v>
      </c>
      <c r="AI171" s="15" t="s">
        <v>890</v>
      </c>
      <c r="AJ171" s="15" t="n">
        <f aca="false">_xlfn.xlookup(I171,'Prix vente'!$A:$A,'Prix vente'!$Q:$Q,"")</f>
        <v>10000</v>
      </c>
      <c r="AK171" s="15" t="str">
        <f aca="false">IF(_xlfn.xlookup(I171,'Prix vente'!$A:$A,'Prix vente'!$O:$O,"")="msi","pi","m")</f>
        <v>pi</v>
      </c>
      <c r="AL171" s="1" t="n">
        <v>1</v>
      </c>
      <c r="AM171" s="1" t="n">
        <v>8</v>
      </c>
      <c r="AO171" s="15" t="n">
        <f aca="false">AM171*AJ171</f>
        <v>80000</v>
      </c>
      <c r="AP171" s="15" t="s">
        <v>1289</v>
      </c>
      <c r="AQ171" s="82" t="s">
        <v>1292</v>
      </c>
      <c r="AR171" s="62" t="n">
        <f aca="false">_xlfn.xlookup(I171,'Prix vente'!A:A,'Prix vente'!B:B,FALSE())</f>
        <v>20003</v>
      </c>
    </row>
    <row r="172" customFormat="false" ht="15" hidden="false" customHeight="true" outlineLevel="0" collapsed="false">
      <c r="A172" s="61" t="s">
        <v>1293</v>
      </c>
      <c r="B172" s="1" t="str">
        <f aca="false">_xlfn.xlookup(A172,'Prix revient'!A:A,'Prix revient'!B:B)</f>
        <v>Fermé</v>
      </c>
      <c r="C172" s="199" t="n">
        <v>45667</v>
      </c>
      <c r="D172" s="9" t="n">
        <v>297</v>
      </c>
      <c r="E172" s="61" t="str">
        <f aca="false">_xlfn.xlookup(D172,'PO Client'!$A:$A,'PO Client'!$C:$C,FALSE())</f>
        <v>Imprimerie Ste-Julie</v>
      </c>
      <c r="F172" s="61"/>
      <c r="G172" s="61" t="n">
        <f aca="false">_xlfn.xlookup(D172,'PO Client'!$A:$A,'PO Client'!$F:$F,FALSE())</f>
        <v>106713</v>
      </c>
      <c r="H172" s="205" t="n">
        <f aca="false">_xlfn.xlookup(D172,'PO Client'!A:A,'PO Client'!L:L,"")</f>
        <v>45673</v>
      </c>
      <c r="I172" s="9" t="n">
        <v>40117</v>
      </c>
      <c r="J172" s="9" t="n">
        <v>30036</v>
      </c>
      <c r="K172" s="62" t="str">
        <f aca="false">_xlfn.xlookup(I172,'Prix vente'!$A:$A,'Prix vente'!$H:$H,"")</f>
        <v>S15</v>
      </c>
      <c r="L172" s="69" t="str">
        <f aca="false">_xlfn.xlookup(J172,'Prix MP'!A:A,'Prix MP'!F:F,FALSE())</f>
        <v>S15-3</v>
      </c>
      <c r="M172" s="69" t="str">
        <f aca="false">_xlfn.xlookup(J172,'Prix MP'!A:A,'Prix MP'!D:D,FALSE())</f>
        <v>Jinda</v>
      </c>
      <c r="N172" s="61" t="str">
        <f aca="false">_xlfn.xlookup(I172,'Prix vente'!$A:$A,'Prix vente'!$J:$J,"")</f>
        <v>SG - Acrylic Adhesive</v>
      </c>
      <c r="O172" s="1" t="n">
        <v>10</v>
      </c>
      <c r="P172" s="1" t="n">
        <v>6</v>
      </c>
      <c r="Y172" s="1" t="n">
        <v>10</v>
      </c>
      <c r="Z172" s="1" t="n">
        <v>10</v>
      </c>
      <c r="AA172" s="1" t="n">
        <v>10</v>
      </c>
      <c r="AB172" s="1" t="n">
        <v>10</v>
      </c>
      <c r="AC172" s="1" t="n">
        <v>10</v>
      </c>
      <c r="AD172" s="1" t="n">
        <v>10</v>
      </c>
      <c r="AI172" s="15" t="s">
        <v>890</v>
      </c>
      <c r="AJ172" s="1" t="n">
        <v>4800</v>
      </c>
      <c r="AK172" s="15" t="str">
        <f aca="false">IF(_xlfn.xlookup(I172,'Prix vente'!$A:$A,'Prix vente'!$O:$O,"")="msi","pi","m")</f>
        <v>pi</v>
      </c>
      <c r="AL172" s="1" t="n">
        <v>1</v>
      </c>
      <c r="AM172" s="1" t="n">
        <v>6</v>
      </c>
      <c r="AO172" s="15" t="n">
        <f aca="false">AM172*AJ172</f>
        <v>28800</v>
      </c>
      <c r="AP172" s="15" t="s">
        <v>1263</v>
      </c>
      <c r="AQ172" s="82" t="s">
        <v>1294</v>
      </c>
      <c r="AR172" s="62" t="n">
        <f aca="false">_xlfn.xlookup(I172,'Prix vente'!A:A,'Prix vente'!B:B,FALSE())</f>
        <v>20015</v>
      </c>
    </row>
    <row r="173" customFormat="false" ht="15" hidden="false" customHeight="true" outlineLevel="0" collapsed="false">
      <c r="A173" s="61" t="s">
        <v>1295</v>
      </c>
      <c r="B173" s="1" t="str">
        <f aca="false">_xlfn.xlookup(A173,'Prix revient'!A:A,'Prix revient'!B:B)</f>
        <v>Fermé</v>
      </c>
      <c r="C173" s="199" t="n">
        <v>45670</v>
      </c>
      <c r="D173" s="9" t="n">
        <v>298</v>
      </c>
      <c r="E173" s="61" t="str">
        <f aca="false">_xlfn.xlookup(D173,'PO Client'!$A:$A,'PO Client'!$C:$C,FALSE())</f>
        <v>3G Print Group Inc.</v>
      </c>
      <c r="F173" s="61"/>
      <c r="G173" s="61" t="n">
        <f aca="false">_xlfn.xlookup(D173,'PO Client'!$A:$A,'PO Client'!$F:$F,FALSE())</f>
        <v>2985</v>
      </c>
      <c r="H173" s="205" t="n">
        <f aca="false">_xlfn.xlookup(D173,'PO Client'!A:A,'PO Client'!L:L,"")</f>
        <v>45677</v>
      </c>
      <c r="I173" s="9" t="n">
        <v>40227</v>
      </c>
      <c r="J173" s="9" t="n">
        <v>30036</v>
      </c>
      <c r="K173" s="62" t="str">
        <f aca="false">_xlfn.xlookup(I173,'Prix vente'!$A:$A,'Prix vente'!$H:$H,"")</f>
        <v>S15</v>
      </c>
      <c r="L173" s="69" t="str">
        <f aca="false">_xlfn.xlookup(J173,'Prix MP'!A:A,'Prix MP'!F:F,FALSE())</f>
        <v>S15-3</v>
      </c>
      <c r="M173" s="69" t="str">
        <f aca="false">_xlfn.xlookup(J173,'Prix MP'!A:A,'Prix MP'!D:D,FALSE())</f>
        <v>Jinda</v>
      </c>
      <c r="N173" s="61" t="str">
        <f aca="false">_xlfn.xlookup(I173,'Prix vente'!$A:$A,'Prix vente'!$J:$J,"")</f>
        <v>SG - Acrylic Adhesive</v>
      </c>
      <c r="O173" s="1" t="n">
        <v>12</v>
      </c>
      <c r="P173" s="1" t="n">
        <v>5</v>
      </c>
      <c r="Y173" s="1" t="n">
        <v>12</v>
      </c>
      <c r="Z173" s="1" t="n">
        <v>12</v>
      </c>
      <c r="AA173" s="1" t="n">
        <v>12</v>
      </c>
      <c r="AB173" s="1" t="n">
        <v>12</v>
      </c>
      <c r="AC173" s="1" t="n">
        <v>12</v>
      </c>
      <c r="AI173" s="15" t="s">
        <v>890</v>
      </c>
      <c r="AJ173" s="1" t="n">
        <v>9600</v>
      </c>
      <c r="AK173" s="15" t="str">
        <f aca="false">IF(_xlfn.xlookup(I173,'Prix vente'!$A:$A,'Prix vente'!$O:$O,"")="msi","pi","m")</f>
        <v>pi</v>
      </c>
      <c r="AM173" s="1" t="n">
        <v>5</v>
      </c>
      <c r="AO173" s="15" t="n">
        <f aca="false">AM173*AJ173</f>
        <v>48000</v>
      </c>
      <c r="AP173" s="15" t="s">
        <v>1296</v>
      </c>
      <c r="AQ173" s="82" t="s">
        <v>1297</v>
      </c>
      <c r="AR173" s="62" t="n">
        <f aca="false">_xlfn.xlookup(I173,'Prix vente'!A:A,'Prix vente'!B:B,FALSE())</f>
        <v>20015</v>
      </c>
    </row>
    <row r="174" customFormat="false" ht="15" hidden="false" customHeight="true" outlineLevel="0" collapsed="false">
      <c r="A174" s="61" t="s">
        <v>1298</v>
      </c>
      <c r="B174" s="1" t="str">
        <f aca="false">_xlfn.xlookup(A174,'Prix revient'!A:A,'Prix revient'!B:B)</f>
        <v>Fermé</v>
      </c>
      <c r="C174" s="199" t="n">
        <v>45671</v>
      </c>
      <c r="D174" s="9" t="n">
        <v>299</v>
      </c>
      <c r="E174" s="61" t="str">
        <f aca="false">_xlfn.xlookup(D174,'PO Client'!$A:$A,'PO Client'!$C:$C,FALSE())</f>
        <v>REDEMAC</v>
      </c>
      <c r="F174" s="61"/>
      <c r="G174" s="61" t="str">
        <f aca="false">_xlfn.xlookup(D174,'PO Client'!$A:$A,'PO Client'!$F:$F,FALSE())</f>
        <v>Échantillon D11</v>
      </c>
      <c r="H174" s="205" t="n">
        <f aca="false">_xlfn.xlookup(D174,'PO Client'!A:A,'PO Client'!L:L,"")</f>
        <v>45678</v>
      </c>
      <c r="I174" s="9" t="n">
        <v>40230</v>
      </c>
      <c r="J174" s="9" t="n">
        <v>30025</v>
      </c>
      <c r="K174" s="62" t="str">
        <f aca="false">_xlfn.xlookup(I174,'Prix vente'!$A:$A,'Prix vente'!$H:$H,"")</f>
        <v>D11</v>
      </c>
      <c r="L174" s="69" t="str">
        <f aca="false">_xlfn.xlookup(J174,'Prix MP'!A:A,'Prix MP'!F:F,FALSE())</f>
        <v>D11-1</v>
      </c>
      <c r="M174" s="69" t="str">
        <f aca="false">_xlfn.xlookup(J174,'Prix MP'!A:A,'Prix MP'!D:D,FALSE())</f>
        <v>AKO</v>
      </c>
      <c r="N174" s="61" t="str">
        <f aca="false">_xlfn.xlookup(I174,'Prix vente'!$A:$A,'Prix vente'!$J:$J,"")</f>
        <v>TC DT - Hotmelt Adhesive</v>
      </c>
      <c r="O174" s="1" t="n">
        <v>14.167</v>
      </c>
      <c r="P174" s="1" t="n">
        <v>3</v>
      </c>
      <c r="Y174" s="1" t="n">
        <v>14.167</v>
      </c>
      <c r="Z174" s="1" t="n">
        <v>14.167</v>
      </c>
      <c r="AA174" s="1" t="n">
        <v>14.167</v>
      </c>
      <c r="AI174" s="15" t="s">
        <v>890</v>
      </c>
      <c r="AJ174" s="15" t="n">
        <f aca="false">_xlfn.xlookup(I174,'Prix vente'!$A:$A,'Prix vente'!$Q:$Q,"")</f>
        <v>5000</v>
      </c>
      <c r="AK174" s="15" t="str">
        <f aca="false">IF(_xlfn.xlookup(I174,'Prix vente'!$A:$A,'Prix vente'!$O:$O,"")="msi","pi","m")</f>
        <v>pi</v>
      </c>
      <c r="AM174" s="1" t="n">
        <v>3</v>
      </c>
      <c r="AO174" s="15" t="n">
        <f aca="false">AM174*AJ174</f>
        <v>15000</v>
      </c>
      <c r="AP174" s="15" t="s">
        <v>1299</v>
      </c>
      <c r="AQ174" s="82" t="s">
        <v>1300</v>
      </c>
      <c r="AR174" s="62" t="n">
        <f aca="false">_xlfn.xlookup(I174,'Prix vente'!A:A,'Prix vente'!B:B,FALSE())</f>
        <v>20013</v>
      </c>
    </row>
    <row r="175" customFormat="false" ht="15" hidden="false" customHeight="true" outlineLevel="0" collapsed="false">
      <c r="A175" s="61" t="s">
        <v>1301</v>
      </c>
      <c r="B175" s="1" t="str">
        <f aca="false">_xlfn.xlookup(A175,'Prix revient'!A:A,'Prix revient'!B:B)</f>
        <v>Fermé</v>
      </c>
      <c r="C175" s="199" t="n">
        <v>45671</v>
      </c>
      <c r="D175" s="9" t="n">
        <v>300</v>
      </c>
      <c r="E175" s="61" t="str">
        <f aca="false">_xlfn.xlookup(D175,'PO Client'!$A:$A,'PO Client'!$C:$C,FALSE())</f>
        <v>Damaflex Imprimerie Multiservices Inc.</v>
      </c>
      <c r="F175" s="61"/>
      <c r="G175" s="61" t="n">
        <f aca="false">_xlfn.xlookup(D175,'PO Client'!$A:$A,'PO Client'!$F:$F,FALSE())</f>
        <v>179986</v>
      </c>
      <c r="H175" s="205" t="n">
        <f aca="false">_xlfn.xlookup(D175,'PO Client'!A:A,'PO Client'!L:L,"")</f>
        <v>45678</v>
      </c>
      <c r="I175" s="9" t="n">
        <v>40228</v>
      </c>
      <c r="J175" s="9" t="n">
        <v>30025</v>
      </c>
      <c r="K175" s="62" t="str">
        <f aca="false">_xlfn.xlookup(I175,'Prix vente'!$A:$A,'Prix vente'!$H:$H,"")</f>
        <v>D11</v>
      </c>
      <c r="L175" s="69" t="str">
        <f aca="false">_xlfn.xlookup(J175,'Prix MP'!A:A,'Prix MP'!F:F,FALSE())</f>
        <v>D11-1</v>
      </c>
      <c r="M175" s="69" t="str">
        <f aca="false">_xlfn.xlookup(J175,'Prix MP'!A:A,'Prix MP'!D:D,FALSE())</f>
        <v>AKO</v>
      </c>
      <c r="N175" s="61" t="str">
        <f aca="false">_xlfn.xlookup(I175,'Prix vente'!$A:$A,'Prix vente'!$J:$J,"")</f>
        <v>TC DT - Hotmelt Adhesive</v>
      </c>
      <c r="O175" s="1" t="n">
        <v>8</v>
      </c>
      <c r="P175" s="1" t="n">
        <v>7</v>
      </c>
      <c r="Q175" s="1" t="n">
        <v>4</v>
      </c>
      <c r="R175" s="1" t="n">
        <v>1</v>
      </c>
      <c r="Y175" s="1" t="n">
        <v>8</v>
      </c>
      <c r="Z175" s="1" t="n">
        <v>8</v>
      </c>
      <c r="AA175" s="1" t="n">
        <v>8</v>
      </c>
      <c r="AB175" s="1" t="n">
        <v>8</v>
      </c>
      <c r="AC175" s="1" t="n">
        <v>8</v>
      </c>
      <c r="AD175" s="1" t="n">
        <v>8</v>
      </c>
      <c r="AE175" s="1" t="n">
        <v>8</v>
      </c>
      <c r="AF175" s="1" t="n">
        <v>4</v>
      </c>
      <c r="AI175" s="15" t="s">
        <v>890</v>
      </c>
      <c r="AJ175" s="15" t="n">
        <f aca="false">_xlfn.xlookup(I175,'Prix vente'!$A:$A,'Prix vente'!$Q:$Q,"")</f>
        <v>10000</v>
      </c>
      <c r="AK175" s="15" t="str">
        <f aca="false">IF(_xlfn.xlookup(I175,'Prix vente'!$A:$A,'Prix vente'!$O:$O,"")="msi","pi","m")</f>
        <v>pi</v>
      </c>
      <c r="AL175" s="1" t="n">
        <v>1</v>
      </c>
      <c r="AM175" s="1" t="n">
        <v>8</v>
      </c>
      <c r="AO175" s="15" t="n">
        <f aca="false">AM175*AJ175</f>
        <v>80000</v>
      </c>
      <c r="AP175" s="15" t="s">
        <v>1163</v>
      </c>
      <c r="AQ175" s="82" t="s">
        <v>1302</v>
      </c>
      <c r="AR175" s="62" t="n">
        <f aca="false">_xlfn.xlookup(I175,'Prix vente'!A:A,'Prix vente'!B:B,FALSE())</f>
        <v>20013</v>
      </c>
    </row>
    <row r="176" customFormat="false" ht="15" hidden="false" customHeight="true" outlineLevel="0" collapsed="false">
      <c r="A176" s="61" t="s">
        <v>1303</v>
      </c>
      <c r="B176" s="1" t="str">
        <f aca="false">_xlfn.xlookup(A176,'Prix revient'!A:A,'Prix revient'!B:B)</f>
        <v>Fermé</v>
      </c>
      <c r="C176" s="199" t="n">
        <v>45673</v>
      </c>
      <c r="D176" s="9" t="n">
        <v>301</v>
      </c>
      <c r="E176" s="61" t="str">
        <f aca="false">_xlfn.xlookup(D176,'PO Client'!$A:$A,'PO Client'!$C:$C,FALSE())</f>
        <v>Emballages Mijo</v>
      </c>
      <c r="F176" s="61" t="str">
        <f aca="false">_xlfn.xlookup(E176,Clients!B:B,Clients!C:C)</f>
        <v>Mijo</v>
      </c>
      <c r="G176" s="61" t="n">
        <f aca="false">_xlfn.xlookup(D176,'PO Client'!$A:$A,'PO Client'!$F:$F,FALSE())</f>
        <v>14339</v>
      </c>
      <c r="H176" s="205" t="n">
        <f aca="false">_xlfn.xlookup(D176,'PO Client'!A:A,'PO Client'!L:L,"")</f>
        <v>45680</v>
      </c>
      <c r="I176" s="9" t="n">
        <v>40231</v>
      </c>
      <c r="J176" s="9" t="n">
        <v>30042</v>
      </c>
      <c r="K176" s="62" t="str">
        <f aca="false">_xlfn.xlookup(I176,'Prix vente'!$A:$A,'Prix vente'!$H:$H,"")</f>
        <v>T11</v>
      </c>
      <c r="L176" s="69" t="str">
        <f aca="false">_xlfn.xlookup(J176,'Prix MP'!A:A,'Prix MP'!F:F,FALSE())</f>
        <v>T11-1</v>
      </c>
      <c r="M176" s="69" t="str">
        <f aca="false">_xlfn.xlookup(J176,'Prix MP'!A:A,'Prix MP'!D:D,FALSE())</f>
        <v>AKO</v>
      </c>
      <c r="N176" s="61" t="str">
        <f aca="false">_xlfn.xlookup(I176,'Prix vente'!$A:$A,'Prix vente'!$J:$J,"")</f>
        <v>TT - HM Adhesive</v>
      </c>
      <c r="O176" s="1" t="n">
        <v>10</v>
      </c>
      <c r="P176" s="1" t="n">
        <v>6</v>
      </c>
      <c r="Y176" s="1" t="n">
        <v>10</v>
      </c>
      <c r="Z176" s="1" t="n">
        <v>10</v>
      </c>
      <c r="AA176" s="1" t="n">
        <v>10</v>
      </c>
      <c r="AB176" s="1" t="n">
        <v>10</v>
      </c>
      <c r="AC176" s="1" t="n">
        <v>10</v>
      </c>
      <c r="AD176" s="1" t="n">
        <v>10</v>
      </c>
      <c r="AI176" s="15" t="s">
        <v>890</v>
      </c>
      <c r="AJ176" s="15" t="n">
        <f aca="false">_xlfn.xlookup(I176,'Prix vente'!$A:$A,'Prix vente'!$Q:$Q,"")</f>
        <v>10000</v>
      </c>
      <c r="AK176" s="15" t="str">
        <f aca="false">IF(_xlfn.xlookup(I176,'Prix vente'!$A:$A,'Prix vente'!$O:$O,"")="msi","pi","m")</f>
        <v>pi</v>
      </c>
      <c r="AL176" s="1" t="n">
        <v>1</v>
      </c>
      <c r="AM176" s="1" t="n">
        <v>6</v>
      </c>
      <c r="AO176" s="15" t="n">
        <f aca="false">AM176*AJ176</f>
        <v>60000</v>
      </c>
      <c r="AP176" s="15" t="s">
        <v>1289</v>
      </c>
      <c r="AQ176" s="82" t="s">
        <v>1304</v>
      </c>
      <c r="AR176" s="62" t="n">
        <f aca="false">_xlfn.xlookup(I176,'Prix vente'!A:A,'Prix vente'!B:B,FALSE())</f>
        <v>20003</v>
      </c>
    </row>
    <row r="177" customFormat="false" ht="15" hidden="false" customHeight="true" outlineLevel="0" collapsed="false">
      <c r="A177" s="61" t="s">
        <v>1305</v>
      </c>
      <c r="B177" s="1" t="str">
        <f aca="false">_xlfn.xlookup(A177,'Prix revient'!A:A,'Prix revient'!B:B)</f>
        <v>Fermé</v>
      </c>
      <c r="C177" s="199" t="n">
        <v>45677</v>
      </c>
      <c r="D177" s="9" t="n">
        <v>302</v>
      </c>
      <c r="E177" s="61" t="str">
        <f aca="false">_xlfn.xlookup(D177,'PO Client'!$A:$A,'PO Client'!$C:$C,FALSE())</f>
        <v>Imprimerie Ste-Julie</v>
      </c>
      <c r="F177" s="61" t="str">
        <f aca="false">_xlfn.xlookup(E177,Clients!B:B,Clients!C:C)</f>
        <v>Imprimerie Ste-Julie</v>
      </c>
      <c r="G177" s="61" t="n">
        <f aca="false">_xlfn.xlookup(D177,'PO Client'!$A:$A,'PO Client'!$F:$F,FALSE())</f>
        <v>106855</v>
      </c>
      <c r="H177" s="205" t="n">
        <f aca="false">_xlfn.xlookup(D177,'PO Client'!A:A,'PO Client'!L:L,"")</f>
        <v>45679</v>
      </c>
      <c r="I177" s="9" t="n">
        <v>40081</v>
      </c>
      <c r="J177" s="9" t="n">
        <v>30011</v>
      </c>
      <c r="K177" s="62" t="str">
        <f aca="false">_xlfn.xlookup(I177,'Prix vente'!$A:$A,'Prix vente'!$H:$H,"")</f>
        <v>S21</v>
      </c>
      <c r="L177" s="69" t="str">
        <f aca="false">_xlfn.xlookup(J177,'Prix MP'!A:A,'Prix MP'!F:F,FALSE())</f>
        <v>S21-1</v>
      </c>
      <c r="M177" s="69" t="str">
        <f aca="false">_xlfn.xlookup(J177,'Prix MP'!A:A,'Prix MP'!D:D,FALSE())</f>
        <v>AKO</v>
      </c>
      <c r="N177" s="61" t="str">
        <f aca="false">_xlfn.xlookup(I177,'Prix vente'!$A:$A,'Prix vente'!$J:$J,"")</f>
        <v>SG - Hotmelt Adhesive</v>
      </c>
      <c r="O177" s="1" t="n">
        <v>10</v>
      </c>
      <c r="P177" s="1" t="n">
        <v>6</v>
      </c>
      <c r="Q177" s="1" t="n">
        <v>12</v>
      </c>
      <c r="R177" s="1" t="n">
        <v>5</v>
      </c>
      <c r="AI177" s="15" t="s">
        <v>890</v>
      </c>
      <c r="AJ177" s="15" t="n">
        <f aca="false">_xlfn.xlookup(I177,'Prix vente'!$A:$A,'Prix vente'!$Q:$Q,"")</f>
        <v>5000</v>
      </c>
      <c r="AK177" s="15" t="str">
        <f aca="false">IF(_xlfn.xlookup(I177,'Prix vente'!$A:$A,'Prix vente'!$O:$O,"")="msi","pi","m")</f>
        <v>pi</v>
      </c>
      <c r="AL177" s="1" t="n">
        <v>1</v>
      </c>
      <c r="AM177" s="1" t="n">
        <v>11</v>
      </c>
      <c r="AO177" s="15" t="n">
        <f aca="false">AM177*AJ177</f>
        <v>55000</v>
      </c>
      <c r="AP177" s="15" t="s">
        <v>1174</v>
      </c>
      <c r="AQ177" s="82" t="s">
        <v>1306</v>
      </c>
      <c r="AR177" s="62" t="n">
        <f aca="false">_xlfn.xlookup(I177,'Prix vente'!A:A,'Prix vente'!B:B,FALSE())</f>
        <v>20011</v>
      </c>
    </row>
    <row r="178" customFormat="false" ht="15" hidden="false" customHeight="true" outlineLevel="0" collapsed="false">
      <c r="A178" s="61" t="s">
        <v>1307</v>
      </c>
      <c r="B178" s="1" t="str">
        <f aca="false">_xlfn.xlookup(A178,'Prix revient'!A:A,'Prix revient'!B:B)</f>
        <v>Fermé</v>
      </c>
      <c r="C178" s="199" t="n">
        <v>45677</v>
      </c>
      <c r="D178" s="9" t="n">
        <v>303</v>
      </c>
      <c r="E178" s="61" t="str">
        <f aca="false">_xlfn.xlookup(D178,'PO Client'!$A:$A,'PO Client'!$C:$C,FALSE())</f>
        <v>Emballages Mijo</v>
      </c>
      <c r="F178" s="61" t="str">
        <f aca="false">_xlfn.xlookup(E178,Clients!B:B,Clients!C:C)</f>
        <v>Mijo</v>
      </c>
      <c r="G178" s="61" t="n">
        <f aca="false">_xlfn.xlookup(D178,'PO Client'!$A:$A,'PO Client'!$F:$F,FALSE())</f>
        <v>14342</v>
      </c>
      <c r="H178" s="205" t="n">
        <f aca="false">_xlfn.xlookup(D178,'PO Client'!A:A,'PO Client'!L:L,"")</f>
        <v>45679</v>
      </c>
      <c r="I178" s="9" t="n">
        <v>40126</v>
      </c>
      <c r="J178" s="9" t="n">
        <v>30036</v>
      </c>
      <c r="K178" s="62" t="str">
        <f aca="false">_xlfn.xlookup(I178,'Prix vente'!$A:$A,'Prix vente'!$H:$H,"")</f>
        <v>S15</v>
      </c>
      <c r="L178" s="69" t="str">
        <f aca="false">_xlfn.xlookup(J178,'Prix MP'!A:A,'Prix MP'!F:F,FALSE())</f>
        <v>S15-3</v>
      </c>
      <c r="M178" s="69" t="str">
        <f aca="false">_xlfn.xlookup(J178,'Prix MP'!A:A,'Prix MP'!D:D,FALSE())</f>
        <v>Jinda</v>
      </c>
      <c r="N178" s="61" t="str">
        <f aca="false">_xlfn.xlookup(I178,'Prix vente'!$A:$A,'Prix vente'!$J:$J,"")</f>
        <v>SG - Acrylic Adhesive</v>
      </c>
      <c r="O178" s="1" t="n">
        <v>12</v>
      </c>
      <c r="P178" s="1" t="n">
        <v>10</v>
      </c>
      <c r="Y178" s="1" t="n">
        <v>12</v>
      </c>
      <c r="Z178" s="1" t="n">
        <v>12</v>
      </c>
      <c r="AA178" s="1" t="n">
        <v>12</v>
      </c>
      <c r="AB178" s="1" t="n">
        <v>12</v>
      </c>
      <c r="AC178" s="1" t="n">
        <v>12</v>
      </c>
      <c r="AI178" s="15" t="s">
        <v>890</v>
      </c>
      <c r="AJ178" s="15" t="n">
        <f aca="false">_xlfn.xlookup(I178,'Prix vente'!$A:$A,'Prix vente'!$Q:$Q,"")</f>
        <v>10000</v>
      </c>
      <c r="AK178" s="15" t="str">
        <f aca="false">IF(_xlfn.xlookup(I178,'Prix vente'!$A:$A,'Prix vente'!$O:$O,"")="msi","pi","m")</f>
        <v>pi</v>
      </c>
      <c r="AL178" s="1" t="n">
        <v>2</v>
      </c>
      <c r="AM178" s="1" t="n">
        <v>10</v>
      </c>
      <c r="AO178" s="15" t="n">
        <f aca="false">AM178*AJ178</f>
        <v>100000</v>
      </c>
      <c r="AQ178" s="82" t="s">
        <v>1308</v>
      </c>
      <c r="AR178" s="62" t="n">
        <f aca="false">_xlfn.xlookup(I178,'Prix vente'!A:A,'Prix vente'!B:B,FALSE())</f>
        <v>20015</v>
      </c>
    </row>
    <row r="179" customFormat="false" ht="15" hidden="false" customHeight="true" outlineLevel="0" collapsed="false">
      <c r="A179" s="61" t="s">
        <v>1309</v>
      </c>
      <c r="B179" s="1" t="str">
        <f aca="false">_xlfn.xlookup(A179,'Prix revient'!A:A,'Prix revient'!B:B)</f>
        <v>Fermé</v>
      </c>
      <c r="C179" s="199" t="n">
        <v>45678</v>
      </c>
      <c r="D179" s="9" t="n">
        <v>304</v>
      </c>
      <c r="E179" s="61" t="str">
        <f aca="false">_xlfn.xlookup(D179,'PO Client'!$A:$A,'PO Client'!$C:$C,FALSE())</f>
        <v>Damaflex Imprimerie Multiservices Inc.</v>
      </c>
      <c r="F179" s="61" t="str">
        <f aca="false">_xlfn.xlookup(E179,Clients!B:B,Clients!C:C)</f>
        <v>Damaflex</v>
      </c>
      <c r="G179" s="61" t="n">
        <f aca="false">_xlfn.xlookup(D179,'PO Client'!$A:$A,'PO Client'!$F:$F,FALSE())</f>
        <v>179989</v>
      </c>
      <c r="H179" s="205" t="n">
        <f aca="false">_xlfn.xlookup(D179,'PO Client'!A:A,'PO Client'!L:L,"")</f>
        <v>45680</v>
      </c>
      <c r="I179" s="9" t="n">
        <v>40145</v>
      </c>
      <c r="J179" s="9" t="n">
        <v>30025</v>
      </c>
      <c r="K179" s="62" t="str">
        <f aca="false">_xlfn.xlookup(I179,'Prix vente'!$A:$A,'Prix vente'!$H:$H,"")</f>
        <v>D11</v>
      </c>
      <c r="L179" s="69" t="str">
        <f aca="false">_xlfn.xlookup(J179,'Prix MP'!A:A,'Prix MP'!F:F,FALSE())</f>
        <v>D11-1</v>
      </c>
      <c r="M179" s="69" t="str">
        <f aca="false">_xlfn.xlookup(J179,'Prix MP'!A:A,'Prix MP'!D:D,FALSE())</f>
        <v>AKO</v>
      </c>
      <c r="N179" s="61" t="str">
        <f aca="false">_xlfn.xlookup(I179,'Prix vente'!$A:$A,'Prix vente'!$J:$J,"")</f>
        <v>TC DT - Hotmelt Adhesive</v>
      </c>
      <c r="O179" s="1" t="n">
        <v>9.5</v>
      </c>
      <c r="P179" s="1" t="n">
        <v>10</v>
      </c>
      <c r="Q179" s="1" t="n">
        <v>12</v>
      </c>
      <c r="R179" s="1" t="n">
        <v>2</v>
      </c>
      <c r="S179" s="1" t="n">
        <v>0.5</v>
      </c>
      <c r="T179" s="1" t="n">
        <v>2</v>
      </c>
      <c r="Y179" s="1" t="n">
        <v>9.5</v>
      </c>
      <c r="Z179" s="1" t="n">
        <v>9.5</v>
      </c>
      <c r="AA179" s="1" t="n">
        <v>9.5</v>
      </c>
      <c r="AB179" s="1" t="n">
        <v>9.5</v>
      </c>
      <c r="AC179" s="1" t="n">
        <v>9.5</v>
      </c>
      <c r="AD179" s="1" t="n">
        <v>12</v>
      </c>
      <c r="AE179" s="1" t="n">
        <v>0.5</v>
      </c>
      <c r="AI179" s="15" t="s">
        <v>890</v>
      </c>
      <c r="AJ179" s="15" t="n">
        <f aca="false">_xlfn.xlookup(I179,'Prix vente'!$A:$A,'Prix vente'!$Q:$Q,"")</f>
        <v>5000</v>
      </c>
      <c r="AK179" s="15" t="str">
        <f aca="false">IF(_xlfn.xlookup(I179,'Prix vente'!$A:$A,'Prix vente'!$O:$O,"")="msi","pi","m")</f>
        <v>pi</v>
      </c>
      <c r="AL179" s="1" t="n">
        <v>2</v>
      </c>
      <c r="AM179" s="1" t="n">
        <v>12</v>
      </c>
      <c r="AO179" s="15" t="n">
        <f aca="false">AM179*AJ179</f>
        <v>60000</v>
      </c>
      <c r="AP179" s="15" t="s">
        <v>1310</v>
      </c>
      <c r="AQ179" s="82" t="s">
        <v>1311</v>
      </c>
      <c r="AR179" s="62" t="n">
        <f aca="false">_xlfn.xlookup(I179,'Prix vente'!A:A,'Prix vente'!B:B,FALSE())</f>
        <v>20013</v>
      </c>
    </row>
    <row r="180" customFormat="false" ht="15" hidden="false" customHeight="true" outlineLevel="0" collapsed="false">
      <c r="A180" s="61" t="s">
        <v>1312</v>
      </c>
      <c r="B180" s="1" t="str">
        <f aca="false">_xlfn.xlookup(A180,'Prix revient'!A:A,'Prix revient'!B:B)</f>
        <v>Fermé</v>
      </c>
      <c r="C180" s="199" t="n">
        <v>45677</v>
      </c>
      <c r="D180" s="9" t="n">
        <v>305</v>
      </c>
      <c r="E180" s="61" t="str">
        <f aca="false">_xlfn.xlookup(D180,'PO Client'!$A:$A,'PO Client'!$C:$C,FALSE())</f>
        <v>Étiquettes Corsair</v>
      </c>
      <c r="F180" s="61" t="str">
        <f aca="false">_xlfn.xlookup(E180,Clients!B:B,Clients!C:C)</f>
        <v>Corsair</v>
      </c>
      <c r="G180" s="61" t="n">
        <f aca="false">_xlfn.xlookup(D180,'PO Client'!$A:$A,'PO Client'!$F:$F,FALSE())</f>
        <v>31970</v>
      </c>
      <c r="H180" s="205" t="n">
        <f aca="false">_xlfn.xlookup(D180,'PO Client'!A:A,'PO Client'!L:L,"")</f>
        <v>45680</v>
      </c>
      <c r="I180" s="9" t="n">
        <v>40234</v>
      </c>
      <c r="J180" s="9" t="n">
        <v>30042</v>
      </c>
      <c r="K180" s="62" t="str">
        <f aca="false">_xlfn.xlookup(I180,'Prix vente'!$A:$A,'Prix vente'!$H:$H,"")</f>
        <v>T11</v>
      </c>
      <c r="L180" s="69" t="str">
        <f aca="false">_xlfn.xlookup(J180,'Prix MP'!A:A,'Prix MP'!F:F,FALSE())</f>
        <v>T11-1</v>
      </c>
      <c r="M180" s="69" t="str">
        <f aca="false">_xlfn.xlookup(J180,'Prix MP'!A:A,'Prix MP'!D:D,FALSE())</f>
        <v>AKO</v>
      </c>
      <c r="N180" s="61" t="str">
        <f aca="false">_xlfn.xlookup(I180,'Prix vente'!$A:$A,'Prix vente'!$J:$J,"")</f>
        <v>TT - HM Adhesive</v>
      </c>
      <c r="O180" s="1" t="n">
        <v>8.875</v>
      </c>
      <c r="P180" s="1" t="n">
        <v>3</v>
      </c>
      <c r="Q180" s="1" t="n">
        <v>7.375</v>
      </c>
      <c r="R180" s="1" t="n">
        <v>1</v>
      </c>
      <c r="S180" s="1" t="n">
        <v>6.625</v>
      </c>
      <c r="T180" s="1" t="n">
        <v>1</v>
      </c>
      <c r="U180" s="1" t="n">
        <v>4.875</v>
      </c>
      <c r="V180" s="1" t="n">
        <v>3</v>
      </c>
      <c r="W180" s="1" t="n">
        <v>4.75</v>
      </c>
      <c r="X180" s="1" t="n">
        <v>1</v>
      </c>
      <c r="Y180" s="1" t="n">
        <v>8.875</v>
      </c>
      <c r="Z180" s="1" t="n">
        <v>8.875</v>
      </c>
      <c r="AA180" s="1" t="n">
        <v>8.875</v>
      </c>
      <c r="AB180" s="1" t="n">
        <v>7.375</v>
      </c>
      <c r="AC180" s="1" t="n">
        <v>6.625</v>
      </c>
      <c r="AD180" s="1" t="n">
        <v>4.875</v>
      </c>
      <c r="AE180" s="1" t="n">
        <v>4.875</v>
      </c>
      <c r="AF180" s="1" t="n">
        <v>4.875</v>
      </c>
      <c r="AG180" s="1" t="n">
        <v>4.75</v>
      </c>
      <c r="AI180" s="15" t="s">
        <v>890</v>
      </c>
      <c r="AJ180" s="15" t="n">
        <f aca="false">_xlfn.xlookup(I180,'Prix vente'!$A:$A,'Prix vente'!$Q:$Q,"")</f>
        <v>10000</v>
      </c>
      <c r="AK180" s="15" t="str">
        <f aca="false">IF(_xlfn.xlookup(I180,'Prix vente'!$A:$A,'Prix vente'!$O:$O,"")="msi","pi","m")</f>
        <v>pi</v>
      </c>
      <c r="AL180" s="1" t="n">
        <v>1</v>
      </c>
      <c r="AM180" s="1" t="n">
        <v>9</v>
      </c>
      <c r="AO180" s="15" t="n">
        <f aca="false">AM180*AJ180</f>
        <v>90000</v>
      </c>
      <c r="AQ180" s="15" t="n">
        <f aca="false">_xlfn.xlookup(E180,Clients!B:B,Clients!V:V)</f>
        <v>0</v>
      </c>
      <c r="AR180" s="62" t="n">
        <f aca="false">_xlfn.xlookup(I180,'Prix vente'!A:A,'Prix vente'!B:B,FALSE())</f>
        <v>20003</v>
      </c>
    </row>
    <row r="181" customFormat="false" ht="15" hidden="false" customHeight="true" outlineLevel="0" collapsed="false">
      <c r="A181" s="61" t="s">
        <v>1313</v>
      </c>
      <c r="B181" s="1" t="str">
        <f aca="false">_xlfn.xlookup(A181,'Prix revient'!A:A,'Prix revient'!B:B)</f>
        <v>Fermé</v>
      </c>
      <c r="C181" s="199" t="n">
        <v>45678</v>
      </c>
      <c r="D181" s="9" t="n">
        <v>306</v>
      </c>
      <c r="E181" s="61" t="str">
        <f aca="false">_xlfn.xlookup(D181,'PO Client'!$A:$A,'PO Client'!$C:$C,FALSE())</f>
        <v>Imprimerie Ste-Julie</v>
      </c>
      <c r="F181" s="61" t="str">
        <f aca="false">_xlfn.xlookup(E181,Clients!B:B,Clients!C:C)</f>
        <v>Imprimerie Ste-Julie</v>
      </c>
      <c r="G181" s="61" t="n">
        <f aca="false">_xlfn.xlookup(D181,'PO Client'!$A:$A,'PO Client'!$F:$F,FALSE())</f>
        <v>106925</v>
      </c>
      <c r="H181" s="205" t="n">
        <f aca="false">_xlfn.xlookup(D181,'PO Client'!A:A,'PO Client'!L:L,"")</f>
        <v>45681</v>
      </c>
      <c r="I181" s="9" t="n">
        <v>40052</v>
      </c>
      <c r="J181" s="9" t="n">
        <v>30036</v>
      </c>
      <c r="K181" s="62" t="str">
        <f aca="false">_xlfn.xlookup(I181,'Prix vente'!$A:$A,'Prix vente'!$H:$H,"")</f>
        <v>S15</v>
      </c>
      <c r="L181" s="69" t="str">
        <f aca="false">_xlfn.xlookup(J181,'Prix MP'!A:A,'Prix MP'!F:F,FALSE())</f>
        <v>S15-3</v>
      </c>
      <c r="M181" s="69" t="str">
        <f aca="false">_xlfn.xlookup(J181,'Prix MP'!A:A,'Prix MP'!D:D,FALSE())</f>
        <v>Jinda</v>
      </c>
      <c r="N181" s="61" t="str">
        <f aca="false">_xlfn.xlookup(I181,'Prix vente'!$A:$A,'Prix vente'!$J:$J,"")</f>
        <v>SG - Acrylic Adhesive</v>
      </c>
      <c r="O181" s="1" t="n">
        <v>13</v>
      </c>
      <c r="P181" s="1" t="n">
        <v>2</v>
      </c>
      <c r="Q181" s="1" t="n">
        <v>12</v>
      </c>
      <c r="R181" s="1" t="n">
        <v>2</v>
      </c>
      <c r="S181" s="1" t="n">
        <v>10</v>
      </c>
      <c r="T181" s="1" t="n">
        <v>1</v>
      </c>
      <c r="Y181" s="1" t="n">
        <v>13</v>
      </c>
      <c r="Z181" s="1" t="n">
        <v>13</v>
      </c>
      <c r="AA181" s="1" t="n">
        <v>12</v>
      </c>
      <c r="AB181" s="1" t="n">
        <v>12</v>
      </c>
      <c r="AC181" s="1" t="n">
        <v>10</v>
      </c>
      <c r="AD181" s="1" t="n">
        <v>10</v>
      </c>
      <c r="AI181" s="15" t="s">
        <v>890</v>
      </c>
      <c r="AJ181" s="15" t="n">
        <f aca="false">_xlfn.xlookup(I181,'Prix vente'!$A:$A,'Prix vente'!$Q:$Q,"")</f>
        <v>5000</v>
      </c>
      <c r="AK181" s="15" t="str">
        <f aca="false">IF(_xlfn.xlookup(I181,'Prix vente'!$A:$A,'Prix vente'!$O:$O,"")="msi","pi","m")</f>
        <v>pi</v>
      </c>
      <c r="AM181" s="1" t="n">
        <v>5</v>
      </c>
      <c r="AO181" s="15" t="n">
        <f aca="false">AM181*AJ181</f>
        <v>25000</v>
      </c>
      <c r="AP181" s="15" t="s">
        <v>1314</v>
      </c>
      <c r="AQ181" s="82" t="s">
        <v>1315</v>
      </c>
      <c r="AR181" s="62" t="n">
        <f aca="false">_xlfn.xlookup(I181,'Prix vente'!A:A,'Prix vente'!B:B,FALSE())</f>
        <v>20015</v>
      </c>
    </row>
    <row r="182" customFormat="false" ht="15" hidden="false" customHeight="true" outlineLevel="0" collapsed="false">
      <c r="A182" s="61" t="s">
        <v>1316</v>
      </c>
      <c r="B182" s="1" t="str">
        <f aca="false">_xlfn.xlookup(A182,'Prix revient'!A:A,'Prix revient'!B:B)</f>
        <v>Fermé</v>
      </c>
      <c r="C182" s="199" t="s">
        <v>99</v>
      </c>
      <c r="D182" s="9" t="n">
        <v>307</v>
      </c>
      <c r="E182" s="61" t="str">
        <f aca="false">_xlfn.xlookup(D182,'PO Client'!$A:$A,'PO Client'!$C:$C,FALSE())</f>
        <v>Imprimerie Ste-Julie</v>
      </c>
      <c r="F182" s="61" t="str">
        <f aca="false">_xlfn.xlookup(E182,Clients!B:B,Clients!C:C)</f>
        <v>Imprimerie Ste-Julie</v>
      </c>
      <c r="G182" s="61" t="str">
        <f aca="false">_xlfn.xlookup(D182,'PO Client'!$A:$A,'PO Client'!$F:$F,FALSE())</f>
        <v>CR TR 106618+106246</v>
      </c>
      <c r="H182" s="205" t="n">
        <f aca="false">_xlfn.xlookup(D182,'PO Client'!A:A,'PO Client'!L:L,"")</f>
        <v>0</v>
      </c>
      <c r="K182" s="62" t="e">
        <f aca="false">_xlfn.xlookup(I182,'Prix vente'!$A:$A,'Prix vente'!$H:$H,"")</f>
        <v>#NAME?</v>
      </c>
      <c r="L182" s="69" t="n">
        <f aca="false">_xlfn.xlookup(J182,'Prix MP'!A:A,'Prix MP'!F:F,FALSE())</f>
        <v>0</v>
      </c>
      <c r="M182" s="69" t="e">
        <f aca="false">_xlfn.xlookup(J182,'Prix MP'!A:A,'Prix MP'!D:D,FALSE())</f>
        <v>#NAME?</v>
      </c>
      <c r="N182" s="61" t="e">
        <f aca="false">_xlfn.xlookup(I182,'Prix vente'!$A:$A,'Prix vente'!$J:$J,"")</f>
        <v>#NAME?</v>
      </c>
      <c r="AI182" s="15" t="s">
        <v>890</v>
      </c>
      <c r="AJ182" s="15" t="e">
        <f aca="false">_xlfn.xlookup(I182,'Prix vente'!$A:$A,'Prix vente'!$Q:$Q,"")</f>
        <v>#NAME?</v>
      </c>
      <c r="AK182" s="15" t="str">
        <f aca="false">IF(_xlfn.xlookup(I182,'Prix vente'!$A:$A,'Prix vente'!$O:$O,"")="msi","pi","m")</f>
        <v>m</v>
      </c>
      <c r="AO182" s="15" t="e">
        <f aca="false">AM182*AJ182</f>
        <v>#NAME?</v>
      </c>
      <c r="AQ182" s="15" t="n">
        <f aca="false">_xlfn.xlookup(E182,Clients!B:B,Clients!V:V)</f>
        <v>0</v>
      </c>
      <c r="AR182" s="62" t="e">
        <f aca="false">_xlfn.xlookup(I182,'Prix vente'!A:A,'Prix vente'!B:B,FALSE())</f>
        <v>#NAME?</v>
      </c>
    </row>
    <row r="183" customFormat="false" ht="15" hidden="false" customHeight="true" outlineLevel="0" collapsed="false">
      <c r="A183" s="61" t="s">
        <v>1317</v>
      </c>
      <c r="B183" s="1" t="str">
        <f aca="false">_xlfn.xlookup(A183,'Prix revient'!A:A,'Prix revient'!B:B)</f>
        <v>Fermé</v>
      </c>
      <c r="C183" s="199" t="n">
        <v>45678</v>
      </c>
      <c r="D183" s="9" t="n">
        <v>308</v>
      </c>
      <c r="E183" s="61" t="str">
        <f aca="false">_xlfn.xlookup(D183,'PO Client'!$A:$A,'PO Client'!$C:$C,FALSE())</f>
        <v>Emballages Mijo</v>
      </c>
      <c r="F183" s="61" t="str">
        <f aca="false">_xlfn.xlookup(E183,Clients!B:B,Clients!C:C)</f>
        <v>Mijo</v>
      </c>
      <c r="G183" s="61" t="n">
        <f aca="false">_xlfn.xlookup(D183,'PO Client'!$A:$A,'PO Client'!$F:$F,FALSE())</f>
        <v>14344</v>
      </c>
      <c r="H183" s="205" t="n">
        <f aca="false">_xlfn.xlookup(D183,'PO Client'!A:A,'PO Client'!L:L,"")</f>
        <v>45684</v>
      </c>
      <c r="I183" s="9" t="n">
        <v>40240</v>
      </c>
      <c r="J183" s="9" t="n">
        <v>30011</v>
      </c>
      <c r="K183" s="62" t="str">
        <f aca="false">_xlfn.xlookup(I183,'Prix vente'!$A:$A,'Prix vente'!$H:$H,"")</f>
        <v>S21</v>
      </c>
      <c r="L183" s="69" t="str">
        <f aca="false">_xlfn.xlookup(J183,'Prix MP'!A:A,'Prix MP'!F:F,FALSE())</f>
        <v>S21-1</v>
      </c>
      <c r="M183" s="69" t="str">
        <f aca="false">_xlfn.xlookup(J183,'Prix MP'!A:A,'Prix MP'!D:D,FALSE())</f>
        <v>AKO</v>
      </c>
      <c r="N183" s="61" t="str">
        <f aca="false">_xlfn.xlookup(I183,'Prix vente'!$A:$A,'Prix vente'!$J:$J,"")</f>
        <v>SG - Hotmelt Adhesive</v>
      </c>
      <c r="O183" s="1" t="n">
        <v>8</v>
      </c>
      <c r="P183" s="1" t="n">
        <v>4</v>
      </c>
      <c r="Q183" s="1" t="n">
        <v>11</v>
      </c>
      <c r="R183" s="1" t="n">
        <v>8</v>
      </c>
      <c r="Y183" s="1" t="n">
        <v>8</v>
      </c>
      <c r="Z183" s="1" t="n">
        <v>8</v>
      </c>
      <c r="AA183" s="1" t="n">
        <v>11</v>
      </c>
      <c r="AB183" s="1" t="n">
        <v>11</v>
      </c>
      <c r="AC183" s="1" t="n">
        <v>11</v>
      </c>
      <c r="AD183" s="1" t="n">
        <v>11</v>
      </c>
      <c r="AI183" s="15" t="s">
        <v>890</v>
      </c>
      <c r="AJ183" s="15" t="n">
        <f aca="false">_xlfn.xlookup(I183,'Prix vente'!$A:$A,'Prix vente'!$Q:$Q,"")</f>
        <v>10000</v>
      </c>
      <c r="AK183" s="15" t="str">
        <f aca="false">IF(_xlfn.xlookup(I183,'Prix vente'!$A:$A,'Prix vente'!$O:$O,"")="msi","pi","m")</f>
        <v>pi</v>
      </c>
      <c r="AL183" s="1" t="n">
        <v>2</v>
      </c>
      <c r="AM183" s="1" t="n">
        <v>12</v>
      </c>
      <c r="AO183" s="15" t="n">
        <f aca="false">AM183*AJ183</f>
        <v>120000</v>
      </c>
      <c r="AP183" s="15" t="s">
        <v>1174</v>
      </c>
      <c r="AQ183" s="15" t="s">
        <v>1318</v>
      </c>
      <c r="AR183" s="62" t="n">
        <f aca="false">_xlfn.xlookup(I183,'Prix vente'!A:A,'Prix vente'!B:B,FALSE())</f>
        <v>20011</v>
      </c>
    </row>
    <row r="184" customFormat="false" ht="15" hidden="false" customHeight="true" outlineLevel="0" collapsed="false">
      <c r="A184" s="61" t="s">
        <v>1319</v>
      </c>
      <c r="B184" s="1" t="str">
        <f aca="false">_xlfn.xlookup(A184,'Prix revient'!A:A,'Prix revient'!B:B)</f>
        <v>Fermé</v>
      </c>
      <c r="C184" s="199" t="n">
        <v>45679</v>
      </c>
      <c r="D184" s="9" t="n">
        <v>309</v>
      </c>
      <c r="E184" s="61" t="str">
        <f aca="false">_xlfn.xlookup(D184,'PO Client'!$A:$A,'PO Client'!$C:$C,FALSE())</f>
        <v>Groupe Produlith Inc.</v>
      </c>
      <c r="F184" s="61" t="str">
        <f aca="false">_xlfn.xlookup(E184,Clients!B:B,Clients!C:C)</f>
        <v>Produlith</v>
      </c>
      <c r="G184" s="61" t="n">
        <f aca="false">_xlfn.xlookup(D184,'PO Client'!$A:$A,'PO Client'!$F:$F,FALSE())</f>
        <v>32556</v>
      </c>
      <c r="H184" s="205" t="n">
        <f aca="false">_xlfn.xlookup(D184,'PO Client'!A:A,'PO Client'!L:L,"")</f>
        <v>45684</v>
      </c>
      <c r="I184" s="9" t="n">
        <v>40089</v>
      </c>
      <c r="J184" s="9" t="n">
        <v>30027</v>
      </c>
      <c r="K184" s="62" t="str">
        <f aca="false">_xlfn.xlookup(I184,'Prix vente'!$A:$A,'Prix vente'!$H:$H,"")</f>
        <v>B25</v>
      </c>
      <c r="L184" s="69" t="str">
        <f aca="false">_xlfn.xlookup(J184,'Prix MP'!A:A,'Prix MP'!F:F,FALSE())</f>
        <v>B25-3</v>
      </c>
      <c r="M184" s="69" t="str">
        <f aca="false">_xlfn.xlookup(J184,'Prix MP'!A:A,'Prix MP'!D:D,FALSE())</f>
        <v>Jinda</v>
      </c>
      <c r="N184" s="61" t="str">
        <f aca="false">_xlfn.xlookup(I184,'Prix vente'!$A:$A,'Prix vente'!$J:$J,"")</f>
        <v>White BOPP - Acrylic Adhesive</v>
      </c>
      <c r="O184" s="1" t="n">
        <v>15</v>
      </c>
      <c r="P184" s="1" t="n">
        <v>4</v>
      </c>
      <c r="Y184" s="1" t="n">
        <v>15</v>
      </c>
      <c r="Z184" s="1" t="n">
        <v>15</v>
      </c>
      <c r="AA184" s="1" t="n">
        <v>15</v>
      </c>
      <c r="AB184" s="1" t="n">
        <v>15</v>
      </c>
      <c r="AI184" s="15" t="s">
        <v>890</v>
      </c>
      <c r="AJ184" s="15" t="n">
        <f aca="false">_xlfn.xlookup(I184,'Prix vente'!$A:$A,'Prix vente'!$Q:$Q,"")</f>
        <v>5000</v>
      </c>
      <c r="AK184" s="15" t="str">
        <f aca="false">IF(_xlfn.xlookup(I184,'Prix vente'!$A:$A,'Prix vente'!$O:$O,"")="msi","pi","m")</f>
        <v>pi</v>
      </c>
      <c r="AM184" s="1" t="n">
        <v>4</v>
      </c>
      <c r="AO184" s="15" t="n">
        <f aca="false">AM184*AJ184</f>
        <v>20000</v>
      </c>
      <c r="AP184" s="15" t="s">
        <v>1320</v>
      </c>
      <c r="AQ184" s="82" t="s">
        <v>1321</v>
      </c>
      <c r="AR184" s="62" t="n">
        <f aca="false">_xlfn.xlookup(I184,'Prix vente'!A:A,'Prix vente'!B:B,FALSE())</f>
        <v>20017</v>
      </c>
    </row>
    <row r="185" customFormat="false" ht="15" hidden="false" customHeight="true" outlineLevel="0" collapsed="false">
      <c r="A185" s="61" t="s">
        <v>1322</v>
      </c>
      <c r="B185" s="1" t="str">
        <f aca="false">_xlfn.xlookup(A185,'Prix revient'!A:A,'Prix revient'!B:B)</f>
        <v>Fermé</v>
      </c>
      <c r="C185" s="199" t="n">
        <v>45679</v>
      </c>
      <c r="D185" s="9" t="n">
        <v>310</v>
      </c>
      <c r="E185" s="61" t="str">
        <f aca="false">_xlfn.xlookup(D185,'PO Client'!$A:$A,'PO Client'!$C:$C,FALSE())</f>
        <v>Étiquettes Multi-Flex</v>
      </c>
      <c r="F185" s="61" t="str">
        <f aca="false">_xlfn.xlookup(E185,Clients!B:B,Clients!C:C)</f>
        <v>Multi-Flex</v>
      </c>
      <c r="G185" s="61" t="n">
        <f aca="false">_xlfn.xlookup(D185,'PO Client'!$A:$A,'PO Client'!$F:$F,FALSE())</f>
        <v>10025</v>
      </c>
      <c r="H185" s="205" t="n">
        <f aca="false">_xlfn.xlookup(D185,'PO Client'!A:A,'PO Client'!L:L,"")</f>
        <v>45685</v>
      </c>
      <c r="I185" s="9" t="n">
        <v>40096</v>
      </c>
      <c r="J185" s="9" t="n">
        <v>30039</v>
      </c>
      <c r="K185" s="62" t="str">
        <f aca="false">_xlfn.xlookup(I185,'Prix vente'!$A:$A,'Prix vente'!$H:$H,"")</f>
        <v>B25</v>
      </c>
      <c r="L185" s="69" t="str">
        <f aca="false">_xlfn.xlookup(J185,'Prix MP'!A:A,'Prix MP'!F:F,FALSE())</f>
        <v>B25-3</v>
      </c>
      <c r="M185" s="69" t="str">
        <f aca="false">_xlfn.xlookup(J185,'Prix MP'!A:A,'Prix MP'!D:D,FALSE())</f>
        <v>Jinda</v>
      </c>
      <c r="N185" s="61" t="str">
        <f aca="false">_xlfn.xlookup(I185,'Prix vente'!$A:$A,'Prix vente'!$J:$J,"")</f>
        <v>White BOPP - Acrylic Adhesive</v>
      </c>
      <c r="O185" s="1" t="n">
        <v>13</v>
      </c>
      <c r="P185" s="1" t="n">
        <v>16</v>
      </c>
      <c r="Q185" s="1" t="n">
        <v>8</v>
      </c>
      <c r="R185" s="1" t="n">
        <v>4</v>
      </c>
      <c r="Y185" s="1" t="n">
        <v>13</v>
      </c>
      <c r="Z185" s="1" t="n">
        <v>13</v>
      </c>
      <c r="AA185" s="1" t="n">
        <v>13</v>
      </c>
      <c r="AB185" s="1" t="n">
        <v>13</v>
      </c>
      <c r="AC185" s="1" t="n">
        <v>8</v>
      </c>
      <c r="AI185" s="15" t="s">
        <v>890</v>
      </c>
      <c r="AJ185" s="15" t="n">
        <f aca="false">_xlfn.xlookup(I185,'Prix vente'!$A:$A,'Prix vente'!$Q:$Q,"")</f>
        <v>5000</v>
      </c>
      <c r="AK185" s="15" t="str">
        <f aca="false">IF(_xlfn.xlookup(I185,'Prix vente'!$A:$A,'Prix vente'!$O:$O,"")="msi","pi","m")</f>
        <v>pi</v>
      </c>
      <c r="AL185" s="1" t="n">
        <v>4</v>
      </c>
      <c r="AM185" s="1" t="n">
        <v>20</v>
      </c>
      <c r="AO185" s="15" t="n">
        <f aca="false">AM185*AJ185</f>
        <v>100000</v>
      </c>
      <c r="AP185" s="1" t="n">
        <v>10045</v>
      </c>
      <c r="AQ185" s="82" t="s">
        <v>1323</v>
      </c>
      <c r="AR185" s="62" t="n">
        <f aca="false">_xlfn.xlookup(I185,'Prix vente'!A:A,'Prix vente'!B:B,FALSE())</f>
        <v>20017</v>
      </c>
    </row>
    <row r="186" customFormat="false" ht="15" hidden="false" customHeight="true" outlineLevel="0" collapsed="false">
      <c r="A186" s="61" t="s">
        <v>1324</v>
      </c>
      <c r="B186" s="1" t="str">
        <f aca="false">_xlfn.xlookup(A186,'Prix revient'!A:A,'Prix revient'!B:B)</f>
        <v>Fermé</v>
      </c>
      <c r="C186" s="199" t="n">
        <v>45679</v>
      </c>
      <c r="D186" s="9" t="n">
        <v>311</v>
      </c>
      <c r="E186" s="61" t="str">
        <f aca="false">_xlfn.xlookup(D186,'PO Client'!$A:$A,'PO Client'!$C:$C,FALSE())</f>
        <v>Imprimerie Ste-Julie</v>
      </c>
      <c r="F186" s="61" t="str">
        <f aca="false">_xlfn.xlookup(E186,Clients!B:B,Clients!C:C)</f>
        <v>Imprimerie Ste-Julie</v>
      </c>
      <c r="G186" s="61" t="n">
        <f aca="false">_xlfn.xlookup(D186,'PO Client'!$A:$A,'PO Client'!$F:$F,FALSE())</f>
        <v>107001</v>
      </c>
      <c r="H186" s="205" t="n">
        <f aca="false">_xlfn.xlookup(D186,'PO Client'!A:A,'PO Client'!L:L,"")</f>
        <v>45685</v>
      </c>
      <c r="I186" s="9" t="n">
        <v>40242</v>
      </c>
      <c r="J186" s="9" t="n">
        <v>30011</v>
      </c>
      <c r="K186" s="62" t="str">
        <f aca="false">_xlfn.xlookup(I186,'Prix vente'!$A:$A,'Prix vente'!$H:$H,"")</f>
        <v>S21</v>
      </c>
      <c r="L186" s="69" t="str">
        <f aca="false">_xlfn.xlookup(J186,'Prix MP'!A:A,'Prix MP'!F:F,FALSE())</f>
        <v>S21-1</v>
      </c>
      <c r="M186" s="69" t="str">
        <f aca="false">_xlfn.xlookup(J186,'Prix MP'!A:A,'Prix MP'!D:D,FALSE())</f>
        <v>AKO</v>
      </c>
      <c r="N186" s="61" t="str">
        <f aca="false">_xlfn.xlookup(I186,'Prix vente'!$A:$A,'Prix vente'!$J:$J,"")</f>
        <v>SG - Hotmelt Adhesive</v>
      </c>
      <c r="O186" s="1" t="n">
        <v>13</v>
      </c>
      <c r="P186" s="1" t="n">
        <v>8</v>
      </c>
      <c r="Q186" s="1" t="n">
        <v>8</v>
      </c>
      <c r="R186" s="1" t="n">
        <v>2</v>
      </c>
      <c r="Y186" s="1" t="n">
        <v>13</v>
      </c>
      <c r="Z186" s="1" t="n">
        <v>13</v>
      </c>
      <c r="AA186" s="1" t="n">
        <v>13</v>
      </c>
      <c r="AB186" s="1" t="n">
        <v>13</v>
      </c>
      <c r="AC186" s="1" t="n">
        <v>8</v>
      </c>
      <c r="AI186" s="15" t="s">
        <v>890</v>
      </c>
      <c r="AJ186" s="15" t="n">
        <f aca="false">_xlfn.xlookup(I186,'Prix vente'!$A:$A,'Prix vente'!$Q:$Q,"")</f>
        <v>10000</v>
      </c>
      <c r="AK186" s="15" t="str">
        <f aca="false">IF(_xlfn.xlookup(I186,'Prix vente'!$A:$A,'Prix vente'!$O:$O,"")="msi","pi","m")</f>
        <v>pi</v>
      </c>
      <c r="AL186" s="1" t="n">
        <v>2</v>
      </c>
      <c r="AM186" s="1" t="n">
        <v>10</v>
      </c>
      <c r="AO186" s="15" t="n">
        <f aca="false">AM186*AJ186</f>
        <v>100000</v>
      </c>
      <c r="AP186" s="15" t="s">
        <v>1174</v>
      </c>
      <c r="AQ186" s="15" t="s">
        <v>1325</v>
      </c>
      <c r="AR186" s="62" t="n">
        <f aca="false">_xlfn.xlookup(I186,'Prix vente'!A:A,'Prix vente'!B:B,FALSE())</f>
        <v>20011</v>
      </c>
    </row>
    <row r="187" customFormat="false" ht="15" hidden="false" customHeight="true" outlineLevel="0" collapsed="false">
      <c r="A187" s="61" t="s">
        <v>1326</v>
      </c>
      <c r="B187" s="1" t="str">
        <f aca="false">_xlfn.xlookup(A187,'Prix revient'!A:A,'Prix revient'!B:B)</f>
        <v>Ouvert</v>
      </c>
      <c r="C187" s="199" t="n">
        <v>45680</v>
      </c>
      <c r="D187" s="9" t="n">
        <v>312</v>
      </c>
      <c r="E187" s="61" t="str">
        <f aca="false">_xlfn.xlookup(D187,'PO Client'!$A:$A,'PO Client'!$C:$C,FALSE())</f>
        <v>Imprimerie Sélect</v>
      </c>
      <c r="F187" s="61" t="str">
        <f aca="false">_xlfn.xlookup(E187,Clients!B:B,Clients!C:C)</f>
        <v>Select</v>
      </c>
      <c r="G187" s="61" t="str">
        <f aca="false">_xlfn.xlookup(D187,'PO Client'!$A:$A,'PO Client'!$F:$F,FALSE())</f>
        <v>email 2024-01-21 22h46</v>
      </c>
      <c r="H187" s="205" t="n">
        <f aca="false">_xlfn.xlookup(D187,'PO Client'!A:A,'PO Client'!L:L,"")</f>
        <v>45686</v>
      </c>
      <c r="I187" s="9" t="n">
        <v>40244</v>
      </c>
      <c r="J187" s="9" t="n">
        <v>30036</v>
      </c>
      <c r="K187" s="62" t="str">
        <f aca="false">_xlfn.xlookup(I187,'Prix vente'!$A:$A,'Prix vente'!$H:$H,"")</f>
        <v>S15</v>
      </c>
      <c r="L187" s="69" t="str">
        <f aca="false">_xlfn.xlookup(J187,'Prix MP'!A:A,'Prix MP'!F:F,FALSE())</f>
        <v>S15-3</v>
      </c>
      <c r="M187" s="69" t="str">
        <f aca="false">_xlfn.xlookup(J187,'Prix MP'!A:A,'Prix MP'!D:D,FALSE())</f>
        <v>Jinda</v>
      </c>
      <c r="N187" s="61" t="str">
        <f aca="false">_xlfn.xlookup(I187,'Prix vente'!$A:$A,'Prix vente'!$J:$J,"")</f>
        <v>SG - Acrylic Adhesive</v>
      </c>
      <c r="O187" s="1" t="n">
        <v>6</v>
      </c>
      <c r="P187" s="1" t="n">
        <v>10</v>
      </c>
      <c r="Y187" s="1" t="n">
        <v>6</v>
      </c>
      <c r="Z187" s="1" t="n">
        <v>6</v>
      </c>
      <c r="AA187" s="1" t="n">
        <v>6</v>
      </c>
      <c r="AB187" s="1" t="n">
        <v>6</v>
      </c>
      <c r="AC187" s="1" t="n">
        <v>6</v>
      </c>
      <c r="AD187" s="1" t="n">
        <v>6</v>
      </c>
      <c r="AE187" s="1" t="n">
        <v>6</v>
      </c>
      <c r="AF187" s="1" t="n">
        <v>6</v>
      </c>
      <c r="AG187" s="1" t="n">
        <v>6</v>
      </c>
      <c r="AH187" s="1" t="n">
        <v>6</v>
      </c>
      <c r="AI187" s="15" t="s">
        <v>890</v>
      </c>
      <c r="AJ187" s="15" t="n">
        <f aca="false">_xlfn.xlookup(I187,'Prix vente'!$A:$A,'Prix vente'!$Q:$Q,"")</f>
        <v>5000</v>
      </c>
      <c r="AK187" s="15" t="str">
        <f aca="false">IF(_xlfn.xlookup(I187,'Prix vente'!$A:$A,'Prix vente'!$O:$O,"")="msi","pi","m")</f>
        <v>pi</v>
      </c>
      <c r="AL187" s="1" t="n">
        <v>1</v>
      </c>
      <c r="AM187" s="1" t="n">
        <v>10</v>
      </c>
      <c r="AO187" s="15" t="n">
        <f aca="false">AM187*AJ187</f>
        <v>50000</v>
      </c>
      <c r="AP187" s="15" t="s">
        <v>1263</v>
      </c>
      <c r="AQ187" s="82" t="s">
        <v>1327</v>
      </c>
      <c r="AR187" s="62" t="n">
        <f aca="false">_xlfn.xlookup(I187,'Prix vente'!A:A,'Prix vente'!B:B,FALSE())</f>
        <v>20015</v>
      </c>
    </row>
    <row r="188" customFormat="false" ht="15" hidden="false" customHeight="true" outlineLevel="0" collapsed="false">
      <c r="A188" s="61" t="s">
        <v>1328</v>
      </c>
      <c r="B188" s="1" t="str">
        <f aca="false">_xlfn.xlookup(A188,'Prix revient'!A:A,'Prix revient'!B:B)</f>
        <v>Fermé</v>
      </c>
      <c r="C188" s="199" t="n">
        <v>45680</v>
      </c>
      <c r="D188" s="9" t="n">
        <v>312</v>
      </c>
      <c r="E188" s="61" t="str">
        <f aca="false">_xlfn.xlookup(D188,'PO Client'!$A:$A,'PO Client'!$C:$C,FALSE())</f>
        <v>Imprimerie Sélect</v>
      </c>
      <c r="F188" s="61" t="str">
        <f aca="false">_xlfn.xlookup(E188,Clients!B:B,Clients!C:C)</f>
        <v>Select</v>
      </c>
      <c r="G188" s="61" t="str">
        <f aca="false">_xlfn.xlookup(D188,'PO Client'!$A:$A,'PO Client'!$F:$F,FALSE())</f>
        <v>email 2024-01-21 22h46</v>
      </c>
      <c r="H188" s="205" t="n">
        <f aca="false">_xlfn.xlookup(D188,'PO Client'!A:A,'PO Client'!L:L,"")</f>
        <v>45686</v>
      </c>
      <c r="I188" s="9" t="n">
        <v>40245</v>
      </c>
      <c r="J188" s="9" t="n">
        <v>30027</v>
      </c>
      <c r="K188" s="62" t="str">
        <f aca="false">_xlfn.xlookup(I188,'Prix vente'!$A:$A,'Prix vente'!$H:$H,"")</f>
        <v>B25</v>
      </c>
      <c r="L188" s="69" t="str">
        <f aca="false">_xlfn.xlookup(J188,'Prix MP'!A:A,'Prix MP'!F:F,FALSE())</f>
        <v>B25-3</v>
      </c>
      <c r="M188" s="69" t="str">
        <f aca="false">_xlfn.xlookup(J188,'Prix MP'!A:A,'Prix MP'!D:D,FALSE())</f>
        <v>Jinda</v>
      </c>
      <c r="N188" s="61" t="str">
        <f aca="false">_xlfn.xlookup(I188,'Prix vente'!$A:$A,'Prix vente'!$J:$J,"")</f>
        <v>White BOPP - Acrylic Adhesive</v>
      </c>
      <c r="O188" s="1" t="n">
        <v>6.625</v>
      </c>
      <c r="P188" s="1" t="n">
        <v>1</v>
      </c>
      <c r="Q188" s="15" t="n">
        <f aca="false">47-O188</f>
        <v>40.375</v>
      </c>
      <c r="R188" s="1" t="n">
        <v>1</v>
      </c>
      <c r="Y188" s="1" t="n">
        <v>6.625</v>
      </c>
      <c r="Z188" s="15" t="n">
        <f aca="false">Q188</f>
        <v>40.375</v>
      </c>
      <c r="AI188" s="15" t="s">
        <v>890</v>
      </c>
      <c r="AJ188" s="15" t="n">
        <f aca="false">_xlfn.xlookup(I188,'Prix vente'!$A:$A,'Prix vente'!$Q:$Q,"")</f>
        <v>2000</v>
      </c>
      <c r="AK188" s="15" t="str">
        <f aca="false">IF(_xlfn.xlookup(I188,'Prix vente'!$A:$A,'Prix vente'!$O:$O,"")="msi","pi","m")</f>
        <v>pi</v>
      </c>
      <c r="AM188" s="1" t="n">
        <v>1</v>
      </c>
      <c r="AO188" s="15" t="n">
        <f aca="false">AM188*AJ188</f>
        <v>2000</v>
      </c>
      <c r="AP188" s="15" t="s">
        <v>1329</v>
      </c>
      <c r="AQ188" s="82" t="s">
        <v>1330</v>
      </c>
      <c r="AR188" s="62" t="n">
        <f aca="false">_xlfn.xlookup(I188,'Prix vente'!A:A,'Prix vente'!B:B,FALSE())</f>
        <v>20017</v>
      </c>
    </row>
    <row r="189" customFormat="false" ht="15" hidden="false" customHeight="true" outlineLevel="0" collapsed="false">
      <c r="A189" s="61" t="s">
        <v>1331</v>
      </c>
      <c r="B189" s="1" t="s">
        <v>889</v>
      </c>
      <c r="C189" s="199" t="n">
        <v>45680</v>
      </c>
      <c r="D189" s="9" t="n">
        <f aca="false">D188+1</f>
        <v>313</v>
      </c>
      <c r="E189" s="61" t="str">
        <f aca="false">_xlfn.xlookup(D189,'PO Client'!$A:$A,'PO Client'!$C:$C,FALSE())</f>
        <v>Étiquette Nationale</v>
      </c>
      <c r="F189" s="61" t="str">
        <f aca="false">_xlfn.xlookup(E189,Clients!B:B,Clients!C:C)</f>
        <v>Nationale</v>
      </c>
      <c r="G189" s="61" t="str">
        <f aca="false">_xlfn.xlookup(D189,'PO Client'!$A:$A,'PO Client'!$F:$F,FALSE())</f>
        <v>MK250122-1</v>
      </c>
      <c r="H189" s="205" t="n">
        <f aca="false">_xlfn.xlookup(D189,'PO Client'!A:A,'PO Client'!L:L,"")</f>
        <v>45681</v>
      </c>
      <c r="I189" s="9" t="n">
        <v>40246</v>
      </c>
      <c r="J189" s="9" t="n">
        <v>30011</v>
      </c>
      <c r="K189" s="62" t="str">
        <f aca="false">_xlfn.xlookup(I189,'Prix vente'!$A:$A,'Prix vente'!$H:$H,"")</f>
        <v>S21</v>
      </c>
      <c r="L189" s="69" t="str">
        <f aca="false">_xlfn.xlookup(J189,'Prix MP'!A:A,'Prix MP'!F:F,FALSE())</f>
        <v>S21-1</v>
      </c>
      <c r="M189" s="69" t="str">
        <f aca="false">_xlfn.xlookup(J189,'Prix MP'!A:A,'Prix MP'!D:D,FALSE())</f>
        <v>AKO</v>
      </c>
      <c r="N189" s="61" t="str">
        <f aca="false">_xlfn.xlookup(I189,'Prix vente'!$A:$A,'Prix vente'!$J:$J,"")</f>
        <v>SG - Hotmelt Adhesive</v>
      </c>
      <c r="O189" s="1" t="n">
        <v>4</v>
      </c>
      <c r="P189" s="1" t="n">
        <v>1</v>
      </c>
      <c r="Q189" s="1" t="n">
        <v>8.125</v>
      </c>
      <c r="R189" s="1" t="n">
        <v>4</v>
      </c>
      <c r="S189" s="1" t="n">
        <v>6.75</v>
      </c>
      <c r="T189" s="1" t="n">
        <v>3</v>
      </c>
      <c r="U189" s="1" t="n">
        <v>3.25</v>
      </c>
      <c r="V189" s="1" t="n">
        <v>1</v>
      </c>
      <c r="Y189" s="1" t="n">
        <v>4</v>
      </c>
      <c r="Z189" s="1" t="n">
        <v>8.125</v>
      </c>
      <c r="AA189" s="1" t="n">
        <v>8.125</v>
      </c>
      <c r="AB189" s="1" t="n">
        <v>8.125</v>
      </c>
      <c r="AC189" s="1" t="n">
        <v>8.125</v>
      </c>
      <c r="AD189" s="1" t="n">
        <v>6.75</v>
      </c>
      <c r="AE189" s="1" t="n">
        <v>6.75</v>
      </c>
      <c r="AF189" s="1" t="n">
        <v>6.75</v>
      </c>
      <c r="AG189" s="1" t="n">
        <v>3.25</v>
      </c>
      <c r="AI189" s="15" t="s">
        <v>890</v>
      </c>
      <c r="AJ189" s="15" t="n">
        <f aca="false">_xlfn.xlookup(I189,'Prix vente'!$A:$A,'Prix vente'!$Q:$Q,"")</f>
        <v>10000</v>
      </c>
      <c r="AK189" s="15" t="str">
        <f aca="false">IF(_xlfn.xlookup(I189,'Prix vente'!$A:$A,'Prix vente'!$O:$O,"")="msi","pi","m")</f>
        <v>pi</v>
      </c>
      <c r="AL189" s="1" t="n">
        <v>1</v>
      </c>
      <c r="AM189" s="1" t="n">
        <v>9</v>
      </c>
      <c r="AO189" s="15" t="n">
        <f aca="false">AM189*AJ189</f>
        <v>90000</v>
      </c>
      <c r="AP189" s="15" t="s">
        <v>1174</v>
      </c>
      <c r="AQ189" s="15" t="s">
        <v>1332</v>
      </c>
      <c r="AR189" s="62" t="n">
        <f aca="false">_xlfn.xlookup(I189,'Prix vente'!A:A,'Prix vente'!B:B,FALSE())</f>
        <v>20011</v>
      </c>
    </row>
    <row r="190" customFormat="false" ht="15" hidden="false" customHeight="true" outlineLevel="0" collapsed="false">
      <c r="A190" s="61" t="s">
        <v>1333</v>
      </c>
      <c r="B190" s="1" t="str">
        <f aca="false">_xlfn.xlookup(A190,'Prix revient'!A:A,'Prix revient'!B:B)</f>
        <v>Ouvert</v>
      </c>
      <c r="C190" s="199" t="n">
        <v>45685</v>
      </c>
      <c r="D190" s="9" t="n">
        <f aca="false">D189+1</f>
        <v>314</v>
      </c>
      <c r="E190" s="61" t="str">
        <f aca="false">_xlfn.xlookup(D190,'PO Client'!$A:$A,'PO Client'!$C:$C,FALSE())</f>
        <v>Imprimerie Sélect</v>
      </c>
      <c r="F190" s="61" t="str">
        <f aca="false">_xlfn.xlookup(E190,Clients!B:B,Clients!C:C)</f>
        <v>Select</v>
      </c>
      <c r="G190" s="61" t="str">
        <f aca="false">_xlfn.xlookup(D190,'PO Client'!$A:$A,'PO Client'!$F:$F,FALSE())</f>
        <v>email 2024-01-22 14h39</v>
      </c>
      <c r="H190" s="205" t="n">
        <f aca="false">_xlfn.xlookup(D190,'PO Client'!A:A,'PO Client'!L:L,"")</f>
        <v>45687</v>
      </c>
      <c r="I190" s="9" t="n">
        <v>40250</v>
      </c>
      <c r="J190" s="9" t="n">
        <v>30025</v>
      </c>
      <c r="K190" s="62" t="str">
        <f aca="false">_xlfn.xlookup(I190,'Prix vente'!$A:$A,'Prix vente'!$H:$H,"")</f>
        <v>D11</v>
      </c>
      <c r="L190" s="69" t="str">
        <f aca="false">_xlfn.xlookup(J190,'Prix MP'!A:A,'Prix MP'!F:F,FALSE())</f>
        <v>D11-1</v>
      </c>
      <c r="M190" s="69" t="str">
        <f aca="false">_xlfn.xlookup(J190,'Prix MP'!A:A,'Prix MP'!D:D,FALSE())</f>
        <v>AKO</v>
      </c>
      <c r="N190" s="61" t="str">
        <f aca="false">_xlfn.xlookup(I190,'Prix vente'!$A:$A,'Prix vente'!$J:$J,"")</f>
        <v>TC DT - Hotmelt Adhesive</v>
      </c>
      <c r="AI190" s="15" t="s">
        <v>890</v>
      </c>
      <c r="AK190" s="15" t="str">
        <f aca="false">IF(_xlfn.xlookup(I190,'Prix vente'!$A:$A,'Prix vente'!$O:$O,"")="msi","pi","m")</f>
        <v>pi</v>
      </c>
      <c r="AM190" s="1" t="n">
        <v>15</v>
      </c>
      <c r="AO190" s="15" t="n">
        <f aca="false">AM190*AJ190</f>
        <v>0</v>
      </c>
      <c r="AQ190" s="82" t="s">
        <v>1334</v>
      </c>
      <c r="AR190" s="62" t="n">
        <f aca="false">_xlfn.xlookup(I190,'Prix vente'!A:A,'Prix vente'!B:B,FALSE())</f>
        <v>20024</v>
      </c>
    </row>
    <row r="191" customFormat="false" ht="15" hidden="false" customHeight="true" outlineLevel="0" collapsed="false">
      <c r="A191" s="61" t="s">
        <v>1335</v>
      </c>
      <c r="B191" s="1" t="str">
        <f aca="false">_xlfn.xlookup(A191,'Prix revient'!A:A,'Prix revient'!B:B)</f>
        <v>Fermé</v>
      </c>
      <c r="C191" s="199" t="n">
        <v>45680</v>
      </c>
      <c r="D191" s="9" t="n">
        <f aca="false">D190+1</f>
        <v>315</v>
      </c>
      <c r="E191" s="61" t="str">
        <f aca="false">_xlfn.xlookup(D191,'PO Client'!$A:$A,'PO Client'!$C:$C,FALSE())</f>
        <v>Digi America Inc.</v>
      </c>
      <c r="F191" s="61" t="str">
        <f aca="false">_xlfn.xlookup(E191,Clients!B:B,Clients!C:C)</f>
        <v>Digi</v>
      </c>
      <c r="G191" s="61" t="n">
        <f aca="false">_xlfn.xlookup(D191,'PO Client'!$A:$A,'PO Client'!$F:$F,FALSE())</f>
        <v>50009083</v>
      </c>
      <c r="H191" s="205" t="n">
        <f aca="false">_xlfn.xlookup(D191,'PO Client'!A:A,'PO Client'!L:L,"")</f>
        <v>45687</v>
      </c>
      <c r="I191" s="9" t="n">
        <v>40033</v>
      </c>
      <c r="J191" s="9" t="n">
        <v>30026</v>
      </c>
      <c r="K191" s="62" t="str">
        <f aca="false">_xlfn.xlookup(I191,'Prix vente'!$A:$A,'Prix vente'!$H:$H,"")</f>
        <v>D16</v>
      </c>
      <c r="L191" s="69" t="str">
        <f aca="false">_xlfn.xlookup(J191,'Prix MP'!A:A,'Prix MP'!F:F,FALSE())</f>
        <v>D11-2</v>
      </c>
      <c r="M191" s="69" t="str">
        <f aca="false">_xlfn.xlookup(J191,'Prix MP'!A:A,'Prix MP'!D:D,FALSE())</f>
        <v>Etsuhiro</v>
      </c>
      <c r="N191" s="61" t="str">
        <f aca="false">_xlfn.xlookup(I191,'Prix vente'!$A:$A,'Prix vente'!$J:$J,"")</f>
        <v>DT Paper (Acrylic adhesive)</v>
      </c>
      <c r="O191" s="1" t="n">
        <v>10</v>
      </c>
      <c r="P191" s="1" t="n">
        <v>72</v>
      </c>
      <c r="Q191" s="1" t="n">
        <v>9.5</v>
      </c>
      <c r="R191" s="1" t="n">
        <v>36</v>
      </c>
      <c r="S191" s="1" t="n">
        <v>5.875</v>
      </c>
      <c r="T191" s="1" t="n">
        <v>12</v>
      </c>
      <c r="AI191" s="15" t="s">
        <v>890</v>
      </c>
      <c r="AJ191" s="15" t="n">
        <f aca="false">_xlfn.xlookup(I191,'Prix vente'!$A:$A,'Prix vente'!$Q:$Q,"")</f>
        <v>5000</v>
      </c>
      <c r="AK191" s="15" t="str">
        <f aca="false">IF(_xlfn.xlookup(I191,'Prix vente'!$A:$A,'Prix vente'!$O:$O,"")="msi","pi","m")</f>
        <v>pi</v>
      </c>
      <c r="AL191" s="1" t="n">
        <v>19</v>
      </c>
      <c r="AM191" s="15" t="n">
        <f aca="false">72+36+12</f>
        <v>120</v>
      </c>
      <c r="AO191" s="15" t="n">
        <f aca="false">AM191*AJ191</f>
        <v>600000</v>
      </c>
      <c r="AQ191" s="15" t="s">
        <v>1336</v>
      </c>
      <c r="AR191" s="62" t="n">
        <f aca="false">_xlfn.xlookup(I191,'Prix vente'!A:A,'Prix vente'!B:B,FALSE())</f>
        <v>20013</v>
      </c>
    </row>
    <row r="192" customFormat="false" ht="15" hidden="false" customHeight="true" outlineLevel="0" collapsed="false">
      <c r="A192" s="61" t="s">
        <v>1337</v>
      </c>
      <c r="B192" s="1" t="str">
        <f aca="false">_xlfn.xlookup(A192,'Prix revient'!A:A,'Prix revient'!B:B)</f>
        <v>Fermé</v>
      </c>
      <c r="C192" s="199" t="n">
        <v>45684</v>
      </c>
      <c r="D192" s="9" t="n">
        <f aca="false">D191+1</f>
        <v>316</v>
      </c>
      <c r="E192" s="61" t="str">
        <f aca="false">_xlfn.xlookup(D192,'PO Client'!$A:$A,'PO Client'!$C:$C,FALSE())</f>
        <v>Digi America Inc.</v>
      </c>
      <c r="F192" s="61" t="str">
        <f aca="false">_xlfn.xlookup(E192,Clients!B:B,Clients!C:C)</f>
        <v>Digi</v>
      </c>
      <c r="G192" s="61" t="n">
        <f aca="false">_xlfn.xlookup(D192,'PO Client'!$A:$A,'PO Client'!$F:$F,FALSE())</f>
        <v>50009084</v>
      </c>
      <c r="H192" s="205" t="n">
        <f aca="false">_xlfn.xlookup(D192,'PO Client'!A:A,'PO Client'!L:L,"")</f>
        <v>45691</v>
      </c>
      <c r="I192" s="9" t="n">
        <v>40033</v>
      </c>
      <c r="J192" s="9" t="n">
        <v>30029</v>
      </c>
      <c r="K192" s="62" t="str">
        <f aca="false">_xlfn.xlookup(I192,'Prix vente'!$A:$A,'Prix vente'!$H:$H,"")</f>
        <v>D16</v>
      </c>
      <c r="L192" s="69" t="str">
        <f aca="false">_xlfn.xlookup(J192,'Prix MP'!A:A,'Prix MP'!F:F,FALSE())</f>
        <v>D11-3</v>
      </c>
      <c r="M192" s="69" t="str">
        <f aca="false">_xlfn.xlookup(J192,'Prix MP'!A:A,'Prix MP'!D:D,FALSE())</f>
        <v>Jinda</v>
      </c>
      <c r="N192" s="61" t="str">
        <f aca="false">_xlfn.xlookup(I192,'Prix vente'!$A:$A,'Prix vente'!$J:$J,"")</f>
        <v>DT Paper (Acrylic adhesive)</v>
      </c>
      <c r="O192" s="1" t="n">
        <v>10</v>
      </c>
      <c r="P192" s="1" t="n">
        <v>72</v>
      </c>
      <c r="Y192" s="1" t="n">
        <v>10</v>
      </c>
      <c r="Z192" s="1" t="n">
        <v>10</v>
      </c>
      <c r="AA192" s="1" t="n">
        <v>10</v>
      </c>
      <c r="AB192" s="1" t="n">
        <v>10</v>
      </c>
      <c r="AC192" s="1" t="n">
        <v>10</v>
      </c>
      <c r="AD192" s="1" t="n">
        <v>10</v>
      </c>
      <c r="AI192" s="15" t="s">
        <v>890</v>
      </c>
      <c r="AJ192" s="15" t="n">
        <f aca="false">_xlfn.xlookup(I192,'Prix vente'!$A:$A,'Prix vente'!$Q:$Q,"")</f>
        <v>5000</v>
      </c>
      <c r="AK192" s="15" t="str">
        <f aca="false">IF(_xlfn.xlookup(I192,'Prix vente'!$A:$A,'Prix vente'!$O:$O,"")="msi","pi","m")</f>
        <v>pi</v>
      </c>
      <c r="AL192" s="1" t="n">
        <v>12</v>
      </c>
      <c r="AM192" s="1" t="n">
        <v>72</v>
      </c>
      <c r="AO192" s="15" t="n">
        <f aca="false">AM192*AJ192</f>
        <v>360000</v>
      </c>
      <c r="AQ192" s="15" t="s">
        <v>1336</v>
      </c>
      <c r="AR192" s="62" t="n">
        <f aca="false">_xlfn.xlookup(I192,'Prix vente'!A:A,'Prix vente'!B:B,FALSE())</f>
        <v>20013</v>
      </c>
    </row>
    <row r="193" customFormat="false" ht="15" hidden="false" customHeight="true" outlineLevel="0" collapsed="false">
      <c r="A193" s="61" t="s">
        <v>1338</v>
      </c>
      <c r="B193" s="1" t="str">
        <f aca="false">_xlfn.xlookup(A193,'Prix revient'!A:A,'Prix revient'!B:B)</f>
        <v>Ouvert</v>
      </c>
      <c r="C193" s="199" t="n">
        <v>45685</v>
      </c>
      <c r="D193" s="9" t="n">
        <v>314</v>
      </c>
      <c r="E193" s="61" t="str">
        <f aca="false">_xlfn.xlookup(D193,'PO Client'!$A:$A,'PO Client'!$C:$C,FALSE())</f>
        <v>Imprimerie Sélect</v>
      </c>
      <c r="F193" s="61" t="str">
        <f aca="false">_xlfn.xlookup(E193,Clients!B:B,Clients!C:C)</f>
        <v>Select</v>
      </c>
      <c r="G193" s="61" t="str">
        <f aca="false">_xlfn.xlookup(D193,'PO Client'!$A:$A,'PO Client'!$F:$F,FALSE())</f>
        <v>email 2024-01-22 14h39</v>
      </c>
      <c r="H193" s="205" t="n">
        <f aca="false">_xlfn.xlookup(D193,'PO Client'!A:A,'PO Client'!L:L,"")</f>
        <v>45687</v>
      </c>
      <c r="I193" s="9" t="n">
        <v>40256</v>
      </c>
      <c r="J193" s="9" t="n">
        <v>30011</v>
      </c>
      <c r="K193" s="62" t="str">
        <f aca="false">_xlfn.xlookup(I193,'Prix vente'!$A:$A,'Prix vente'!$H:$H,"")</f>
        <v>S21</v>
      </c>
      <c r="L193" s="69" t="str">
        <f aca="false">_xlfn.xlookup(J193,'Prix MP'!A:A,'Prix MP'!F:F,FALSE())</f>
        <v>S21-1</v>
      </c>
      <c r="M193" s="69" t="str">
        <f aca="false">_xlfn.xlookup(J193,'Prix MP'!A:A,'Prix MP'!D:D,FALSE())</f>
        <v>AKO</v>
      </c>
      <c r="N193" s="61" t="str">
        <f aca="false">_xlfn.xlookup(I193,'Prix vente'!$A:$A,'Prix vente'!$J:$J,"")</f>
        <v>SG - Hotmelt Adhesive</v>
      </c>
      <c r="O193" s="1" t="n">
        <v>6</v>
      </c>
      <c r="P193" s="1" t="n">
        <v>1</v>
      </c>
      <c r="Q193" s="1" t="n">
        <v>4</v>
      </c>
      <c r="R193" s="1" t="n">
        <v>1</v>
      </c>
      <c r="Y193" s="1" t="n">
        <v>6</v>
      </c>
      <c r="Z193" s="1" t="n">
        <v>4</v>
      </c>
      <c r="AI193" s="15" t="s">
        <v>890</v>
      </c>
      <c r="AJ193" s="15" t="n">
        <f aca="false">_xlfn.xlookup(I193,'Prix vente'!$A:$A,'Prix vente'!$Q:$Q,"")</f>
        <v>2500</v>
      </c>
      <c r="AK193" s="15" t="str">
        <f aca="false">IF(_xlfn.xlookup(I193,'Prix vente'!$A:$A,'Prix vente'!$O:$O,"")="msi","pi","m")</f>
        <v>pi</v>
      </c>
      <c r="AO193" s="15" t="n">
        <f aca="false">AM193*AJ193</f>
        <v>0</v>
      </c>
      <c r="AP193" s="15" t="s">
        <v>1339</v>
      </c>
      <c r="AQ193" s="82" t="s">
        <v>1340</v>
      </c>
      <c r="AR193" s="62" t="n">
        <f aca="false">_xlfn.xlookup(I193,'Prix vente'!A:A,'Prix vente'!B:B,FALSE())</f>
        <v>20011</v>
      </c>
    </row>
    <row r="194" customFormat="false" ht="15" hidden="false" customHeight="true" outlineLevel="0" collapsed="false">
      <c r="A194" s="61" t="s">
        <v>1341</v>
      </c>
      <c r="B194" s="1" t="str">
        <f aca="false">_xlfn.xlookup(A194,'Prix revient'!A:A,'Prix revient'!B:B)</f>
        <v>Ouvert</v>
      </c>
      <c r="C194" s="199" t="n">
        <v>45685</v>
      </c>
      <c r="D194" s="9" t="n">
        <v>317</v>
      </c>
      <c r="E194" s="61" t="str">
        <f aca="false">_xlfn.xlookup(D194,'PO Client'!$A:$A,'PO Client'!$C:$C,FALSE())</f>
        <v>Imprimerie Ste-Julie</v>
      </c>
      <c r="F194" s="61" t="str">
        <f aca="false">_xlfn.xlookup(E194,Clients!B:B,Clients!C:C)</f>
        <v>Imprimerie Ste-Julie</v>
      </c>
      <c r="G194" s="61" t="n">
        <f aca="false">_xlfn.xlookup(D194,'PO Client'!$A:$A,'PO Client'!$F:$F,FALSE())</f>
        <v>107081</v>
      </c>
      <c r="H194" s="205" t="n">
        <f aca="false">_xlfn.xlookup(D194,'PO Client'!A:A,'PO Client'!L:L,"")</f>
        <v>45687</v>
      </c>
      <c r="I194" s="9" t="n">
        <v>40117</v>
      </c>
      <c r="J194" s="9" t="n">
        <v>30036</v>
      </c>
      <c r="K194" s="62" t="str">
        <f aca="false">_xlfn.xlookup(I194,'Prix vente'!$A:$A,'Prix vente'!$H:$H,"")</f>
        <v>S15</v>
      </c>
      <c r="L194" s="69" t="str">
        <f aca="false">_xlfn.xlookup(J194,'Prix MP'!A:A,'Prix MP'!F:F,FALSE())</f>
        <v>S15-3</v>
      </c>
      <c r="M194" s="69" t="str">
        <f aca="false">_xlfn.xlookup(J194,'Prix MP'!A:A,'Prix MP'!D:D,FALSE())</f>
        <v>Jinda</v>
      </c>
      <c r="N194" s="61" t="str">
        <f aca="false">_xlfn.xlookup(I194,'Prix vente'!$A:$A,'Prix vente'!$J:$J,"")</f>
        <v>SG - Acrylic Adhesive</v>
      </c>
      <c r="O194" s="1" t="n">
        <v>10</v>
      </c>
      <c r="P194" s="1" t="n">
        <v>6</v>
      </c>
      <c r="Q194" s="1" t="n">
        <v>13</v>
      </c>
      <c r="R194" s="1" t="n">
        <v>4</v>
      </c>
      <c r="S194" s="1" t="n">
        <v>8</v>
      </c>
      <c r="T194" s="1" t="n">
        <v>1</v>
      </c>
      <c r="U194" s="1" t="n">
        <v>13</v>
      </c>
      <c r="V194" s="1" t="n">
        <v>4</v>
      </c>
      <c r="W194" s="1" t="n">
        <v>8</v>
      </c>
      <c r="X194" s="1" t="n">
        <v>1</v>
      </c>
      <c r="AI194" s="15" t="s">
        <v>890</v>
      </c>
      <c r="AK194" s="15" t="str">
        <f aca="false">IF(_xlfn.xlookup(I194,'Prix vente'!$A:$A,'Prix vente'!$O:$O,"")="msi","pi","m")</f>
        <v>pi</v>
      </c>
      <c r="AM194" s="1" t="n">
        <v>16</v>
      </c>
      <c r="AO194" s="15" t="n">
        <f aca="false">AM194*AJ194</f>
        <v>0</v>
      </c>
      <c r="AQ194" s="82" t="s">
        <v>1342</v>
      </c>
      <c r="AR194" s="62" t="n">
        <f aca="false">_xlfn.xlookup(I194,'Prix vente'!A:A,'Prix vente'!B:B,FALSE())</f>
        <v>20015</v>
      </c>
    </row>
    <row r="195" customFormat="false" ht="15" hidden="false" customHeight="true" outlineLevel="0" collapsed="false">
      <c r="A195" s="61" t="s">
        <v>1343</v>
      </c>
      <c r="B195" s="1" t="str">
        <f aca="false">_xlfn.xlookup(A195,'Prix revient'!A:A,'Prix revient'!B:B)</f>
        <v>Ouvert</v>
      </c>
      <c r="C195" s="199" t="n">
        <v>45685</v>
      </c>
      <c r="D195" s="9" t="n">
        <f aca="false">D194+1</f>
        <v>318</v>
      </c>
      <c r="E195" s="61" t="str">
        <f aca="false">_xlfn.xlookup(D195,'PO Client'!$A:$A,'PO Client'!$C:$C,FALSE())</f>
        <v>Imprimerie Ste-Julie</v>
      </c>
      <c r="F195" s="61" t="str">
        <f aca="false">_xlfn.xlookup(E195,Clients!B:B,Clients!C:C)</f>
        <v>Imprimerie Ste-Julie</v>
      </c>
      <c r="G195" s="61" t="n">
        <f aca="false">_xlfn.xlookup(D195,'PO Client'!$A:$A,'PO Client'!$F:$F,FALSE())</f>
        <v>107085</v>
      </c>
      <c r="H195" s="205" t="n">
        <f aca="false">_xlfn.xlookup(D195,'PO Client'!A:A,'PO Client'!L:L,"")</f>
        <v>45687</v>
      </c>
      <c r="I195" s="9" t="n">
        <v>40258</v>
      </c>
      <c r="J195" s="9" t="n">
        <v>30011</v>
      </c>
      <c r="K195" s="62" t="str">
        <f aca="false">_xlfn.xlookup(I195,'Prix vente'!$A:$A,'Prix vente'!$H:$H,"")</f>
        <v>S21</v>
      </c>
      <c r="L195" s="69" t="str">
        <f aca="false">_xlfn.xlookup(J195,'Prix MP'!A:A,'Prix MP'!F:F,FALSE())</f>
        <v>S21-1</v>
      </c>
      <c r="M195" s="69" t="str">
        <f aca="false">_xlfn.xlookup(J195,'Prix MP'!A:A,'Prix MP'!D:D,FALSE())</f>
        <v>AKO</v>
      </c>
      <c r="N195" s="61" t="str">
        <f aca="false">_xlfn.xlookup(I195,'Prix vente'!$A:$A,'Prix vente'!$J:$J,"")</f>
        <v>SG - Hotmelt Adhesive</v>
      </c>
      <c r="O195" s="1" t="n">
        <v>16</v>
      </c>
      <c r="P195" s="1" t="n">
        <v>1</v>
      </c>
      <c r="Q195" s="1" t="n">
        <v>13</v>
      </c>
      <c r="R195" s="1" t="n">
        <v>3</v>
      </c>
      <c r="S195" s="1" t="n">
        <v>5</v>
      </c>
      <c r="T195" s="1" t="n">
        <v>1</v>
      </c>
      <c r="Y195" s="1" t="n">
        <v>16</v>
      </c>
      <c r="Z195" s="1" t="n">
        <v>13</v>
      </c>
      <c r="AA195" s="1" t="n">
        <v>13</v>
      </c>
      <c r="AB195" s="1" t="n">
        <v>13</v>
      </c>
      <c r="AC195" s="1" t="n">
        <v>5</v>
      </c>
      <c r="AI195" s="15" t="s">
        <v>890</v>
      </c>
      <c r="AJ195" s="15" t="n">
        <f aca="false">_xlfn.xlookup(I195,'Prix vente'!$A:$A,'Prix vente'!$Q:$Q,"")</f>
        <v>5000</v>
      </c>
      <c r="AK195" s="15" t="str">
        <f aca="false">IF(_xlfn.xlookup(I195,'Prix vente'!$A:$A,'Prix vente'!$O:$O,"")="msi","pi","m")</f>
        <v>pi</v>
      </c>
      <c r="AL195" s="1" t="n">
        <v>1</v>
      </c>
      <c r="AM195" s="1" t="n">
        <v>5</v>
      </c>
      <c r="AO195" s="15" t="n">
        <f aca="false">AM195*AJ195</f>
        <v>25000</v>
      </c>
      <c r="AP195" s="15" t="s">
        <v>1344</v>
      </c>
      <c r="AQ195" s="82" t="s">
        <v>1345</v>
      </c>
      <c r="AR195" s="62" t="n">
        <f aca="false">_xlfn.xlookup(I195,'Prix vente'!A:A,'Prix vente'!B:B,FALSE())</f>
        <v>20011</v>
      </c>
    </row>
    <row r="196" customFormat="false" ht="15" hidden="false" customHeight="true" outlineLevel="0" collapsed="false">
      <c r="A196" s="61" t="s">
        <v>1346</v>
      </c>
      <c r="B196" s="1" t="str">
        <f aca="false">_xlfn.xlookup(A196,'Prix revient'!A:A,'Prix revient'!B:B)</f>
        <v>Ouvert</v>
      </c>
      <c r="D196" s="9" t="n">
        <f aca="false">D195+1</f>
        <v>319</v>
      </c>
      <c r="E196" s="61" t="n">
        <f aca="false">_xlfn.xlookup(D196,'PO Client'!$A:$A,'PO Client'!$C:$C,FALSE())</f>
        <v>0</v>
      </c>
      <c r="F196" s="61" t="e">
        <f aca="false">_xlfn.xlookup(E196,Clients!B:B,Clients!C:C)</f>
        <v>#NAME?</v>
      </c>
      <c r="G196" s="61" t="n">
        <f aca="false">_xlfn.xlookup(D196,'PO Client'!$A:$A,'PO Client'!$F:$F,FALSE())</f>
        <v>0</v>
      </c>
      <c r="H196" s="205" t="n">
        <f aca="false">_xlfn.xlookup(D196,'PO Client'!A:A,'PO Client'!L:L,"")</f>
        <v>0</v>
      </c>
      <c r="K196" s="62" t="e">
        <f aca="false">_xlfn.xlookup(I196,'Prix vente'!$A:$A,'Prix vente'!$H:$H,"")</f>
        <v>#NAME?</v>
      </c>
      <c r="L196" s="69" t="e">
        <f aca="false">_xlfn.xlookup(J196,'Prix MP'!A:A,'Prix MP'!F:F,FALSE())</f>
        <v>#NAME?</v>
      </c>
      <c r="M196" s="69" t="n">
        <f aca="false">_xlfn.xlookup(J196,'Prix MP'!A:A,'Prix MP'!D:D,FALSE())</f>
        <v>0</v>
      </c>
      <c r="N196" s="61" t="e">
        <f aca="false">_xlfn.xlookup(I196,'Prix vente'!$A:$A,'Prix vente'!$J:$J,"")</f>
        <v>#NAME?</v>
      </c>
      <c r="AI196" s="15" t="s">
        <v>890</v>
      </c>
      <c r="AJ196" s="15" t="e">
        <f aca="false">_xlfn.xlookup(I196,'Prix vente'!$A:$A,'Prix vente'!$Q:$Q,"")</f>
        <v>#NAME?</v>
      </c>
      <c r="AK196" s="15" t="str">
        <f aca="false">IF(_xlfn.xlookup(I196,'Prix vente'!$A:$A,'Prix vente'!$O:$O,"")="msi","pi","m")</f>
        <v>m</v>
      </c>
      <c r="AO196" s="15" t="e">
        <f aca="false">AM196*AJ196</f>
        <v>#NAME?</v>
      </c>
      <c r="AQ196" s="15" t="e">
        <f aca="false">_xlfn.xlookup(E196,Clients!B:B,Clients!V:V)</f>
        <v>#NAME?</v>
      </c>
      <c r="AR196" s="62" t="e">
        <f aca="false">_xlfn.xlookup(I196,'Prix vente'!A:A,'Prix vente'!B:B,FALSE())</f>
        <v>#NAME?</v>
      </c>
    </row>
    <row r="197" customFormat="false" ht="15" hidden="false" customHeight="true" outlineLevel="0" collapsed="false">
      <c r="A197" s="61" t="s">
        <v>1347</v>
      </c>
      <c r="B197" s="1" t="str">
        <f aca="false">_xlfn.xlookup(A197,'Prix revient'!A:A,'Prix revient'!B:B)</f>
        <v>Ouvert</v>
      </c>
      <c r="D197" s="9" t="n">
        <f aca="false">D196+1</f>
        <v>320</v>
      </c>
      <c r="E197" s="61" t="n">
        <f aca="false">_xlfn.xlookup(D197,'PO Client'!$A:$A,'PO Client'!$C:$C,FALSE())</f>
        <v>0</v>
      </c>
      <c r="F197" s="61" t="e">
        <f aca="false">_xlfn.xlookup(E197,Clients!B:B,Clients!C:C)</f>
        <v>#NAME?</v>
      </c>
      <c r="G197" s="61" t="n">
        <f aca="false">_xlfn.xlookup(D197,'PO Client'!$A:$A,'PO Client'!$F:$F,FALSE())</f>
        <v>0</v>
      </c>
      <c r="H197" s="205" t="n">
        <f aca="false">_xlfn.xlookup(D197,'PO Client'!A:A,'PO Client'!L:L,"")</f>
        <v>0</v>
      </c>
      <c r="K197" s="62" t="e">
        <f aca="false">_xlfn.xlookup(I197,'Prix vente'!$A:$A,'Prix vente'!$H:$H,"")</f>
        <v>#NAME?</v>
      </c>
      <c r="L197" s="69" t="n">
        <f aca="false">_xlfn.xlookup(J197,'Prix MP'!A:A,'Prix MP'!F:F,FALSE())</f>
        <v>0</v>
      </c>
      <c r="M197" s="69" t="n">
        <f aca="false">_xlfn.xlookup(J197,'Prix MP'!A:A,'Prix MP'!D:D,FALSE())</f>
        <v>0</v>
      </c>
      <c r="N197" s="61" t="e">
        <f aca="false">_xlfn.xlookup(I197,'Prix vente'!$A:$A,'Prix vente'!$J:$J,"")</f>
        <v>#NAME?</v>
      </c>
      <c r="AI197" s="15" t="s">
        <v>890</v>
      </c>
      <c r="AJ197" s="15" t="e">
        <f aca="false">_xlfn.xlookup(I197,'Prix vente'!$A:$A,'Prix vente'!$Q:$Q,"")</f>
        <v>#NAME?</v>
      </c>
      <c r="AK197" s="15" t="str">
        <f aca="false">IF(_xlfn.xlookup(I197,'Prix vente'!$A:$A,'Prix vente'!$O:$O,"")="msi","pi","m")</f>
        <v>m</v>
      </c>
      <c r="AO197" s="15" t="e">
        <f aca="false">AM197*AJ197</f>
        <v>#NAME?</v>
      </c>
      <c r="AQ197" s="15" t="e">
        <f aca="false">_xlfn.xlookup(E197,Clients!B:B,Clients!V:V)</f>
        <v>#NAME?</v>
      </c>
      <c r="AR197" s="62" t="e">
        <f aca="false">_xlfn.xlookup(I197,'Prix vente'!A:A,'Prix vente'!B:B,FALSE())</f>
        <v>#NAME?</v>
      </c>
    </row>
    <row r="198" customFormat="false" ht="15" hidden="false" customHeight="true" outlineLevel="0" collapsed="false">
      <c r="A198" s="61" t="s">
        <v>1348</v>
      </c>
      <c r="B198" s="1" t="str">
        <f aca="false">_xlfn.xlookup(A198,'Prix revient'!A:A,'Prix revient'!B:B)</f>
        <v>Ouvert</v>
      </c>
      <c r="D198" s="9" t="n">
        <f aca="false">D197+1</f>
        <v>321</v>
      </c>
      <c r="E198" s="61" t="n">
        <f aca="false">_xlfn.xlookup(D198,'PO Client'!$A:$A,'PO Client'!$C:$C,FALSE())</f>
        <v>0</v>
      </c>
      <c r="F198" s="61" t="e">
        <f aca="false">_xlfn.xlookup(E198,Clients!B:B,Clients!C:C)</f>
        <v>#NAME?</v>
      </c>
      <c r="G198" s="61" t="n">
        <f aca="false">_xlfn.xlookup(D198,'PO Client'!$A:$A,'PO Client'!$F:$F,FALSE())</f>
        <v>0</v>
      </c>
      <c r="H198" s="205" t="n">
        <f aca="false">_xlfn.xlookup(D198,'PO Client'!A:A,'PO Client'!L:L,"")</f>
        <v>0</v>
      </c>
      <c r="K198" s="62" t="e">
        <f aca="false">_xlfn.xlookup(I198,'Prix vente'!$A:$A,'Prix vente'!$H:$H,"")</f>
        <v>#NAME?</v>
      </c>
      <c r="L198" s="69" t="n">
        <f aca="false">_xlfn.xlookup(J198,'Prix MP'!A:A,'Prix MP'!F:F,FALSE())</f>
        <v>0</v>
      </c>
      <c r="M198" s="69" t="n">
        <f aca="false">_xlfn.xlookup(J198,'Prix MP'!A:A,'Prix MP'!D:D,FALSE())</f>
        <v>0</v>
      </c>
      <c r="N198" s="61" t="e">
        <f aca="false">_xlfn.xlookup(I198,'Prix vente'!$A:$A,'Prix vente'!$J:$J,"")</f>
        <v>#NAME?</v>
      </c>
      <c r="AI198" s="15" t="s">
        <v>890</v>
      </c>
      <c r="AJ198" s="15" t="e">
        <f aca="false">_xlfn.xlookup(I198,'Prix vente'!$A:$A,'Prix vente'!$Q:$Q,"")</f>
        <v>#NAME?</v>
      </c>
      <c r="AK198" s="15" t="str">
        <f aca="false">IF(_xlfn.xlookup(I198,'Prix vente'!$A:$A,'Prix vente'!$O:$O,"")="msi","pi","m")</f>
        <v>m</v>
      </c>
      <c r="AO198" s="15" t="e">
        <f aca="false">AM198*AJ198</f>
        <v>#NAME?</v>
      </c>
      <c r="AQ198" s="15" t="e">
        <f aca="false">_xlfn.xlookup(E198,Clients!B:B,Clients!V:V)</f>
        <v>#NAME?</v>
      </c>
      <c r="AR198" s="62" t="e">
        <f aca="false">_xlfn.xlookup(I198,'Prix vente'!A:A,'Prix vente'!B:B,FALSE())</f>
        <v>#NAME?</v>
      </c>
    </row>
    <row r="199" customFormat="false" ht="15" hidden="false" customHeight="true" outlineLevel="0" collapsed="false">
      <c r="A199" s="61" t="s">
        <v>1349</v>
      </c>
      <c r="B199" s="1" t="str">
        <f aca="false">_xlfn.xlookup(A199,'Prix revient'!A:A,'Prix revient'!B:B)</f>
        <v>Ouvert</v>
      </c>
      <c r="D199" s="9" t="n">
        <f aca="false">D198+1</f>
        <v>322</v>
      </c>
      <c r="E199" s="61" t="n">
        <f aca="false">_xlfn.xlookup(D199,'PO Client'!$A:$A,'PO Client'!$C:$C,FALSE())</f>
        <v>0</v>
      </c>
      <c r="F199" s="61" t="e">
        <f aca="false">_xlfn.xlookup(E199,Clients!B:B,Clients!C:C)</f>
        <v>#NAME?</v>
      </c>
      <c r="G199" s="61" t="n">
        <f aca="false">_xlfn.xlookup(D199,'PO Client'!$A:$A,'PO Client'!$F:$F,FALSE())</f>
        <v>0</v>
      </c>
      <c r="H199" s="205" t="n">
        <f aca="false">_xlfn.xlookup(D199,'PO Client'!A:A,'PO Client'!L:L,"")</f>
        <v>0</v>
      </c>
      <c r="K199" s="62" t="e">
        <f aca="false">_xlfn.xlookup(I199,'Prix vente'!$A:$A,'Prix vente'!$H:$H,"")</f>
        <v>#NAME?</v>
      </c>
      <c r="L199" s="69" t="n">
        <f aca="false">_xlfn.xlookup(J199,'Prix MP'!A:A,'Prix MP'!F:F,FALSE())</f>
        <v>0</v>
      </c>
      <c r="M199" s="69" t="n">
        <f aca="false">_xlfn.xlookup(J199,'Prix MP'!A:A,'Prix MP'!D:D,FALSE())</f>
        <v>0</v>
      </c>
      <c r="N199" s="61" t="e">
        <f aca="false">_xlfn.xlookup(I199,'Prix vente'!$A:$A,'Prix vente'!$J:$J,"")</f>
        <v>#NAME?</v>
      </c>
      <c r="AI199" s="15" t="s">
        <v>890</v>
      </c>
      <c r="AJ199" s="15" t="e">
        <f aca="false">_xlfn.xlookup(I199,'Prix vente'!$A:$A,'Prix vente'!$Q:$Q,"")</f>
        <v>#NAME?</v>
      </c>
      <c r="AK199" s="15" t="str">
        <f aca="false">IF(_xlfn.xlookup(I199,'Prix vente'!$A:$A,'Prix vente'!$O:$O,"")="msi","pi","m")</f>
        <v>m</v>
      </c>
      <c r="AO199" s="15" t="e">
        <f aca="false">AM199*AJ199</f>
        <v>#NAME?</v>
      </c>
      <c r="AQ199" s="15" t="e">
        <f aca="false">_xlfn.xlookup(E199,Clients!B:B,Clients!V:V)</f>
        <v>#NAME?</v>
      </c>
      <c r="AR199" s="62" t="e">
        <f aca="false">_xlfn.xlookup(I199,'Prix vente'!A:A,'Prix vente'!B:B,FALSE())</f>
        <v>#NAME?</v>
      </c>
    </row>
    <row r="200" customFormat="false" ht="15" hidden="false" customHeight="true" outlineLevel="0" collapsed="false">
      <c r="A200" s="61" t="s">
        <v>1350</v>
      </c>
      <c r="B200" s="1" t="str">
        <f aca="false">_xlfn.xlookup(A200,'Prix revient'!A:A,'Prix revient'!B:B)</f>
        <v>Ouvert</v>
      </c>
      <c r="D200" s="9" t="n">
        <f aca="false">D199+1</f>
        <v>323</v>
      </c>
      <c r="E200" s="61" t="n">
        <f aca="false">_xlfn.xlookup(D200,'PO Client'!$A:$A,'PO Client'!$C:$C,FALSE())</f>
        <v>0</v>
      </c>
      <c r="F200" s="61" t="e">
        <f aca="false">_xlfn.xlookup(E200,Clients!B:B,Clients!C:C)</f>
        <v>#NAME?</v>
      </c>
      <c r="G200" s="61" t="n">
        <f aca="false">_xlfn.xlookup(D200,'PO Client'!$A:$A,'PO Client'!$F:$F,FALSE())</f>
        <v>0</v>
      </c>
      <c r="H200" s="205" t="n">
        <f aca="false">_xlfn.xlookup(D200,'PO Client'!A:A,'PO Client'!L:L,"")</f>
        <v>0</v>
      </c>
      <c r="K200" s="62" t="e">
        <f aca="false">_xlfn.xlookup(I200,'Prix vente'!$A:$A,'Prix vente'!$H:$H,"")</f>
        <v>#NAME?</v>
      </c>
      <c r="L200" s="69" t="e">
        <f aca="false">_xlfn.xlookup(J200,'Prix MP'!A:A,'Prix MP'!F:F,FALSE())</f>
        <v>#NAME?</v>
      </c>
      <c r="M200" s="69" t="n">
        <f aca="false">_xlfn.xlookup(J200,'Prix MP'!A:A,'Prix MP'!D:D,FALSE())</f>
        <v>0</v>
      </c>
      <c r="N200" s="61" t="e">
        <f aca="false">_xlfn.xlookup(I200,'Prix vente'!$A:$A,'Prix vente'!$J:$J,"")</f>
        <v>#NAME?</v>
      </c>
      <c r="AI200" s="15" t="s">
        <v>890</v>
      </c>
      <c r="AJ200" s="15" t="e">
        <f aca="false">_xlfn.xlookup(I200,'Prix vente'!$A:$A,'Prix vente'!$Q:$Q,"")</f>
        <v>#NAME?</v>
      </c>
      <c r="AK200" s="15" t="str">
        <f aca="false">IF(_xlfn.xlookup(I200,'Prix vente'!$A:$A,'Prix vente'!$O:$O,"")="msi","pi","m")</f>
        <v>m</v>
      </c>
      <c r="AO200" s="15" t="e">
        <f aca="false">AM200*AJ200</f>
        <v>#NAME?</v>
      </c>
      <c r="AQ200" s="15" t="e">
        <f aca="false">_xlfn.xlookup(E200,Clients!B:B,Clients!V:V)</f>
        <v>#NAME?</v>
      </c>
      <c r="AR200" s="62" t="e">
        <f aca="false">_xlfn.xlookup(I200,'Prix vente'!A:A,'Prix vente'!B:B,FALSE())</f>
        <v>#NAME?</v>
      </c>
    </row>
    <row r="201" customFormat="false" ht="15" hidden="false" customHeight="true" outlineLevel="0" collapsed="false">
      <c r="A201" s="61" t="s">
        <v>1351</v>
      </c>
      <c r="B201" s="1" t="str">
        <f aca="false">_xlfn.xlookup(A201,'Prix revient'!A:A,'Prix revient'!B:B)</f>
        <v>Ouvert</v>
      </c>
      <c r="D201" s="9" t="n">
        <f aca="false">D200+1</f>
        <v>324</v>
      </c>
      <c r="E201" s="61" t="n">
        <f aca="false">_xlfn.xlookup(D201,'PO Client'!$A:$A,'PO Client'!$C:$C,FALSE())</f>
        <v>0</v>
      </c>
      <c r="F201" s="61" t="e">
        <f aca="false">_xlfn.xlookup(E201,Clients!B:B,Clients!C:C)</f>
        <v>#NAME?</v>
      </c>
      <c r="G201" s="61" t="n">
        <f aca="false">_xlfn.xlookup(D201,'PO Client'!$A:$A,'PO Client'!$F:$F,FALSE())</f>
        <v>0</v>
      </c>
      <c r="H201" s="205" t="n">
        <f aca="false">_xlfn.xlookup(D201,'PO Client'!A:A,'PO Client'!L:L,"")</f>
        <v>0</v>
      </c>
      <c r="K201" s="62" t="e">
        <f aca="false">_xlfn.xlookup(I201,'Prix vente'!$A:$A,'Prix vente'!$H:$H,"")</f>
        <v>#NAME?</v>
      </c>
      <c r="L201" s="69" t="n">
        <f aca="false">_xlfn.xlookup(J201,'Prix MP'!A:A,'Prix MP'!F:F,FALSE())</f>
        <v>0</v>
      </c>
      <c r="M201" s="69" t="e">
        <f aca="false">_xlfn.xlookup(J201,'Prix MP'!A:A,'Prix MP'!D:D,FALSE())</f>
        <v>#NAME?</v>
      </c>
      <c r="N201" s="61" t="e">
        <f aca="false">_xlfn.xlookup(I201,'Prix vente'!$A:$A,'Prix vente'!$J:$J,"")</f>
        <v>#NAME?</v>
      </c>
      <c r="AI201" s="15" t="s">
        <v>890</v>
      </c>
      <c r="AJ201" s="15" t="e">
        <f aca="false">_xlfn.xlookup(I201,'Prix vente'!$A:$A,'Prix vente'!$Q:$Q,"")</f>
        <v>#NAME?</v>
      </c>
      <c r="AK201" s="15" t="str">
        <f aca="false">IF(_xlfn.xlookup(I201,'Prix vente'!$A:$A,'Prix vente'!$O:$O,"")="msi","pi","m")</f>
        <v>m</v>
      </c>
      <c r="AO201" s="15" t="e">
        <f aca="false">AM201*AJ201</f>
        <v>#NAME?</v>
      </c>
      <c r="AQ201" s="15" t="e">
        <f aca="false">_xlfn.xlookup(E201,Clients!B:B,Clients!V:V)</f>
        <v>#NAME?</v>
      </c>
      <c r="AR201" s="62" t="e">
        <f aca="false">_xlfn.xlookup(I201,'Prix vente'!A:A,'Prix vente'!B:B,FALSE())</f>
        <v>#NAME?</v>
      </c>
    </row>
    <row r="202" customFormat="false" ht="15" hidden="false" customHeight="true" outlineLevel="0" collapsed="false">
      <c r="A202" s="61" t="s">
        <v>1352</v>
      </c>
      <c r="B202" s="1" t="str">
        <f aca="false">_xlfn.xlookup(A202,'Prix revient'!A:A,'Prix revient'!B:B)</f>
        <v>Ouvert</v>
      </c>
      <c r="D202" s="9" t="n">
        <f aca="false">D201+1</f>
        <v>325</v>
      </c>
      <c r="E202" s="61" t="n">
        <f aca="false">_xlfn.xlookup(D202,'PO Client'!$A:$A,'PO Client'!$C:$C,FALSE())</f>
        <v>0</v>
      </c>
      <c r="F202" s="61" t="e">
        <f aca="false">_xlfn.xlookup(E202,Clients!B:B,Clients!C:C)</f>
        <v>#NAME?</v>
      </c>
      <c r="G202" s="61" t="n">
        <f aca="false">_xlfn.xlookup(D202,'PO Client'!$A:$A,'PO Client'!$F:$F,FALSE())</f>
        <v>0</v>
      </c>
      <c r="H202" s="205" t="n">
        <f aca="false">_xlfn.xlookup(D202,'PO Client'!A:A,'PO Client'!L:L,"")</f>
        <v>0</v>
      </c>
      <c r="K202" s="62" t="e">
        <f aca="false">_xlfn.xlookup(I202,'Prix vente'!$A:$A,'Prix vente'!$H:$H,"")</f>
        <v>#NAME?</v>
      </c>
      <c r="L202" s="69" t="n">
        <f aca="false">_xlfn.xlookup(J202,'Prix MP'!A:A,'Prix MP'!F:F,FALSE())</f>
        <v>0</v>
      </c>
      <c r="M202" s="69" t="n">
        <f aca="false">_xlfn.xlookup(J202,'Prix MP'!A:A,'Prix MP'!D:D,FALSE())</f>
        <v>0</v>
      </c>
      <c r="N202" s="61" t="e">
        <f aca="false">_xlfn.xlookup(I202,'Prix vente'!$A:$A,'Prix vente'!$J:$J,"")</f>
        <v>#NAME?</v>
      </c>
      <c r="AI202" s="15" t="s">
        <v>890</v>
      </c>
      <c r="AJ202" s="15" t="e">
        <f aca="false">_xlfn.xlookup(I202,'Prix vente'!$A:$A,'Prix vente'!$Q:$Q,"")</f>
        <v>#NAME?</v>
      </c>
      <c r="AK202" s="15" t="str">
        <f aca="false">IF(_xlfn.xlookup(I202,'Prix vente'!$A:$A,'Prix vente'!$O:$O,"")="msi","pi","m")</f>
        <v>m</v>
      </c>
      <c r="AO202" s="15" t="e">
        <f aca="false">AM202*AJ202</f>
        <v>#NAME?</v>
      </c>
      <c r="AQ202" s="15" t="e">
        <f aca="false">_xlfn.xlookup(E202,Clients!B:B,Clients!V:V)</f>
        <v>#NAME?</v>
      </c>
      <c r="AR202" s="62" t="e">
        <f aca="false">_xlfn.xlookup(I202,'Prix vente'!A:A,'Prix vente'!B:B,FALSE())</f>
        <v>#NAME?</v>
      </c>
    </row>
    <row r="203" customFormat="false" ht="15" hidden="false" customHeight="true" outlineLevel="0" collapsed="false">
      <c r="A203" s="61" t="s">
        <v>1353</v>
      </c>
      <c r="B203" s="1" t="str">
        <f aca="false">_xlfn.xlookup(A203,'Prix revient'!A:A,'Prix revient'!B:B)</f>
        <v>Ouvert</v>
      </c>
      <c r="D203" s="9" t="n">
        <f aca="false">D202+1</f>
        <v>326</v>
      </c>
      <c r="E203" s="61" t="n">
        <f aca="false">_xlfn.xlookup(D203,'PO Client'!$A:$A,'PO Client'!$C:$C,FALSE())</f>
        <v>0</v>
      </c>
      <c r="F203" s="61" t="e">
        <f aca="false">_xlfn.xlookup(E203,Clients!B:B,Clients!C:C)</f>
        <v>#NAME?</v>
      </c>
      <c r="G203" s="61" t="n">
        <f aca="false">_xlfn.xlookup(D203,'PO Client'!$A:$A,'PO Client'!$F:$F,FALSE())</f>
        <v>0</v>
      </c>
      <c r="H203" s="205" t="n">
        <f aca="false">_xlfn.xlookup(D203,'PO Client'!A:A,'PO Client'!L:L,"")</f>
        <v>0</v>
      </c>
      <c r="K203" s="62" t="e">
        <f aca="false">_xlfn.xlookup(I203,'Prix vente'!$A:$A,'Prix vente'!$H:$H,"")</f>
        <v>#NAME?</v>
      </c>
      <c r="L203" s="69" t="n">
        <f aca="false">_xlfn.xlookup(J203,'Prix MP'!A:A,'Prix MP'!F:F,FALSE())</f>
        <v>0</v>
      </c>
      <c r="M203" s="69" t="n">
        <f aca="false">_xlfn.xlookup(J203,'Prix MP'!A:A,'Prix MP'!D:D,FALSE())</f>
        <v>0</v>
      </c>
      <c r="N203" s="61" t="e">
        <f aca="false">_xlfn.xlookup(I203,'Prix vente'!$A:$A,'Prix vente'!$J:$J,"")</f>
        <v>#NAME?</v>
      </c>
      <c r="AI203" s="15" t="s">
        <v>890</v>
      </c>
      <c r="AJ203" s="15" t="e">
        <f aca="false">_xlfn.xlookup(I203,'Prix vente'!$A:$A,'Prix vente'!$Q:$Q,"")</f>
        <v>#NAME?</v>
      </c>
      <c r="AK203" s="15" t="str">
        <f aca="false">IF(_xlfn.xlookup(I203,'Prix vente'!$A:$A,'Prix vente'!$O:$O,"")="msi","pi","m")</f>
        <v>m</v>
      </c>
      <c r="AO203" s="15" t="e">
        <f aca="false">AM203*AJ203</f>
        <v>#NAME?</v>
      </c>
      <c r="AQ203" s="15" t="e">
        <f aca="false">_xlfn.xlookup(E203,Clients!B:B,Clients!V:V)</f>
        <v>#NAME?</v>
      </c>
      <c r="AR203" s="62" t="e">
        <f aca="false">_xlfn.xlookup(I203,'Prix vente'!A:A,'Prix vente'!B:B,FALSE())</f>
        <v>#NAME?</v>
      </c>
    </row>
    <row r="204" customFormat="false" ht="15" hidden="false" customHeight="true" outlineLevel="0" collapsed="false">
      <c r="A204" s="61" t="s">
        <v>1354</v>
      </c>
      <c r="B204" s="1" t="str">
        <f aca="false">_xlfn.xlookup(A204,'Prix revient'!A:A,'Prix revient'!B:B)</f>
        <v>Ouvert</v>
      </c>
      <c r="D204" s="9" t="n">
        <f aca="false">D203+1</f>
        <v>327</v>
      </c>
      <c r="E204" s="61" t="n">
        <f aca="false">_xlfn.xlookup(D204,'PO Client'!$A:$A,'PO Client'!$C:$C,FALSE())</f>
        <v>0</v>
      </c>
      <c r="F204" s="61" t="e">
        <f aca="false">_xlfn.xlookup(E204,Clients!B:B,Clients!C:C)</f>
        <v>#NAME?</v>
      </c>
      <c r="G204" s="61" t="n">
        <f aca="false">_xlfn.xlookup(D204,'PO Client'!$A:$A,'PO Client'!$F:$F,FALSE())</f>
        <v>0</v>
      </c>
      <c r="H204" s="205" t="n">
        <f aca="false">_xlfn.xlookup(D204,'PO Client'!A:A,'PO Client'!L:L,"")</f>
        <v>0</v>
      </c>
      <c r="K204" s="62" t="e">
        <f aca="false">_xlfn.xlookup(I204,'Prix vente'!$A:$A,'Prix vente'!$H:$H,"")</f>
        <v>#NAME?</v>
      </c>
      <c r="L204" s="69" t="e">
        <f aca="false">_xlfn.xlookup(J204,'Prix MP'!A:A,'Prix MP'!F:F,FALSE())</f>
        <v>#NAME?</v>
      </c>
      <c r="M204" s="69" t="n">
        <f aca="false">_xlfn.xlookup(J204,'Prix MP'!A:A,'Prix MP'!D:D,FALSE())</f>
        <v>0</v>
      </c>
      <c r="N204" s="61" t="e">
        <f aca="false">_xlfn.xlookup(I204,'Prix vente'!$A:$A,'Prix vente'!$J:$J,"")</f>
        <v>#NAME?</v>
      </c>
      <c r="AI204" s="15" t="s">
        <v>890</v>
      </c>
      <c r="AJ204" s="15" t="e">
        <f aca="false">_xlfn.xlookup(I204,'Prix vente'!$A:$A,'Prix vente'!$Q:$Q,"")</f>
        <v>#NAME?</v>
      </c>
      <c r="AK204" s="15" t="str">
        <f aca="false">IF(_xlfn.xlookup(I204,'Prix vente'!$A:$A,'Prix vente'!$O:$O,"")="msi","pi","m")</f>
        <v>m</v>
      </c>
      <c r="AO204" s="15" t="e">
        <f aca="false">AM204*AJ204</f>
        <v>#NAME?</v>
      </c>
      <c r="AQ204" s="15" t="e">
        <f aca="false">_xlfn.xlookup(E204,Clients!B:B,Clients!V:V)</f>
        <v>#NAME?</v>
      </c>
      <c r="AR204" s="62" t="e">
        <f aca="false">_xlfn.xlookup(I204,'Prix vente'!A:A,'Prix vente'!B:B,FALSE())</f>
        <v>#NAME?</v>
      </c>
    </row>
    <row r="205" customFormat="false" ht="15" hidden="false" customHeight="true" outlineLevel="0" collapsed="false">
      <c r="A205" s="61" t="s">
        <v>1355</v>
      </c>
      <c r="B205" s="1" t="str">
        <f aca="false">_xlfn.xlookup(A205,'Prix revient'!A:A,'Prix revient'!B:B)</f>
        <v>Ouvert</v>
      </c>
      <c r="D205" s="9" t="n">
        <f aca="false">D204+1</f>
        <v>328</v>
      </c>
      <c r="E205" s="61" t="n">
        <f aca="false">_xlfn.xlookup(D205,'PO Client'!$A:$A,'PO Client'!$C:$C,FALSE())</f>
        <v>0</v>
      </c>
      <c r="F205" s="61" t="e">
        <f aca="false">_xlfn.xlookup(E205,Clients!B:B,Clients!C:C)</f>
        <v>#NAME?</v>
      </c>
      <c r="G205" s="61" t="n">
        <f aca="false">_xlfn.xlookup(D205,'PO Client'!$A:$A,'PO Client'!$F:$F,FALSE())</f>
        <v>0</v>
      </c>
      <c r="H205" s="205" t="n">
        <f aca="false">_xlfn.xlookup(D205,'PO Client'!A:A,'PO Client'!L:L,"")</f>
        <v>0</v>
      </c>
      <c r="K205" s="62" t="e">
        <f aca="false">_xlfn.xlookup(I205,'Prix vente'!$A:$A,'Prix vente'!$H:$H,"")</f>
        <v>#NAME?</v>
      </c>
      <c r="L205" s="69" t="n">
        <f aca="false">_xlfn.xlookup(J205,'Prix MP'!A:A,'Prix MP'!F:F,FALSE())</f>
        <v>0</v>
      </c>
      <c r="M205" s="69" t="e">
        <f aca="false">_xlfn.xlookup(J205,'Prix MP'!A:A,'Prix MP'!D:D,FALSE())</f>
        <v>#NAME?</v>
      </c>
      <c r="N205" s="61" t="e">
        <f aca="false">_xlfn.xlookup(I205,'Prix vente'!$A:$A,'Prix vente'!$J:$J,"")</f>
        <v>#NAME?</v>
      </c>
      <c r="AI205" s="15" t="s">
        <v>890</v>
      </c>
      <c r="AJ205" s="15" t="e">
        <f aca="false">_xlfn.xlookup(I205,'Prix vente'!$A:$A,'Prix vente'!$Q:$Q,"")</f>
        <v>#NAME?</v>
      </c>
      <c r="AK205" s="15" t="str">
        <f aca="false">IF(_xlfn.xlookup(I205,'Prix vente'!$A:$A,'Prix vente'!$O:$O,"")="msi","pi","m")</f>
        <v>m</v>
      </c>
      <c r="AO205" s="15" t="e">
        <f aca="false">AM205*AJ205</f>
        <v>#NAME?</v>
      </c>
      <c r="AQ205" s="15" t="e">
        <f aca="false">_xlfn.xlookup(E205,Clients!B:B,Clients!V:V)</f>
        <v>#NAME?</v>
      </c>
      <c r="AR205" s="62" t="e">
        <f aca="false">_xlfn.xlookup(I205,'Prix vente'!A:A,'Prix vente'!B:B,FALSE())</f>
        <v>#NAME?</v>
      </c>
    </row>
    <row r="206" customFormat="false" ht="15" hidden="false" customHeight="true" outlineLevel="0" collapsed="false">
      <c r="A206" s="61" t="s">
        <v>1356</v>
      </c>
      <c r="B206" s="1" t="str">
        <f aca="false">_xlfn.xlookup(A206,'Prix revient'!A:A,'Prix revient'!B:B)</f>
        <v>Ouvert</v>
      </c>
      <c r="D206" s="9" t="n">
        <f aca="false">D205+1</f>
        <v>329</v>
      </c>
      <c r="E206" s="61" t="n">
        <f aca="false">_xlfn.xlookup(D206,'PO Client'!$A:$A,'PO Client'!$C:$C,FALSE())</f>
        <v>0</v>
      </c>
      <c r="F206" s="61" t="e">
        <f aca="false">_xlfn.xlookup(E206,Clients!B:B,Clients!C:C)</f>
        <v>#NAME?</v>
      </c>
      <c r="G206" s="61" t="n">
        <f aca="false">_xlfn.xlookup(D206,'PO Client'!$A:$A,'PO Client'!$F:$F,FALSE())</f>
        <v>0</v>
      </c>
      <c r="H206" s="205" t="n">
        <f aca="false">_xlfn.xlookup(D206,'PO Client'!A:A,'PO Client'!L:L,"")</f>
        <v>0</v>
      </c>
      <c r="K206" s="62" t="e">
        <f aca="false">_xlfn.xlookup(I206,'Prix vente'!$A:$A,'Prix vente'!$H:$H,"")</f>
        <v>#NAME?</v>
      </c>
      <c r="L206" s="69" t="n">
        <f aca="false">_xlfn.xlookup(J206,'Prix MP'!A:A,'Prix MP'!F:F,FALSE())</f>
        <v>0</v>
      </c>
      <c r="M206" s="69" t="n">
        <f aca="false">_xlfn.xlookup(J206,'Prix MP'!A:A,'Prix MP'!D:D,FALSE())</f>
        <v>0</v>
      </c>
      <c r="N206" s="61" t="e">
        <f aca="false">_xlfn.xlookup(I206,'Prix vente'!$A:$A,'Prix vente'!$J:$J,"")</f>
        <v>#NAME?</v>
      </c>
      <c r="AI206" s="15" t="s">
        <v>890</v>
      </c>
      <c r="AJ206" s="15" t="e">
        <f aca="false">_xlfn.xlookup(I206,'Prix vente'!$A:$A,'Prix vente'!$Q:$Q,"")</f>
        <v>#NAME?</v>
      </c>
      <c r="AK206" s="15" t="str">
        <f aca="false">IF(_xlfn.xlookup(I206,'Prix vente'!$A:$A,'Prix vente'!$O:$O,"")="msi","pi","m")</f>
        <v>m</v>
      </c>
      <c r="AO206" s="15" t="e">
        <f aca="false">AM206*AJ206</f>
        <v>#NAME?</v>
      </c>
      <c r="AQ206" s="15" t="e">
        <f aca="false">_xlfn.xlookup(E206,Clients!B:B,Clients!V:V)</f>
        <v>#NAME?</v>
      </c>
      <c r="AR206" s="62" t="e">
        <f aca="false">_xlfn.xlookup(I206,'Prix vente'!A:A,'Prix vente'!B:B,FALSE())</f>
        <v>#NAME?</v>
      </c>
    </row>
    <row r="207" customFormat="false" ht="15" hidden="false" customHeight="true" outlineLevel="0" collapsed="false">
      <c r="A207" s="61" t="s">
        <v>1357</v>
      </c>
      <c r="B207" s="1" t="str">
        <f aca="false">_xlfn.xlookup(A207,'Prix revient'!A:A,'Prix revient'!B:B)</f>
        <v>Ouvert</v>
      </c>
      <c r="D207" s="9" t="n">
        <f aca="false">D206+1</f>
        <v>330</v>
      </c>
      <c r="E207" s="61" t="n">
        <f aca="false">_xlfn.xlookup(D207,'PO Client'!$A:$A,'PO Client'!$C:$C,FALSE())</f>
        <v>0</v>
      </c>
      <c r="F207" s="61" t="e">
        <f aca="false">_xlfn.xlookup(E207,Clients!B:B,Clients!C:C)</f>
        <v>#NAME?</v>
      </c>
      <c r="G207" s="61" t="n">
        <f aca="false">_xlfn.xlookup(D207,'PO Client'!$A:$A,'PO Client'!$F:$F,FALSE())</f>
        <v>0</v>
      </c>
      <c r="H207" s="205" t="n">
        <f aca="false">_xlfn.xlookup(D207,'PO Client'!A:A,'PO Client'!L:L,"")</f>
        <v>0</v>
      </c>
      <c r="K207" s="62" t="e">
        <f aca="false">_xlfn.xlookup(I207,'Prix vente'!$A:$A,'Prix vente'!$H:$H,"")</f>
        <v>#NAME?</v>
      </c>
      <c r="L207" s="69" t="n">
        <f aca="false">_xlfn.xlookup(J207,'Prix MP'!A:A,'Prix MP'!F:F,FALSE())</f>
        <v>0</v>
      </c>
      <c r="M207" s="69" t="n">
        <f aca="false">_xlfn.xlookup(J207,'Prix MP'!A:A,'Prix MP'!D:D,FALSE())</f>
        <v>0</v>
      </c>
      <c r="N207" s="61" t="e">
        <f aca="false">_xlfn.xlookup(I207,'Prix vente'!$A:$A,'Prix vente'!$J:$J,"")</f>
        <v>#NAME?</v>
      </c>
      <c r="AI207" s="15" t="s">
        <v>890</v>
      </c>
      <c r="AJ207" s="15" t="e">
        <f aca="false">_xlfn.xlookup(I207,'Prix vente'!$A:$A,'Prix vente'!$Q:$Q,"")</f>
        <v>#NAME?</v>
      </c>
      <c r="AK207" s="15" t="str">
        <f aca="false">IF(_xlfn.xlookup(I207,'Prix vente'!$A:$A,'Prix vente'!$O:$O,"")="msi","pi","m")</f>
        <v>m</v>
      </c>
      <c r="AO207" s="15" t="e">
        <f aca="false">AM207*AJ207</f>
        <v>#NAME?</v>
      </c>
      <c r="AQ207" s="15" t="e">
        <f aca="false">_xlfn.xlookup(E207,Clients!B:B,Clients!V:V)</f>
        <v>#NAME?</v>
      </c>
      <c r="AR207" s="62" t="e">
        <f aca="false">_xlfn.xlookup(I207,'Prix vente'!A:A,'Prix vente'!B:B,FALSE())</f>
        <v>#NAME?</v>
      </c>
    </row>
    <row r="208" customFormat="false" ht="15" hidden="false" customHeight="true" outlineLevel="0" collapsed="false">
      <c r="A208" s="61" t="s">
        <v>1358</v>
      </c>
      <c r="B208" s="1" t="str">
        <f aca="false">_xlfn.xlookup(A208,'Prix revient'!A:A,'Prix revient'!B:B)</f>
        <v>Ouvert</v>
      </c>
      <c r="D208" s="9" t="n">
        <f aca="false">D207+1</f>
        <v>331</v>
      </c>
      <c r="E208" s="61" t="n">
        <f aca="false">_xlfn.xlookup(D208,'PO Client'!$A:$A,'PO Client'!$C:$C,FALSE())</f>
        <v>0</v>
      </c>
      <c r="F208" s="61" t="e">
        <f aca="false">_xlfn.xlookup(E208,Clients!B:B,Clients!C:C)</f>
        <v>#NAME?</v>
      </c>
      <c r="G208" s="61" t="n">
        <f aca="false">_xlfn.xlookup(D208,'PO Client'!$A:$A,'PO Client'!$F:$F,FALSE())</f>
        <v>0</v>
      </c>
      <c r="H208" s="205" t="n">
        <f aca="false">_xlfn.xlookup(D208,'PO Client'!A:A,'PO Client'!L:L,"")</f>
        <v>0</v>
      </c>
      <c r="K208" s="62" t="e">
        <f aca="false">_xlfn.xlookup(I208,'Prix vente'!$A:$A,'Prix vente'!$H:$H,"")</f>
        <v>#NAME?</v>
      </c>
      <c r="L208" s="69" t="e">
        <f aca="false">_xlfn.xlookup(J208,'Prix MP'!A:A,'Prix MP'!F:F,FALSE())</f>
        <v>#NAME?</v>
      </c>
      <c r="M208" s="69" t="n">
        <f aca="false">_xlfn.xlookup(J208,'Prix MP'!A:A,'Prix MP'!D:D,FALSE())</f>
        <v>0</v>
      </c>
      <c r="N208" s="61" t="e">
        <f aca="false">_xlfn.xlookup(I208,'Prix vente'!$A:$A,'Prix vente'!$J:$J,"")</f>
        <v>#NAME?</v>
      </c>
      <c r="AI208" s="15" t="s">
        <v>890</v>
      </c>
      <c r="AJ208" s="15" t="e">
        <f aca="false">_xlfn.xlookup(I208,'Prix vente'!$A:$A,'Prix vente'!$Q:$Q,"")</f>
        <v>#NAME?</v>
      </c>
      <c r="AK208" s="15" t="str">
        <f aca="false">IF(_xlfn.xlookup(I208,'Prix vente'!$A:$A,'Prix vente'!$O:$O,"")="msi","pi","m")</f>
        <v>m</v>
      </c>
      <c r="AO208" s="15" t="e">
        <f aca="false">AM208*AJ208</f>
        <v>#NAME?</v>
      </c>
      <c r="AQ208" s="15" t="e">
        <f aca="false">_xlfn.xlookup(E208,Clients!B:B,Clients!V:V)</f>
        <v>#NAME?</v>
      </c>
      <c r="AR208" s="62" t="e">
        <f aca="false">_xlfn.xlookup(I208,'Prix vente'!A:A,'Prix vente'!B:B,FALSE())</f>
        <v>#NAME?</v>
      </c>
    </row>
    <row r="209" customFormat="false" ht="15" hidden="false" customHeight="true" outlineLevel="0" collapsed="false">
      <c r="A209" s="61" t="s">
        <v>1359</v>
      </c>
      <c r="B209" s="1" t="str">
        <f aca="false">_xlfn.xlookup(A209,'Prix revient'!A:A,'Prix revient'!B:B)</f>
        <v>Ouvert</v>
      </c>
      <c r="D209" s="9" t="n">
        <f aca="false">D208+1</f>
        <v>332</v>
      </c>
      <c r="E209" s="61" t="n">
        <f aca="false">_xlfn.xlookup(D209,'PO Client'!$A:$A,'PO Client'!$C:$C,FALSE())</f>
        <v>0</v>
      </c>
      <c r="F209" s="61" t="e">
        <f aca="false">_xlfn.xlookup(E209,Clients!B:B,Clients!C:C)</f>
        <v>#NAME?</v>
      </c>
      <c r="G209" s="61" t="n">
        <f aca="false">_xlfn.xlookup(D209,'PO Client'!$A:$A,'PO Client'!$F:$F,FALSE())</f>
        <v>0</v>
      </c>
      <c r="H209" s="205" t="n">
        <f aca="false">_xlfn.xlookup(D209,'PO Client'!A:A,'PO Client'!L:L,"")</f>
        <v>0</v>
      </c>
      <c r="K209" s="62" t="e">
        <f aca="false">_xlfn.xlookup(I209,'Prix vente'!$A:$A,'Prix vente'!$H:$H,"")</f>
        <v>#NAME?</v>
      </c>
      <c r="L209" s="69" t="n">
        <f aca="false">_xlfn.xlookup(J209,'Prix MP'!A:A,'Prix MP'!F:F,FALSE())</f>
        <v>0</v>
      </c>
      <c r="M209" s="69" t="e">
        <f aca="false">_xlfn.xlookup(J209,'Prix MP'!A:A,'Prix MP'!D:D,FALSE())</f>
        <v>#NAME?</v>
      </c>
      <c r="N209" s="61" t="e">
        <f aca="false">_xlfn.xlookup(I209,'Prix vente'!$A:$A,'Prix vente'!$J:$J,"")</f>
        <v>#NAME?</v>
      </c>
      <c r="AI209" s="15" t="s">
        <v>890</v>
      </c>
      <c r="AJ209" s="15" t="e">
        <f aca="false">_xlfn.xlookup(I209,'Prix vente'!$A:$A,'Prix vente'!$Q:$Q,"")</f>
        <v>#NAME?</v>
      </c>
      <c r="AK209" s="15" t="str">
        <f aca="false">IF(_xlfn.xlookup(I209,'Prix vente'!$A:$A,'Prix vente'!$O:$O,"")="msi","pi","m")</f>
        <v>m</v>
      </c>
      <c r="AO209" s="15" t="e">
        <f aca="false">AM209*AJ209</f>
        <v>#NAME?</v>
      </c>
      <c r="AQ209" s="15" t="e">
        <f aca="false">_xlfn.xlookup(E209,Clients!B:B,Clients!V:V)</f>
        <v>#NAME?</v>
      </c>
      <c r="AR209" s="62" t="e">
        <f aca="false">_xlfn.xlookup(I209,'Prix vente'!A:A,'Prix vente'!B:B,FALSE())</f>
        <v>#NAME?</v>
      </c>
    </row>
    <row r="210" customFormat="false" ht="15" hidden="false" customHeight="true" outlineLevel="0" collapsed="false">
      <c r="A210" s="61" t="s">
        <v>1360</v>
      </c>
      <c r="B210" s="1" t="str">
        <f aca="false">_xlfn.xlookup(A210,'Prix revient'!A:A,'Prix revient'!B:B)</f>
        <v>Ouvert</v>
      </c>
      <c r="D210" s="9" t="n">
        <f aca="false">D209+1</f>
        <v>333</v>
      </c>
      <c r="E210" s="61" t="n">
        <f aca="false">_xlfn.xlookup(D210,'PO Client'!$A:$A,'PO Client'!$C:$C,FALSE())</f>
        <v>0</v>
      </c>
      <c r="F210" s="61" t="e">
        <f aca="false">_xlfn.xlookup(E210,Clients!B:B,Clients!C:C)</f>
        <v>#NAME?</v>
      </c>
      <c r="G210" s="61" t="n">
        <f aca="false">_xlfn.xlookup(D210,'PO Client'!$A:$A,'PO Client'!$F:$F,FALSE())</f>
        <v>0</v>
      </c>
      <c r="H210" s="205" t="n">
        <f aca="false">_xlfn.xlookup(D210,'PO Client'!A:A,'PO Client'!L:L,"")</f>
        <v>0</v>
      </c>
      <c r="K210" s="62" t="e">
        <f aca="false">_xlfn.xlookup(I210,'Prix vente'!$A:$A,'Prix vente'!$H:$H,"")</f>
        <v>#NAME?</v>
      </c>
      <c r="L210" s="69" t="n">
        <f aca="false">_xlfn.xlookup(J210,'Prix MP'!A:A,'Prix MP'!F:F,FALSE())</f>
        <v>0</v>
      </c>
      <c r="M210" s="69" t="n">
        <f aca="false">_xlfn.xlookup(J210,'Prix MP'!A:A,'Prix MP'!D:D,FALSE())</f>
        <v>0</v>
      </c>
      <c r="N210" s="61" t="e">
        <f aca="false">_xlfn.xlookup(I210,'Prix vente'!$A:$A,'Prix vente'!$J:$J,"")</f>
        <v>#NAME?</v>
      </c>
      <c r="AI210" s="15" t="s">
        <v>890</v>
      </c>
      <c r="AJ210" s="15" t="e">
        <f aca="false">_xlfn.xlookup(I210,'Prix vente'!$A:$A,'Prix vente'!$Q:$Q,"")</f>
        <v>#NAME?</v>
      </c>
      <c r="AK210" s="15" t="str">
        <f aca="false">IF(_xlfn.xlookup(I210,'Prix vente'!$A:$A,'Prix vente'!$O:$O,"")="msi","pi","m")</f>
        <v>m</v>
      </c>
      <c r="AO210" s="15" t="e">
        <f aca="false">AM210*AJ210</f>
        <v>#NAME?</v>
      </c>
      <c r="AQ210" s="15" t="e">
        <f aca="false">_xlfn.xlookup(E210,Clients!B:B,Clients!V:V)</f>
        <v>#NAME?</v>
      </c>
      <c r="AR210" s="62" t="e">
        <f aca="false">_xlfn.xlookup(I210,'Prix vente'!A:A,'Prix vente'!B:B,FALSE())</f>
        <v>#NAME?</v>
      </c>
    </row>
    <row r="211" customFormat="false" ht="15" hidden="false" customHeight="true" outlineLevel="0" collapsed="false">
      <c r="A211" s="61" t="s">
        <v>1361</v>
      </c>
      <c r="B211" s="1" t="str">
        <f aca="false">_xlfn.xlookup(A211,'Prix revient'!A:A,'Prix revient'!B:B)</f>
        <v>Ouvert</v>
      </c>
      <c r="D211" s="9" t="n">
        <f aca="false">D210+1</f>
        <v>334</v>
      </c>
      <c r="E211" s="61" t="n">
        <f aca="false">_xlfn.xlookup(D211,'PO Client'!$A:$A,'PO Client'!$C:$C,FALSE())</f>
        <v>0</v>
      </c>
      <c r="F211" s="61" t="e">
        <f aca="false">_xlfn.xlookup(E211,Clients!B:B,Clients!C:C)</f>
        <v>#NAME?</v>
      </c>
      <c r="G211" s="61" t="n">
        <f aca="false">_xlfn.xlookup(D211,'PO Client'!$A:$A,'PO Client'!$F:$F,FALSE())</f>
        <v>0</v>
      </c>
      <c r="H211" s="205" t="n">
        <f aca="false">_xlfn.xlookup(D211,'PO Client'!A:A,'PO Client'!L:L,"")</f>
        <v>0</v>
      </c>
      <c r="K211" s="62" t="e">
        <f aca="false">_xlfn.xlookup(I211,'Prix vente'!$A:$A,'Prix vente'!$H:$H,"")</f>
        <v>#NAME?</v>
      </c>
      <c r="L211" s="69" t="n">
        <f aca="false">_xlfn.xlookup(J211,'Prix MP'!A:A,'Prix MP'!F:F,FALSE())</f>
        <v>0</v>
      </c>
      <c r="M211" s="69" t="n">
        <f aca="false">_xlfn.xlookup(J211,'Prix MP'!A:A,'Prix MP'!D:D,FALSE())</f>
        <v>0</v>
      </c>
      <c r="N211" s="61" t="e">
        <f aca="false">_xlfn.xlookup(I211,'Prix vente'!$A:$A,'Prix vente'!$J:$J,"")</f>
        <v>#NAME?</v>
      </c>
      <c r="AI211" s="15" t="s">
        <v>890</v>
      </c>
      <c r="AJ211" s="15" t="e">
        <f aca="false">_xlfn.xlookup(I211,'Prix vente'!$A:$A,'Prix vente'!$Q:$Q,"")</f>
        <v>#NAME?</v>
      </c>
      <c r="AK211" s="15" t="str">
        <f aca="false">IF(_xlfn.xlookup(I211,'Prix vente'!$A:$A,'Prix vente'!$O:$O,"")="msi","pi","m")</f>
        <v>m</v>
      </c>
      <c r="AO211" s="15" t="e">
        <f aca="false">AM211*AJ211</f>
        <v>#NAME?</v>
      </c>
      <c r="AQ211" s="15" t="e">
        <f aca="false">_xlfn.xlookup(E211,Clients!B:B,Clients!V:V)</f>
        <v>#NAME?</v>
      </c>
      <c r="AR211" s="62" t="e">
        <f aca="false">_xlfn.xlookup(I211,'Prix vente'!A:A,'Prix vente'!B:B,FALSE())</f>
        <v>#NAME?</v>
      </c>
    </row>
    <row r="212" customFormat="false" ht="15" hidden="false" customHeight="true" outlineLevel="0" collapsed="false">
      <c r="A212" s="61" t="s">
        <v>1362</v>
      </c>
      <c r="B212" s="1" t="str">
        <f aca="false">_xlfn.xlookup(A212,'Prix revient'!A:A,'Prix revient'!B:B)</f>
        <v>Ouvert</v>
      </c>
      <c r="D212" s="9" t="n">
        <f aca="false">D211+1</f>
        <v>335</v>
      </c>
      <c r="E212" s="61" t="n">
        <f aca="false">_xlfn.xlookup(D212,'PO Client'!$A:$A,'PO Client'!$C:$C,FALSE())</f>
        <v>0</v>
      </c>
      <c r="F212" s="61" t="e">
        <f aca="false">_xlfn.xlookup(E212,Clients!B:B,Clients!C:C)</f>
        <v>#NAME?</v>
      </c>
      <c r="G212" s="61" t="n">
        <f aca="false">_xlfn.xlookup(D212,'PO Client'!$A:$A,'PO Client'!$F:$F,FALSE())</f>
        <v>0</v>
      </c>
      <c r="H212" s="205" t="n">
        <f aca="false">_xlfn.xlookup(D212,'PO Client'!A:A,'PO Client'!L:L,"")</f>
        <v>0</v>
      </c>
      <c r="K212" s="62" t="e">
        <f aca="false">_xlfn.xlookup(I212,'Prix vente'!$A:$A,'Prix vente'!$H:$H,"")</f>
        <v>#NAME?</v>
      </c>
      <c r="L212" s="69" t="e">
        <f aca="false">_xlfn.xlookup(J212,'Prix MP'!A:A,'Prix MP'!F:F,FALSE())</f>
        <v>#NAME?</v>
      </c>
      <c r="M212" s="69" t="n">
        <f aca="false">_xlfn.xlookup(J212,'Prix MP'!A:A,'Prix MP'!D:D,FALSE())</f>
        <v>0</v>
      </c>
      <c r="N212" s="61" t="e">
        <f aca="false">_xlfn.xlookup(I212,'Prix vente'!$A:$A,'Prix vente'!$J:$J,"")</f>
        <v>#NAME?</v>
      </c>
      <c r="AI212" s="15" t="s">
        <v>890</v>
      </c>
      <c r="AJ212" s="15" t="e">
        <f aca="false">_xlfn.xlookup(I212,'Prix vente'!$A:$A,'Prix vente'!$Q:$Q,"")</f>
        <v>#NAME?</v>
      </c>
      <c r="AK212" s="15" t="str">
        <f aca="false">IF(_xlfn.xlookup(I212,'Prix vente'!$A:$A,'Prix vente'!$O:$O,"")="msi","pi","m")</f>
        <v>m</v>
      </c>
      <c r="AO212" s="15" t="e">
        <f aca="false">AM212*AJ212</f>
        <v>#NAME?</v>
      </c>
      <c r="AQ212" s="15" t="e">
        <f aca="false">_xlfn.xlookup(E212,Clients!B:B,Clients!V:V)</f>
        <v>#NAME?</v>
      </c>
      <c r="AR212" s="62" t="e">
        <f aca="false">_xlfn.xlookup(I212,'Prix vente'!A:A,'Prix vente'!B:B,FALSE())</f>
        <v>#NAME?</v>
      </c>
    </row>
    <row r="213" customFormat="false" ht="15" hidden="false" customHeight="true" outlineLevel="0" collapsed="false">
      <c r="A213" s="61" t="s">
        <v>1363</v>
      </c>
      <c r="B213" s="1" t="str">
        <f aca="false">_xlfn.xlookup(A213,'Prix revient'!A:A,'Prix revient'!B:B)</f>
        <v>Ouvert</v>
      </c>
      <c r="D213" s="9" t="n">
        <f aca="false">D212+1</f>
        <v>336</v>
      </c>
      <c r="E213" s="61" t="n">
        <f aca="false">_xlfn.xlookup(D213,'PO Client'!$A:$A,'PO Client'!$C:$C,FALSE())</f>
        <v>0</v>
      </c>
      <c r="F213" s="61" t="e">
        <f aca="false">_xlfn.xlookup(E213,Clients!B:B,Clients!C:C)</f>
        <v>#NAME?</v>
      </c>
      <c r="G213" s="61" t="n">
        <f aca="false">_xlfn.xlookup(D213,'PO Client'!$A:$A,'PO Client'!$F:$F,FALSE())</f>
        <v>0</v>
      </c>
      <c r="H213" s="205" t="n">
        <f aca="false">_xlfn.xlookup(D213,'PO Client'!A:A,'PO Client'!L:L,"")</f>
        <v>0</v>
      </c>
      <c r="K213" s="62" t="e">
        <f aca="false">_xlfn.xlookup(I213,'Prix vente'!$A:$A,'Prix vente'!$H:$H,"")</f>
        <v>#NAME?</v>
      </c>
      <c r="L213" s="69" t="n">
        <f aca="false">_xlfn.xlookup(J213,'Prix MP'!A:A,'Prix MP'!F:F,FALSE())</f>
        <v>0</v>
      </c>
      <c r="M213" s="69" t="e">
        <f aca="false">_xlfn.xlookup(J213,'Prix MP'!A:A,'Prix MP'!D:D,FALSE())</f>
        <v>#NAME?</v>
      </c>
      <c r="N213" s="61" t="e">
        <f aca="false">_xlfn.xlookup(I213,'Prix vente'!$A:$A,'Prix vente'!$J:$J,"")</f>
        <v>#NAME?</v>
      </c>
      <c r="AI213" s="15" t="s">
        <v>890</v>
      </c>
      <c r="AJ213" s="15" t="e">
        <f aca="false">_xlfn.xlookup(I213,'Prix vente'!$A:$A,'Prix vente'!$Q:$Q,"")</f>
        <v>#NAME?</v>
      </c>
      <c r="AK213" s="15" t="str">
        <f aca="false">IF(_xlfn.xlookup(I213,'Prix vente'!$A:$A,'Prix vente'!$O:$O,"")="msi","pi","m")</f>
        <v>m</v>
      </c>
      <c r="AO213" s="15" t="e">
        <f aca="false">AM213*AJ213</f>
        <v>#NAME?</v>
      </c>
      <c r="AQ213" s="15" t="e">
        <f aca="false">_xlfn.xlookup(E213,Clients!B:B,Clients!V:V)</f>
        <v>#NAME?</v>
      </c>
      <c r="AR213" s="62" t="e">
        <f aca="false">_xlfn.xlookup(I213,'Prix vente'!A:A,'Prix vente'!B:B,FALSE())</f>
        <v>#NAME?</v>
      </c>
    </row>
    <row r="214" customFormat="false" ht="15" hidden="false" customHeight="true" outlineLevel="0" collapsed="false">
      <c r="A214" s="61" t="s">
        <v>1364</v>
      </c>
      <c r="B214" s="1" t="str">
        <f aca="false">_xlfn.xlookup(A214,'Prix revient'!A:A,'Prix revient'!B:B)</f>
        <v>Ouvert</v>
      </c>
      <c r="D214" s="9" t="n">
        <f aca="false">D213+1</f>
        <v>337</v>
      </c>
      <c r="E214" s="61" t="n">
        <f aca="false">_xlfn.xlookup(D214,'PO Client'!$A:$A,'PO Client'!$C:$C,FALSE())</f>
        <v>0</v>
      </c>
      <c r="F214" s="61" t="e">
        <f aca="false">_xlfn.xlookup(E214,Clients!B:B,Clients!C:C)</f>
        <v>#NAME?</v>
      </c>
      <c r="G214" s="61" t="n">
        <f aca="false">_xlfn.xlookup(D214,'PO Client'!$A:$A,'PO Client'!$F:$F,FALSE())</f>
        <v>0</v>
      </c>
      <c r="H214" s="205" t="n">
        <f aca="false">_xlfn.xlookup(D214,'PO Client'!A:A,'PO Client'!L:L,"")</f>
        <v>0</v>
      </c>
      <c r="K214" s="62" t="e">
        <f aca="false">_xlfn.xlookup(I214,'Prix vente'!$A:$A,'Prix vente'!$H:$H,"")</f>
        <v>#NAME?</v>
      </c>
      <c r="L214" s="69" t="n">
        <f aca="false">_xlfn.xlookup(J214,'Prix MP'!A:A,'Prix MP'!F:F,FALSE())</f>
        <v>0</v>
      </c>
      <c r="M214" s="69" t="n">
        <f aca="false">_xlfn.xlookup(J214,'Prix MP'!A:A,'Prix MP'!D:D,FALSE())</f>
        <v>0</v>
      </c>
      <c r="N214" s="61" t="e">
        <f aca="false">_xlfn.xlookup(I214,'Prix vente'!$A:$A,'Prix vente'!$J:$J,"")</f>
        <v>#NAME?</v>
      </c>
      <c r="AI214" s="15" t="s">
        <v>890</v>
      </c>
      <c r="AJ214" s="15" t="e">
        <f aca="false">_xlfn.xlookup(I214,'Prix vente'!$A:$A,'Prix vente'!$Q:$Q,"")</f>
        <v>#NAME?</v>
      </c>
      <c r="AK214" s="15" t="str">
        <f aca="false">IF(_xlfn.xlookup(I214,'Prix vente'!$A:$A,'Prix vente'!$O:$O,"")="msi","pi","m")</f>
        <v>m</v>
      </c>
      <c r="AO214" s="15" t="e">
        <f aca="false">AM214*AJ214</f>
        <v>#NAME?</v>
      </c>
      <c r="AQ214" s="15" t="e">
        <f aca="false">_xlfn.xlookup(E214,Clients!B:B,Clients!V:V)</f>
        <v>#NAME?</v>
      </c>
      <c r="AR214" s="62" t="e">
        <f aca="false">_xlfn.xlookup(I214,'Prix vente'!A:A,'Prix vente'!B:B,FALSE())</f>
        <v>#NAME?</v>
      </c>
    </row>
    <row r="215" customFormat="false" ht="15" hidden="false" customHeight="true" outlineLevel="0" collapsed="false">
      <c r="A215" s="61" t="s">
        <v>1365</v>
      </c>
      <c r="B215" s="1" t="str">
        <f aca="false">_xlfn.xlookup(A215,'Prix revient'!A:A,'Prix revient'!B:B)</f>
        <v>Ouvert</v>
      </c>
      <c r="D215" s="9" t="n">
        <f aca="false">D214+1</f>
        <v>338</v>
      </c>
      <c r="E215" s="61" t="n">
        <f aca="false">_xlfn.xlookup(D215,'PO Client'!$A:$A,'PO Client'!$C:$C,FALSE())</f>
        <v>0</v>
      </c>
      <c r="F215" s="61" t="e">
        <f aca="false">_xlfn.xlookup(E215,Clients!B:B,Clients!C:C)</f>
        <v>#NAME?</v>
      </c>
      <c r="G215" s="61" t="n">
        <f aca="false">_xlfn.xlookup(D215,'PO Client'!$A:$A,'PO Client'!$F:$F,FALSE())</f>
        <v>0</v>
      </c>
      <c r="H215" s="205" t="n">
        <f aca="false">_xlfn.xlookup(D215,'PO Client'!A:A,'PO Client'!L:L,"")</f>
        <v>0</v>
      </c>
      <c r="K215" s="62" t="e">
        <f aca="false">_xlfn.xlookup(I215,'Prix vente'!$A:$A,'Prix vente'!$H:$H,"")</f>
        <v>#NAME?</v>
      </c>
      <c r="L215" s="69" t="n">
        <f aca="false">_xlfn.xlookup(J215,'Prix MP'!A:A,'Prix MP'!F:F,FALSE())</f>
        <v>0</v>
      </c>
      <c r="M215" s="69" t="n">
        <f aca="false">_xlfn.xlookup(J215,'Prix MP'!A:A,'Prix MP'!D:D,FALSE())</f>
        <v>0</v>
      </c>
      <c r="N215" s="61" t="e">
        <f aca="false">_xlfn.xlookup(I215,'Prix vente'!$A:$A,'Prix vente'!$J:$J,"")</f>
        <v>#NAME?</v>
      </c>
      <c r="AI215" s="15" t="s">
        <v>890</v>
      </c>
      <c r="AJ215" s="15" t="e">
        <f aca="false">_xlfn.xlookup(I215,'Prix vente'!$A:$A,'Prix vente'!$Q:$Q,"")</f>
        <v>#NAME?</v>
      </c>
      <c r="AK215" s="15" t="str">
        <f aca="false">IF(_xlfn.xlookup(I215,'Prix vente'!$A:$A,'Prix vente'!$O:$O,"")="msi","pi","m")</f>
        <v>m</v>
      </c>
      <c r="AO215" s="15" t="e">
        <f aca="false">AM215*AJ215</f>
        <v>#NAME?</v>
      </c>
      <c r="AQ215" s="15" t="e">
        <f aca="false">_xlfn.xlookup(E215,Clients!B:B,Clients!V:V)</f>
        <v>#NAME?</v>
      </c>
      <c r="AR215" s="62" t="e">
        <f aca="false">_xlfn.xlookup(I215,'Prix vente'!A:A,'Prix vente'!B:B,FALSE())</f>
        <v>#NAME?</v>
      </c>
    </row>
    <row r="216" customFormat="false" ht="15" hidden="false" customHeight="true" outlineLevel="0" collapsed="false">
      <c r="A216" s="61" t="s">
        <v>1366</v>
      </c>
      <c r="B216" s="1" t="str">
        <f aca="false">_xlfn.xlookup(A216,'Prix revient'!A:A,'Prix revient'!B:B)</f>
        <v>Ouvert</v>
      </c>
      <c r="D216" s="9" t="n">
        <f aca="false">D215+1</f>
        <v>339</v>
      </c>
      <c r="E216" s="61" t="n">
        <f aca="false">_xlfn.xlookup(D216,'PO Client'!$A:$A,'PO Client'!$C:$C,FALSE())</f>
        <v>0</v>
      </c>
      <c r="F216" s="61" t="e">
        <f aca="false">_xlfn.xlookup(E216,Clients!B:B,Clients!C:C)</f>
        <v>#NAME?</v>
      </c>
      <c r="G216" s="61" t="n">
        <f aca="false">_xlfn.xlookup(D216,'PO Client'!$A:$A,'PO Client'!$F:$F,FALSE())</f>
        <v>0</v>
      </c>
      <c r="H216" s="205" t="n">
        <f aca="false">_xlfn.xlookup(D216,'PO Client'!A:A,'PO Client'!L:L,"")</f>
        <v>0</v>
      </c>
      <c r="K216" s="62" t="e">
        <f aca="false">_xlfn.xlookup(I216,'Prix vente'!$A:$A,'Prix vente'!$H:$H,"")</f>
        <v>#NAME?</v>
      </c>
      <c r="L216" s="69" t="e">
        <f aca="false">_xlfn.xlookup(J216,'Prix MP'!A:A,'Prix MP'!F:F,FALSE())</f>
        <v>#NAME?</v>
      </c>
      <c r="M216" s="69" t="n">
        <f aca="false">_xlfn.xlookup(J216,'Prix MP'!A:A,'Prix MP'!D:D,FALSE())</f>
        <v>0</v>
      </c>
      <c r="N216" s="61" t="e">
        <f aca="false">_xlfn.xlookup(I216,'Prix vente'!$A:$A,'Prix vente'!$J:$J,"")</f>
        <v>#NAME?</v>
      </c>
      <c r="AI216" s="15" t="s">
        <v>890</v>
      </c>
      <c r="AJ216" s="15" t="e">
        <f aca="false">_xlfn.xlookup(I216,'Prix vente'!$A:$A,'Prix vente'!$Q:$Q,"")</f>
        <v>#NAME?</v>
      </c>
      <c r="AK216" s="15" t="str">
        <f aca="false">IF(_xlfn.xlookup(I216,'Prix vente'!$A:$A,'Prix vente'!$O:$O,"")="msi","pi","m")</f>
        <v>m</v>
      </c>
      <c r="AO216" s="15" t="e">
        <f aca="false">AM216*AJ216</f>
        <v>#NAME?</v>
      </c>
      <c r="AQ216" s="15" t="e">
        <f aca="false">_xlfn.xlookup(E216,Clients!B:B,Clients!V:V)</f>
        <v>#NAME?</v>
      </c>
      <c r="AR216" s="62" t="e">
        <f aca="false">_xlfn.xlookup(I216,'Prix vente'!A:A,'Prix vente'!B:B,FALSE())</f>
        <v>#NAME?</v>
      </c>
    </row>
    <row r="217" customFormat="false" ht="15" hidden="false" customHeight="true" outlineLevel="0" collapsed="false">
      <c r="A217" s="61" t="s">
        <v>1367</v>
      </c>
      <c r="B217" s="1" t="str">
        <f aca="false">_xlfn.xlookup(A217,'Prix revient'!A:A,'Prix revient'!B:B)</f>
        <v>Ouvert</v>
      </c>
      <c r="D217" s="9" t="n">
        <f aca="false">D216+1</f>
        <v>340</v>
      </c>
      <c r="E217" s="61" t="n">
        <f aca="false">_xlfn.xlookup(D217,'PO Client'!$A:$A,'PO Client'!$C:$C,FALSE())</f>
        <v>0</v>
      </c>
      <c r="F217" s="61" t="e">
        <f aca="false">_xlfn.xlookup(E217,Clients!B:B,Clients!C:C)</f>
        <v>#NAME?</v>
      </c>
      <c r="G217" s="61" t="n">
        <f aca="false">_xlfn.xlookup(D217,'PO Client'!$A:$A,'PO Client'!$F:$F,FALSE())</f>
        <v>0</v>
      </c>
      <c r="H217" s="205" t="n">
        <f aca="false">_xlfn.xlookup(D217,'PO Client'!A:A,'PO Client'!L:L,"")</f>
        <v>0</v>
      </c>
      <c r="K217" s="62" t="e">
        <f aca="false">_xlfn.xlookup(I217,'Prix vente'!$A:$A,'Prix vente'!$H:$H,"")</f>
        <v>#NAME?</v>
      </c>
      <c r="L217" s="69" t="n">
        <f aca="false">_xlfn.xlookup(J217,'Prix MP'!A:A,'Prix MP'!F:F,FALSE())</f>
        <v>0</v>
      </c>
      <c r="M217" s="69" t="e">
        <f aca="false">_xlfn.xlookup(J217,'Prix MP'!A:A,'Prix MP'!D:D,FALSE())</f>
        <v>#NAME?</v>
      </c>
      <c r="N217" s="61" t="e">
        <f aca="false">_xlfn.xlookup(I217,'Prix vente'!$A:$A,'Prix vente'!$J:$J,"")</f>
        <v>#NAME?</v>
      </c>
      <c r="AI217" s="15" t="s">
        <v>890</v>
      </c>
      <c r="AJ217" s="15" t="e">
        <f aca="false">_xlfn.xlookup(I217,'Prix vente'!$A:$A,'Prix vente'!$Q:$Q,"")</f>
        <v>#NAME?</v>
      </c>
      <c r="AK217" s="15" t="str">
        <f aca="false">IF(_xlfn.xlookup(I217,'Prix vente'!$A:$A,'Prix vente'!$O:$O,"")="msi","pi","m")</f>
        <v>m</v>
      </c>
      <c r="AO217" s="15" t="e">
        <f aca="false">AM217*AJ217</f>
        <v>#NAME?</v>
      </c>
      <c r="AQ217" s="15" t="e">
        <f aca="false">_xlfn.xlookup(E217,Clients!B:B,Clients!V:V)</f>
        <v>#NAME?</v>
      </c>
      <c r="AR217" s="62" t="e">
        <f aca="false">_xlfn.xlookup(I217,'Prix vente'!A:A,'Prix vente'!B:B,FALSE())</f>
        <v>#NAME?</v>
      </c>
    </row>
    <row r="218" customFormat="false" ht="15" hidden="false" customHeight="true" outlineLevel="0" collapsed="false">
      <c r="A218" s="61" t="s">
        <v>1368</v>
      </c>
      <c r="B218" s="1" t="str">
        <f aca="false">_xlfn.xlookup(A218,'Prix revient'!A:A,'Prix revient'!B:B)</f>
        <v>Ouvert</v>
      </c>
      <c r="D218" s="9" t="n">
        <f aca="false">D217+1</f>
        <v>341</v>
      </c>
      <c r="E218" s="61" t="n">
        <f aca="false">_xlfn.xlookup(D218,'PO Client'!$A:$A,'PO Client'!$C:$C,FALSE())</f>
        <v>0</v>
      </c>
      <c r="F218" s="61" t="e">
        <f aca="false">_xlfn.xlookup(E218,Clients!B:B,Clients!C:C)</f>
        <v>#NAME?</v>
      </c>
      <c r="G218" s="61" t="n">
        <f aca="false">_xlfn.xlookup(D218,'PO Client'!$A:$A,'PO Client'!$F:$F,FALSE())</f>
        <v>0</v>
      </c>
      <c r="H218" s="205" t="n">
        <f aca="false">_xlfn.xlookup(D218,'PO Client'!A:A,'PO Client'!L:L,"")</f>
        <v>0</v>
      </c>
      <c r="K218" s="62" t="e">
        <f aca="false">_xlfn.xlookup(I218,'Prix vente'!$A:$A,'Prix vente'!$H:$H,"")</f>
        <v>#NAME?</v>
      </c>
      <c r="L218" s="69" t="n">
        <f aca="false">_xlfn.xlookup(J218,'Prix MP'!A:A,'Prix MP'!F:F,FALSE())</f>
        <v>0</v>
      </c>
      <c r="M218" s="69" t="n">
        <f aca="false">_xlfn.xlookup(J218,'Prix MP'!A:A,'Prix MP'!D:D,FALSE())</f>
        <v>0</v>
      </c>
      <c r="N218" s="61" t="e">
        <f aca="false">_xlfn.xlookup(I218,'Prix vente'!$A:$A,'Prix vente'!$J:$J,"")</f>
        <v>#NAME?</v>
      </c>
      <c r="AI218" s="15" t="s">
        <v>890</v>
      </c>
      <c r="AJ218" s="15" t="e">
        <f aca="false">_xlfn.xlookup(I218,'Prix vente'!$A:$A,'Prix vente'!$Q:$Q,"")</f>
        <v>#NAME?</v>
      </c>
      <c r="AK218" s="15" t="str">
        <f aca="false">IF(_xlfn.xlookup(I218,'Prix vente'!$A:$A,'Prix vente'!$O:$O,"")="msi","pi","m")</f>
        <v>m</v>
      </c>
      <c r="AO218" s="15" t="e">
        <f aca="false">AM218*AJ218</f>
        <v>#NAME?</v>
      </c>
      <c r="AQ218" s="15" t="e">
        <f aca="false">_xlfn.xlookup(E218,Clients!B:B,Clients!V:V)</f>
        <v>#NAME?</v>
      </c>
      <c r="AR218" s="62" t="e">
        <f aca="false">_xlfn.xlookup(I218,'Prix vente'!A:A,'Prix vente'!B:B,FALSE())</f>
        <v>#NAME?</v>
      </c>
    </row>
  </sheetData>
  <autoFilter ref="A1:AS218"/>
  <conditionalFormatting sqref="B2:B1048576">
    <cfRule type="containsText" priority="2" operator="containsText" aboveAverage="0" equalAverage="0" bottom="0" percent="0" rank="0" text="Fermé" dxfId="24">
      <formula>NOT(ISERROR(SEARCH("Fermé",B2)))</formula>
    </cfRule>
    <cfRule type="containsText" priority="3" operator="containsText" aboveAverage="0" equalAverage="0" bottom="0" percent="0" rank="0" text="OUVERT" dxfId="25">
      <formula>NOT(ISERROR(SEARCH("OUVERT",B2)))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C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2" activeCellId="0" sqref="C42"/>
    </sheetView>
  </sheetViews>
  <sheetFormatPr defaultColWidth="8.59765625" defaultRowHeight="14.25" zeroHeight="false" outlineLevelRow="0" outlineLevelCol="0"/>
  <cols>
    <col collapsed="false" customWidth="true" hidden="false" outlineLevel="0" max="2" min="2" style="1" width="17.38"/>
    <col collapsed="false" customWidth="true" hidden="false" outlineLevel="0" max="3" min="3" style="42" width="45"/>
  </cols>
  <sheetData>
    <row r="2" customFormat="false" ht="14.25" hidden="false" customHeight="false" outlineLevel="0" collapsed="false">
      <c r="B2" s="215" t="s">
        <v>699</v>
      </c>
      <c r="C2" s="216" t="s">
        <v>1333</v>
      </c>
    </row>
    <row r="3" customFormat="false" ht="14.25" hidden="false" customHeight="false" outlineLevel="0" collapsed="false">
      <c r="B3" s="215" t="s">
        <v>851</v>
      </c>
      <c r="C3" s="217" t="n">
        <f aca="false">_xlfn.xlookup(($C$2),'Liste WO'!$A:$A,'Liste WO'!$C:$C,FALSE())</f>
        <v>45685</v>
      </c>
    </row>
    <row r="4" customFormat="false" ht="14.25" hidden="false" customHeight="false" outlineLevel="0" collapsed="false">
      <c r="B4" s="215" t="s">
        <v>710</v>
      </c>
      <c r="C4" s="217" t="n">
        <f aca="false">_xlfn.xlookup(($C$2),'Liste WO'!$A:$A,'Liste WO'!$H:$H,FALSE())</f>
        <v>45687</v>
      </c>
    </row>
    <row r="5" customFormat="false" ht="14.25" hidden="false" customHeight="false" outlineLevel="0" collapsed="false">
      <c r="B5" s="215" t="s">
        <v>1369</v>
      </c>
      <c r="C5" s="218" t="str">
        <f aca="false">_xlfn.xlookup(($C$2),'Liste WO'!$A:$A,'Liste WO'!$G:$G,FALSE())</f>
        <v>email 2024-01-22 14h39</v>
      </c>
    </row>
    <row r="6" customFormat="false" ht="14.25" hidden="false" customHeight="false" outlineLevel="0" collapsed="false">
      <c r="B6" s="215" t="s">
        <v>528</v>
      </c>
      <c r="C6" s="218" t="str">
        <f aca="false">_xlfn.xlookup(($C$2),'Liste WO'!$A:$A,'Liste WO'!$F:$F,FALSE())</f>
        <v>Select</v>
      </c>
    </row>
    <row r="7" customFormat="false" ht="14.25" hidden="false" customHeight="false" outlineLevel="0" collapsed="false">
      <c r="B7" s="215" t="s">
        <v>857</v>
      </c>
      <c r="C7" s="218" t="str">
        <f aca="false">_xlfn.xlookup(($C$2),'Liste WO'!$A:$A,'Liste WO'!$K:$K,FALSE())</f>
        <v>D11</v>
      </c>
    </row>
    <row r="8" customFormat="false" ht="14.25" hidden="false" customHeight="false" outlineLevel="0" collapsed="false">
      <c r="B8" s="215" t="s">
        <v>1370</v>
      </c>
      <c r="C8" s="218" t="str">
        <f aca="false">_xlfn.xlookup(($C$2),'Liste WO'!$A:$A,'Liste WO'!$N:$N,FALSE())</f>
        <v>TC DT - Hotmelt Adhesive</v>
      </c>
    </row>
    <row r="9" customFormat="false" ht="14.25" hidden="false" customHeight="false" outlineLevel="0" collapsed="false">
      <c r="B9" s="215" t="s">
        <v>861</v>
      </c>
      <c r="C9" s="218" t="n">
        <f aca="false">_xlfn.xlookup(($C$2),'Liste WO'!$A:$A,'Liste WO'!$O:$O,FALSE())</f>
        <v>0</v>
      </c>
    </row>
    <row r="10" customFormat="false" ht="14.25" hidden="false" customHeight="false" outlineLevel="0" collapsed="false">
      <c r="B10" s="215" t="s">
        <v>1371</v>
      </c>
      <c r="C10" s="218" t="n">
        <f aca="false">_xlfn.xlookup(($C$2),'Liste WO'!$A:$A,'Liste WO'!$P:$P,FALSE())</f>
        <v>0</v>
      </c>
    </row>
    <row r="11" customFormat="false" ht="14.25" hidden="false" customHeight="false" outlineLevel="0" collapsed="false">
      <c r="B11" s="215" t="s">
        <v>863</v>
      </c>
      <c r="C11" s="218" t="n">
        <f aca="false">_xlfn.xlookup(($C$2),'Liste WO'!$A:$A,'Liste WO'!$Q:$Q,FALSE())</f>
        <v>0</v>
      </c>
    </row>
    <row r="12" customFormat="false" ht="14.25" hidden="false" customHeight="false" outlineLevel="0" collapsed="false">
      <c r="B12" s="215" t="s">
        <v>1372</v>
      </c>
      <c r="C12" s="218" t="n">
        <f aca="false">_xlfn.xlookup(($C$2),'Liste WO'!$A:$A,'Liste WO'!$R:$R,FALSE())</f>
        <v>0</v>
      </c>
    </row>
    <row r="13" customFormat="false" ht="14.25" hidden="false" customHeight="false" outlineLevel="0" collapsed="false">
      <c r="B13" s="215" t="s">
        <v>864</v>
      </c>
      <c r="C13" s="218" t="n">
        <f aca="false">_xlfn.xlookup(($C$2),'Liste WO'!$A:$A,'Liste WO'!$S:$S,FALSE())</f>
        <v>0</v>
      </c>
    </row>
    <row r="14" customFormat="false" ht="14.25" hidden="false" customHeight="false" outlineLevel="0" collapsed="false">
      <c r="B14" s="215" t="s">
        <v>1373</v>
      </c>
      <c r="C14" s="218" t="n">
        <f aca="false">_xlfn.xlookup(($C$2),'Liste WO'!$A:$A,'Liste WO'!$T:$T,FALSE())</f>
        <v>0</v>
      </c>
    </row>
    <row r="15" customFormat="false" ht="14.25" hidden="false" customHeight="false" outlineLevel="0" collapsed="false">
      <c r="B15" s="215" t="s">
        <v>865</v>
      </c>
      <c r="C15" s="218" t="n">
        <f aca="false">_xlfn.xlookup(($C$2),'Liste WO'!$A:$A,'Liste WO'!$U:$U,FALSE())</f>
        <v>0</v>
      </c>
    </row>
    <row r="16" customFormat="false" ht="14.25" hidden="false" customHeight="false" outlineLevel="0" collapsed="false">
      <c r="B16" s="215" t="s">
        <v>1374</v>
      </c>
      <c r="C16" s="218" t="n">
        <f aca="false">_xlfn.xlookup(($C$2),'Liste WO'!$A:$A,'Liste WO'!$V:$V,FALSE())</f>
        <v>0</v>
      </c>
    </row>
    <row r="17" customFormat="false" ht="14.25" hidden="false" customHeight="false" outlineLevel="0" collapsed="false">
      <c r="B17" s="215" t="s">
        <v>866</v>
      </c>
      <c r="C17" s="218" t="n">
        <f aca="false">_xlfn.xlookup(($C$2),'Liste WO'!$A:$A,'Liste WO'!$W:$W,FALSE())</f>
        <v>0</v>
      </c>
    </row>
    <row r="18" customFormat="false" ht="14.25" hidden="false" customHeight="false" outlineLevel="0" collapsed="false">
      <c r="B18" s="215" t="s">
        <v>1375</v>
      </c>
      <c r="C18" s="218" t="n">
        <f aca="false">_xlfn.xlookup(($C$2),'Liste WO'!$A:$A,'Liste WO'!$X:$X,FALSE())</f>
        <v>0</v>
      </c>
    </row>
    <row r="19" customFormat="false" ht="14.25" hidden="false" customHeight="false" outlineLevel="0" collapsed="false">
      <c r="B19" s="215" t="s">
        <v>1376</v>
      </c>
      <c r="C19" s="218" t="n">
        <f aca="false">_xlfn.xlookup(($C$2),'Liste WO'!$A:$A,'Liste WO'!$Y:$Y,FALSE())</f>
        <v>0</v>
      </c>
    </row>
    <row r="20" customFormat="false" ht="14.25" hidden="false" customHeight="false" outlineLevel="0" collapsed="false">
      <c r="B20" s="215" t="s">
        <v>868</v>
      </c>
      <c r="C20" s="218" t="n">
        <f aca="false">_xlfn.xlookup(($C$2),'Liste WO'!$A:$A,'Liste WO'!$Z:$Z,FALSE())</f>
        <v>0</v>
      </c>
    </row>
    <row r="21" customFormat="false" ht="14.25" hidden="false" customHeight="false" outlineLevel="0" collapsed="false">
      <c r="B21" s="215" t="s">
        <v>1377</v>
      </c>
      <c r="C21" s="218" t="n">
        <f aca="false">_xlfn.xlookup(($C$2),'Liste WO'!$A:$A,'Liste WO'!$AA:$AA,FALSE())</f>
        <v>0</v>
      </c>
    </row>
    <row r="22" customFormat="false" ht="14.25" hidden="false" customHeight="false" outlineLevel="0" collapsed="false">
      <c r="B22" s="215" t="s">
        <v>870</v>
      </c>
      <c r="C22" s="218" t="n">
        <f aca="false">_xlfn.xlookup(($C$2),'Liste WO'!$A:$A,'Liste WO'!$AB:$AB,FALSE())</f>
        <v>0</v>
      </c>
    </row>
    <row r="23" customFormat="false" ht="14.25" hidden="false" customHeight="false" outlineLevel="0" collapsed="false">
      <c r="B23" s="215" t="s">
        <v>871</v>
      </c>
      <c r="C23" s="218" t="n">
        <f aca="false">_xlfn.xlookup(($C$2),'Liste WO'!$A:$A,'Liste WO'!$AC:$AC,FALSE())</f>
        <v>0</v>
      </c>
    </row>
    <row r="24" customFormat="false" ht="14.25" hidden="false" customHeight="false" outlineLevel="0" collapsed="false">
      <c r="B24" s="215" t="s">
        <v>872</v>
      </c>
      <c r="C24" s="218" t="n">
        <f aca="false">_xlfn.xlookup(($C$2),'Liste WO'!$A:$A,'Liste WO'!$AD:$AD,FALSE())</f>
        <v>0</v>
      </c>
    </row>
    <row r="25" customFormat="false" ht="14.25" hidden="false" customHeight="false" outlineLevel="0" collapsed="false">
      <c r="B25" s="215" t="s">
        <v>873</v>
      </c>
      <c r="C25" s="218" t="n">
        <f aca="false">_xlfn.xlookup(($C$2),'Liste WO'!$A:$A,'Liste WO'!$AE:$AE,FALSE())</f>
        <v>0</v>
      </c>
    </row>
    <row r="26" customFormat="false" ht="14.25" hidden="false" customHeight="false" outlineLevel="0" collapsed="false">
      <c r="B26" s="215" t="s">
        <v>874</v>
      </c>
      <c r="C26" s="218" t="n">
        <f aca="false">_xlfn.xlookup(($C$2),'Liste WO'!$A:$A,'Liste WO'!$AF:$AF,FALSE())</f>
        <v>0</v>
      </c>
    </row>
    <row r="27" customFormat="false" ht="14.25" hidden="false" customHeight="false" outlineLevel="0" collapsed="false">
      <c r="B27" s="215" t="s">
        <v>875</v>
      </c>
      <c r="C27" s="218" t="n">
        <f aca="false">_xlfn.xlookup(($C$2),'Liste WO'!$A:$A,'Liste WO'!$AG:$AG,FALSE())</f>
        <v>0</v>
      </c>
    </row>
    <row r="28" customFormat="false" ht="14.25" hidden="false" customHeight="false" outlineLevel="0" collapsed="false">
      <c r="B28" s="215" t="s">
        <v>876</v>
      </c>
      <c r="C28" s="218" t="n">
        <f aca="false">_xlfn.xlookup(($C$2),'Liste WO'!$A:$A,'Liste WO'!$AH:$AH,FALSE())</f>
        <v>0</v>
      </c>
    </row>
    <row r="29" customFormat="false" ht="14.25" hidden="false" customHeight="false" outlineLevel="0" collapsed="false">
      <c r="B29" s="215" t="s">
        <v>1378</v>
      </c>
      <c r="C29" s="218" t="str">
        <f aca="false">_xlfn.xlookup(($C$2),'Liste WO'!$A:$A,'Liste WO'!$AI:$AI,FALSE())</f>
        <v>po</v>
      </c>
    </row>
    <row r="30" customFormat="false" ht="14.25" hidden="false" customHeight="false" outlineLevel="0" collapsed="false">
      <c r="B30" s="215" t="s">
        <v>536</v>
      </c>
      <c r="C30" s="218" t="n">
        <f aca="false">_xlfn.xlookup(($C$2),'Liste WO'!$A:$A,'Liste WO'!$AJ:$AJ,FALSE())</f>
        <v>0</v>
      </c>
    </row>
    <row r="31" customFormat="false" ht="14.25" hidden="false" customHeight="false" outlineLevel="0" collapsed="false">
      <c r="B31" s="215" t="s">
        <v>1379</v>
      </c>
      <c r="C31" s="218" t="str">
        <f aca="false">_xlfn.xlookup(($C$2),'Liste WO'!$A:$A,'Liste WO'!$AK:$AK,FALSE())</f>
        <v>pi</v>
      </c>
    </row>
    <row r="32" customFormat="false" ht="14.25" hidden="false" customHeight="false" outlineLevel="0" collapsed="false">
      <c r="B32" s="215" t="s">
        <v>880</v>
      </c>
      <c r="C32" s="218" t="n">
        <f aca="false">_xlfn.xlookup(($C$2),'Liste WO'!$A:$A,'Liste WO'!$AL:$AL,FALSE())</f>
        <v>0</v>
      </c>
    </row>
    <row r="33" customFormat="false" ht="14.25" hidden="false" customHeight="false" outlineLevel="0" collapsed="false">
      <c r="B33" s="215" t="s">
        <v>1380</v>
      </c>
      <c r="C33" s="218" t="n">
        <f aca="false">_xlfn.xlookup(($C$2),'Liste WO'!$A:$A,'Liste WO'!$AM:$AM,FALSE())</f>
        <v>15</v>
      </c>
    </row>
    <row r="34" customFormat="false" ht="14.25" hidden="false" customHeight="false" outlineLevel="0" collapsed="false">
      <c r="B34" s="215" t="s">
        <v>1381</v>
      </c>
      <c r="C34" s="218" t="e">
        <f aca="false">_xlfn.xlookup(($C$2),'Liste WO'!$A:$A,'Liste WO'!$AO:$AO,FALSE())</f>
        <v>#NAME?</v>
      </c>
    </row>
    <row r="35" customFormat="false" ht="14.25" hidden="false" customHeight="false" outlineLevel="0" collapsed="false">
      <c r="B35" s="215" t="s">
        <v>466</v>
      </c>
      <c r="C35" s="218" t="n">
        <f aca="false">_xlfn.xlookup(($C$2),'Liste WO'!$A:$A,'Liste WO'!$J:$J,FALSE())</f>
        <v>30025</v>
      </c>
    </row>
    <row r="36" customFormat="false" ht="14.25" hidden="false" customHeight="false" outlineLevel="0" collapsed="false">
      <c r="B36" s="215" t="s">
        <v>1382</v>
      </c>
      <c r="C36" s="218" t="str">
        <f aca="false">_xlfn.xlookup(($C$2),'Liste WO'!$A:$A,'Liste WO'!$L:$L,FALSE())</f>
        <v>D11-1</v>
      </c>
    </row>
    <row r="37" customFormat="false" ht="14.25" hidden="false" customHeight="false" outlineLevel="0" collapsed="false">
      <c r="B37" s="219" t="s">
        <v>884</v>
      </c>
      <c r="C37" s="218" t="n">
        <f aca="false">_xlfn.xlookup(($C$2),'Liste WO'!$A:$A,'Liste WO'!$AP:$AP,FALSE())</f>
        <v>0</v>
      </c>
    </row>
    <row r="38" customFormat="false" ht="46.25" hidden="false" customHeight="false" outlineLevel="0" collapsed="false">
      <c r="B38" s="215" t="s">
        <v>1383</v>
      </c>
      <c r="C38" s="218" t="str">
        <f aca="false">_xlfn.xlookup(($C$2),'Liste WO'!$A:$A,'Liste WO'!$AQ:$AQ,FALSE())</f>
        <v>** VOIR PLAN *** LIVRER BOBINES DEBOUT
Utiliser : LE-2024194-01 + LE-2024194-07 + LE-2024178-03 + LE-2024167-48 + LE-2024223-02 
(2024223-02 est près du dérouleur de la machine Alpha)</v>
      </c>
    </row>
    <row r="39" customFormat="false" ht="14.25" hidden="false" customHeight="false" outlineLevel="0" collapsed="false">
      <c r="B39" s="215" t="s">
        <v>1384</v>
      </c>
      <c r="C39" s="218" t="n">
        <f aca="false">_xlfn.xlookup(($C$2),'Liste WO'!$A:$A,'Liste WO'!$D:$D,FALSE())</f>
        <v>314</v>
      </c>
    </row>
    <row r="40" customFormat="false" ht="14.25" hidden="false" customHeight="false" outlineLevel="0" collapsed="false">
      <c r="B40" s="215" t="s">
        <v>529</v>
      </c>
      <c r="C40" s="218" t="str">
        <f aca="false">_xlfn.xlookup(C6,Clients!C:C,Clients!D:D)</f>
        <v>F</v>
      </c>
    </row>
    <row r="41" customFormat="false" ht="14.25" hidden="false" customHeight="false" outlineLevel="0" collapsed="false">
      <c r="B41" s="215" t="s">
        <v>1385</v>
      </c>
      <c r="C41" s="218" t="n">
        <f aca="false">_xlfn.xlookup(($C$2),'Liste WO'!$A:$A,'Liste WO'!$I:$I,FALSE())</f>
        <v>40250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N1262"/>
  <sheetViews>
    <sheetView showFormulas="false" showGridLines="true" showRowColHeaders="true" showZeros="true" rightToLeft="false" tabSelected="false" showOutlineSymbols="true" defaultGridColor="true" view="normal" topLeftCell="A1" colorId="64" zoomScale="76" zoomScaleNormal="76" zoomScalePageLayoutView="100" workbookViewId="0">
      <pane xSplit="5" ySplit="2" topLeftCell="F168" activePane="bottomRight" state="frozen"/>
      <selection pane="topLeft" activeCell="A1" activeCellId="0" sqref="A1"/>
      <selection pane="topRight" activeCell="F1" activeCellId="0" sqref="F1"/>
      <selection pane="bottomLeft" activeCell="A168" activeCellId="0" sqref="A168"/>
      <selection pane="bottomRight" activeCell="L213" activeCellId="0" sqref="L21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15.53"/>
    <col collapsed="false" customWidth="true" hidden="false" outlineLevel="0" max="2" min="2" style="1" width="8.38"/>
    <col collapsed="false" customWidth="true" hidden="false" outlineLevel="0" max="3" min="3" style="199" width="13.84"/>
    <col collapsed="false" customWidth="true" hidden="false" outlineLevel="0" max="4" min="4" style="9" width="12"/>
    <col collapsed="false" customWidth="true" hidden="false" outlineLevel="0" max="5" min="5" style="1" width="21"/>
    <col collapsed="false" customWidth="true" hidden="false" outlineLevel="0" max="7" min="6" style="1" width="16"/>
    <col collapsed="false" customWidth="true" hidden="false" outlineLevel="0" max="8" min="8" style="9" width="9.69"/>
    <col collapsed="false" customWidth="true" hidden="false" outlineLevel="0" max="9" min="9" style="9" width="10.15"/>
    <col collapsed="false" customWidth="true" hidden="false" outlineLevel="0" max="10" min="10" style="42" width="8"/>
    <col collapsed="false" customWidth="true" hidden="false" outlineLevel="0" max="11" min="11" style="73" width="10"/>
    <col collapsed="false" customWidth="true" hidden="false" outlineLevel="0" max="12" min="12" style="73" width="9.3"/>
    <col collapsed="false" customWidth="true" hidden="false" outlineLevel="0" max="13" min="13" style="73" width="10.15"/>
    <col collapsed="false" customWidth="true" hidden="false" outlineLevel="0" max="15" min="14" style="73" width="8.84"/>
    <col collapsed="false" customWidth="true" hidden="false" outlineLevel="0" max="16" min="16" style="220" width="6.3"/>
    <col collapsed="false" customWidth="true" hidden="false" outlineLevel="0" max="17" min="17" style="1" width="7.69"/>
    <col collapsed="false" customWidth="true" hidden="false" outlineLevel="0" max="18" min="18" style="221" width="14.3"/>
    <col collapsed="false" customWidth="true" hidden="false" outlineLevel="0" max="19" min="19" style="221" width="9.69"/>
    <col collapsed="false" customWidth="true" hidden="false" outlineLevel="0" max="20" min="20" style="222" width="10.53"/>
    <col collapsed="false" customWidth="true" hidden="false" outlineLevel="0" max="21" min="21" style="221" width="15"/>
    <col collapsed="false" customWidth="true" hidden="false" outlineLevel="0" max="22" min="22" style="221" width="12.38"/>
    <col collapsed="false" customWidth="true" hidden="false" outlineLevel="0" max="23" min="23" style="221" width="10.84"/>
    <col collapsed="false" customWidth="true" hidden="false" outlineLevel="0" max="24" min="24" style="221" width="12.38"/>
    <col collapsed="false" customWidth="true" hidden="false" outlineLevel="0" max="25" min="25" style="221" width="14.53"/>
    <col collapsed="false" customWidth="true" hidden="false" outlineLevel="0" max="26" min="26" style="221" width="12.38"/>
    <col collapsed="false" customWidth="true" hidden="false" outlineLevel="0" max="27" min="27" style="221" width="14.38"/>
    <col collapsed="false" customWidth="true" hidden="false" outlineLevel="0" max="28" min="28" style="221" width="9.53"/>
    <col collapsed="false" customWidth="true" hidden="false" outlineLevel="0" max="29" min="29" style="221" width="7.84"/>
    <col collapsed="false" customWidth="true" hidden="false" outlineLevel="0" max="30" min="30" style="221" width="15"/>
    <col collapsed="false" customWidth="true" hidden="false" outlineLevel="0" max="31" min="31" style="221" width="14.69"/>
    <col collapsed="false" customWidth="true" hidden="false" outlineLevel="0" max="32" min="32" style="9" width="9.15"/>
    <col collapsed="false" customWidth="true" hidden="false" outlineLevel="0" max="33" min="33" style="9" width="13.38"/>
    <col collapsed="false" customWidth="true" hidden="false" outlineLevel="0" max="34" min="34" style="9" width="9.15"/>
    <col collapsed="false" customWidth="true" hidden="false" outlineLevel="0" max="35" min="35" style="9" width="10.53"/>
    <col collapsed="false" customWidth="true" hidden="true" outlineLevel="0" max="37" min="37" style="1" width="13"/>
    <col collapsed="false" customWidth="true" hidden="true" outlineLevel="0" max="38" min="38" style="1" width="20.69"/>
    <col collapsed="false" customWidth="true" hidden="true" outlineLevel="0" max="40" min="39" style="1" width="7.53"/>
    <col collapsed="false" customWidth="true" hidden="true" outlineLevel="0" max="41" min="41" style="223" width="11.38"/>
    <col collapsed="false" customWidth="true" hidden="true" outlineLevel="0" max="42" min="42" style="223" width="10.3"/>
    <col collapsed="false" customWidth="true" hidden="true" outlineLevel="0" max="43" min="43" style="223" width="9.3"/>
    <col collapsed="false" customWidth="true" hidden="false" outlineLevel="0" max="44" min="44" style="1" width="6.3"/>
    <col collapsed="false" customWidth="true" hidden="false" outlineLevel="0" max="45" min="45" style="1" width="21.38"/>
    <col collapsed="false" customWidth="true" hidden="false" outlineLevel="0" max="46" min="46" style="73" width="11.53"/>
    <col collapsed="false" customWidth="true" hidden="false" outlineLevel="0" max="47" min="47" style="223" width="12.53"/>
    <col collapsed="false" customWidth="true" hidden="false" outlineLevel="0" max="48" min="48" style="223" width="11"/>
    <col collapsed="false" customWidth="true" hidden="false" outlineLevel="0" max="49" min="49" style="223" width="11.38"/>
    <col collapsed="false" customWidth="true" hidden="false" outlineLevel="0" max="50" min="50" style="73" width="7.69"/>
    <col collapsed="false" customWidth="true" hidden="false" outlineLevel="0" max="52" min="51" style="73" width="8"/>
    <col collapsed="false" customWidth="true" hidden="true" outlineLevel="0" max="53" min="53" style="1" width="13"/>
    <col collapsed="false" customWidth="true" hidden="true" outlineLevel="0" max="54" min="54" style="1" width="20.69"/>
    <col collapsed="false" customWidth="true" hidden="true" outlineLevel="0" max="55" min="55" style="1" width="7.53"/>
    <col collapsed="false" customWidth="true" hidden="true" outlineLevel="0" max="57" min="56" style="75" width="12.3"/>
    <col collapsed="false" customWidth="true" hidden="false" outlineLevel="0" max="58" min="58" style="1" width="7.69"/>
    <col collapsed="false" customWidth="true" hidden="false" outlineLevel="0" max="59" min="59" style="1" width="21.38"/>
    <col collapsed="false" customWidth="true" hidden="false" outlineLevel="0" max="60" min="60" style="73" width="9.15"/>
    <col collapsed="false" customWidth="true" hidden="false" outlineLevel="0" max="61" min="61" style="223" width="12.15"/>
    <col collapsed="false" customWidth="true" hidden="false" outlineLevel="0" max="64" min="64" style="1" width="13.84"/>
    <col collapsed="false" customWidth="true" hidden="false" outlineLevel="0" max="65" min="65" style="1" width="22.15"/>
  </cols>
  <sheetData>
    <row r="1" customFormat="false" ht="14.25" hidden="false" customHeight="false" outlineLevel="0" collapsed="false">
      <c r="AA1" s="221" t="n">
        <f aca="false">SUBTOTAL(9,AA3:AA117)</f>
        <v>285131.948539192</v>
      </c>
      <c r="AD1" s="221" t="n">
        <f aca="false">SUBTOTAL(9,AD3:AD117)</f>
        <v>300529.0807148</v>
      </c>
      <c r="AE1" s="221" t="n">
        <f aca="false">SUBTOTAL(9,AE3:AE117)</f>
        <v>15397.1321756077</v>
      </c>
      <c r="AG1" s="221" t="n">
        <f aca="false">SUBTOTAL(9,AG3:AG117)</f>
        <v>258647.106102796</v>
      </c>
      <c r="AK1" s="37" t="s">
        <v>1386</v>
      </c>
      <c r="AL1" s="37"/>
      <c r="AM1" s="37"/>
      <c r="AN1" s="37" t="s">
        <v>1387</v>
      </c>
      <c r="AO1" s="224"/>
      <c r="AP1" s="224"/>
      <c r="AQ1" s="224"/>
      <c r="AR1" s="37"/>
      <c r="AS1" s="37" t="s">
        <v>1388</v>
      </c>
      <c r="BA1" s="37" t="s">
        <v>1389</v>
      </c>
      <c r="BB1" s="37"/>
      <c r="BC1" s="37"/>
      <c r="BD1" s="225"/>
      <c r="BE1" s="225"/>
      <c r="BG1" s="37" t="s">
        <v>1390</v>
      </c>
      <c r="BL1" s="226" t="s">
        <v>1391</v>
      </c>
      <c r="BM1" s="227" t="s">
        <v>1392</v>
      </c>
    </row>
    <row r="2" customFormat="false" ht="76.1" hidden="false" customHeight="false" outlineLevel="0" collapsed="false">
      <c r="A2" s="228" t="s">
        <v>849</v>
      </c>
      <c r="B2" s="202" t="s">
        <v>850</v>
      </c>
      <c r="C2" s="229" t="s">
        <v>851</v>
      </c>
      <c r="D2" s="230" t="s">
        <v>852</v>
      </c>
      <c r="E2" s="228" t="s">
        <v>528</v>
      </c>
      <c r="F2" s="228" t="s">
        <v>1391</v>
      </c>
      <c r="G2" s="228" t="s">
        <v>1393</v>
      </c>
      <c r="H2" s="230" t="s">
        <v>855</v>
      </c>
      <c r="I2" s="230" t="s">
        <v>856</v>
      </c>
      <c r="J2" s="228" t="s">
        <v>858</v>
      </c>
      <c r="K2" s="230" t="s">
        <v>1394</v>
      </c>
      <c r="L2" s="230" t="s">
        <v>1395</v>
      </c>
      <c r="M2" s="230" t="s">
        <v>1396</v>
      </c>
      <c r="N2" s="230" t="s">
        <v>1397</v>
      </c>
      <c r="O2" s="230" t="s">
        <v>1398</v>
      </c>
      <c r="P2" s="230" t="s">
        <v>1399</v>
      </c>
      <c r="Q2" s="230" t="s">
        <v>1400</v>
      </c>
      <c r="R2" s="230" t="s">
        <v>1401</v>
      </c>
      <c r="S2" s="230" t="s">
        <v>1402</v>
      </c>
      <c r="T2" s="231" t="s">
        <v>1403</v>
      </c>
      <c r="U2" s="232" t="s">
        <v>1404</v>
      </c>
      <c r="V2" s="232" t="s">
        <v>1405</v>
      </c>
      <c r="W2" s="232" t="s">
        <v>1406</v>
      </c>
      <c r="X2" s="232" t="s">
        <v>1407</v>
      </c>
      <c r="Y2" s="232" t="s">
        <v>1408</v>
      </c>
      <c r="Z2" s="232" t="s">
        <v>1409</v>
      </c>
      <c r="AA2" s="232" t="s">
        <v>1410</v>
      </c>
      <c r="AB2" s="232" t="s">
        <v>1411</v>
      </c>
      <c r="AC2" s="232" t="s">
        <v>1412</v>
      </c>
      <c r="AD2" s="232" t="s">
        <v>1413</v>
      </c>
      <c r="AE2" s="232" t="s">
        <v>1414</v>
      </c>
      <c r="AF2" s="232" t="s">
        <v>1415</v>
      </c>
      <c r="AG2" s="232" t="s">
        <v>1416</v>
      </c>
      <c r="AH2" s="232" t="s">
        <v>1417</v>
      </c>
      <c r="AI2" s="232" t="s">
        <v>629</v>
      </c>
      <c r="AK2" s="233" t="s">
        <v>1418</v>
      </c>
      <c r="AL2" s="233" t="s">
        <v>528</v>
      </c>
      <c r="AM2" s="233" t="s">
        <v>1419</v>
      </c>
      <c r="AN2" s="233" t="s">
        <v>1420</v>
      </c>
      <c r="AO2" s="234" t="s">
        <v>1421</v>
      </c>
      <c r="AP2" s="234" t="s">
        <v>1422</v>
      </c>
      <c r="AQ2" s="234" t="s">
        <v>1423</v>
      </c>
      <c r="AS2" s="235"/>
      <c r="AT2" s="236" t="s">
        <v>1424</v>
      </c>
      <c r="AU2" s="237"/>
      <c r="AV2" s="237"/>
      <c r="AW2" s="238"/>
      <c r="AX2" s="1"/>
      <c r="AY2" s="1"/>
      <c r="AZ2" s="239"/>
      <c r="BA2" s="233" t="s">
        <v>1418</v>
      </c>
      <c r="BB2" s="233" t="s">
        <v>528</v>
      </c>
      <c r="BC2" s="233" t="s">
        <v>1419</v>
      </c>
      <c r="BD2" s="240" t="s">
        <v>1420</v>
      </c>
      <c r="BE2" s="240" t="s">
        <v>1425</v>
      </c>
      <c r="BG2" s="235"/>
      <c r="BH2" s="236" t="s">
        <v>1424</v>
      </c>
      <c r="BI2" s="238"/>
      <c r="BL2" s="0"/>
      <c r="BM2" s="0"/>
    </row>
    <row r="3" customFormat="false" ht="14.25" hidden="false" customHeight="false" outlineLevel="0" collapsed="false">
      <c r="A3" s="241" t="s">
        <v>888</v>
      </c>
      <c r="B3" s="241" t="str">
        <f aca="false">'Liste WO'!B2</f>
        <v>Fermé</v>
      </c>
      <c r="C3" s="242" t="n">
        <v>45392</v>
      </c>
      <c r="D3" s="219" t="n">
        <v>155</v>
      </c>
      <c r="E3" s="241" t="str">
        <f aca="false">_xlfn.xlookup(D3,'PO Client'!$A:$A,'PO Client'!$C:$C,FALSE())</f>
        <v>Bizerba Labels Solution</v>
      </c>
      <c r="F3" s="241" t="str">
        <f aca="false">_xlfn.xlookup(E3,Clients!B:B,Clients!C:C)</f>
        <v>BLS</v>
      </c>
      <c r="G3" s="241"/>
      <c r="H3" s="243" t="n">
        <v>40024</v>
      </c>
      <c r="I3" s="243" t="n">
        <v>30011</v>
      </c>
      <c r="J3" s="244" t="str">
        <f aca="false">_xlfn.xlookup(I3,'Prix MP'!A:A,'Prix MP'!F:F,FALSE())</f>
        <v>S21-1</v>
      </c>
      <c r="K3" s="245"/>
      <c r="L3" s="245"/>
      <c r="M3" s="245"/>
      <c r="N3" s="245"/>
      <c r="O3" s="245"/>
      <c r="P3" s="246"/>
      <c r="Q3" s="219"/>
      <c r="R3" s="247"/>
      <c r="S3" s="247"/>
      <c r="T3" s="248"/>
      <c r="U3" s="249"/>
      <c r="V3" s="249"/>
      <c r="W3" s="250"/>
      <c r="X3" s="249"/>
      <c r="Y3" s="249"/>
      <c r="Z3" s="249"/>
      <c r="AA3" s="249"/>
      <c r="AB3" s="249"/>
      <c r="AC3" s="249"/>
      <c r="AD3" s="249" t="n">
        <v>0</v>
      </c>
      <c r="AE3" s="249" t="n">
        <f aca="false">AD3-AA3</f>
        <v>0</v>
      </c>
      <c r="AF3" s="251"/>
      <c r="AG3" s="252"/>
      <c r="AH3" s="251"/>
      <c r="AI3" s="251" t="str">
        <f aca="false">IF(AD3=0,"S","")</f>
        <v>S</v>
      </c>
      <c r="AK3" s="15" t="e">
        <f aca="false" t="array" ref="AK3:AK9853">_xlfn._xlws.filter(A3:A9998,AI3:AI9998&lt;&gt;"S")</f>
        <v>#NAME?</v>
      </c>
      <c r="AL3" s="15" t="e">
        <f aca="false">_xlfn.xlookup(AK3,A:A,F:F)</f>
        <v>#NAME?</v>
      </c>
      <c r="AM3" s="15" t="e">
        <f aca="false">_xlfn.xlookup(AK3,A:A,J:J)</f>
        <v>#NAME?</v>
      </c>
      <c r="AN3" s="15" t="e">
        <f aca="false">_xlfn.xlookup(AK3,A:A,M:M)+_xlfn.xlookup(AK3,A:A,N:N)</f>
        <v>#NAME?</v>
      </c>
      <c r="AO3" s="223" t="e">
        <f aca="false">_xlfn.xlookup(AK3,A:A,AG:AG)</f>
        <v>#NAME?</v>
      </c>
      <c r="AP3" s="223" t="e">
        <f aca="false">_xlfn.xlookup(AK3,A:A,AD:AD)</f>
        <v>#NAME?</v>
      </c>
      <c r="AQ3" s="223" t="e">
        <f aca="false">_xlfn.xlookup(AK3,A:A,AE:AE)</f>
        <v>#NAME?</v>
      </c>
      <c r="AS3" s="253" t="s">
        <v>1426</v>
      </c>
      <c r="AT3" s="254" t="s">
        <v>1427</v>
      </c>
      <c r="AU3" s="255" t="s">
        <v>1428</v>
      </c>
      <c r="AV3" s="255" t="s">
        <v>1429</v>
      </c>
      <c r="AW3" s="256" t="s">
        <v>1430</v>
      </c>
      <c r="AX3" s="1"/>
      <c r="AY3" s="1"/>
      <c r="AZ3" s="36"/>
      <c r="BA3" s="257" t="e">
        <f aca="false" t="array" ref="BA3:BA147">_xlfn._xlws.filter($A$3:$A$2000,$AI$3:$AI$2000="S","")</f>
        <v>#NAME?</v>
      </c>
      <c r="BB3" s="257" t="e">
        <f aca="false">_xlfn.xlookup(BA3,A:A,F:F)</f>
        <v>#NAME?</v>
      </c>
      <c r="BC3" s="257" t="e">
        <f aca="false">_xlfn.xlookup(BA3,A:A,J:J)</f>
        <v>#NAME?</v>
      </c>
      <c r="BD3" s="75" t="e">
        <f aca="false">_xlfn.xlookup(BA3,A:A,M:M)+_xlfn.xlookup(BA3,A:A,N:N)</f>
        <v>#NAME?</v>
      </c>
      <c r="BE3" s="75" t="e">
        <f aca="false">_xlfn.xlookup(BA3,$A$3:$A$990,$AA$3:$AA$990)</f>
        <v>#NAME?</v>
      </c>
      <c r="BF3" s="257"/>
      <c r="BG3" s="253" t="s">
        <v>1426</v>
      </c>
      <c r="BH3" s="254" t="s">
        <v>1431</v>
      </c>
      <c r="BI3" s="256" t="s">
        <v>1432</v>
      </c>
      <c r="BL3" s="258" t="s">
        <v>858</v>
      </c>
      <c r="BM3" s="259" t="s">
        <v>1433</v>
      </c>
    </row>
    <row r="4" customFormat="false" ht="14.25" hidden="false" customHeight="false" outlineLevel="0" collapsed="false">
      <c r="A4" s="241" t="s">
        <v>892</v>
      </c>
      <c r="B4" s="241"/>
      <c r="C4" s="242" t="n">
        <v>45392</v>
      </c>
      <c r="D4" s="219" t="n">
        <v>155</v>
      </c>
      <c r="E4" s="241" t="str">
        <f aca="false">_xlfn.xlookup(D4,'PO Client'!$A:$A,'PO Client'!$C:$C,FALSE())</f>
        <v>Bizerba Labels Solution</v>
      </c>
      <c r="F4" s="241" t="str">
        <f aca="false">_xlfn.xlookup(E4,Clients!B:B,Clients!C:C)</f>
        <v>BLS</v>
      </c>
      <c r="G4" s="241"/>
      <c r="H4" s="243" t="n">
        <v>40025</v>
      </c>
      <c r="I4" s="243" t="n">
        <v>30011</v>
      </c>
      <c r="J4" s="244" t="str">
        <f aca="false">_xlfn.xlookup(I4,'Prix MP'!A:A,'Prix MP'!F:F,FALSE())</f>
        <v>S21-1</v>
      </c>
      <c r="K4" s="245"/>
      <c r="L4" s="245"/>
      <c r="M4" s="245"/>
      <c r="N4" s="245"/>
      <c r="O4" s="245"/>
      <c r="P4" s="246"/>
      <c r="Q4" s="219"/>
      <c r="R4" s="247"/>
      <c r="S4" s="247"/>
      <c r="T4" s="248"/>
      <c r="U4" s="249"/>
      <c r="V4" s="249"/>
      <c r="W4" s="250"/>
      <c r="X4" s="249"/>
      <c r="Y4" s="249"/>
      <c r="Z4" s="249"/>
      <c r="AA4" s="249"/>
      <c r="AB4" s="249"/>
      <c r="AC4" s="249"/>
      <c r="AD4" s="249" t="n">
        <v>0</v>
      </c>
      <c r="AE4" s="249" t="n">
        <f aca="false">AD4-AA4</f>
        <v>0</v>
      </c>
      <c r="AF4" s="251"/>
      <c r="AG4" s="252"/>
      <c r="AH4" s="251"/>
      <c r="AI4" s="251" t="str">
        <f aca="false">IF(AD4=0,"S","")</f>
        <v>S</v>
      </c>
      <c r="AK4" s="15" t="e">
        <v>#NAME?</v>
      </c>
      <c r="AL4" s="15" t="e">
        <f aca="false">_xlfn.xlookup(AK4,A:A,F:F)</f>
        <v>#NAME?</v>
      </c>
      <c r="AM4" s="15" t="e">
        <f aca="false">_xlfn.xlookup(AK4,A:A,J:J)</f>
        <v>#NAME?</v>
      </c>
      <c r="AN4" s="15" t="e">
        <f aca="false">_xlfn.xlookup(AK4,A:A,M:M)+_xlfn.xlookup(AK4,A:A,N:N)</f>
        <v>#NAME?</v>
      </c>
      <c r="AO4" s="223" t="e">
        <f aca="false">_xlfn.xlookup(AK4,A:A,AG:AG)</f>
        <v>#NAME?</v>
      </c>
      <c r="AP4" s="223" t="e">
        <f aca="false">_xlfn.xlookup(AK4,A:A,AD:AD)</f>
        <v>#NAME?</v>
      </c>
      <c r="AQ4" s="223" t="e">
        <f aca="false">_xlfn.xlookup(AK4,A:A,AE:AE)</f>
        <v>#NAME?</v>
      </c>
      <c r="AS4" s="260" t="s">
        <v>1434</v>
      </c>
      <c r="AT4" s="261" t="e">
        <f aca="false">#VALUE!</f>
        <v>#VALUE!</v>
      </c>
      <c r="AU4" s="262" t="e">
        <f aca="false">#VALUE!</f>
        <v>#VALUE!</v>
      </c>
      <c r="AV4" s="262" t="e">
        <f aca="false">#VALUE!</f>
        <v>#VALUE!</v>
      </c>
      <c r="AW4" s="263" t="e">
        <f aca="false">#VALUE!</f>
        <v>#VALUE!</v>
      </c>
      <c r="AX4" s="1"/>
      <c r="AY4" s="1"/>
      <c r="AZ4" s="36"/>
      <c r="BA4" s="257" t="e">
        <v>#NAME?</v>
      </c>
      <c r="BB4" s="257" t="e">
        <f aca="false">_xlfn.xlookup(BA4,A:A,F:F)</f>
        <v>#NAME?</v>
      </c>
      <c r="BC4" s="257" t="e">
        <f aca="false">_xlfn.xlookup(BA4,A:A,J:J)</f>
        <v>#NAME?</v>
      </c>
      <c r="BD4" s="75" t="e">
        <f aca="false">_xlfn.xlookup(BA4,A:A,M:M)+_xlfn.xlookup(BA4,A:A,N:N)</f>
        <v>#NAME?</v>
      </c>
      <c r="BE4" s="75" t="e">
        <f aca="false">_xlfn.xlookup(BA4,$A$3:$A$990,$AA$3:$AA$990)</f>
        <v>#NAME?</v>
      </c>
      <c r="BF4" s="257"/>
      <c r="BG4" s="260" t="s">
        <v>1434</v>
      </c>
      <c r="BH4" s="261" t="e">
        <f aca="false">#VALUE!</f>
        <v>#VALUE!</v>
      </c>
      <c r="BI4" s="263" t="e">
        <f aca="false">#VALUE!</f>
        <v>#VALUE!</v>
      </c>
      <c r="BL4" s="264" t="n">
        <v>0</v>
      </c>
      <c r="BM4" s="265"/>
    </row>
    <row r="5" customFormat="false" ht="14.25" hidden="false" customHeight="false" outlineLevel="0" collapsed="false">
      <c r="A5" s="241" t="s">
        <v>893</v>
      </c>
      <c r="B5" s="241"/>
      <c r="C5" s="242" t="n">
        <v>45406</v>
      </c>
      <c r="D5" s="219" t="n">
        <v>158</v>
      </c>
      <c r="E5" s="241" t="str">
        <f aca="false">_xlfn.xlookup(D5,'PO Client'!$A:$A,'PO Client'!$C:$C,FALSE())</f>
        <v>LABELINK</v>
      </c>
      <c r="F5" s="241" t="str">
        <f aca="false">_xlfn.xlookup(E5,Clients!B:B,Clients!C:C)</f>
        <v>Labelink</v>
      </c>
      <c r="G5" s="241"/>
      <c r="H5" s="243" t="n">
        <v>40031</v>
      </c>
      <c r="I5" s="243" t="n">
        <v>30011</v>
      </c>
      <c r="J5" s="244" t="str">
        <f aca="false">_xlfn.xlookup(I5,'Prix MP'!A:A,'Prix MP'!F:F,FALSE())</f>
        <v>S21-1</v>
      </c>
      <c r="K5" s="245"/>
      <c r="L5" s="245"/>
      <c r="M5" s="245"/>
      <c r="N5" s="245"/>
      <c r="O5" s="245"/>
      <c r="P5" s="246"/>
      <c r="Q5" s="219"/>
      <c r="R5" s="247"/>
      <c r="S5" s="247"/>
      <c r="T5" s="248"/>
      <c r="U5" s="249"/>
      <c r="V5" s="249"/>
      <c r="W5" s="250"/>
      <c r="X5" s="249"/>
      <c r="Y5" s="249"/>
      <c r="Z5" s="249"/>
      <c r="AA5" s="249"/>
      <c r="AB5" s="249"/>
      <c r="AC5" s="249"/>
      <c r="AD5" s="249" t="n">
        <v>0</v>
      </c>
      <c r="AE5" s="249" t="n">
        <f aca="false">AD5-AA5</f>
        <v>0</v>
      </c>
      <c r="AF5" s="251"/>
      <c r="AG5" s="252"/>
      <c r="AH5" s="251"/>
      <c r="AI5" s="251" t="str">
        <f aca="false">IF(AD5=0,"S","")</f>
        <v>S</v>
      </c>
      <c r="AK5" s="15" t="e">
        <v>#NAME?</v>
      </c>
      <c r="AL5" s="15" t="e">
        <f aca="false">_xlfn.xlookup(AK5,A:A,F:F)</f>
        <v>#NAME?</v>
      </c>
      <c r="AM5" s="15" t="e">
        <f aca="false">_xlfn.xlookup(AK5,A:A,J:J)</f>
        <v>#NAME?</v>
      </c>
      <c r="AN5" s="15" t="e">
        <f aca="false">_xlfn.xlookup(AK5,A:A,M:M)+_xlfn.xlookup(AK5,A:A,N:N)</f>
        <v>#NAME?</v>
      </c>
      <c r="AO5" s="223" t="e">
        <f aca="false">_xlfn.xlookup(AK5,A:A,AG:AG)</f>
        <v>#NAME?</v>
      </c>
      <c r="AP5" s="223" t="e">
        <f aca="false">_xlfn.xlookup(AK5,A:A,AD:AD)</f>
        <v>#NAME?</v>
      </c>
      <c r="AQ5" s="223" t="e">
        <f aca="false">_xlfn.xlookup(AK5,A:A,AE:AE)</f>
        <v>#NAME?</v>
      </c>
      <c r="AS5" s="266" t="s">
        <v>1434</v>
      </c>
      <c r="AT5" s="267" t="e">
        <f aca="false">#VALUE!</f>
        <v>#VALUE!</v>
      </c>
      <c r="AU5" s="268" t="e">
        <f aca="false">#VALUE!</f>
        <v>#VALUE!</v>
      </c>
      <c r="AV5" s="268" t="e">
        <f aca="false">#VALUE!</f>
        <v>#VALUE!</v>
      </c>
      <c r="AW5" s="269" t="e">
        <f aca="false">#VALUE!</f>
        <v>#VALUE!</v>
      </c>
      <c r="AX5" s="1"/>
      <c r="AY5" s="1"/>
      <c r="AZ5" s="36"/>
      <c r="BA5" s="257" t="e">
        <v>#NAME?</v>
      </c>
      <c r="BB5" s="257" t="e">
        <f aca="false">_xlfn.xlookup(BA5,A:A,F:F)</f>
        <v>#NAME?</v>
      </c>
      <c r="BC5" s="257" t="e">
        <f aca="false">_xlfn.xlookup(BA5,A:A,J:J)</f>
        <v>#NAME?</v>
      </c>
      <c r="BD5" s="75" t="e">
        <f aca="false">_xlfn.xlookup(BA5,A:A,M:M)+_xlfn.xlookup(BA5,A:A,N:N)</f>
        <v>#NAME?</v>
      </c>
      <c r="BE5" s="75" t="e">
        <f aca="false">_xlfn.xlookup(BA5,$A$3:$A$990,$AA$3:$AA$990)</f>
        <v>#NAME?</v>
      </c>
      <c r="BF5" s="257"/>
      <c r="BG5" s="266" t="s">
        <v>1434</v>
      </c>
      <c r="BH5" s="267" t="e">
        <f aca="false">#VALUE!</f>
        <v>#VALUE!</v>
      </c>
      <c r="BI5" s="269" t="e">
        <f aca="false">#VALUE!</f>
        <v>#VALUE!</v>
      </c>
      <c r="BL5" s="270" t="s">
        <v>1435</v>
      </c>
      <c r="BM5" s="271"/>
    </row>
    <row r="6" customFormat="false" ht="16.4" hidden="false" customHeight="false" outlineLevel="0" collapsed="false">
      <c r="A6" s="241" t="s">
        <v>894</v>
      </c>
      <c r="B6" s="241"/>
      <c r="C6" s="242" t="n">
        <v>45406</v>
      </c>
      <c r="D6" s="219" t="n">
        <v>157</v>
      </c>
      <c r="E6" s="241" t="str">
        <f aca="false">_xlfn.xlookup(D6,'PO Client'!$A:$A,'PO Client'!$C:$C,FALSE())</f>
        <v>Digi America Inc.</v>
      </c>
      <c r="F6" s="241" t="str">
        <f aca="false">_xlfn.xlookup(E6,Clients!B:B,Clients!C:C)</f>
        <v>Digi</v>
      </c>
      <c r="G6" s="241"/>
      <c r="H6" s="243" t="n">
        <v>40032</v>
      </c>
      <c r="I6" s="243" t="n">
        <v>30013</v>
      </c>
      <c r="J6" s="244" t="str">
        <f aca="false">_xlfn.xlookup(I6,'Prix MP'!A:A,'Prix MP'!F:F,FALSE())</f>
        <v>D11-1</v>
      </c>
      <c r="K6" s="245" t="n">
        <f aca="false">8*59.53*12*9.843</f>
        <v>56251.56384</v>
      </c>
      <c r="L6" s="245" t="n">
        <v>13482</v>
      </c>
      <c r="M6" s="245" t="n">
        <f aca="false">10*12*(5*5*8+4.3*5+4.78*5+4.7*5*2+4.8*5+4.75*10)-10*12*5*3</f>
        <v>41868</v>
      </c>
      <c r="N6" s="245" t="n">
        <v>0</v>
      </c>
      <c r="O6" s="245"/>
      <c r="P6" s="246"/>
      <c r="Q6" s="219" t="n">
        <v>16</v>
      </c>
      <c r="R6" s="247" t="n">
        <v>-83.72</v>
      </c>
      <c r="S6" s="272"/>
      <c r="T6" s="248" t="n">
        <f aca="false">_xlfn.xlookup(I6,'Prix MP'!A:A,'Prix MP'!U:U, FALSE())</f>
        <v>0.358173933722525</v>
      </c>
      <c r="U6" s="249" t="n">
        <f aca="false">M6*T6</f>
        <v>14996.0262570947</v>
      </c>
      <c r="V6" s="249" t="n">
        <f aca="false">(K6-M6-L6)*T6</f>
        <v>322.916667074786</v>
      </c>
      <c r="W6" s="250" t="n">
        <f aca="false">(K6-M6-L6)/K6</f>
        <v>0.0160273560138591</v>
      </c>
      <c r="X6" s="249" t="n">
        <v>237.6</v>
      </c>
      <c r="Y6" s="249" t="n">
        <f aca="false">6*19.2</f>
        <v>115.2</v>
      </c>
      <c r="Z6" s="249" t="n">
        <f aca="false">125000/52/40*Q6</f>
        <v>961.538461538462</v>
      </c>
      <c r="AA6" s="249" t="n">
        <f aca="false">(M6+N6)*T6+R6+V6+X6+Y6+Z6</f>
        <v>16549.5613857079</v>
      </c>
      <c r="AB6" s="249"/>
      <c r="AC6" s="249"/>
      <c r="AD6" s="249" t="n">
        <f aca="false">12979.08*1.3746</f>
        <v>17841.043368</v>
      </c>
      <c r="AE6" s="249" t="n">
        <f aca="false">AD6-AA6</f>
        <v>1291.48198229207</v>
      </c>
      <c r="AF6" s="273" t="n">
        <f aca="false">1-AA6/AD6</f>
        <v>0.0723882541874483</v>
      </c>
      <c r="AG6" s="252" t="n">
        <f aca="false">((M6+N6)*T6+V6)</f>
        <v>15318.9429241695</v>
      </c>
      <c r="AH6" s="273" t="n">
        <f aca="false">AG6/AD6</f>
        <v>0.858634924437535</v>
      </c>
      <c r="AI6" s="273" t="str">
        <f aca="false">IF(AD6=0,"S","")</f>
        <v/>
      </c>
      <c r="AK6" s="15" t="e">
        <v>#NAME?</v>
      </c>
      <c r="AL6" s="15" t="e">
        <f aca="false">_xlfn.xlookup(AK6,A:A,F:F)</f>
        <v>#NAME?</v>
      </c>
      <c r="AM6" s="15" t="e">
        <f aca="false">_xlfn.xlookup(AK6,A:A,J:J)</f>
        <v>#NAME?</v>
      </c>
      <c r="AN6" s="15" t="e">
        <f aca="false">_xlfn.xlookup(AK6,A:A,M:M)+_xlfn.xlookup(AK6,A:A,N:N)</f>
        <v>#NAME?</v>
      </c>
      <c r="AO6" s="223" t="e">
        <f aca="false">_xlfn.xlookup(AK6,A:A,AG:AG)</f>
        <v>#NAME?</v>
      </c>
      <c r="AP6" s="223" t="e">
        <f aca="false">_xlfn.xlookup(AK6,A:A,AD:AD)</f>
        <v>#NAME?</v>
      </c>
      <c r="AQ6" s="223" t="e">
        <f aca="false">_xlfn.xlookup(AK6,A:A,AE:AE)</f>
        <v>#NAME?</v>
      </c>
      <c r="AS6" s="274" t="s">
        <v>1436</v>
      </c>
      <c r="AT6" s="275" t="e">
        <f aca="false">#VALUE!</f>
        <v>#VALUE!</v>
      </c>
      <c r="AU6" s="276" t="e">
        <f aca="false">#VALUE!</f>
        <v>#VALUE!</v>
      </c>
      <c r="AV6" s="276" t="e">
        <f aca="false">#VALUE!</f>
        <v>#VALUE!</v>
      </c>
      <c r="AW6" s="277" t="e">
        <f aca="false">#VALUE!</f>
        <v>#VALUE!</v>
      </c>
      <c r="AX6" s="1"/>
      <c r="AY6" s="1"/>
      <c r="AZ6" s="36"/>
      <c r="BA6" s="257" t="e">
        <v>#NAME?</v>
      </c>
      <c r="BB6" s="257" t="e">
        <f aca="false">_xlfn.xlookup(BA6,A:A,F:F)</f>
        <v>#NAME?</v>
      </c>
      <c r="BC6" s="257" t="e">
        <f aca="false">_xlfn.xlookup(BA6,A:A,J:J)</f>
        <v>#NAME?</v>
      </c>
      <c r="BD6" s="75" t="e">
        <f aca="false">_xlfn.xlookup(BA6,A:A,M:M)+_xlfn.xlookup(BA6,A:A,N:N)</f>
        <v>#NAME?</v>
      </c>
      <c r="BE6" s="75" t="e">
        <f aca="false">_xlfn.xlookup(BA6,$A$3:$A$990,$AA$3:$AA$990)</f>
        <v>#NAME?</v>
      </c>
      <c r="BF6" s="257"/>
      <c r="BG6" s="274" t="s">
        <v>1436</v>
      </c>
      <c r="BH6" s="275" t="e">
        <f aca="false">#VALUE!</f>
        <v>#VALUE!</v>
      </c>
      <c r="BI6" s="277" t="e">
        <f aca="false">#VALUE!</f>
        <v>#VALUE!</v>
      </c>
      <c r="BL6" s="270" t="s">
        <v>382</v>
      </c>
      <c r="BM6" s="278" t="n">
        <v>30734.58</v>
      </c>
    </row>
    <row r="7" customFormat="false" ht="16.4" hidden="false" customHeight="false" outlineLevel="0" collapsed="false">
      <c r="A7" s="241" t="s">
        <v>895</v>
      </c>
      <c r="B7" s="241"/>
      <c r="C7" s="242" t="n">
        <v>45425</v>
      </c>
      <c r="D7" s="219" t="n">
        <v>160</v>
      </c>
      <c r="E7" s="241" t="str">
        <f aca="false">_xlfn.xlookup(D7,'PO Client'!$A:$A,'PO Client'!$C:$C,FALSE())</f>
        <v>Bizerba Labels Solution</v>
      </c>
      <c r="F7" s="241" t="str">
        <f aca="false">_xlfn.xlookup(E7,Clients!B:B,Clients!C:C)</f>
        <v>BLS</v>
      </c>
      <c r="G7" s="241"/>
      <c r="H7" s="243" t="n">
        <v>40036</v>
      </c>
      <c r="I7" s="243" t="n">
        <v>30014</v>
      </c>
      <c r="J7" s="244" t="str">
        <f aca="false">_xlfn.xlookup(I7,'Prix MP'!A:A,'Prix MP'!F:F,FALSE())</f>
        <v>S11-3</v>
      </c>
      <c r="K7" s="245" t="n">
        <f aca="false">60.24*12*19.029</f>
        <v>13755.68352</v>
      </c>
      <c r="L7" s="245" t="n">
        <f aca="false">60.24*12*8.999+44.25*12*9</f>
        <v>11284.19712</v>
      </c>
      <c r="M7" s="245" t="n">
        <f aca="false">16.75*12*5</f>
        <v>1005</v>
      </c>
      <c r="N7" s="245" t="n">
        <v>0</v>
      </c>
      <c r="O7" s="245"/>
      <c r="P7" s="246"/>
      <c r="Q7" s="219" t="n">
        <v>2</v>
      </c>
      <c r="R7" s="247"/>
      <c r="S7" s="272"/>
      <c r="T7" s="248" t="n">
        <f aca="false">_xlfn.xlookup(I7,'Prix MP'!A:A,'Prix MP'!U:U, FALSE())</f>
        <v>0.260018757215609</v>
      </c>
      <c r="U7" s="249" t="n">
        <f aca="false">M7*T7</f>
        <v>261.318851001687</v>
      </c>
      <c r="V7" s="249" t="n">
        <f aca="false">(K7-M7-L7)*T7</f>
        <v>381.313971201592</v>
      </c>
      <c r="W7" s="250" t="n">
        <f aca="false">(K7-M7-L7)/K7</f>
        <v>0.106609489660605</v>
      </c>
      <c r="X7" s="249" t="n">
        <v>4.32</v>
      </c>
      <c r="Y7" s="249" t="n">
        <f aca="false">19.2/2</f>
        <v>9.6</v>
      </c>
      <c r="Z7" s="249" t="n">
        <f aca="false">125000/52/40*Q7</f>
        <v>120.192307692308</v>
      </c>
      <c r="AA7" s="249" t="n">
        <f aca="false">(M7+N7)*T7+R7+V7+X7+Y7+Z7</f>
        <v>776.745129895586</v>
      </c>
      <c r="AB7" s="249"/>
      <c r="AC7" s="249"/>
      <c r="AD7" s="249" t="n">
        <v>0</v>
      </c>
      <c r="AE7" s="249" t="n">
        <f aca="false">AD7-AA7</f>
        <v>-776.745129895586</v>
      </c>
      <c r="AF7" s="273"/>
      <c r="AG7" s="252" t="n">
        <f aca="false">((M7+N7)*T7+V7)</f>
        <v>642.632822203279</v>
      </c>
      <c r="AH7" s="273"/>
      <c r="AI7" s="273" t="str">
        <f aca="false">IF(AD7=0,"S","")</f>
        <v>S</v>
      </c>
      <c r="AK7" s="15" t="e">
        <v>#NAME?</v>
      </c>
      <c r="AL7" s="15" t="e">
        <f aca="false">_xlfn.xlookup(AK7,A:A,F:F)</f>
        <v>#NAME?</v>
      </c>
      <c r="AM7" s="15" t="e">
        <f aca="false">_xlfn.xlookup(AK7,A:A,J:J)</f>
        <v>#NAME?</v>
      </c>
      <c r="AN7" s="15" t="e">
        <f aca="false">_xlfn.xlookup(AK7,A:A,M:M)+_xlfn.xlookup(AK7,A:A,N:N)</f>
        <v>#NAME?</v>
      </c>
      <c r="AO7" s="223" t="e">
        <f aca="false">_xlfn.xlookup(AK7,A:A,AG:AG)</f>
        <v>#NAME?</v>
      </c>
      <c r="AP7" s="223" t="e">
        <f aca="false">_xlfn.xlookup(AK7,A:A,AD:AD)</f>
        <v>#NAME?</v>
      </c>
      <c r="AQ7" s="223" t="e">
        <f aca="false">_xlfn.xlookup(AK7,A:A,AE:AE)</f>
        <v>#NAME?</v>
      </c>
      <c r="AS7" s="0"/>
      <c r="AT7" s="0"/>
      <c r="AU7" s="0"/>
      <c r="AV7" s="0"/>
      <c r="AW7" s="0"/>
      <c r="AX7" s="1"/>
      <c r="AY7" s="1"/>
      <c r="AZ7" s="36"/>
      <c r="BA7" s="257" t="e">
        <v>#NAME?</v>
      </c>
      <c r="BB7" s="257" t="e">
        <f aca="false">_xlfn.xlookup(BA7,A:A,F:F)</f>
        <v>#NAME?</v>
      </c>
      <c r="BC7" s="257" t="e">
        <f aca="false">_xlfn.xlookup(BA7,A:A,J:J)</f>
        <v>#NAME?</v>
      </c>
      <c r="BD7" s="75" t="e">
        <f aca="false">_xlfn.xlookup(BA7,A:A,M:M)+_xlfn.xlookup(BA7,A:A,N:N)</f>
        <v>#NAME?</v>
      </c>
      <c r="BE7" s="75" t="e">
        <f aca="false">_xlfn.xlookup(BA7,$A$3:$A$990,$AA$3:$AA$990)</f>
        <v>#NAME?</v>
      </c>
      <c r="BF7" s="257"/>
      <c r="BG7" s="0"/>
      <c r="BH7" s="0"/>
      <c r="BI7" s="0"/>
      <c r="BL7" s="270" t="s">
        <v>385</v>
      </c>
      <c r="BM7" s="278" t="n">
        <v>136272.459</v>
      </c>
    </row>
    <row r="8" customFormat="false" ht="16.4" hidden="false" customHeight="false" outlineLevel="0" collapsed="false">
      <c r="A8" s="241" t="s">
        <v>896</v>
      </c>
      <c r="B8" s="241"/>
      <c r="C8" s="242" t="n">
        <v>45425</v>
      </c>
      <c r="D8" s="219" t="n">
        <v>160</v>
      </c>
      <c r="E8" s="241" t="str">
        <f aca="false">_xlfn.xlookup(D8,'PO Client'!$A:$A,'PO Client'!$C:$C,FALSE())</f>
        <v>Bizerba Labels Solution</v>
      </c>
      <c r="F8" s="241" t="str">
        <f aca="false">_xlfn.xlookup(E8,Clients!B:B,Clients!C:C)</f>
        <v>BLS</v>
      </c>
      <c r="G8" s="241"/>
      <c r="H8" s="243" t="n">
        <v>40037</v>
      </c>
      <c r="I8" s="243" t="n">
        <v>30015</v>
      </c>
      <c r="J8" s="244" t="str">
        <f aca="false">_xlfn.xlookup(I8,'Prix MP'!A:A,'Prix MP'!F:F,FALSE())</f>
        <v>S15-3</v>
      </c>
      <c r="K8" s="245" t="n">
        <f aca="false">60.24*12*19.127</f>
        <v>13826.52576</v>
      </c>
      <c r="L8" s="245" t="n">
        <f aca="false">60.24*12*8.999+44.25*12*10</f>
        <v>11815.19712</v>
      </c>
      <c r="M8" s="245" t="n">
        <f aca="false">16.75*12*5</f>
        <v>1005</v>
      </c>
      <c r="N8" s="245" t="n">
        <v>0</v>
      </c>
      <c r="O8" s="245"/>
      <c r="P8" s="246"/>
      <c r="Q8" s="219" t="n">
        <v>2</v>
      </c>
      <c r="R8" s="247"/>
      <c r="S8" s="272"/>
      <c r="T8" s="248" t="n">
        <f aca="false">_xlfn.xlookup(I8,'Prix MP'!A:A,'Prix MP'!U:U, FALSE())</f>
        <v>0.268854241086576</v>
      </c>
      <c r="U8" s="249" t="n">
        <f aca="false">M8*T8</f>
        <v>270.198512292009</v>
      </c>
      <c r="V8" s="249" t="n">
        <f aca="false">(K8-M8-L8)*T8</f>
        <v>270.555722790886</v>
      </c>
      <c r="W8" s="250" t="n">
        <f aca="false">(K8-M8-L8)/K8</f>
        <v>0.0727824659258436</v>
      </c>
      <c r="X8" s="249" t="n">
        <v>4.32</v>
      </c>
      <c r="Y8" s="249" t="n">
        <f aca="false">19.2/2</f>
        <v>9.6</v>
      </c>
      <c r="Z8" s="249" t="n">
        <f aca="false">125000/52/40*Q8</f>
        <v>120.192307692308</v>
      </c>
      <c r="AA8" s="249" t="n">
        <f aca="false">(M8+N8)*T8+R8+V8+X8+Y8+Z8</f>
        <v>674.866542775203</v>
      </c>
      <c r="AB8" s="249"/>
      <c r="AC8" s="249"/>
      <c r="AD8" s="249" t="n">
        <v>0</v>
      </c>
      <c r="AE8" s="249" t="n">
        <f aca="false">AD8-AA8</f>
        <v>-674.866542775203</v>
      </c>
      <c r="AF8" s="273"/>
      <c r="AG8" s="252" t="n">
        <f aca="false">((M8+N8)*T8+V8)</f>
        <v>540.754235082895</v>
      </c>
      <c r="AH8" s="273"/>
      <c r="AI8" s="273" t="str">
        <f aca="false">IF(AD8=0,"S","")</f>
        <v>S</v>
      </c>
      <c r="AK8" s="15" t="e">
        <v>#NAME?</v>
      </c>
      <c r="AL8" s="15" t="e">
        <f aca="false">_xlfn.xlookup(AK8,A:A,F:F)</f>
        <v>#NAME?</v>
      </c>
      <c r="AM8" s="15" t="e">
        <f aca="false">_xlfn.xlookup(AK8,A:A,J:J)</f>
        <v>#NAME?</v>
      </c>
      <c r="AN8" s="15" t="e">
        <f aca="false">_xlfn.xlookup(AK8,A:A,M:M)+_xlfn.xlookup(AK8,A:A,N:N)</f>
        <v>#NAME?</v>
      </c>
      <c r="AO8" s="223" t="e">
        <f aca="false">_xlfn.xlookup(AK8,A:A,AG:AG)</f>
        <v>#NAME?</v>
      </c>
      <c r="AP8" s="223" t="e">
        <f aca="false">_xlfn.xlookup(AK8,A:A,AD:AD)</f>
        <v>#NAME?</v>
      </c>
      <c r="AQ8" s="223" t="e">
        <f aca="false">_xlfn.xlookup(AK8,A:A,AE:AE)</f>
        <v>#NAME?</v>
      </c>
      <c r="AS8" s="0"/>
      <c r="AT8" s="0"/>
      <c r="AU8" s="0"/>
      <c r="AV8" s="0"/>
      <c r="AW8" s="0"/>
      <c r="AX8" s="1"/>
      <c r="AY8" s="1"/>
      <c r="AZ8" s="36"/>
      <c r="BA8" s="257" t="e">
        <v>#NAME?</v>
      </c>
      <c r="BB8" s="257" t="e">
        <f aca="false">_xlfn.xlookup(BA8,A:A,F:F)</f>
        <v>#NAME?</v>
      </c>
      <c r="BC8" s="257" t="e">
        <f aca="false">_xlfn.xlookup(BA8,A:A,J:J)</f>
        <v>#NAME?</v>
      </c>
      <c r="BD8" s="75" t="e">
        <f aca="false">_xlfn.xlookup(BA8,A:A,M:M)+_xlfn.xlookup(BA8,A:A,N:N)</f>
        <v>#NAME?</v>
      </c>
      <c r="BE8" s="75" t="e">
        <f aca="false">_xlfn.xlookup(BA8,$A$3:$A$990,$AA$3:$AA$990)</f>
        <v>#NAME?</v>
      </c>
      <c r="BF8" s="257"/>
      <c r="BG8" s="0"/>
      <c r="BH8" s="0"/>
      <c r="BI8" s="0"/>
      <c r="BL8" s="270" t="s">
        <v>371</v>
      </c>
      <c r="BM8" s="278" t="n">
        <v>403466.7612</v>
      </c>
    </row>
    <row r="9" customFormat="false" ht="16.4" hidden="false" customHeight="false" outlineLevel="0" collapsed="false">
      <c r="A9" s="241" t="s">
        <v>897</v>
      </c>
      <c r="B9" s="241"/>
      <c r="C9" s="242" t="n">
        <v>45428</v>
      </c>
      <c r="D9" s="219"/>
      <c r="E9" s="241" t="s">
        <v>199</v>
      </c>
      <c r="F9" s="241" t="str">
        <f aca="false">_xlfn.xlookup(E9,Clients!B:B,Clients!C:C)</f>
        <v>LabelEdge</v>
      </c>
      <c r="G9" s="241"/>
      <c r="H9" s="243" t="n">
        <v>40033</v>
      </c>
      <c r="I9" s="243" t="n">
        <v>30013</v>
      </c>
      <c r="J9" s="244" t="str">
        <f aca="false">_xlfn.xlookup(I9,'Prix MP'!A:A,'Prix MP'!F:F,FALSE())</f>
        <v>D11-1</v>
      </c>
      <c r="K9" s="245" t="n">
        <f aca="false">59.52*12*4.7+59.52*12*9.843</f>
        <v>10387.19232</v>
      </c>
      <c r="L9" s="245" t="n">
        <f aca="false">9.4*12*3.6+9.4*12*5+9.5*12*4.6+10*12*(3.6*5+5*5+4.6*5)</f>
        <v>9414.48</v>
      </c>
      <c r="M9" s="245" t="n">
        <v>0</v>
      </c>
      <c r="N9" s="245" t="n">
        <v>0</v>
      </c>
      <c r="O9" s="245"/>
      <c r="P9" s="246"/>
      <c r="Q9" s="219" t="n">
        <v>6</v>
      </c>
      <c r="R9" s="247" t="n">
        <v>0</v>
      </c>
      <c r="S9" s="272"/>
      <c r="T9" s="248" t="n">
        <f aca="false">_xlfn.xlookup(I9,'Prix MP'!A:A,'Prix MP'!U:U, FALSE())</f>
        <v>0.358173933722525</v>
      </c>
      <c r="U9" s="249" t="n">
        <f aca="false">M9*T9</f>
        <v>0</v>
      </c>
      <c r="V9" s="249" t="n">
        <f aca="false">(K9-M9-L9)*T9</f>
        <v>348.400198034764</v>
      </c>
      <c r="W9" s="250" t="n">
        <f aca="false">(K9-M9-L9)/K9</f>
        <v>0.0936453557451799</v>
      </c>
      <c r="X9" s="249" t="n">
        <v>0</v>
      </c>
      <c r="Y9" s="249" t="n">
        <v>0</v>
      </c>
      <c r="Z9" s="249" t="n">
        <f aca="false">125000/52/40*Q9</f>
        <v>360.576923076923</v>
      </c>
      <c r="AA9" s="249" t="n">
        <f aca="false">(M9+N9)*T9+R9+V9+X9+Y9+Z9</f>
        <v>708.977121111687</v>
      </c>
      <c r="AB9" s="249"/>
      <c r="AC9" s="249"/>
      <c r="AD9" s="249" t="n">
        <v>0</v>
      </c>
      <c r="AE9" s="249" t="n">
        <f aca="false">AD9-AA9</f>
        <v>-708.977121111687</v>
      </c>
      <c r="AF9" s="273"/>
      <c r="AG9" s="252" t="n">
        <f aca="false">((M9+N9)*T9+V9)</f>
        <v>348.400198034764</v>
      </c>
      <c r="AH9" s="273"/>
      <c r="AI9" s="273" t="str">
        <f aca="false">IF(AD9=0,"S","")</f>
        <v>S</v>
      </c>
      <c r="AK9" s="15" t="e">
        <v>#NAME?</v>
      </c>
      <c r="AL9" s="15" t="e">
        <f aca="false">_xlfn.xlookup(AK9,A:A,F:F)</f>
        <v>#NAME?</v>
      </c>
      <c r="AM9" s="15" t="e">
        <f aca="false">_xlfn.xlookup(AK9,A:A,J:J)</f>
        <v>#NAME?</v>
      </c>
      <c r="AN9" s="15" t="e">
        <f aca="false">_xlfn.xlookup(AK9,A:A,M:M)+_xlfn.xlookup(AK9,A:A,N:N)</f>
        <v>#NAME?</v>
      </c>
      <c r="AO9" s="223" t="e">
        <f aca="false">_xlfn.xlookup(AK9,A:A,AG:AG)</f>
        <v>#NAME?</v>
      </c>
      <c r="AP9" s="223" t="e">
        <f aca="false">_xlfn.xlookup(AK9,A:A,AD:AD)</f>
        <v>#NAME?</v>
      </c>
      <c r="AQ9" s="223" t="e">
        <f aca="false">_xlfn.xlookup(AK9,A:A,AE:AE)</f>
        <v>#NAME?</v>
      </c>
      <c r="AS9" s="0"/>
      <c r="AT9" s="0"/>
      <c r="AU9" s="0"/>
      <c r="AV9" s="0"/>
      <c r="AW9" s="0"/>
      <c r="AX9" s="1"/>
      <c r="AY9" s="1"/>
      <c r="AZ9" s="36"/>
      <c r="BA9" s="257" t="e">
        <v>#NAME?</v>
      </c>
      <c r="BB9" s="257" t="e">
        <f aca="false">_xlfn.xlookup(BA9,A:A,F:F)</f>
        <v>#NAME?</v>
      </c>
      <c r="BC9" s="257" t="e">
        <f aca="false">_xlfn.xlookup(BA9,A:A,J:J)</f>
        <v>#NAME?</v>
      </c>
      <c r="BD9" s="75" t="e">
        <f aca="false">_xlfn.xlookup(BA9,A:A,M:M)+_xlfn.xlookup(BA9,A:A,N:N)</f>
        <v>#NAME?</v>
      </c>
      <c r="BE9" s="75" t="e">
        <f aca="false">_xlfn.xlookup(BA9,$A$3:$A$990,$AA$3:$AA$990)</f>
        <v>#NAME?</v>
      </c>
      <c r="BF9" s="257"/>
      <c r="BG9" s="0"/>
      <c r="BH9" s="0"/>
      <c r="BI9" s="0"/>
      <c r="BL9" s="270" t="s">
        <v>426</v>
      </c>
      <c r="BM9" s="278" t="n">
        <v>109145.385</v>
      </c>
    </row>
    <row r="10" s="28" customFormat="true" ht="16.4" hidden="false" customHeight="false" outlineLevel="0" collapsed="false">
      <c r="A10" s="279" t="s">
        <v>899</v>
      </c>
      <c r="B10" s="279"/>
      <c r="C10" s="280" t="n">
        <v>45428</v>
      </c>
      <c r="D10" s="281"/>
      <c r="E10" s="279" t="s">
        <v>199</v>
      </c>
      <c r="F10" s="241" t="str">
        <f aca="false">_xlfn.xlookup(E10,Clients!B:B,Clients!C:C)</f>
        <v>LabelEdge</v>
      </c>
      <c r="G10" s="241"/>
      <c r="H10" s="282" t="n">
        <v>40033</v>
      </c>
      <c r="I10" s="282" t="n">
        <v>30013</v>
      </c>
      <c r="J10" s="244" t="str">
        <f aca="false">_xlfn.xlookup(I10,'Prix MP'!A:A,'Prix MP'!F:F,FALSE())</f>
        <v>D11-1</v>
      </c>
      <c r="K10" s="245"/>
      <c r="L10" s="245"/>
      <c r="M10" s="245"/>
      <c r="N10" s="245"/>
      <c r="O10" s="245"/>
      <c r="P10" s="246"/>
      <c r="Q10" s="219"/>
      <c r="R10" s="247" t="n">
        <v>0</v>
      </c>
      <c r="S10" s="272"/>
      <c r="T10" s="248"/>
      <c r="U10" s="283"/>
      <c r="V10" s="283"/>
      <c r="W10" s="250" t="e">
        <f aca="false">(K10-M10-L10)/K10</f>
        <v>#DIV/0!</v>
      </c>
      <c r="X10" s="283"/>
      <c r="Y10" s="283"/>
      <c r="Z10" s="283"/>
      <c r="AA10" s="249" t="n">
        <f aca="false">(M10+N10)*T10+R10+V10+X10+Y10+Z10</f>
        <v>0</v>
      </c>
      <c r="AB10" s="283"/>
      <c r="AC10" s="283"/>
      <c r="AD10" s="283"/>
      <c r="AE10" s="249" t="n">
        <f aca="false">AD10-AA10</f>
        <v>0</v>
      </c>
      <c r="AF10" s="284"/>
      <c r="AG10" s="252" t="n">
        <f aca="false">((M10+N10)*T10+V10)</f>
        <v>0</v>
      </c>
      <c r="AH10" s="273"/>
      <c r="AI10" s="284" t="str">
        <f aca="false">IF(AD10=0,"S","")</f>
        <v>S</v>
      </c>
      <c r="AK10" s="28" t="e">
        <v>#NAME?</v>
      </c>
      <c r="AL10" s="28" t="e">
        <f aca="false">_xlfn.xlookup(AK10,A:A,F:F)</f>
        <v>#NAME?</v>
      </c>
      <c r="AM10" s="28" t="e">
        <f aca="false">_xlfn.xlookup(AK10,A:A,J:J)</f>
        <v>#NAME?</v>
      </c>
      <c r="AN10" s="28" t="e">
        <f aca="false">_xlfn.xlookup(AK10,A:A,M:M)+_xlfn.xlookup(AK10,A:A,N:N)</f>
        <v>#NAME?</v>
      </c>
      <c r="AO10" s="223" t="e">
        <f aca="false">_xlfn.xlookup(AK10,A:A,AG:AG)</f>
        <v>#NAME?</v>
      </c>
      <c r="AP10" s="223" t="e">
        <f aca="false">_xlfn.xlookup(AK10,A:A,AD:AD)</f>
        <v>#NAME?</v>
      </c>
      <c r="AQ10" s="223" t="e">
        <f aca="false">_xlfn.xlookup(AK10,A:A,AE:AE)</f>
        <v>#NAME?</v>
      </c>
      <c r="AS10" s="0"/>
      <c r="AT10" s="0"/>
      <c r="AU10" s="0"/>
      <c r="AV10" s="0"/>
      <c r="AW10" s="0"/>
      <c r="AX10" s="1"/>
      <c r="AY10" s="1"/>
      <c r="AZ10" s="36"/>
      <c r="BA10" s="257" t="e">
        <v>#NAME?</v>
      </c>
      <c r="BB10" s="257" t="e">
        <f aca="false">_xlfn.xlookup(BA10,A:A,F:F)</f>
        <v>#NAME?</v>
      </c>
      <c r="BC10" s="257" t="e">
        <f aca="false">_xlfn.xlookup(BA10,A:A,J:J)</f>
        <v>#NAME?</v>
      </c>
      <c r="BD10" s="75" t="e">
        <f aca="false">_xlfn.xlookup(BA10,A:A,M:M)+_xlfn.xlookup(BA10,A:A,N:N)</f>
        <v>#NAME?</v>
      </c>
      <c r="BE10" s="75" t="e">
        <f aca="false">_xlfn.xlookup(BA10,$A$3:$A$990,$AA$3:$AA$990)</f>
        <v>#NAME?</v>
      </c>
      <c r="BF10" s="257"/>
      <c r="BG10" s="0"/>
      <c r="BH10" s="0"/>
      <c r="BI10" s="0"/>
      <c r="BL10" s="270" t="s">
        <v>388</v>
      </c>
      <c r="BM10" s="278" t="n">
        <v>207695.1</v>
      </c>
    </row>
    <row r="11" customFormat="false" ht="16.4" hidden="false" customHeight="false" outlineLevel="0" collapsed="false">
      <c r="A11" s="241" t="s">
        <v>901</v>
      </c>
      <c r="B11" s="241"/>
      <c r="C11" s="242" t="n">
        <v>45428</v>
      </c>
      <c r="D11" s="219" t="n">
        <v>161</v>
      </c>
      <c r="E11" s="241" t="str">
        <f aca="false">_xlfn.xlookup(D11,'PO Client'!$A:$A,'PO Client'!$C:$C,FALSE())&amp;""</f>
        <v>LABELINK</v>
      </c>
      <c r="F11" s="241" t="str">
        <f aca="false">_xlfn.xlookup(E11,Clients!B:B,Clients!C:C)</f>
        <v>Labelink</v>
      </c>
      <c r="G11" s="241"/>
      <c r="H11" s="243" t="n">
        <v>40038</v>
      </c>
      <c r="I11" s="243" t="n">
        <v>30015</v>
      </c>
      <c r="J11" s="244" t="str">
        <f aca="false">_xlfn.xlookup(I11,'Prix MP'!A:A,'Prix MP'!F:F,FALSE())</f>
        <v>S15-3</v>
      </c>
      <c r="K11" s="245" t="n">
        <f aca="false">44.25*12*10</f>
        <v>5310</v>
      </c>
      <c r="L11" s="245" t="n">
        <f aca="false">30.5*12*5+44.25*12*5</f>
        <v>4485</v>
      </c>
      <c r="M11" s="245" t="n">
        <f aca="false">13*12*5</f>
        <v>780</v>
      </c>
      <c r="N11" s="245" t="n">
        <v>0</v>
      </c>
      <c r="O11" s="245"/>
      <c r="P11" s="246"/>
      <c r="Q11" s="219" t="n">
        <v>2</v>
      </c>
      <c r="R11" s="247" t="n">
        <v>185</v>
      </c>
      <c r="S11" s="272"/>
      <c r="T11" s="248" t="n">
        <f aca="false">_xlfn.xlookup(I11,'Prix MP'!A:A,'Prix MP'!U:U, FALSE())</f>
        <v>0.268854241086576</v>
      </c>
      <c r="U11" s="249" t="n">
        <f aca="false">M11*T11</f>
        <v>209.70630804753</v>
      </c>
      <c r="V11" s="249" t="n">
        <f aca="false">(K11-M11-L11)*T11</f>
        <v>12.0984408488959</v>
      </c>
      <c r="W11" s="250" t="n">
        <f aca="false">(K11-M11-L11)/K11</f>
        <v>0.00847457627118644</v>
      </c>
      <c r="X11" s="249" t="n">
        <v>3.15941294117647</v>
      </c>
      <c r="Y11" s="249" t="n">
        <v>19.2</v>
      </c>
      <c r="Z11" s="249" t="n">
        <f aca="false">125000/52/40*Q11</f>
        <v>120.192307692308</v>
      </c>
      <c r="AA11" s="249" t="n">
        <f aca="false">(M11+N11)*T11+R11+V11+X11+Y11+Z11</f>
        <v>549.35646952991</v>
      </c>
      <c r="AB11" s="285" t="n">
        <v>0</v>
      </c>
      <c r="AC11" s="285" t="str">
        <f aca="false">_xlfn.xlookup(H11,'Prix vente'!A:A,'Prix vente'!Z:Z, "")</f>
        <v>USD</v>
      </c>
      <c r="AD11" s="249" t="n">
        <v>0</v>
      </c>
      <c r="AE11" s="249" t="n">
        <f aca="false">AD11-AA11</f>
        <v>-549.35646952991</v>
      </c>
      <c r="AF11" s="273"/>
      <c r="AG11" s="252" t="n">
        <f aca="false">((M11+N11)*T11+V11)</f>
        <v>221.804748896426</v>
      </c>
      <c r="AH11" s="273"/>
      <c r="AI11" s="273" t="str">
        <f aca="false">IF(AD11=0,"S","")</f>
        <v>S</v>
      </c>
      <c r="AK11" s="15" t="e">
        <v>#NAME?</v>
      </c>
      <c r="AL11" s="15" t="e">
        <f aca="false">_xlfn.xlookup(AK11,A:A,F:F)</f>
        <v>#NAME?</v>
      </c>
      <c r="AM11" s="15" t="e">
        <f aca="false">_xlfn.xlookup(AK11,A:A,J:J)</f>
        <v>#NAME?</v>
      </c>
      <c r="AN11" s="15" t="e">
        <f aca="false">_xlfn.xlookup(AK11,A:A,M:M)+_xlfn.xlookup(AK11,A:A,N:N)</f>
        <v>#NAME?</v>
      </c>
      <c r="AO11" s="223" t="e">
        <f aca="false">_xlfn.xlookup(AK11,A:A,AG:AG)</f>
        <v>#NAME?</v>
      </c>
      <c r="AP11" s="223" t="e">
        <f aca="false">_xlfn.xlookup(AK11,A:A,AD:AD)</f>
        <v>#NAME?</v>
      </c>
      <c r="AQ11" s="223" t="e">
        <f aca="false">_xlfn.xlookup(AK11,A:A,AE:AE)</f>
        <v>#NAME?</v>
      </c>
      <c r="AS11" s="0"/>
      <c r="AT11" s="0"/>
      <c r="AU11" s="0"/>
      <c r="AV11" s="0"/>
      <c r="AW11" s="0"/>
      <c r="AX11" s="1"/>
      <c r="AY11" s="1"/>
      <c r="AZ11" s="36"/>
      <c r="BA11" s="257" t="e">
        <v>#NAME?</v>
      </c>
      <c r="BB11" s="257" t="e">
        <f aca="false">_xlfn.xlookup(BA11,A:A,F:F)</f>
        <v>#NAME?</v>
      </c>
      <c r="BC11" s="257" t="e">
        <f aca="false">_xlfn.xlookup(BA11,A:A,J:J)</f>
        <v>#NAME?</v>
      </c>
      <c r="BD11" s="75" t="e">
        <f aca="false">_xlfn.xlookup(BA11,A:A,M:M)+_xlfn.xlookup(BA11,A:A,N:N)</f>
        <v>#NAME?</v>
      </c>
      <c r="BE11" s="75" t="e">
        <f aca="false">_xlfn.xlookup(BA11,$A$3:$A$990,$AA$3:$AA$990)</f>
        <v>#NAME?</v>
      </c>
      <c r="BF11" s="257"/>
      <c r="BG11" s="0"/>
      <c r="BH11" s="0"/>
      <c r="BI11" s="0"/>
      <c r="BL11" s="270" t="s">
        <v>367</v>
      </c>
      <c r="BM11" s="278" t="n">
        <v>148679.123</v>
      </c>
    </row>
    <row r="12" customFormat="false" ht="16.4" hidden="false" customHeight="false" outlineLevel="0" collapsed="false">
      <c r="A12" s="241" t="s">
        <v>902</v>
      </c>
      <c r="B12" s="241"/>
      <c r="C12" s="242" t="n">
        <v>45439</v>
      </c>
      <c r="D12" s="219" t="n">
        <v>162</v>
      </c>
      <c r="E12" s="241" t="str">
        <f aca="false">_xlfn.xlookup(D12,'PO Client'!$A:$A,'PO Client'!$C:$C,FALSE())&amp;""</f>
        <v>Étiquettes Rive-Sud</v>
      </c>
      <c r="F12" s="241" t="str">
        <f aca="false">_xlfn.xlookup(E12,Clients!B:B,Clients!C:C)</f>
        <v>Étiquettes Rive-Sud</v>
      </c>
      <c r="G12" s="241"/>
      <c r="H12" s="243" t="n">
        <v>40039</v>
      </c>
      <c r="I12" s="243" t="n">
        <v>30012</v>
      </c>
      <c r="J12" s="244" t="str">
        <f aca="false">_xlfn.xlookup(I12,'Prix MP'!A:A,'Prix MP'!F:F,FALSE())</f>
        <v>D21-1</v>
      </c>
      <c r="K12" s="245" t="n">
        <f aca="false">60.24*12*9.843</f>
        <v>7115.30784</v>
      </c>
      <c r="L12" s="245" t="n">
        <f aca="false">60.24*12*4.8</f>
        <v>3469.824</v>
      </c>
      <c r="M12" s="245" t="n">
        <f aca="false">8.6*12*5*7</f>
        <v>3612</v>
      </c>
      <c r="N12" s="245" t="n">
        <v>0</v>
      </c>
      <c r="O12" s="245"/>
      <c r="P12" s="246"/>
      <c r="Q12" s="219" t="n">
        <v>2</v>
      </c>
      <c r="R12" s="247" t="n">
        <v>-15</v>
      </c>
      <c r="S12" s="272"/>
      <c r="T12" s="248" t="n">
        <f aca="false">_xlfn.xlookup(I12,'Prix MP'!A:A,'Prix MP'!U:U, FALSE())</f>
        <v>0.327974576595346</v>
      </c>
      <c r="U12" s="249" t="n">
        <f aca="false">M12*T12</f>
        <v>1184.64417066239</v>
      </c>
      <c r="V12" s="249" t="n">
        <f aca="false">(K12-M12-L12)*T12</f>
        <v>10.9818482467861</v>
      </c>
      <c r="W12" s="250" t="n">
        <f aca="false">(K12-M12-L12)/K12</f>
        <v>0.00470588774975608</v>
      </c>
      <c r="X12" s="249" t="n">
        <v>14.7325855764706</v>
      </c>
      <c r="Y12" s="249" t="n">
        <v>19.2</v>
      </c>
      <c r="Z12" s="249" t="n">
        <f aca="false">125000/52/40*Q12</f>
        <v>120.192307692308</v>
      </c>
      <c r="AA12" s="249" t="n">
        <f aca="false">(M12+N12)*T12+R12+V12+X12+Y12+Z12</f>
        <v>1334.75091217796</v>
      </c>
      <c r="AB12" s="285" t="n">
        <v>0.448</v>
      </c>
      <c r="AC12" s="285" t="str">
        <f aca="false">_xlfn.xlookup(H12,'Prix vente'!A:A,'Prix vente'!Z:Z, "")</f>
        <v>CAD</v>
      </c>
      <c r="AD12" s="249" t="n">
        <f aca="false">IF(AC12="CAD",(M12+N12)*AB12,(M12+N12)*AB12*S12)</f>
        <v>1618.176</v>
      </c>
      <c r="AE12" s="249" t="n">
        <f aca="false">AD12-AA12</f>
        <v>283.425087822045</v>
      </c>
      <c r="AF12" s="273" t="n">
        <f aca="false">1-AA12/AD12</f>
        <v>0.175150964927205</v>
      </c>
      <c r="AG12" s="252" t="n">
        <f aca="false">((M12+N12)*T12+V12)</f>
        <v>1195.62601890918</v>
      </c>
      <c r="AH12" s="273" t="n">
        <f aca="false">AG12/AD12</f>
        <v>0.738872668306276</v>
      </c>
      <c r="AI12" s="273" t="str">
        <f aca="false">IF(AD12=0,"S","")</f>
        <v/>
      </c>
      <c r="AK12" s="15" t="e">
        <v>#NAME?</v>
      </c>
      <c r="AL12" s="15" t="e">
        <f aca="false">_xlfn.xlookup(AK12,A:A,F:F)</f>
        <v>#NAME?</v>
      </c>
      <c r="AM12" s="15" t="e">
        <f aca="false">_xlfn.xlookup(AK12,A:A,J:J)</f>
        <v>#NAME?</v>
      </c>
      <c r="AN12" s="15" t="e">
        <f aca="false">_xlfn.xlookup(AK12,A:A,M:M)+_xlfn.xlookup(AK12,A:A,N:N)</f>
        <v>#NAME?</v>
      </c>
      <c r="AO12" s="223" t="e">
        <f aca="false">_xlfn.xlookup(AK12,A:A,AG:AG)</f>
        <v>#NAME?</v>
      </c>
      <c r="AP12" s="223" t="e">
        <f aca="false">_xlfn.xlookup(AK12,A:A,AD:AD)</f>
        <v>#NAME?</v>
      </c>
      <c r="AQ12" s="223" t="e">
        <f aca="false">_xlfn.xlookup(AK12,A:A,AE:AE)</f>
        <v>#NAME?</v>
      </c>
      <c r="AS12" s="0"/>
      <c r="AT12" s="0"/>
      <c r="AU12" s="0"/>
      <c r="AV12" s="0"/>
      <c r="AW12" s="0"/>
      <c r="AX12" s="1"/>
      <c r="AY12" s="1"/>
      <c r="AZ12" s="36"/>
      <c r="BA12" s="257" t="e">
        <v>#NAME?</v>
      </c>
      <c r="BB12" s="257" t="e">
        <f aca="false">_xlfn.xlookup(BA12,A:A,F:F)</f>
        <v>#NAME?</v>
      </c>
      <c r="BC12" s="257" t="e">
        <f aca="false">_xlfn.xlookup(BA12,A:A,J:J)</f>
        <v>#NAME?</v>
      </c>
      <c r="BD12" s="75" t="e">
        <f aca="false">_xlfn.xlookup(BA12,A:A,M:M)+_xlfn.xlookup(BA12,A:A,N:N)</f>
        <v>#NAME?</v>
      </c>
      <c r="BE12" s="75" t="e">
        <f aca="false">_xlfn.xlookup(BA12,$A$3:$A$990,$AA$3:$AA$990)</f>
        <v>#NAME?</v>
      </c>
      <c r="BF12" s="257"/>
      <c r="BG12" s="0"/>
      <c r="BH12" s="0"/>
      <c r="BI12" s="0"/>
      <c r="BL12" s="270" t="s">
        <v>374</v>
      </c>
      <c r="BM12" s="278" t="n">
        <v>1005</v>
      </c>
    </row>
    <row r="13" customFormat="false" ht="16.4" hidden="false" customHeight="false" outlineLevel="0" collapsed="false">
      <c r="A13" s="241" t="s">
        <v>1437</v>
      </c>
      <c r="B13" s="241"/>
      <c r="C13" s="242" t="n">
        <v>45441</v>
      </c>
      <c r="D13" s="219" t="n">
        <v>164</v>
      </c>
      <c r="E13" s="241" t="str">
        <f aca="false">_xlfn.xlookup(D13,'PO Client'!$A:$A,'PO Client'!$C:$C,FALSE())&amp;""</f>
        <v>Groupe Produlith Inc.</v>
      </c>
      <c r="F13" s="241" t="str">
        <f aca="false">_xlfn.xlookup(E13,Clients!B:B,Clients!C:C)</f>
        <v>Produlith</v>
      </c>
      <c r="G13" s="241"/>
      <c r="H13" s="243" t="n">
        <v>40045</v>
      </c>
      <c r="I13" s="243" t="n">
        <v>30017</v>
      </c>
      <c r="J13" s="244" t="str">
        <f aca="false">_xlfn.xlookup(I13,'Prix MP'!A:A,'Prix MP'!F:F,FALSE())</f>
        <v>B25-3</v>
      </c>
      <c r="K13" s="245" t="n">
        <f aca="false">60.24*12*19.685/2</f>
        <v>7114.9464</v>
      </c>
      <c r="L13" s="245" t="n">
        <f aca="false">61.125*12*14.485/2</f>
        <v>5312.37375</v>
      </c>
      <c r="M13" s="245" t="n">
        <f aca="false">4*15*12*5/2</f>
        <v>1800</v>
      </c>
      <c r="N13" s="245" t="n">
        <v>0</v>
      </c>
      <c r="O13" s="245"/>
      <c r="P13" s="246"/>
      <c r="Q13" s="219" t="n">
        <f aca="false">2/2</f>
        <v>1</v>
      </c>
      <c r="R13" s="247" t="n">
        <v>0</v>
      </c>
      <c r="S13" s="272" t="n">
        <v>1.37</v>
      </c>
      <c r="T13" s="248" t="n">
        <f aca="false">_xlfn.xlookup(I13,'Prix MP'!A:A,'Prix MP'!U:U, FALSE())</f>
        <v>0.326284886247867</v>
      </c>
      <c r="U13" s="249" t="n">
        <f aca="false">M13*T13</f>
        <v>587.31279524616</v>
      </c>
      <c r="V13" s="249" t="n">
        <f aca="false">(K13-M13-L13)*T13</f>
        <v>0.839416812605596</v>
      </c>
      <c r="W13" s="250" t="n">
        <f aca="false">(K13-M13-L13)/K13</f>
        <v>0.000361583890498468</v>
      </c>
      <c r="X13" s="249" t="n">
        <f aca="false">14.5819058823529/2</f>
        <v>7.29095294117645</v>
      </c>
      <c r="Y13" s="249" t="n">
        <f aca="false">19.2/2</f>
        <v>9.6</v>
      </c>
      <c r="Z13" s="249" t="n">
        <f aca="false">125000/52/40*Q13</f>
        <v>60.0961538461539</v>
      </c>
      <c r="AA13" s="249" t="n">
        <f aca="false">(M13+N13)*T13+R13+V13+X13+Y13+Z13</f>
        <v>665.139318846096</v>
      </c>
      <c r="AB13" s="285" t="n">
        <v>0.34</v>
      </c>
      <c r="AC13" s="285" t="str">
        <f aca="false">_xlfn.xlookup(H13,'Prix vente'!A:A,'Prix vente'!Z:Z, "")</f>
        <v>USD</v>
      </c>
      <c r="AD13" s="249" t="n">
        <v>0</v>
      </c>
      <c r="AE13" s="249" t="n">
        <f aca="false">AD13-AA13</f>
        <v>-665.139318846096</v>
      </c>
      <c r="AF13" s="273"/>
      <c r="AG13" s="252" t="n">
        <f aca="false">((M13+N13)*T13+V13)</f>
        <v>588.152212058766</v>
      </c>
      <c r="AH13" s="273"/>
      <c r="AI13" s="273" t="str">
        <f aca="false">IF(AD13=0,"S","")</f>
        <v>S</v>
      </c>
      <c r="AK13" s="15" t="e">
        <v>#NAME?</v>
      </c>
      <c r="AL13" s="15" t="e">
        <f aca="false">_xlfn.xlookup(AK13,A:A,F:F)</f>
        <v>#NAME?</v>
      </c>
      <c r="AM13" s="15" t="e">
        <f aca="false">_xlfn.xlookup(AK13,A:A,J:J)</f>
        <v>#NAME?</v>
      </c>
      <c r="AN13" s="15" t="e">
        <f aca="false">_xlfn.xlookup(AK13,A:A,M:M)+_xlfn.xlookup(AK13,A:A,N:N)</f>
        <v>#NAME?</v>
      </c>
      <c r="AO13" s="223" t="e">
        <f aca="false">_xlfn.xlookup(AK13,A:A,AG:AG)</f>
        <v>#NAME?</v>
      </c>
      <c r="AP13" s="223" t="e">
        <f aca="false">_xlfn.xlookup(AK13,A:A,AD:AD)</f>
        <v>#NAME?</v>
      </c>
      <c r="AQ13" s="223" t="e">
        <f aca="false">_xlfn.xlookup(AK13,A:A,AE:AE)</f>
        <v>#NAME?</v>
      </c>
      <c r="AS13" s="0"/>
      <c r="AT13" s="0"/>
      <c r="AU13" s="0"/>
      <c r="AV13" s="0"/>
      <c r="AW13" s="0"/>
      <c r="AX13" s="1"/>
      <c r="AY13" s="1"/>
      <c r="AZ13" s="36"/>
      <c r="BA13" s="257" t="e">
        <v>#NAME?</v>
      </c>
      <c r="BB13" s="257" t="e">
        <f aca="false">_xlfn.xlookup(BA13,A:A,F:F)</f>
        <v>#NAME?</v>
      </c>
      <c r="BC13" s="257" t="e">
        <f aca="false">_xlfn.xlookup(BA13,A:A,J:J)</f>
        <v>#NAME?</v>
      </c>
      <c r="BD13" s="75" t="e">
        <f aca="false">_xlfn.xlookup(BA13,A:A,M:M)+_xlfn.xlookup(BA13,A:A,N:N)</f>
        <v>#NAME?</v>
      </c>
      <c r="BE13" s="75" t="e">
        <f aca="false">_xlfn.xlookup(BA13,$A$3:$A$990,$AA$3:$AA$990)</f>
        <v>#NAME?</v>
      </c>
      <c r="BF13" s="257"/>
      <c r="BG13" s="0"/>
      <c r="BH13" s="0"/>
      <c r="BI13" s="0"/>
      <c r="BL13" s="270" t="s">
        <v>378</v>
      </c>
      <c r="BM13" s="278" t="n">
        <v>156878.246</v>
      </c>
    </row>
    <row r="14" customFormat="false" ht="16.4" hidden="false" customHeight="false" outlineLevel="0" collapsed="false">
      <c r="A14" s="241" t="s">
        <v>903</v>
      </c>
      <c r="B14" s="241"/>
      <c r="C14" s="242" t="n">
        <v>45441</v>
      </c>
      <c r="D14" s="219" t="n">
        <v>164</v>
      </c>
      <c r="E14" s="241" t="str">
        <f aca="false">_xlfn.xlookup(D14,'PO Client'!$A:$A,'PO Client'!$C:$C,FALSE())&amp;""</f>
        <v>Groupe Produlith Inc.</v>
      </c>
      <c r="F14" s="241" t="str">
        <f aca="false">_xlfn.xlookup(E14,Clients!B:B,Clients!C:C)</f>
        <v>Produlith</v>
      </c>
      <c r="G14" s="241"/>
      <c r="H14" s="243" t="n">
        <v>40045</v>
      </c>
      <c r="I14" s="243" t="n">
        <v>30017</v>
      </c>
      <c r="J14" s="244" t="str">
        <f aca="false">_xlfn.xlookup(I14,'Prix MP'!A:A,'Prix MP'!F:F,FALSE())</f>
        <v>B25-3</v>
      </c>
      <c r="K14" s="245" t="n">
        <f aca="false">60.24*12*19.685/2</f>
        <v>7114.9464</v>
      </c>
      <c r="L14" s="245" t="n">
        <f aca="false">61.125*12*14.485/2</f>
        <v>5312.37375</v>
      </c>
      <c r="M14" s="245" t="n">
        <f aca="false">4*15*12*5/2</f>
        <v>1800</v>
      </c>
      <c r="N14" s="245" t="n">
        <v>0</v>
      </c>
      <c r="O14" s="245"/>
      <c r="P14" s="246"/>
      <c r="Q14" s="219" t="n">
        <f aca="false">2/2</f>
        <v>1</v>
      </c>
      <c r="R14" s="247" t="n">
        <v>0</v>
      </c>
      <c r="S14" s="272" t="n">
        <v>1.37</v>
      </c>
      <c r="T14" s="248" t="n">
        <f aca="false">_xlfn.xlookup(I14,'Prix MP'!A:A,'Prix MP'!U:U, FALSE())</f>
        <v>0.326284886247867</v>
      </c>
      <c r="U14" s="249" t="n">
        <f aca="false">M14*T14</f>
        <v>587.31279524616</v>
      </c>
      <c r="V14" s="249" t="n">
        <f aca="false">(K14-M14-L14)*T14</f>
        <v>0.839416812605596</v>
      </c>
      <c r="W14" s="250" t="n">
        <f aca="false">(K14-M14-L14)/K14</f>
        <v>0.000361583890498468</v>
      </c>
      <c r="X14" s="249" t="n">
        <f aca="false">14.5819058823529/2</f>
        <v>7.29095294117645</v>
      </c>
      <c r="Y14" s="249" t="n">
        <f aca="false">19.2/2</f>
        <v>9.6</v>
      </c>
      <c r="Z14" s="249" t="n">
        <f aca="false">125000/52/40*Q14</f>
        <v>60.0961538461539</v>
      </c>
      <c r="AA14" s="249" t="n">
        <f aca="false">(M14+N14)*T14+R14+V14+X14+Y14+Z14</f>
        <v>665.139318846096</v>
      </c>
      <c r="AB14" s="285" t="n">
        <v>0.34</v>
      </c>
      <c r="AC14" s="285" t="str">
        <f aca="false">_xlfn.xlookup(H14,'Prix vente'!A:A,'Prix vente'!Z:Z, "")</f>
        <v>USD</v>
      </c>
      <c r="AD14" s="249" t="n">
        <f aca="false">M14*0.34*S14</f>
        <v>838.44</v>
      </c>
      <c r="AE14" s="249" t="n">
        <f aca="false">AD14-AA14</f>
        <v>173.300681153904</v>
      </c>
      <c r="AF14" s="273" t="n">
        <f aca="false">1-AA14/AD14</f>
        <v>0.206694195355546</v>
      </c>
      <c r="AG14" s="252" t="n">
        <f aca="false">((M14+N14)*T14+V14)</f>
        <v>588.152212058766</v>
      </c>
      <c r="AH14" s="273" t="n">
        <f aca="false">AG14/AD14</f>
        <v>0.701483960758988</v>
      </c>
      <c r="AI14" s="273"/>
      <c r="AK14" s="15" t="e">
        <v>#NAME?</v>
      </c>
      <c r="AL14" s="15" t="e">
        <f aca="false">_xlfn.xlookup(AK14,A:A,F:F)</f>
        <v>#NAME?</v>
      </c>
      <c r="AM14" s="15" t="e">
        <f aca="false">_xlfn.xlookup(AK14,A:A,J:J)</f>
        <v>#NAME?</v>
      </c>
      <c r="AN14" s="15" t="e">
        <f aca="false">_xlfn.xlookup(AK14,A:A,M:M)+_xlfn.xlookup(AK14,A:A,N:N)</f>
        <v>#NAME?</v>
      </c>
      <c r="AO14" s="223" t="e">
        <f aca="false">_xlfn.xlookup(AK14,A:A,AG:AG)</f>
        <v>#NAME?</v>
      </c>
      <c r="AP14" s="223" t="e">
        <f aca="false">_xlfn.xlookup(AK14,A:A,AD:AD)</f>
        <v>#NAME?</v>
      </c>
      <c r="AQ14" s="223" t="e">
        <f aca="false">_xlfn.xlookup(AK14,A:A,AE:AE)</f>
        <v>#NAME?</v>
      </c>
      <c r="AS14" s="0"/>
      <c r="AT14" s="0"/>
      <c r="AU14" s="0"/>
      <c r="AV14" s="0"/>
      <c r="AW14" s="0"/>
      <c r="AX14" s="1"/>
      <c r="AY14" s="1"/>
      <c r="AZ14" s="36"/>
      <c r="BA14" s="257" t="e">
        <v>#NAME?</v>
      </c>
      <c r="BB14" s="257" t="e">
        <f aca="false">_xlfn.xlookup(BA14,A:A,F:F)</f>
        <v>#NAME?</v>
      </c>
      <c r="BC14" s="257" t="e">
        <f aca="false">_xlfn.xlookup(BA14,A:A,J:J)</f>
        <v>#NAME?</v>
      </c>
      <c r="BD14" s="75" t="e">
        <f aca="false">_xlfn.xlookup(BA14,A:A,M:M)+_xlfn.xlookup(BA14,A:A,N:N)</f>
        <v>#NAME?</v>
      </c>
      <c r="BE14" s="75" t="e">
        <f aca="false">_xlfn.xlookup(BA14,$A$3:$A$990,$AA$3:$AA$990)</f>
        <v>#NAME?</v>
      </c>
      <c r="BF14" s="257"/>
      <c r="BG14" s="0"/>
      <c r="BH14" s="0"/>
      <c r="BI14" s="0"/>
      <c r="BL14" s="270" t="s">
        <v>364</v>
      </c>
      <c r="BM14" s="278" t="n">
        <v>126143.48</v>
      </c>
    </row>
    <row r="15" customFormat="false" ht="16.4" hidden="false" customHeight="false" outlineLevel="0" collapsed="false">
      <c r="A15" s="241" t="s">
        <v>904</v>
      </c>
      <c r="B15" s="241"/>
      <c r="C15" s="242" t="n">
        <v>45441</v>
      </c>
      <c r="D15" s="219" t="n">
        <v>163</v>
      </c>
      <c r="E15" s="241" t="str">
        <f aca="false">_xlfn.xlookup(D15,'PO Client'!$A:$A,'PO Client'!$C:$C,FALSE())&amp;""</f>
        <v>Étiquettes Rive-Sud</v>
      </c>
      <c r="F15" s="241" t="str">
        <f aca="false">_xlfn.xlookup(E15,Clients!B:B,Clients!C:C)</f>
        <v>Étiquettes Rive-Sud</v>
      </c>
      <c r="G15" s="241"/>
      <c r="H15" s="243" t="n">
        <v>40044</v>
      </c>
      <c r="I15" s="243" t="n">
        <v>30017</v>
      </c>
      <c r="J15" s="244" t="str">
        <f aca="false">_xlfn.xlookup(I15,'Prix MP'!A:A,'Prix MP'!F:F,FALSE())</f>
        <v>B25-3</v>
      </c>
      <c r="K15" s="245" t="n">
        <f aca="false">61.125*12*14.485</f>
        <v>10624.7475</v>
      </c>
      <c r="L15" s="245" t="n">
        <f aca="false">61.125*12*9.3</f>
        <v>6821.55</v>
      </c>
      <c r="M15" s="245" t="n">
        <f aca="false">8.66*12*(5*6+4.8)</f>
        <v>3616.416</v>
      </c>
      <c r="N15" s="245" t="n">
        <v>0</v>
      </c>
      <c r="O15" s="245"/>
      <c r="P15" s="246"/>
      <c r="Q15" s="219" t="n">
        <v>2</v>
      </c>
      <c r="R15" s="247" t="n">
        <v>0</v>
      </c>
      <c r="S15" s="272"/>
      <c r="T15" s="248" t="n">
        <f aca="false">_xlfn.xlookup(I15,'Prix MP'!A:A,'Prix MP'!U:U, FALSE())</f>
        <v>0.326284886247867</v>
      </c>
      <c r="U15" s="249" t="n">
        <f aca="false">M15*T15</f>
        <v>1179.98188318497</v>
      </c>
      <c r="V15" s="249" t="n">
        <f aca="false">(K15-M15-L15)*T15</f>
        <v>60.9439804807059</v>
      </c>
      <c r="W15" s="250" t="n">
        <f aca="false">(K15-M15-L15)/K15</f>
        <v>0.0175798530741554</v>
      </c>
      <c r="X15" s="249" t="n">
        <v>14.7325855764706</v>
      </c>
      <c r="Y15" s="249" t="n">
        <v>19.2</v>
      </c>
      <c r="Z15" s="249" t="n">
        <f aca="false">125000/52/40*Q15</f>
        <v>120.192307692308</v>
      </c>
      <c r="AA15" s="249" t="n">
        <f aca="false">(M15+N15)*T15+R15+V15+X15+Y15+Z15</f>
        <v>1395.05075693445</v>
      </c>
      <c r="AB15" s="285" t="n">
        <v>0.532</v>
      </c>
      <c r="AC15" s="285" t="str">
        <f aca="false">_xlfn.xlookup(H15,'Prix vente'!A:A,'Prix vente'!Z:Z, "")</f>
        <v>CAD</v>
      </c>
      <c r="AD15" s="249" t="n">
        <f aca="false">IF(AC15="CAD",(M15+N15)*AB15,(M15+N15)*AB15*S15)</f>
        <v>1923.933312</v>
      </c>
      <c r="AE15" s="249" t="n">
        <f aca="false">AD15-AA15</f>
        <v>528.88255506555</v>
      </c>
      <c r="AF15" s="273" t="n">
        <f aca="false">1-AA15/AD15</f>
        <v>0.274896511103993</v>
      </c>
      <c r="AG15" s="252" t="n">
        <f aca="false">((M15+N15)*T15+V15)</f>
        <v>1240.92586366567</v>
      </c>
      <c r="AH15" s="273" t="n">
        <f aca="false">AG15/AD15</f>
        <v>0.64499421883583</v>
      </c>
      <c r="AI15" s="273" t="str">
        <f aca="false">IF(AD15=0,"S","")</f>
        <v/>
      </c>
      <c r="AK15" s="15" t="e">
        <v>#NAME?</v>
      </c>
      <c r="AL15" s="15" t="e">
        <f aca="false">_xlfn.xlookup(AK15,A:A,F:F)</f>
        <v>#NAME?</v>
      </c>
      <c r="AM15" s="15" t="e">
        <f aca="false">_xlfn.xlookup(AK15,A:A,J:J)</f>
        <v>#NAME?</v>
      </c>
      <c r="AN15" s="15" t="e">
        <f aca="false">_xlfn.xlookup(AK15,A:A,M:M)+_xlfn.xlookup(AK15,A:A,N:N)</f>
        <v>#NAME?</v>
      </c>
      <c r="AO15" s="223" t="e">
        <f aca="false">_xlfn.xlookup(AK15,A:A,AG:AG)</f>
        <v>#NAME?</v>
      </c>
      <c r="AP15" s="223" t="e">
        <f aca="false">_xlfn.xlookup(AK15,A:A,AD:AD)</f>
        <v>#NAME?</v>
      </c>
      <c r="AQ15" s="223" t="e">
        <f aca="false">_xlfn.xlookup(AK15,A:A,AE:AE)</f>
        <v>#NAME?</v>
      </c>
      <c r="AS15" s="0"/>
      <c r="AT15" s="0"/>
      <c r="AU15" s="0"/>
      <c r="AV15" s="0"/>
      <c r="AW15" s="0"/>
      <c r="AX15" s="1"/>
      <c r="AY15" s="1"/>
      <c r="AZ15" s="36"/>
      <c r="BA15" s="257" t="e">
        <v>#NAME?</v>
      </c>
      <c r="BB15" s="257" t="e">
        <f aca="false">_xlfn.xlookup(BA15,A:A,F:F)</f>
        <v>#NAME?</v>
      </c>
      <c r="BC15" s="257" t="e">
        <f aca="false">_xlfn.xlookup(BA15,A:A,J:J)</f>
        <v>#NAME?</v>
      </c>
      <c r="BD15" s="75" t="e">
        <f aca="false">_xlfn.xlookup(BA15,A:A,M:M)+_xlfn.xlookup(BA15,A:A,N:N)</f>
        <v>#NAME?</v>
      </c>
      <c r="BE15" s="75" t="e">
        <f aca="false">_xlfn.xlookup(BA15,$A$3:$A$990,$AA$3:$AA$990)</f>
        <v>#NAME?</v>
      </c>
      <c r="BF15" s="257"/>
      <c r="BG15" s="0"/>
      <c r="BH15" s="0"/>
      <c r="BI15" s="0"/>
      <c r="BL15" s="270" t="s">
        <v>410</v>
      </c>
      <c r="BM15" s="278" t="n">
        <v>633.6</v>
      </c>
    </row>
    <row r="16" customFormat="false" ht="16.4" hidden="false" customHeight="false" outlineLevel="0" collapsed="false">
      <c r="A16" s="241" t="s">
        <v>905</v>
      </c>
      <c r="B16" s="241"/>
      <c r="C16" s="242" t="n">
        <v>45446</v>
      </c>
      <c r="D16" s="219" t="n">
        <v>165</v>
      </c>
      <c r="E16" s="241" t="str">
        <f aca="false">_xlfn.xlookup(D16,'PO Client'!$A:$A,'PO Client'!$C:$C,FALSE())&amp;""</f>
        <v>Digi America Inc.</v>
      </c>
      <c r="F16" s="241" t="str">
        <f aca="false">_xlfn.xlookup(E16,Clients!B:B,Clients!C:C)</f>
        <v>Digi</v>
      </c>
      <c r="G16" s="241"/>
      <c r="H16" s="243" t="n">
        <v>40032</v>
      </c>
      <c r="I16" s="243" t="n">
        <v>30013</v>
      </c>
      <c r="J16" s="244" t="str">
        <f aca="false">_xlfn.xlookup(I16,'Prix MP'!A:A,'Prix MP'!F:F,FALSE())</f>
        <v>D11-1</v>
      </c>
      <c r="K16" s="245" t="n">
        <f aca="false">6*59.53*12*9.843</f>
        <v>42188.67288</v>
      </c>
      <c r="L16" s="245" t="n">
        <f aca="false">9.5*12*(30+4.9+4.85+4.8+4.8+4.78+4.7)</f>
        <v>6706.62</v>
      </c>
      <c r="M16" s="245" t="n">
        <f aca="false">10*12*(5*5*6+4.9*5+4.85*5+4.8*5*2+4.78*5+4.7*5)</f>
        <v>35298</v>
      </c>
      <c r="N16" s="245" t="n">
        <f aca="false">10*12*(5*8+3.6*5+4.6*5)</f>
        <v>9720</v>
      </c>
      <c r="O16" s="245"/>
      <c r="P16" s="246"/>
      <c r="Q16" s="219" t="n">
        <v>12</v>
      </c>
      <c r="R16" s="247" t="n">
        <v>-69.48</v>
      </c>
      <c r="S16" s="272" t="n">
        <v>1.37</v>
      </c>
      <c r="T16" s="248" t="n">
        <f aca="false">_xlfn.xlookup(I16,'Prix MP'!A:A,'Prix MP'!U:U, FALSE())</f>
        <v>0.358173933722525</v>
      </c>
      <c r="U16" s="249" t="n">
        <f aca="false">(M16+N16)*T16</f>
        <v>16124.2741483206</v>
      </c>
      <c r="V16" s="249" t="n">
        <f aca="false">(K16-M16-L16)*T16</f>
        <v>65.9229440425593</v>
      </c>
      <c r="W16" s="250" t="n">
        <f aca="false">(K16-M16-L16)/K16</f>
        <v>0.00436261364569376</v>
      </c>
      <c r="X16" s="249" t="n">
        <v>174.982870588235</v>
      </c>
      <c r="Y16" s="249" t="n">
        <f aca="false">7*19.2</f>
        <v>134.4</v>
      </c>
      <c r="Z16" s="249" t="n">
        <f aca="false">125000/52/40*Q16</f>
        <v>721.153846153846</v>
      </c>
      <c r="AA16" s="249" t="n">
        <f aca="false">(M16+N16)*T16+R16+V16+X16+Y16+Z16</f>
        <v>17151.2538091053</v>
      </c>
      <c r="AB16" s="285" t="n">
        <v>0.31</v>
      </c>
      <c r="AC16" s="285" t="str">
        <f aca="false">_xlfn.xlookup(H16,'Prix vente'!A:A,'Prix vente'!Z:Z, "")</f>
        <v>USD</v>
      </c>
      <c r="AD16" s="249" t="n">
        <f aca="false">IF(AC16="CAD",(M16+N16)*AB16,(M16+N16)*AB16*S16)</f>
        <v>19119.1446</v>
      </c>
      <c r="AE16" s="249" t="n">
        <f aca="false">AD16-AA16</f>
        <v>1967.89079089473</v>
      </c>
      <c r="AF16" s="273" t="n">
        <f aca="false">1-AA16/AD16</f>
        <v>0.102927763352693</v>
      </c>
      <c r="AG16" s="252" t="n">
        <f aca="false">((M16+N16)*T16+V16)</f>
        <v>16190.1970923632</v>
      </c>
      <c r="AH16" s="273" t="n">
        <f aca="false">AG16/AD16</f>
        <v>0.846805515156949</v>
      </c>
      <c r="AI16" s="273" t="str">
        <f aca="false">IF(AD16=0,"S","")</f>
        <v/>
      </c>
      <c r="AK16" s="15" t="e">
        <v>#NAME?</v>
      </c>
      <c r="AL16" s="15" t="e">
        <f aca="false">_xlfn.xlookup(AK16,A:A,F:F)</f>
        <v>#NAME?</v>
      </c>
      <c r="AM16" s="15" t="e">
        <f aca="false">_xlfn.xlookup(AK16,A:A,J:J)</f>
        <v>#NAME?</v>
      </c>
      <c r="AN16" s="15" t="e">
        <f aca="false">_xlfn.xlookup(AK16,A:A,M:M)+_xlfn.xlookup(AK16,A:A,N:N)</f>
        <v>#NAME?</v>
      </c>
      <c r="AO16" s="223" t="e">
        <f aca="false">_xlfn.xlookup(AK16,A:A,AG:AG)</f>
        <v>#NAME?</v>
      </c>
      <c r="AP16" s="223" t="e">
        <f aca="false">_xlfn.xlookup(AK16,A:A,AD:AD)</f>
        <v>#NAME?</v>
      </c>
      <c r="AQ16" s="223" t="e">
        <f aca="false">_xlfn.xlookup(AK16,A:A,AE:AE)</f>
        <v>#NAME?</v>
      </c>
      <c r="AS16" s="0"/>
      <c r="AT16" s="0"/>
      <c r="AU16" s="0"/>
      <c r="AV16" s="0"/>
      <c r="AW16" s="0"/>
      <c r="AX16" s="1"/>
      <c r="AY16" s="1"/>
      <c r="AZ16" s="36"/>
      <c r="BA16" s="257" t="e">
        <v>#NAME?</v>
      </c>
      <c r="BB16" s="257" t="e">
        <f aca="false">_xlfn.xlookup(BA16,A:A,F:F)</f>
        <v>#NAME?</v>
      </c>
      <c r="BC16" s="257" t="e">
        <f aca="false">_xlfn.xlookup(BA16,A:A,J:J)</f>
        <v>#NAME?</v>
      </c>
      <c r="BD16" s="75" t="e">
        <f aca="false">_xlfn.xlookup(BA16,A:A,M:M)+_xlfn.xlookup(BA16,A:A,N:N)</f>
        <v>#NAME?</v>
      </c>
      <c r="BE16" s="75" t="e">
        <f aca="false">_xlfn.xlookup(BA16,$A$3:$A$990,$AA$3:$AA$990)</f>
        <v>#NAME?</v>
      </c>
      <c r="BF16" s="257"/>
      <c r="BG16" s="0"/>
      <c r="BH16" s="0"/>
      <c r="BI16" s="0"/>
      <c r="BL16" s="270" t="s">
        <v>414</v>
      </c>
      <c r="BM16" s="278" t="n">
        <v>1128</v>
      </c>
    </row>
    <row r="17" customFormat="false" ht="16.4" hidden="false" customHeight="false" outlineLevel="0" collapsed="false">
      <c r="A17" s="241" t="s">
        <v>907</v>
      </c>
      <c r="B17" s="241"/>
      <c r="C17" s="242" t="n">
        <v>45447</v>
      </c>
      <c r="D17" s="219" t="n">
        <v>166</v>
      </c>
      <c r="E17" s="241" t="str">
        <f aca="false">_xlfn.xlookup(D17,'PO Client'!$A:$A,'PO Client'!$C:$C,FALSE())&amp;""</f>
        <v>Étiquettes Rive-Sud</v>
      </c>
      <c r="F17" s="241" t="str">
        <f aca="false">_xlfn.xlookup(E17,Clients!B:B,Clients!C:C)</f>
        <v>Étiquettes Rive-Sud</v>
      </c>
      <c r="G17" s="241"/>
      <c r="H17" s="243" t="n">
        <v>40039</v>
      </c>
      <c r="I17" s="243" t="n">
        <v>30012</v>
      </c>
      <c r="J17" s="244" t="str">
        <f aca="false">_xlfn.xlookup(I17,'Prix MP'!A:A,'Prix MP'!F:F,FALSE())</f>
        <v>D21-1</v>
      </c>
      <c r="K17" s="245" t="n">
        <f aca="false">60.24*9.843*12</f>
        <v>7115.30784</v>
      </c>
      <c r="L17" s="245" t="n">
        <v>0</v>
      </c>
      <c r="M17" s="245" t="n">
        <v>7007</v>
      </c>
      <c r="N17" s="245" t="n">
        <v>0</v>
      </c>
      <c r="O17" s="245"/>
      <c r="P17" s="246"/>
      <c r="Q17" s="219" t="n">
        <v>4</v>
      </c>
      <c r="R17" s="247" t="n">
        <v>0</v>
      </c>
      <c r="S17" s="272"/>
      <c r="T17" s="248" t="n">
        <f aca="false">_xlfn.xlookup(I17,'Prix MP'!A:A,'Prix MP'!U:U, FALSE())</f>
        <v>0.327974576595346</v>
      </c>
      <c r="U17" s="249" t="n">
        <f aca="false">M17*T17</f>
        <v>2298.11785820359</v>
      </c>
      <c r="V17" s="249" t="n">
        <f aca="false">(K17-M17-L17)*T17</f>
        <v>35.5222179659563</v>
      </c>
      <c r="W17" s="250" t="n">
        <f aca="false">(K17-M17-L17)/K17</f>
        <v>0.0152218066224946</v>
      </c>
      <c r="X17" s="249" t="n">
        <v>29.4651711529412</v>
      </c>
      <c r="Y17" s="249" t="n">
        <f aca="false">1*19.2</f>
        <v>19.2</v>
      </c>
      <c r="Z17" s="249" t="n">
        <f aca="false">125000/52/40*Q17</f>
        <v>240.384615384615</v>
      </c>
      <c r="AA17" s="249" t="n">
        <f aca="false">(M17+N17)*T17+R17+V17+X17+Y17+Z17</f>
        <v>2622.6898627071</v>
      </c>
      <c r="AB17" s="285" t="n">
        <v>0.448</v>
      </c>
      <c r="AC17" s="285" t="str">
        <f aca="false">_xlfn.xlookup(H17,'Prix vente'!A:A,'Prix vente'!Z:Z, "")</f>
        <v>CAD</v>
      </c>
      <c r="AD17" s="249" t="n">
        <f aca="false">IF(AC17="CAD",(M17+N17)*AB17,(M17+N17)*AB17*S17)</f>
        <v>3139.136</v>
      </c>
      <c r="AE17" s="249" t="n">
        <f aca="false">AD17-AA17</f>
        <v>516.446137292896</v>
      </c>
      <c r="AF17" s="273" t="n">
        <f aca="false">1-AA17/AD17</f>
        <v>0.164518560932975</v>
      </c>
      <c r="AG17" s="252" t="n">
        <f aca="false">((M17+N17)*T17+V17)</f>
        <v>2333.64007616955</v>
      </c>
      <c r="AH17" s="273" t="n">
        <f aca="false">AG17/AD17</f>
        <v>0.743402030421602</v>
      </c>
      <c r="AI17" s="273" t="str">
        <f aca="false">IF(AD17=0,"S","")</f>
        <v/>
      </c>
      <c r="AK17" s="15" t="e">
        <v>#NAME?</v>
      </c>
      <c r="AL17" s="15" t="e">
        <f aca="false">_xlfn.xlookup(AK17,A:A,F:F)</f>
        <v>#NAME?</v>
      </c>
      <c r="AM17" s="15" t="e">
        <f aca="false">_xlfn.xlookup(AK17,A:A,J:J)</f>
        <v>#NAME?</v>
      </c>
      <c r="AN17" s="15" t="e">
        <f aca="false">_xlfn.xlookup(AK17,A:A,M:M)+_xlfn.xlookup(AK17,A:A,N:N)</f>
        <v>#NAME?</v>
      </c>
      <c r="AO17" s="223" t="e">
        <f aca="false">_xlfn.xlookup(AK17,A:A,AG:AG)</f>
        <v>#NAME?</v>
      </c>
      <c r="AP17" s="223" t="e">
        <f aca="false">_xlfn.xlookup(AK17,A:A,AD:AD)</f>
        <v>#NAME?</v>
      </c>
      <c r="AQ17" s="223" t="e">
        <f aca="false">_xlfn.xlookup(AK17,A:A,AE:AE)</f>
        <v>#NAME?</v>
      </c>
      <c r="AS17" s="0"/>
      <c r="AT17" s="0"/>
      <c r="AU17" s="0"/>
      <c r="AV17" s="0"/>
      <c r="AW17" s="0"/>
      <c r="AX17" s="1"/>
      <c r="AY17" s="1"/>
      <c r="AZ17" s="36"/>
      <c r="BA17" s="257" t="e">
        <v>#NAME?</v>
      </c>
      <c r="BB17" s="257" t="e">
        <f aca="false">_xlfn.xlookup(BA17,A:A,F:F)</f>
        <v>#NAME?</v>
      </c>
      <c r="BC17" s="257" t="e">
        <f aca="false">_xlfn.xlookup(BA17,A:A,J:J)</f>
        <v>#NAME?</v>
      </c>
      <c r="BD17" s="75" t="e">
        <f aca="false">_xlfn.xlookup(BA17,A:A,M:M)+_xlfn.xlookup(BA17,A:A,N:N)</f>
        <v>#NAME?</v>
      </c>
      <c r="BE17" s="75" t="e">
        <f aca="false">_xlfn.xlookup(BA17,$A$3:$A$990,$AA$3:$AA$990)</f>
        <v>#NAME?</v>
      </c>
      <c r="BF17" s="257"/>
      <c r="BG17" s="0"/>
      <c r="BH17" s="0"/>
      <c r="BI17" s="0"/>
      <c r="BL17" s="270" t="s">
        <v>332</v>
      </c>
      <c r="BM17" s="278" t="n">
        <v>135919.7247</v>
      </c>
    </row>
    <row r="18" customFormat="false" ht="16.4" hidden="false" customHeight="false" outlineLevel="0" collapsed="false">
      <c r="A18" s="241" t="s">
        <v>908</v>
      </c>
      <c r="B18" s="241"/>
      <c r="C18" s="242" t="n">
        <v>45453</v>
      </c>
      <c r="D18" s="219" t="n">
        <v>167</v>
      </c>
      <c r="E18" s="241" t="str">
        <f aca="false">_xlfn.xlookup(D18,'PO Client'!$A:$A,'PO Client'!$C:$C,FALSE())&amp;""</f>
        <v>Profecta</v>
      </c>
      <c r="F18" s="241" t="str">
        <f aca="false">_xlfn.xlookup(E18,Clients!B:B,Clients!C:C)</f>
        <v>Profecta</v>
      </c>
      <c r="G18" s="241"/>
      <c r="H18" s="243" t="n">
        <v>40047</v>
      </c>
      <c r="I18" s="243" t="n">
        <v>30011</v>
      </c>
      <c r="J18" s="244" t="str">
        <f aca="false">_xlfn.xlookup(I18,'Prix MP'!A:A,'Prix MP'!F:F,FALSE())</f>
        <v>S21-1</v>
      </c>
      <c r="K18" s="245" t="n">
        <f aca="false">47*9.5*12</f>
        <v>5358</v>
      </c>
      <c r="L18" s="245" t="n">
        <v>4296</v>
      </c>
      <c r="M18" s="245" t="n">
        <v>780</v>
      </c>
      <c r="N18" s="245" t="n">
        <v>0</v>
      </c>
      <c r="O18" s="245"/>
      <c r="P18" s="246"/>
      <c r="Q18" s="219" t="n">
        <v>1</v>
      </c>
      <c r="R18" s="247" t="n">
        <v>65</v>
      </c>
      <c r="S18" s="272"/>
      <c r="T18" s="248" t="n">
        <f aca="false">_xlfn.xlookup(I18,'Prix MP'!A:A,'Prix MP'!U:U, FALSE())</f>
        <v>0.28357864079936</v>
      </c>
      <c r="U18" s="249" t="n">
        <f aca="false">M18*T18</f>
        <v>221.191339823501</v>
      </c>
      <c r="V18" s="249" t="n">
        <f aca="false">(K18-M18-L18)*T18</f>
        <v>79.9691767054195</v>
      </c>
      <c r="W18" s="250" t="n">
        <f aca="false">(K18-M18-L18)/K18</f>
        <v>0.0526315789473684</v>
      </c>
      <c r="X18" s="249" t="n">
        <v>3.15941294117647</v>
      </c>
      <c r="Y18" s="249" t="n">
        <f aca="false">1*19.2</f>
        <v>19.2</v>
      </c>
      <c r="Z18" s="249" t="n">
        <f aca="false">125000/52/40*Q18</f>
        <v>60.0961538461539</v>
      </c>
      <c r="AA18" s="249" t="n">
        <f aca="false">(M18+N18)*T18+R18+V18+X18+Y18+Z18</f>
        <v>448.616083316251</v>
      </c>
      <c r="AB18" s="285" t="n">
        <v>0.26</v>
      </c>
      <c r="AC18" s="285" t="str">
        <f aca="false">_xlfn.xlookup(H18,'Prix vente'!A:A,'Prix vente'!Z:Z, "")</f>
        <v>USD</v>
      </c>
      <c r="AD18" s="249" t="n">
        <v>0</v>
      </c>
      <c r="AE18" s="249" t="n">
        <f aca="false">AD18-AA18</f>
        <v>-448.616083316251</v>
      </c>
      <c r="AF18" s="273"/>
      <c r="AG18" s="252" t="n">
        <f aca="false">((M18+N18)*T18+V18)</f>
        <v>301.16051652892</v>
      </c>
      <c r="AH18" s="273"/>
      <c r="AI18" s="273" t="str">
        <f aca="false">IF(AD18=0,"S","")</f>
        <v>S</v>
      </c>
      <c r="AK18" s="15" t="e">
        <v>#NAME?</v>
      </c>
      <c r="AL18" s="15" t="e">
        <f aca="false">_xlfn.xlookup(AK18,A:A,F:F)</f>
        <v>#NAME?</v>
      </c>
      <c r="AM18" s="15" t="e">
        <f aca="false">_xlfn.xlookup(AK18,A:A,J:J)</f>
        <v>#NAME?</v>
      </c>
      <c r="AN18" s="15" t="e">
        <f aca="false">_xlfn.xlookup(AK18,A:A,M:M)+_xlfn.xlookup(AK18,A:A,N:N)</f>
        <v>#NAME?</v>
      </c>
      <c r="AO18" s="223" t="e">
        <f aca="false">_xlfn.xlookup(AK18,A:A,AG:AG)</f>
        <v>#NAME?</v>
      </c>
      <c r="AP18" s="223" t="e">
        <f aca="false">_xlfn.xlookup(AK18,A:A,AD:AD)</f>
        <v>#NAME?</v>
      </c>
      <c r="AQ18" s="223" t="e">
        <f aca="false">_xlfn.xlookup(AK18,A:A,AE:AE)</f>
        <v>#NAME?</v>
      </c>
      <c r="AS18" s="0"/>
      <c r="AT18" s="0"/>
      <c r="AU18" s="0"/>
      <c r="AV18" s="0"/>
      <c r="AW18" s="0"/>
      <c r="AX18" s="1"/>
      <c r="AY18" s="1"/>
      <c r="AZ18" s="36"/>
      <c r="BA18" s="257" t="e">
        <v>#NAME?</v>
      </c>
      <c r="BB18" s="257" t="e">
        <f aca="false">_xlfn.xlookup(BA18,A:A,F:F)</f>
        <v>#NAME?</v>
      </c>
      <c r="BC18" s="257" t="e">
        <f aca="false">_xlfn.xlookup(BA18,A:A,J:J)</f>
        <v>#NAME?</v>
      </c>
      <c r="BD18" s="75" t="e">
        <f aca="false">_xlfn.xlookup(BA18,A:A,M:M)+_xlfn.xlookup(BA18,A:A,N:N)</f>
        <v>#NAME?</v>
      </c>
      <c r="BE18" s="75" t="e">
        <f aca="false">_xlfn.xlookup(BA18,$A$3:$A$990,$AA$3:$AA$990)</f>
        <v>#NAME?</v>
      </c>
      <c r="BF18" s="257"/>
      <c r="BG18" s="0"/>
      <c r="BH18" s="0"/>
      <c r="BI18" s="0"/>
      <c r="BL18" s="270" t="s">
        <v>421</v>
      </c>
      <c r="BM18" s="278" t="n">
        <v>48564</v>
      </c>
    </row>
    <row r="19" customFormat="false" ht="16.4" hidden="false" customHeight="false" outlineLevel="0" collapsed="false">
      <c r="A19" s="241" t="s">
        <v>910</v>
      </c>
      <c r="B19" s="241"/>
      <c r="C19" s="242" t="n">
        <v>45457</v>
      </c>
      <c r="D19" s="219" t="n">
        <v>168</v>
      </c>
      <c r="E19" s="241" t="str">
        <f aca="false">_xlfn.xlookup(D19,'PO Client'!$A:$A,'PO Client'!$C:$C,FALSE())&amp;""</f>
        <v>Imprimerie Ste-Julie</v>
      </c>
      <c r="F19" s="241" t="str">
        <f aca="false">_xlfn.xlookup(E19,Clients!B:B,Clients!C:C)</f>
        <v>Imprimerie Ste-Julie</v>
      </c>
      <c r="G19" s="241"/>
      <c r="H19" s="243" t="n">
        <v>40048</v>
      </c>
      <c r="I19" s="243" t="n">
        <v>30011</v>
      </c>
      <c r="J19" s="244" t="str">
        <f aca="false">_xlfn.xlookup(I19,'Prix MP'!A:A,'Prix MP'!F:F,FALSE())</f>
        <v>S21-1</v>
      </c>
      <c r="K19" s="245" t="n">
        <f aca="false">34*5*12</f>
        <v>2040</v>
      </c>
      <c r="L19" s="245" t="n">
        <v>1318.8</v>
      </c>
      <c r="M19" s="245" t="n">
        <v>718.56</v>
      </c>
      <c r="N19" s="245" t="n">
        <v>0</v>
      </c>
      <c r="O19" s="245"/>
      <c r="P19" s="246"/>
      <c r="Q19" s="219" t="n">
        <v>1</v>
      </c>
      <c r="R19" s="247" t="n">
        <v>71.5</v>
      </c>
      <c r="S19" s="272"/>
      <c r="T19" s="248" t="n">
        <f aca="false">_xlfn.xlookup(I19,'Prix MP'!A:A,'Prix MP'!U:U, FALSE())</f>
        <v>0.28357864079936</v>
      </c>
      <c r="U19" s="249" t="n">
        <f aca="false">M19*T19</f>
        <v>203.768268132788</v>
      </c>
      <c r="V19" s="249" t="n">
        <f aca="false">(K19-M19-L19)*T19</f>
        <v>0.748647611710339</v>
      </c>
      <c r="W19" s="250" t="n">
        <f aca="false">(K19-M19-L19)/K19</f>
        <v>0.00129411764705887</v>
      </c>
      <c r="X19" s="249" t="n">
        <v>2.91638117647059</v>
      </c>
      <c r="Y19" s="249" t="n">
        <f aca="false">1*19.2</f>
        <v>19.2</v>
      </c>
      <c r="Z19" s="249" t="n">
        <f aca="false">125000/52/40*Q19</f>
        <v>60.0961538461539</v>
      </c>
      <c r="AA19" s="249" t="n">
        <f aca="false">(M19+N19)*T19+R19+V19+X19+Y19+Z19</f>
        <v>358.229450767123</v>
      </c>
      <c r="AB19" s="285" t="n">
        <v>0.27</v>
      </c>
      <c r="AC19" s="285" t="str">
        <f aca="false">_xlfn.xlookup(H19,'Prix vente'!A:A,'Prix vente'!Z:Z, "")</f>
        <v>USD</v>
      </c>
      <c r="AD19" s="249" t="n">
        <v>0</v>
      </c>
      <c r="AE19" s="249" t="n">
        <f aca="false">AD19-AA19</f>
        <v>-358.229450767123</v>
      </c>
      <c r="AF19" s="273"/>
      <c r="AG19" s="252" t="n">
        <f aca="false">((M19+N19)*T19+V19)</f>
        <v>204.516915744498</v>
      </c>
      <c r="AH19" s="273"/>
      <c r="AI19" s="273" t="str">
        <f aca="false">IF(AD19=0,"S","")</f>
        <v>S</v>
      </c>
      <c r="AK19" s="15" t="e">
        <v>#NAME?</v>
      </c>
      <c r="AL19" s="15" t="e">
        <f aca="false">_xlfn.xlookup(AK19,A:A,F:F)</f>
        <v>#NAME?</v>
      </c>
      <c r="AM19" s="15" t="e">
        <f aca="false">_xlfn.xlookup(AK19,A:A,J:J)</f>
        <v>#NAME?</v>
      </c>
      <c r="AN19" s="15" t="e">
        <f aca="false">_xlfn.xlookup(AK19,A:A,M:M)+_xlfn.xlookup(AK19,A:A,N:N)</f>
        <v>#NAME?</v>
      </c>
      <c r="AO19" s="223" t="e">
        <f aca="false">_xlfn.xlookup(AK19,A:A,AG:AG)</f>
        <v>#NAME?</v>
      </c>
      <c r="AP19" s="223" t="e">
        <f aca="false">_xlfn.xlookup(AK19,A:A,AD:AD)</f>
        <v>#NAME?</v>
      </c>
      <c r="AQ19" s="223" t="e">
        <f aca="false">_xlfn.xlookup(AK19,A:A,AE:AE)</f>
        <v>#NAME?</v>
      </c>
      <c r="AS19" s="0"/>
      <c r="AT19" s="0"/>
      <c r="AU19" s="0"/>
      <c r="AV19" s="0"/>
      <c r="AW19" s="0"/>
      <c r="AX19" s="1"/>
      <c r="AY19" s="1"/>
      <c r="AZ19" s="36"/>
      <c r="BA19" s="257" t="e">
        <v>#NAME?</v>
      </c>
      <c r="BB19" s="257" t="e">
        <f aca="false">_xlfn.xlookup(BA19,A:A,F:F)</f>
        <v>#NAME?</v>
      </c>
      <c r="BC19" s="257" t="e">
        <f aca="false">_xlfn.xlookup(BA19,A:A,J:J)</f>
        <v>#NAME?</v>
      </c>
      <c r="BD19" s="75" t="e">
        <f aca="false">_xlfn.xlookup(BA19,A:A,M:M)+_xlfn.xlookup(BA19,A:A,N:N)</f>
        <v>#NAME?</v>
      </c>
      <c r="BE19" s="75" t="e">
        <f aca="false">_xlfn.xlookup(BA19,$A$3:$A$990,$AA$3:$AA$990)</f>
        <v>#NAME?</v>
      </c>
      <c r="BF19" s="257"/>
      <c r="BG19" s="0"/>
      <c r="BH19" s="0"/>
      <c r="BI19" s="0"/>
      <c r="BL19" s="270" t="s">
        <v>1434</v>
      </c>
      <c r="BM19" s="271"/>
    </row>
    <row r="20" customFormat="false" ht="16.4" hidden="false" customHeight="false" outlineLevel="0" collapsed="false">
      <c r="A20" s="241" t="s">
        <v>912</v>
      </c>
      <c r="B20" s="241"/>
      <c r="C20" s="242" t="n">
        <v>45462</v>
      </c>
      <c r="D20" s="219" t="n">
        <v>169</v>
      </c>
      <c r="E20" s="241" t="str">
        <f aca="false">_xlfn.xlookup(D20,'PO Client'!$A:$A,'PO Client'!$C:$C,FALSE())&amp;""</f>
        <v>Étiquettes Luso-Flex</v>
      </c>
      <c r="F20" s="241" t="str">
        <f aca="false">_xlfn.xlookup(E20,Clients!B:B,Clients!C:C)</f>
        <v>Luso-Flex</v>
      </c>
      <c r="G20" s="241"/>
      <c r="H20" s="243" t="n">
        <v>40049</v>
      </c>
      <c r="I20" s="243" t="n">
        <v>30012</v>
      </c>
      <c r="J20" s="244" t="str">
        <f aca="false">_xlfn.xlookup(I20,'Prix MP'!A:A,'Prix MP'!F:F,FALSE())</f>
        <v>D21-1</v>
      </c>
      <c r="K20" s="245" t="n">
        <f aca="false">60.24*4.8*12</f>
        <v>3469.824</v>
      </c>
      <c r="L20" s="245" t="n">
        <f aca="false">648+1876.01</f>
        <v>2524.01</v>
      </c>
      <c r="M20" s="245" t="n">
        <v>685.21</v>
      </c>
      <c r="N20" s="245" t="n">
        <v>0</v>
      </c>
      <c r="O20" s="245"/>
      <c r="P20" s="246"/>
      <c r="Q20" s="219" t="n">
        <v>1.5</v>
      </c>
      <c r="R20" s="247" t="n">
        <v>65</v>
      </c>
      <c r="S20" s="272"/>
      <c r="T20" s="248" t="n">
        <f aca="false">_xlfn.xlookup(I20,'Prix MP'!A:A,'Prix MP'!U:U, FALSE())</f>
        <v>0.327974576595346</v>
      </c>
      <c r="U20" s="249" t="n">
        <f aca="false">M20*T20</f>
        <v>224.731459628897</v>
      </c>
      <c r="V20" s="249" t="n">
        <f aca="false">(K20-M20-L20)*T20</f>
        <v>85.4714865590534</v>
      </c>
      <c r="W20" s="250" t="n">
        <f aca="false">(K20-M20-L20)/K20</f>
        <v>0.0751058266932269</v>
      </c>
      <c r="X20" s="249" t="n">
        <v>3.12903397058824</v>
      </c>
      <c r="Y20" s="249" t="n">
        <f aca="false">1*19.2</f>
        <v>19.2</v>
      </c>
      <c r="Z20" s="249" t="n">
        <f aca="false">125000/52/40*Q20</f>
        <v>90.1442307692308</v>
      </c>
      <c r="AA20" s="249" t="n">
        <f aca="false">(M20+N20)*T20+R20+V20+X20+Y20+Z20</f>
        <v>487.67621092777</v>
      </c>
      <c r="AB20" s="285" t="n">
        <v>0.466</v>
      </c>
      <c r="AC20" s="285" t="str">
        <f aca="false">_xlfn.xlookup(H20,'Prix vente'!A:A,'Prix vente'!Z:Z, "")</f>
        <v>CAD</v>
      </c>
      <c r="AD20" s="249" t="n">
        <v>0</v>
      </c>
      <c r="AE20" s="249" t="n">
        <f aca="false">AD20-AA20</f>
        <v>-487.67621092777</v>
      </c>
      <c r="AF20" s="273"/>
      <c r="AG20" s="252" t="n">
        <f aca="false">((M20+N20)*T20+V20)</f>
        <v>310.202946187951</v>
      </c>
      <c r="AH20" s="273"/>
      <c r="AI20" s="273" t="str">
        <f aca="false">IF(AD20=0,"S","")</f>
        <v>S</v>
      </c>
      <c r="AK20" s="15" t="e">
        <v>#NAME?</v>
      </c>
      <c r="AL20" s="15" t="e">
        <f aca="false">_xlfn.xlookup(AK20,A:A,F:F)</f>
        <v>#NAME?</v>
      </c>
      <c r="AM20" s="15" t="e">
        <f aca="false">_xlfn.xlookup(AK20,A:A,J:J)</f>
        <v>#NAME?</v>
      </c>
      <c r="AN20" s="15" t="e">
        <f aca="false">_xlfn.xlookup(AK20,A:A,M:M)+_xlfn.xlookup(AK20,A:A,N:N)</f>
        <v>#NAME?</v>
      </c>
      <c r="AO20" s="223" t="e">
        <f aca="false">_xlfn.xlookup(AK20,A:A,AG:AG)</f>
        <v>#NAME?</v>
      </c>
      <c r="AP20" s="223" t="e">
        <f aca="false">_xlfn.xlookup(AK20,A:A,AD:AD)</f>
        <v>#NAME?</v>
      </c>
      <c r="AQ20" s="223" t="e">
        <f aca="false">_xlfn.xlookup(AK20,A:A,AE:AE)</f>
        <v>#NAME?</v>
      </c>
      <c r="AS20" s="0"/>
      <c r="AT20" s="0"/>
      <c r="AU20" s="0"/>
      <c r="AV20" s="0"/>
      <c r="AW20" s="0"/>
      <c r="AX20" s="1"/>
      <c r="AY20" s="1"/>
      <c r="AZ20" s="36"/>
      <c r="BA20" s="257" t="e">
        <v>#NAME?</v>
      </c>
      <c r="BB20" s="257" t="e">
        <f aca="false">_xlfn.xlookup(BA20,A:A,F:F)</f>
        <v>#NAME?</v>
      </c>
      <c r="BC20" s="257" t="e">
        <f aca="false">_xlfn.xlookup(BA20,A:A,J:J)</f>
        <v>#NAME?</v>
      </c>
      <c r="BD20" s="75" t="e">
        <f aca="false">_xlfn.xlookup(BA20,A:A,M:M)+_xlfn.xlookup(BA20,A:A,N:N)</f>
        <v>#NAME?</v>
      </c>
      <c r="BE20" s="75" t="e">
        <f aca="false">_xlfn.xlookup(BA20,$A$3:$A$990,$AA$3:$AA$990)</f>
        <v>#NAME?</v>
      </c>
      <c r="BF20" s="257"/>
      <c r="BG20" s="0"/>
      <c r="BH20" s="0"/>
      <c r="BI20" s="0"/>
      <c r="BL20" s="270" t="s">
        <v>1438</v>
      </c>
      <c r="BM20" s="286"/>
    </row>
    <row r="21" customFormat="false" ht="16.4" hidden="false" customHeight="false" outlineLevel="0" collapsed="false">
      <c r="A21" s="241" t="s">
        <v>914</v>
      </c>
      <c r="B21" s="241"/>
      <c r="C21" s="242" t="n">
        <v>45468</v>
      </c>
      <c r="D21" s="219" t="n">
        <v>170</v>
      </c>
      <c r="E21" s="241" t="str">
        <f aca="false">_xlfn.xlookup(D21,'PO Client'!$A:$A,'PO Client'!$C:$C,FALSE())&amp;""</f>
        <v>Groupe Produlith Inc.</v>
      </c>
      <c r="F21" s="241" t="str">
        <f aca="false">_xlfn.xlookup(E21,Clients!B:B,Clients!C:C)</f>
        <v>Produlith</v>
      </c>
      <c r="G21" s="241"/>
      <c r="H21" s="243" t="n">
        <v>40050</v>
      </c>
      <c r="I21" s="243" t="n">
        <v>30017</v>
      </c>
      <c r="J21" s="244" t="str">
        <f aca="false">_xlfn.xlookup(I21,'Prix MP'!A:A,'Prix MP'!F:F,FALSE())</f>
        <v>B25-3</v>
      </c>
      <c r="K21" s="245" t="n">
        <f aca="false">61.125*9.3*12</f>
        <v>6821.55</v>
      </c>
      <c r="L21" s="245" t="n">
        <v>4884</v>
      </c>
      <c r="M21" s="245" t="n">
        <v>1800</v>
      </c>
      <c r="N21" s="245"/>
      <c r="O21" s="245"/>
      <c r="P21" s="246"/>
      <c r="Q21" s="219" t="n">
        <v>1</v>
      </c>
      <c r="R21" s="247" t="n">
        <v>0</v>
      </c>
      <c r="S21" s="272" t="n">
        <v>1.37</v>
      </c>
      <c r="T21" s="248" t="n">
        <f aca="false">_xlfn.xlookup(I21,'Prix MP'!A:A,'Prix MP'!U:U, FALSE())</f>
        <v>0.326284886247867</v>
      </c>
      <c r="U21" s="249" t="n">
        <f aca="false">M21*T21</f>
        <v>587.31279524616</v>
      </c>
      <c r="V21" s="249" t="n">
        <f aca="false">(K21-M21-L21)*T21</f>
        <v>44.8804861033944</v>
      </c>
      <c r="W21" s="250" t="n">
        <f aca="false">(K21-M21-L21)/K21</f>
        <v>0.0201640389647516</v>
      </c>
      <c r="X21" s="249" t="n">
        <v>14.5819058823529</v>
      </c>
      <c r="Y21" s="249" t="n">
        <f aca="false">1*19.2</f>
        <v>19.2</v>
      </c>
      <c r="Z21" s="249" t="n">
        <f aca="false">125000/52/40*Q21</f>
        <v>60.0961538461539</v>
      </c>
      <c r="AA21" s="249" t="n">
        <f aca="false">(M21+N21)*T21+R21+V21+X21+Y21+Z21</f>
        <v>726.071341078061</v>
      </c>
      <c r="AB21" s="285" t="n">
        <v>0.34</v>
      </c>
      <c r="AC21" s="285" t="str">
        <f aca="false">_xlfn.xlookup(H21,'Prix vente'!A:A,'Prix vente'!Z:Z, "")</f>
        <v>USD</v>
      </c>
      <c r="AD21" s="249" t="n">
        <f aca="false">IF(AC21="CAD",(M21+N21)*AB21,(M21+N21)*AB21*S21)</f>
        <v>838.44</v>
      </c>
      <c r="AE21" s="249" t="n">
        <f aca="false">AD21-AA21</f>
        <v>112.368658921939</v>
      </c>
      <c r="AF21" s="273" t="n">
        <f aca="false">1-AA21/AD21</f>
        <v>0.13402110934824</v>
      </c>
      <c r="AG21" s="252" t="n">
        <f aca="false">((M21+N21)*T21+V21)</f>
        <v>632.193281349555</v>
      </c>
      <c r="AH21" s="273" t="n">
        <f aca="false">AG21/AD21</f>
        <v>0.754011356029715</v>
      </c>
      <c r="AI21" s="273" t="str">
        <f aca="false">IF(AD21=0,"S","")</f>
        <v/>
      </c>
      <c r="AK21" s="15" t="e">
        <v>#NAME?</v>
      </c>
      <c r="AL21" s="15" t="e">
        <f aca="false">_xlfn.xlookup(AK21,A:A,F:F)</f>
        <v>#NAME?</v>
      </c>
      <c r="AM21" s="15" t="e">
        <f aca="false">_xlfn.xlookup(AK21,A:A,J:J)</f>
        <v>#NAME?</v>
      </c>
      <c r="AN21" s="15" t="e">
        <f aca="false">_xlfn.xlookup(AK21,A:A,M:M)+_xlfn.xlookup(AK21,A:A,N:N)</f>
        <v>#NAME?</v>
      </c>
      <c r="AO21" s="223" t="e">
        <f aca="false">_xlfn.xlookup(AK21,A:A,AG:AG)</f>
        <v>#NAME?</v>
      </c>
      <c r="AP21" s="223" t="e">
        <f aca="false">_xlfn.xlookup(AK21,A:A,AD:AD)</f>
        <v>#NAME?</v>
      </c>
      <c r="AQ21" s="223" t="e">
        <f aca="false">_xlfn.xlookup(AK21,A:A,AE:AE)</f>
        <v>#NAME?</v>
      </c>
      <c r="AS21" s="0"/>
      <c r="AT21" s="0"/>
      <c r="AU21" s="0"/>
      <c r="AV21" s="0"/>
      <c r="AW21" s="0"/>
      <c r="AX21" s="1"/>
      <c r="AY21" s="1"/>
      <c r="AZ21" s="36"/>
      <c r="BA21" s="257" t="e">
        <v>#NAME?</v>
      </c>
      <c r="BB21" s="257" t="e">
        <f aca="false">_xlfn.xlookup(BA21,A:A,F:F)</f>
        <v>#NAME?</v>
      </c>
      <c r="BC21" s="257" t="e">
        <f aca="false">_xlfn.xlookup(BA21,A:A,J:J)</f>
        <v>#NAME?</v>
      </c>
      <c r="BD21" s="75" t="e">
        <f aca="false">_xlfn.xlookup(BA21,A:A,M:M)+_xlfn.xlookup(BA21,A:A,N:N)</f>
        <v>#NAME?</v>
      </c>
      <c r="BE21" s="75" t="e">
        <f aca="false">_xlfn.xlookup(BA21,$A$3:$A$990,$AA$3:$AA$990)</f>
        <v>#NAME?</v>
      </c>
      <c r="BF21" s="257"/>
      <c r="BG21" s="0"/>
      <c r="BH21" s="0"/>
      <c r="BI21" s="0"/>
      <c r="BL21" s="274" t="s">
        <v>1436</v>
      </c>
      <c r="BM21" s="287" t="n">
        <v>1506265.4589</v>
      </c>
    </row>
    <row r="22" customFormat="false" ht="16.4" hidden="false" customHeight="false" outlineLevel="0" collapsed="false">
      <c r="A22" s="241" t="s">
        <v>916</v>
      </c>
      <c r="B22" s="241"/>
      <c r="C22" s="242" t="n">
        <v>45475</v>
      </c>
      <c r="D22" s="219" t="n">
        <v>171</v>
      </c>
      <c r="E22" s="241" t="str">
        <f aca="false">_xlfn.xlookup(D22,'PO Client'!$A:$A,'PO Client'!$C:$C,FALSE())&amp;""</f>
        <v>Digi America Inc.</v>
      </c>
      <c r="F22" s="241" t="str">
        <f aca="false">_xlfn.xlookup(E22,Clients!B:B,Clients!C:C)</f>
        <v>Digi</v>
      </c>
      <c r="G22" s="241"/>
      <c r="H22" s="243" t="n">
        <v>40033</v>
      </c>
      <c r="I22" s="243" t="n">
        <v>30013</v>
      </c>
      <c r="J22" s="244" t="str">
        <f aca="false">_xlfn.xlookup(I22,'Prix MP'!A:A,'Prix MP'!F:F,FALSE())</f>
        <v>D11-1</v>
      </c>
      <c r="K22" s="245" t="n">
        <v>56246</v>
      </c>
      <c r="L22" s="245" t="n">
        <v>8889</v>
      </c>
      <c r="M22" s="245" t="n">
        <v>47220</v>
      </c>
      <c r="N22" s="245"/>
      <c r="O22" s="245"/>
      <c r="P22" s="246"/>
      <c r="Q22" s="219" t="n">
        <v>14</v>
      </c>
      <c r="R22" s="247" t="n">
        <v>-59.53</v>
      </c>
      <c r="S22" s="272" t="n">
        <v>1.37</v>
      </c>
      <c r="T22" s="248" t="n">
        <f aca="false">_xlfn.xlookup(I22,'Prix MP'!A:A,'Prix MP'!U:U, FALSE())</f>
        <v>0.358173933722525</v>
      </c>
      <c r="U22" s="249" t="n">
        <f aca="false">M22*T22</f>
        <v>16912.9731503776</v>
      </c>
      <c r="V22" s="249" t="n">
        <f aca="false">(K22-M22-L22)*T22</f>
        <v>49.0698289199859</v>
      </c>
      <c r="W22" s="250" t="n">
        <f aca="false">(K22-M22-L22)/K22</f>
        <v>0.00243572876293425</v>
      </c>
      <c r="X22" s="249" t="n">
        <v>189.564776470588</v>
      </c>
      <c r="Y22" s="249" t="n">
        <f aca="false">7*19.2</f>
        <v>134.4</v>
      </c>
      <c r="Z22" s="249" t="n">
        <f aca="false">125000/52/40*Q22</f>
        <v>841.346153846154</v>
      </c>
      <c r="AA22" s="249" t="n">
        <f aca="false">(M22+N22)*T22+R22+V22+X22+Y22+Z22</f>
        <v>18067.8239096144</v>
      </c>
      <c r="AB22" s="285" t="n">
        <v>0.31</v>
      </c>
      <c r="AC22" s="285" t="str">
        <f aca="false">_xlfn.xlookup(H22,'Prix vente'!A:A,'Prix vente'!Z:Z, "")</f>
        <v>USD</v>
      </c>
      <c r="AD22" s="249" t="n">
        <f aca="false">IF(AC22="CAD",(M22+N22)*AB22,(M22+N22)*AB22*S22)</f>
        <v>20054.334</v>
      </c>
      <c r="AE22" s="249" t="n">
        <f aca="false">AD22-AA22</f>
        <v>1986.51009038564</v>
      </c>
      <c r="AF22" s="273" t="n">
        <f aca="false">1-AA22/AD22</f>
        <v>0.0990563980028277</v>
      </c>
      <c r="AG22" s="252" t="n">
        <f aca="false">((M22+N22)*T22+V22)</f>
        <v>16962.0429792976</v>
      </c>
      <c r="AH22" s="273" t="n">
        <f aca="false">AG22/AD22</f>
        <v>0.845804352281039</v>
      </c>
      <c r="AI22" s="273" t="str">
        <f aca="false">IF(AD22=0,"S","")</f>
        <v/>
      </c>
      <c r="AK22" s="15" t="e">
        <v>#NAME?</v>
      </c>
      <c r="AL22" s="15" t="e">
        <f aca="false">_xlfn.xlookup(AK22,A:A,F:F)</f>
        <v>#NAME?</v>
      </c>
      <c r="AM22" s="15" t="e">
        <f aca="false">_xlfn.xlookup(AK22,A:A,J:J)</f>
        <v>#NAME?</v>
      </c>
      <c r="AN22" s="15" t="e">
        <f aca="false">_xlfn.xlookup(AK22,A:A,M:M)+_xlfn.xlookup(AK22,A:A,N:N)</f>
        <v>#NAME?</v>
      </c>
      <c r="AO22" s="223" t="e">
        <f aca="false">_xlfn.xlookup(AK22,A:A,AG:AG)</f>
        <v>#NAME?</v>
      </c>
      <c r="AP22" s="223" t="e">
        <f aca="false">_xlfn.xlookup(AK22,A:A,AD:AD)</f>
        <v>#NAME?</v>
      </c>
      <c r="AQ22" s="223" t="e">
        <f aca="false">_xlfn.xlookup(AK22,A:A,AE:AE)</f>
        <v>#NAME?</v>
      </c>
      <c r="AS22" s="0"/>
      <c r="AT22" s="0"/>
      <c r="AU22" s="0"/>
      <c r="AV22" s="0"/>
      <c r="AW22" s="0"/>
      <c r="AX22" s="1"/>
      <c r="AY22" s="1"/>
      <c r="AZ22" s="36"/>
      <c r="BA22" s="257" t="e">
        <v>#NAME?</v>
      </c>
      <c r="BB22" s="257" t="e">
        <f aca="false">_xlfn.xlookup(BA22,A:A,F:F)</f>
        <v>#NAME?</v>
      </c>
      <c r="BC22" s="257" t="e">
        <f aca="false">_xlfn.xlookup(BA22,A:A,J:J)</f>
        <v>#NAME?</v>
      </c>
      <c r="BD22" s="75" t="e">
        <f aca="false">_xlfn.xlookup(BA22,A:A,M:M)+_xlfn.xlookup(BA22,A:A,N:N)</f>
        <v>#NAME?</v>
      </c>
      <c r="BE22" s="75" t="e">
        <f aca="false">_xlfn.xlookup(BA22,$A$3:$A$990,$AA$3:$AA$990)</f>
        <v>#NAME?</v>
      </c>
      <c r="BF22" s="257"/>
      <c r="BG22" s="0"/>
      <c r="BH22" s="0"/>
      <c r="BI22" s="0"/>
    </row>
    <row r="23" s="28" customFormat="true" ht="16.4" hidden="false" customHeight="false" outlineLevel="0" collapsed="false">
      <c r="A23" s="241" t="s">
        <v>918</v>
      </c>
      <c r="B23" s="241"/>
      <c r="C23" s="242" t="n">
        <v>45475</v>
      </c>
      <c r="D23" s="219" t="n">
        <v>172</v>
      </c>
      <c r="E23" s="241" t="str">
        <f aca="false">_xlfn.xlookup(D23,'PO Client'!$A:$A,'PO Client'!$C:$C,FALSE())&amp;""</f>
        <v>Groupe Produlith Inc.</v>
      </c>
      <c r="F23" s="241" t="str">
        <f aca="false">_xlfn.xlookup(E23,Clients!B:B,Clients!C:C)</f>
        <v>Produlith</v>
      </c>
      <c r="G23" s="241"/>
      <c r="H23" s="243" t="n">
        <v>40051</v>
      </c>
      <c r="I23" s="243" t="n">
        <v>30016</v>
      </c>
      <c r="J23" s="244" t="str">
        <f aca="false">_xlfn.xlookup(I23,'Prix MP'!A:A,'Prix MP'!F:F,FALSE())</f>
        <v>B15-3</v>
      </c>
      <c r="K23" s="245" t="n">
        <f aca="false">60.24*19.619*12</f>
        <v>14182.18272</v>
      </c>
      <c r="L23" s="245" t="n">
        <v>12230.4</v>
      </c>
      <c r="M23" s="245" t="n">
        <v>1800</v>
      </c>
      <c r="N23" s="245"/>
      <c r="O23" s="245"/>
      <c r="P23" s="246"/>
      <c r="Q23" s="219" t="n">
        <v>1</v>
      </c>
      <c r="R23" s="247" t="n">
        <v>0</v>
      </c>
      <c r="S23" s="272" t="n">
        <v>1.37</v>
      </c>
      <c r="T23" s="248" t="n">
        <f aca="false">_xlfn.xlookup(I23,'Prix MP'!A:A,'Prix MP'!U:U, FALSE())</f>
        <v>0.326284886247867</v>
      </c>
      <c r="U23" s="249" t="n">
        <f aca="false">M23*T23</f>
        <v>587.31279524616</v>
      </c>
      <c r="V23" s="249" t="n">
        <f aca="false">(K23-M23-L23)*T23</f>
        <v>49.5244075295922</v>
      </c>
      <c r="W23" s="250" t="n">
        <f aca="false">(K23-M23-L23)/K23</f>
        <v>0.0107023525924507</v>
      </c>
      <c r="X23" s="249" t="n">
        <v>14.5819058823529</v>
      </c>
      <c r="Y23" s="249" t="n">
        <v>19.2</v>
      </c>
      <c r="Z23" s="249" t="n">
        <f aca="false">125000/52/40*Q23</f>
        <v>60.0961538461539</v>
      </c>
      <c r="AA23" s="249" t="n">
        <f aca="false">(M23+N23)*T23+R23+V23+X23+Y23+Z23</f>
        <v>730.715262504259</v>
      </c>
      <c r="AB23" s="285" t="n">
        <v>0.34</v>
      </c>
      <c r="AC23" s="285" t="str">
        <f aca="false">_xlfn.xlookup(H23,'Prix vente'!A:A,'Prix vente'!Z:Z, "")</f>
        <v>USD</v>
      </c>
      <c r="AD23" s="249" t="n">
        <f aca="false">IF(AC23="CAD",(M23+N23)*AB23,(M23+N23)*AB23*S23)</f>
        <v>838.44</v>
      </c>
      <c r="AE23" s="249" t="n">
        <f aca="false">AD23-AA23</f>
        <v>107.724737495741</v>
      </c>
      <c r="AF23" s="273" t="n">
        <f aca="false">1-AA23/AD23</f>
        <v>0.128482345183604</v>
      </c>
      <c r="AG23" s="252" t="n">
        <f aca="false">((M23+N23)*T23+V23)</f>
        <v>636.837202775752</v>
      </c>
      <c r="AH23" s="273" t="n">
        <f aca="false">AG23/AD23</f>
        <v>0.759550120194352</v>
      </c>
      <c r="AI23" s="273" t="str">
        <f aca="false">IF(AD23=0,"S","")</f>
        <v/>
      </c>
      <c r="AK23" s="28" t="e">
        <v>#NAME?</v>
      </c>
      <c r="AL23" s="28" t="e">
        <f aca="false">_xlfn.xlookup(AK23,A:A,F:F)</f>
        <v>#NAME?</v>
      </c>
      <c r="AM23" s="28" t="e">
        <f aca="false">_xlfn.xlookup(AK23,A:A,J:J)</f>
        <v>#NAME?</v>
      </c>
      <c r="AN23" s="28" t="e">
        <f aca="false">_xlfn.xlookup(AK23,A:A,M:M)+_xlfn.xlookup(AK23,A:A,N:N)</f>
        <v>#NAME?</v>
      </c>
      <c r="AO23" s="223" t="e">
        <f aca="false">_xlfn.xlookup(AK23,A:A,AG:AG)</f>
        <v>#NAME?</v>
      </c>
      <c r="AP23" s="223" t="e">
        <f aca="false">_xlfn.xlookup(AK23,A:A,AD:AD)</f>
        <v>#NAME?</v>
      </c>
      <c r="AQ23" s="223" t="e">
        <f aca="false">_xlfn.xlookup(AK23,A:A,AE:AE)</f>
        <v>#NAME?</v>
      </c>
      <c r="AS23" s="0"/>
      <c r="AT23" s="0"/>
      <c r="AU23" s="0"/>
      <c r="AV23" s="0"/>
      <c r="AW23" s="0"/>
      <c r="AX23" s="1"/>
      <c r="AY23" s="1"/>
      <c r="AZ23" s="36"/>
      <c r="BA23" s="257" t="e">
        <v>#NAME?</v>
      </c>
      <c r="BB23" s="257" t="e">
        <f aca="false">_xlfn.xlookup(BA23,A:A,F:F)</f>
        <v>#NAME?</v>
      </c>
      <c r="BC23" s="257" t="e">
        <f aca="false">_xlfn.xlookup(BA23,A:A,J:J)</f>
        <v>#NAME?</v>
      </c>
      <c r="BD23" s="75" t="e">
        <f aca="false">_xlfn.xlookup(BA23,A:A,M:M)+_xlfn.xlookup(BA23,A:A,N:N)</f>
        <v>#NAME?</v>
      </c>
      <c r="BE23" s="75" t="e">
        <f aca="false">_xlfn.xlookup(BA23,$A$3:$A$990,$AA$3:$AA$990)</f>
        <v>#NAME?</v>
      </c>
      <c r="BF23" s="257"/>
      <c r="BG23" s="0"/>
      <c r="BH23" s="0"/>
      <c r="BI23" s="0"/>
      <c r="BL23" s="42" t="s">
        <v>92</v>
      </c>
      <c r="BM23" s="73" t="e">
        <f aca="false">GETPIVOTDATA("Qté livrée (msi)",$BL$3,"Code LE","D11-1")+GETPIVOTDATA("Qté livrée (msi)",$BL$3,"Code LE","D11-11")+GETPIVOTDATA("Qté livrée (msi)",$BL$3,"Code LE","D16-1")+GETPIVOTDATA("Qté livrée (msi)",$BL$3,"Code LE","D21-1")+GETPIVOTDATA("Qté livrée (msi)",$BL$3,"Code LE","S21-1")+GETPIVOTDATA("Qté livrée (msi)",$BL$3,"Code LE","S31-1")+GETPIVOTDATA("Qté livrée (msi)",$BL$3,"Code LE","T11-1")</f>
        <v>#REF!</v>
      </c>
      <c r="BN23" s="288" t="e">
        <f aca="false">BM23/SUM(BM23:BM25)</f>
        <v>#REF!</v>
      </c>
    </row>
    <row r="24" customFormat="false" ht="16.4" hidden="false" customHeight="false" outlineLevel="0" collapsed="false">
      <c r="A24" s="241" t="s">
        <v>920</v>
      </c>
      <c r="B24" s="241"/>
      <c r="C24" s="242" t="n">
        <v>45481</v>
      </c>
      <c r="D24" s="219" t="n">
        <v>174</v>
      </c>
      <c r="E24" s="241" t="str">
        <f aca="false">_xlfn.xlookup(D24,'PO Client'!$A:$A,'PO Client'!$C:$C,FALSE())&amp;""</f>
        <v>Imprimerie Ste-Julie</v>
      </c>
      <c r="F24" s="241" t="str">
        <f aca="false">_xlfn.xlookup(E24,Clients!B:B,Clients!C:C)</f>
        <v>Imprimerie Ste-Julie</v>
      </c>
      <c r="G24" s="241"/>
      <c r="H24" s="243" t="n">
        <v>40052</v>
      </c>
      <c r="I24" s="243" t="n">
        <v>30015</v>
      </c>
      <c r="J24" s="244" t="str">
        <f aca="false">_xlfn.xlookup(I24,'Prix MP'!A:A,'Prix MP'!F:F,FALSE())</f>
        <v>S15-3</v>
      </c>
      <c r="K24" s="245" t="n">
        <f aca="false">44.25*12*5</f>
        <v>2655</v>
      </c>
      <c r="L24" s="245" t="n">
        <f aca="false">30.5*12*4.685</f>
        <v>1714.71</v>
      </c>
      <c r="M24" s="245" t="n">
        <f aca="false">13*12*4.685</f>
        <v>730.86</v>
      </c>
      <c r="N24" s="245"/>
      <c r="O24" s="245"/>
      <c r="P24" s="246"/>
      <c r="Q24" s="219" t="n">
        <v>0.75</v>
      </c>
      <c r="R24" s="247" t="n">
        <f aca="false">39.54/2</f>
        <v>19.77</v>
      </c>
      <c r="S24" s="272"/>
      <c r="T24" s="248" t="n">
        <f aca="false">_xlfn.xlookup(I24,'Prix MP'!A:A,'Prix MP'!U:U, FALSE())</f>
        <v>0.268854241086576</v>
      </c>
      <c r="U24" s="249" t="n">
        <f aca="false">M24*T24</f>
        <v>196.494810640535</v>
      </c>
      <c r="V24" s="249" t="n">
        <f aca="false">(K24-M24-L24)*T24</f>
        <v>56.3061437107618</v>
      </c>
      <c r="W24" s="250" t="n">
        <f aca="false">(K24-M24-L24)/K24</f>
        <v>0.0788813559322035</v>
      </c>
      <c r="X24" s="249" t="n">
        <v>3.15941294117647</v>
      </c>
      <c r="Y24" s="249" t="n">
        <v>0</v>
      </c>
      <c r="Z24" s="249" t="n">
        <f aca="false">125000/52/40*Q24</f>
        <v>45.0721153846154</v>
      </c>
      <c r="AA24" s="249" t="n">
        <f aca="false">(M24+N24)*T24+R24+V24+X24+Y24+Z24</f>
        <v>320.802482677089</v>
      </c>
      <c r="AB24" s="285" t="n">
        <v>0.28</v>
      </c>
      <c r="AC24" s="285" t="str">
        <f aca="false">_xlfn.xlookup(H24,'Prix vente'!A:A,'Prix vente'!Z:Z, "")</f>
        <v>USD</v>
      </c>
      <c r="AD24" s="249" t="n">
        <v>0</v>
      </c>
      <c r="AE24" s="249" t="n">
        <f aca="false">AD24-AA24</f>
        <v>-320.802482677089</v>
      </c>
      <c r="AF24" s="273"/>
      <c r="AG24" s="252" t="n">
        <f aca="false">((M24+N24)*T24+V24)</f>
        <v>252.800954351297</v>
      </c>
      <c r="AH24" s="273"/>
      <c r="AI24" s="273" t="str">
        <f aca="false">IF(AD24=0,"S","")</f>
        <v>S</v>
      </c>
      <c r="AK24" s="15" t="e">
        <v>#NAME?</v>
      </c>
      <c r="AL24" s="15" t="e">
        <f aca="false">_xlfn.xlookup(AK24,A:A,F:F)</f>
        <v>#NAME?</v>
      </c>
      <c r="AM24" s="15" t="e">
        <f aca="false">_xlfn.xlookup(AK24,A:A,J:J)</f>
        <v>#NAME?</v>
      </c>
      <c r="AN24" s="15" t="e">
        <f aca="false">_xlfn.xlookup(AK24,A:A,M:M)+_xlfn.xlookup(AK24,A:A,N:N)</f>
        <v>#NAME?</v>
      </c>
      <c r="AO24" s="223" t="e">
        <f aca="false">_xlfn.xlookup(AK24,A:A,AG:AG)</f>
        <v>#NAME?</v>
      </c>
      <c r="AP24" s="223" t="e">
        <f aca="false">_xlfn.xlookup(AK24,A:A,AD:AD)</f>
        <v>#NAME?</v>
      </c>
      <c r="AQ24" s="223" t="e">
        <f aca="false">_xlfn.xlookup(AK24,A:A,AE:AE)</f>
        <v>#NAME?</v>
      </c>
      <c r="AS24" s="0"/>
      <c r="AT24" s="0"/>
      <c r="AU24" s="0"/>
      <c r="AV24" s="0"/>
      <c r="AW24" s="0"/>
      <c r="AX24" s="1"/>
      <c r="AY24" s="1"/>
      <c r="AZ24" s="36"/>
      <c r="BA24" s="257" t="e">
        <v>#NAME?</v>
      </c>
      <c r="BB24" s="257" t="e">
        <f aca="false">_xlfn.xlookup(BA24,A:A,F:F)</f>
        <v>#NAME?</v>
      </c>
      <c r="BC24" s="257" t="e">
        <f aca="false">_xlfn.xlookup(BA24,A:A,J:J)</f>
        <v>#NAME?</v>
      </c>
      <c r="BD24" s="75" t="e">
        <f aca="false">_xlfn.xlookup(BA24,A:A,M:M)+_xlfn.xlookup(BA24,A:A,N:N)</f>
        <v>#NAME?</v>
      </c>
      <c r="BE24" s="75" t="e">
        <f aca="false">_xlfn.xlookup(BA24,$A$3:$A$990,$AA$3:$AA$990)</f>
        <v>#NAME?</v>
      </c>
      <c r="BF24" s="257"/>
      <c r="BG24" s="0"/>
      <c r="BH24" s="0"/>
      <c r="BI24" s="0"/>
      <c r="BL24" s="42" t="s">
        <v>1439</v>
      </c>
      <c r="BM24" s="73" t="n">
        <f aca="false">GETPIVOTDATA("Qté livrée (msi)",$BL$3,"Code LE","B15-3")+GETPIVOTDATA("Qté livrée (msi)",$BL$3,"Code LE","B25-3")+GETPIVOTDATA("Qté livrée (msi)",$BL$3,"Code LE","S11-3")+GETPIVOTDATA("Qté livrée (msi)",$BL$3,"Code LE","S15-3")+GETPIVOTDATA("Qté livrée (msi)",$BL$3,"Code LE","S35-3")</f>
        <v>279830.66</v>
      </c>
      <c r="BN24" s="288" t="e">
        <f aca="false">BM24/SUM(BM23:BM25)</f>
        <v>#REF!</v>
      </c>
    </row>
    <row r="25" customFormat="false" ht="16.4" hidden="false" customHeight="false" outlineLevel="0" collapsed="false">
      <c r="A25" s="241" t="s">
        <v>922</v>
      </c>
      <c r="B25" s="241"/>
      <c r="C25" s="242" t="n">
        <v>45481</v>
      </c>
      <c r="D25" s="219" t="n">
        <v>175</v>
      </c>
      <c r="E25" s="241" t="str">
        <f aca="false">_xlfn.xlookup(D25,'PO Client'!$A:$A,'PO Client'!$C:$C,FALSE())&amp;""</f>
        <v>Imprimerie Ste-Julie</v>
      </c>
      <c r="F25" s="241" t="str">
        <f aca="false">_xlfn.xlookup(E25,Clients!B:B,Clients!C:C)</f>
        <v>Imprimerie Ste-Julie</v>
      </c>
      <c r="G25" s="241"/>
      <c r="H25" s="243" t="n">
        <v>40053</v>
      </c>
      <c r="I25" s="243" t="n">
        <v>30017</v>
      </c>
      <c r="J25" s="244" t="str">
        <f aca="false">_xlfn.xlookup(I25,'Prix MP'!A:A,'Prix MP'!F:F,FALSE())</f>
        <v>B25-3</v>
      </c>
      <c r="K25" s="245" t="n">
        <f aca="false">61*5*12</f>
        <v>3660</v>
      </c>
      <c r="L25" s="245" t="n">
        <v>2464</v>
      </c>
      <c r="M25" s="245" t="n">
        <v>671</v>
      </c>
      <c r="N25" s="245"/>
      <c r="O25" s="245"/>
      <c r="P25" s="246"/>
      <c r="Q25" s="219" t="n">
        <v>1</v>
      </c>
      <c r="R25" s="247" t="n">
        <f aca="false">39.54/2</f>
        <v>19.77</v>
      </c>
      <c r="S25" s="272"/>
      <c r="T25" s="248" t="n">
        <f aca="false">_xlfn.xlookup(I25,'Prix MP'!A:A,'Prix MP'!U:U, FALSE())</f>
        <v>0.326284886247867</v>
      </c>
      <c r="U25" s="249" t="n">
        <f aca="false">M25*T25</f>
        <v>218.937158672319</v>
      </c>
      <c r="V25" s="249" t="n">
        <f aca="false">(K25-M25-L25)*T25</f>
        <v>171.29956528013</v>
      </c>
      <c r="W25" s="250" t="n">
        <f aca="false">(K25-M25-L25)/K25</f>
        <v>0.14344262295082</v>
      </c>
      <c r="X25" s="249" t="n">
        <v>3.15941294117647</v>
      </c>
      <c r="Y25" s="249" t="n">
        <v>0</v>
      </c>
      <c r="Z25" s="249" t="n">
        <f aca="false">125000/52/40*Q25</f>
        <v>60.0961538461539</v>
      </c>
      <c r="AA25" s="249" t="n">
        <f aca="false">(M25+N25)*T25+R25+V25+X25+Y25+Z25</f>
        <v>473.262290739779</v>
      </c>
      <c r="AB25" s="285" t="n">
        <v>0.33</v>
      </c>
      <c r="AC25" s="285" t="str">
        <f aca="false">_xlfn.xlookup(H25,'Prix vente'!A:A,'Prix vente'!Z:Z, "")</f>
        <v>USD</v>
      </c>
      <c r="AD25" s="249" t="n">
        <v>0</v>
      </c>
      <c r="AE25" s="249" t="n">
        <f aca="false">AD25-AA25</f>
        <v>-473.262290739779</v>
      </c>
      <c r="AF25" s="273"/>
      <c r="AG25" s="252" t="n">
        <f aca="false">((M25+N25)*T25+V25)</f>
        <v>390.236723952449</v>
      </c>
      <c r="AH25" s="273"/>
      <c r="AI25" s="273" t="str">
        <f aca="false">IF(AD25=0,"S","")</f>
        <v>S</v>
      </c>
      <c r="AK25" s="15" t="e">
        <v>#NAME?</v>
      </c>
      <c r="AL25" s="15" t="e">
        <f aca="false">_xlfn.xlookup(AK25,A:A,F:F)</f>
        <v>#NAME?</v>
      </c>
      <c r="AM25" s="15" t="e">
        <f aca="false">_xlfn.xlookup(AK25,A:A,J:J)</f>
        <v>#NAME?</v>
      </c>
      <c r="AN25" s="15" t="e">
        <f aca="false">_xlfn.xlookup(AK25,A:A,M:M)+_xlfn.xlookup(AK25,A:A,N:N)</f>
        <v>#NAME?</v>
      </c>
      <c r="AO25" s="223" t="e">
        <f aca="false">_xlfn.xlookup(AK25,A:A,AG:AG)</f>
        <v>#NAME?</v>
      </c>
      <c r="AP25" s="223" t="e">
        <f aca="false">_xlfn.xlookup(AK25,A:A,AD:AD)</f>
        <v>#NAME?</v>
      </c>
      <c r="AQ25" s="223" t="e">
        <f aca="false">_xlfn.xlookup(AK25,A:A,AE:AE)</f>
        <v>#NAME?</v>
      </c>
      <c r="AS25" s="0"/>
      <c r="AT25" s="0"/>
      <c r="AU25" s="0"/>
      <c r="AV25" s="0"/>
      <c r="AW25" s="0"/>
      <c r="AX25" s="1"/>
      <c r="AY25" s="1"/>
      <c r="AZ25" s="36"/>
      <c r="BA25" s="257" t="e">
        <v>#NAME?</v>
      </c>
      <c r="BB25" s="257" t="e">
        <f aca="false">_xlfn.xlookup(BA25,A:A,F:F)</f>
        <v>#NAME?</v>
      </c>
      <c r="BC25" s="257" t="e">
        <f aca="false">_xlfn.xlookup(BA25,A:A,J:J)</f>
        <v>#NAME?</v>
      </c>
      <c r="BD25" s="75" t="e">
        <f aca="false">_xlfn.xlookup(BA25,A:A,M:M)+_xlfn.xlookup(BA25,A:A,N:N)</f>
        <v>#NAME?</v>
      </c>
      <c r="BE25" s="75" t="e">
        <f aca="false">_xlfn.xlookup(BA25,$A$3:$A$990,$AA$3:$AA$990)</f>
        <v>#NAME?</v>
      </c>
      <c r="BF25" s="257"/>
      <c r="BG25" s="0"/>
      <c r="BH25" s="0"/>
      <c r="BI25" s="0"/>
      <c r="BL25" s="42" t="s">
        <v>1440</v>
      </c>
      <c r="BM25" s="73" t="n">
        <f aca="false">GETPIVOTDATA("Qté livrée (msi)",$BL$3,"Code LE","D11-2")</f>
        <v>43753.635</v>
      </c>
      <c r="BN25" s="288" t="e">
        <f aca="false">BM25/SUM(BM23:BM25)</f>
        <v>#REF!</v>
      </c>
    </row>
    <row r="26" customFormat="false" ht="16.4" hidden="false" customHeight="false" outlineLevel="0" collapsed="false">
      <c r="A26" s="241" t="s">
        <v>924</v>
      </c>
      <c r="B26" s="241"/>
      <c r="C26" s="242" t="n">
        <v>45482</v>
      </c>
      <c r="D26" s="219" t="n">
        <v>188</v>
      </c>
      <c r="E26" s="241" t="s">
        <v>31</v>
      </c>
      <c r="F26" s="241" t="str">
        <f aca="false">_xlfn.xlookup(E26,Clients!B:B,Clients!C:C)</f>
        <v>Digi</v>
      </c>
      <c r="G26" s="241"/>
      <c r="H26" s="243" t="n">
        <v>40033</v>
      </c>
      <c r="I26" s="243" t="n">
        <v>30013</v>
      </c>
      <c r="J26" s="244" t="str">
        <f aca="false">_xlfn.xlookup(I26,'Prix MP'!A:A,'Prix MP'!F:F,FALSE())</f>
        <v>D11-1</v>
      </c>
      <c r="K26" s="245" t="n">
        <f aca="false">4*59.52*12*9.843+59.52*12*19.685</f>
        <v>42180.87168</v>
      </c>
      <c r="L26" s="245" t="n">
        <v>6580</v>
      </c>
      <c r="M26" s="245" t="n">
        <v>34992</v>
      </c>
      <c r="N26" s="245"/>
      <c r="O26" s="245"/>
      <c r="P26" s="246"/>
      <c r="Q26" s="219" t="n">
        <f aca="false">6+4.5+5.5</f>
        <v>16</v>
      </c>
      <c r="R26" s="247" t="n">
        <f aca="false">-70.02/3*2</f>
        <v>-46.68</v>
      </c>
      <c r="S26" s="272" t="n">
        <v>1.3715</v>
      </c>
      <c r="T26" s="248" t="n">
        <f aca="false">_xlfn.xlookup(I26,'Prix MP'!A:A,'Prix MP'!U:U, FALSE())</f>
        <v>0.358173933722525</v>
      </c>
      <c r="U26" s="249" t="n">
        <f aca="false">M26*T26</f>
        <v>12533.2222888186</v>
      </c>
      <c r="V26" s="249" t="n">
        <f aca="false">(K26-M26-L26)*T26</f>
        <v>218.081964757841</v>
      </c>
      <c r="W26" s="250" t="n">
        <f aca="false">(K26-M26-L26)/K26</f>
        <v>0.0144347818276286</v>
      </c>
      <c r="X26" s="249" t="n">
        <v>145.819058823529</v>
      </c>
      <c r="Y26" s="249" t="n">
        <f aca="false">19.2*5</f>
        <v>96</v>
      </c>
      <c r="Z26" s="249" t="n">
        <f aca="false">125000/52/40*Q26</f>
        <v>961.538461538462</v>
      </c>
      <c r="AA26" s="249" t="n">
        <f aca="false">(M26+N26)*T26+R26+V26+X26+Y26+Z26</f>
        <v>13907.9817739384</v>
      </c>
      <c r="AB26" s="285" t="n">
        <v>0.31</v>
      </c>
      <c r="AC26" s="285" t="str">
        <f aca="false">_xlfn.xlookup(H26,'Prix vente'!A:A,'Prix vente'!Z:Z, "")</f>
        <v>USD</v>
      </c>
      <c r="AD26" s="249" t="n">
        <f aca="false">IF(AC26="CAD",(M26+N26)*AB26,(M26+N26)*AB26*S26)</f>
        <v>14877.37368</v>
      </c>
      <c r="AE26" s="249" t="n">
        <f aca="false">AD26-AA26</f>
        <v>969.391906061575</v>
      </c>
      <c r="AF26" s="273" t="n">
        <f aca="false">1-AA26/AD26</f>
        <v>0.0651588060441576</v>
      </c>
      <c r="AG26" s="252" t="n">
        <f aca="false">((M26+N26)*T26+V26)</f>
        <v>12751.3042535764</v>
      </c>
      <c r="AH26" s="273" t="n">
        <f aca="false">AG26/AD26</f>
        <v>0.857093767209619</v>
      </c>
      <c r="AI26" s="273" t="str">
        <f aca="false">IF(AD26=0,"S","")</f>
        <v/>
      </c>
      <c r="AK26" s="15" t="e">
        <v>#NAME?</v>
      </c>
      <c r="AL26" s="15" t="e">
        <f aca="false">_xlfn.xlookup(AK26,A:A,F:F)</f>
        <v>#NAME?</v>
      </c>
      <c r="AM26" s="15" t="e">
        <f aca="false">_xlfn.xlookup(AK26,A:A,J:J)</f>
        <v>#NAME?</v>
      </c>
      <c r="AN26" s="15" t="e">
        <f aca="false">_xlfn.xlookup(AK26,A:A,M:M)+_xlfn.xlookup(AK26,A:A,N:N)</f>
        <v>#NAME?</v>
      </c>
      <c r="AO26" s="223" t="e">
        <f aca="false">_xlfn.xlookup(AK26,A:A,AG:AG)</f>
        <v>#NAME?</v>
      </c>
      <c r="AP26" s="223" t="e">
        <f aca="false">_xlfn.xlookup(AK26,A:A,AD:AD)</f>
        <v>#NAME?</v>
      </c>
      <c r="AQ26" s="223" t="e">
        <f aca="false">_xlfn.xlookup(AK26,A:A,AE:AE)</f>
        <v>#NAME?</v>
      </c>
      <c r="AS26" s="0"/>
      <c r="AT26" s="0"/>
      <c r="AU26" s="0"/>
      <c r="AV26" s="0"/>
      <c r="AW26" s="0"/>
      <c r="AX26" s="1"/>
      <c r="AY26" s="1"/>
      <c r="AZ26" s="36"/>
      <c r="BA26" s="257" t="e">
        <v>#NAME?</v>
      </c>
      <c r="BB26" s="257" t="e">
        <f aca="false">_xlfn.xlookup(BA26,A:A,F:F)</f>
        <v>#NAME?</v>
      </c>
      <c r="BC26" s="257" t="e">
        <f aca="false">_xlfn.xlookup(BA26,A:A,J:J)</f>
        <v>#NAME?</v>
      </c>
      <c r="BD26" s="75" t="e">
        <f aca="false">_xlfn.xlookup(BA26,A:A,M:M)+_xlfn.xlookup(BA26,A:A,N:N)</f>
        <v>#NAME?</v>
      </c>
      <c r="BE26" s="75" t="e">
        <f aca="false">_xlfn.xlookup(BA26,$A$3:$A$990,$AA$3:$AA$990)</f>
        <v>#NAME?</v>
      </c>
      <c r="BF26" s="257"/>
      <c r="BG26" s="0"/>
      <c r="BH26" s="0"/>
      <c r="BI26" s="0"/>
      <c r="BN26" s="288"/>
    </row>
    <row r="27" customFormat="false" ht="16.4" hidden="false" customHeight="false" outlineLevel="0" collapsed="false">
      <c r="A27" s="241" t="s">
        <v>927</v>
      </c>
      <c r="B27" s="241"/>
      <c r="C27" s="242" t="n">
        <v>45488</v>
      </c>
      <c r="D27" s="219" t="n">
        <v>177</v>
      </c>
      <c r="E27" s="241" t="str">
        <f aca="false">_xlfn.xlookup(D27,'PO Client'!$A:$A,'PO Client'!$C:$C,FALSE())&amp;""</f>
        <v>Étiquettes Luso-Flex</v>
      </c>
      <c r="F27" s="241" t="str">
        <f aca="false">_xlfn.xlookup(E27,Clients!B:B,Clients!C:C)</f>
        <v>Luso-Flex</v>
      </c>
      <c r="G27" s="241"/>
      <c r="H27" s="243" t="n">
        <v>40055</v>
      </c>
      <c r="I27" s="243" t="n">
        <v>30012</v>
      </c>
      <c r="J27" s="244" t="str">
        <f aca="false">_xlfn.xlookup(I27,'Prix MP'!A:A,'Prix MP'!F:F,FALSE())</f>
        <v>D21-1</v>
      </c>
      <c r="K27" s="245" t="n">
        <f aca="false">60.24*9.843*12</f>
        <v>7115.30784</v>
      </c>
      <c r="L27" s="245"/>
      <c r="M27" s="245" t="n">
        <f aca="false">5*12*12*9.7</f>
        <v>6984</v>
      </c>
      <c r="N27" s="245"/>
      <c r="O27" s="245"/>
      <c r="P27" s="246"/>
      <c r="Q27" s="219" t="n">
        <v>2</v>
      </c>
      <c r="R27" s="247" t="n">
        <v>0</v>
      </c>
      <c r="S27" s="272"/>
      <c r="T27" s="248" t="n">
        <f aca="false">_xlfn.xlookup(I27,'Prix MP'!A:A,'Prix MP'!U:U, FALSE())</f>
        <v>0.327974576595346</v>
      </c>
      <c r="U27" s="249" t="n">
        <f aca="false">M27*T27</f>
        <v>2290.5744429419</v>
      </c>
      <c r="V27" s="249" t="n">
        <f aca="false">(K27-M27-L27)*T27</f>
        <v>43.0656332276496</v>
      </c>
      <c r="W27" s="250" t="n">
        <f aca="false">(K27-M27-L27)/K27</f>
        <v>0.0184542739334241</v>
      </c>
      <c r="X27" s="249" t="n">
        <v>14.5819058823529</v>
      </c>
      <c r="Y27" s="249" t="n">
        <f aca="false">19.2*2</f>
        <v>38.4</v>
      </c>
      <c r="Z27" s="249" t="n">
        <f aca="false">125000/52/40*Q27</f>
        <v>120.192307692308</v>
      </c>
      <c r="AA27" s="249" t="n">
        <f aca="false">(M27+N27)*T27+R27+V27+X27+Y27+Z27</f>
        <v>2506.81428974421</v>
      </c>
      <c r="AB27" s="285" t="n">
        <v>0.466</v>
      </c>
      <c r="AC27" s="285" t="str">
        <f aca="false">_xlfn.xlookup(H27,'Prix vente'!A:A,'Prix vente'!Z:Z, "")</f>
        <v>CAD</v>
      </c>
      <c r="AD27" s="249" t="n">
        <f aca="false">IF(AC27="CAD",(M27+N27)*AB27,(M27+N27)*AB27*S27)</f>
        <v>3254.544</v>
      </c>
      <c r="AE27" s="249" t="n">
        <f aca="false">AD27-AA27</f>
        <v>747.729710255792</v>
      </c>
      <c r="AF27" s="273" t="n">
        <f aca="false">1-AA27/AD27</f>
        <v>0.229749454994553</v>
      </c>
      <c r="AG27" s="252" t="n">
        <f aca="false">((M27+N27)*T27+V27)</f>
        <v>2333.64007616955</v>
      </c>
      <c r="AH27" s="273" t="n">
        <f aca="false">AG27/AD27</f>
        <v>0.717040567332796</v>
      </c>
      <c r="AI27" s="273" t="str">
        <f aca="false">IF(AD27=0,"S","")</f>
        <v/>
      </c>
      <c r="AK27" s="15" t="e">
        <v>#NAME?</v>
      </c>
      <c r="AL27" s="15" t="e">
        <f aca="false">_xlfn.xlookup(AK27,A:A,F:F)</f>
        <v>#NAME?</v>
      </c>
      <c r="AM27" s="15" t="e">
        <f aca="false">_xlfn.xlookup(AK27,A:A,J:J)</f>
        <v>#NAME?</v>
      </c>
      <c r="AN27" s="15" t="e">
        <f aca="false">_xlfn.xlookup(AK27,A:A,M:M)+_xlfn.xlookup(AK27,A:A,N:N)</f>
        <v>#NAME?</v>
      </c>
      <c r="AO27" s="223" t="e">
        <f aca="false">_xlfn.xlookup(AK27,A:A,AG:AG)</f>
        <v>#NAME?</v>
      </c>
      <c r="AP27" s="223" t="e">
        <f aca="false">_xlfn.xlookup(AK27,A:A,AD:AD)</f>
        <v>#NAME?</v>
      </c>
      <c r="AQ27" s="223" t="e">
        <f aca="false">_xlfn.xlookup(AK27,A:A,AE:AE)</f>
        <v>#NAME?</v>
      </c>
      <c r="AS27" s="0"/>
      <c r="AT27" s="0"/>
      <c r="AU27" s="0"/>
      <c r="AV27" s="0"/>
      <c r="AW27" s="0"/>
      <c r="AX27" s="1"/>
      <c r="AY27" s="1"/>
      <c r="AZ27" s="36"/>
      <c r="BA27" s="257" t="e">
        <v>#NAME?</v>
      </c>
      <c r="BB27" s="257" t="e">
        <f aca="false">_xlfn.xlookup(BA27,A:A,F:F)</f>
        <v>#NAME?</v>
      </c>
      <c r="BC27" s="257" t="e">
        <f aca="false">_xlfn.xlookup(BA27,A:A,J:J)</f>
        <v>#NAME?</v>
      </c>
      <c r="BD27" s="75" t="e">
        <f aca="false">_xlfn.xlookup(BA27,A:A,M:M)+_xlfn.xlookup(BA27,A:A,N:N)</f>
        <v>#NAME?</v>
      </c>
      <c r="BE27" s="75" t="e">
        <f aca="false">_xlfn.xlookup(BA27,$A$3:$A$990,$AA$3:$AA$990)</f>
        <v>#NAME?</v>
      </c>
      <c r="BF27" s="257"/>
      <c r="BG27" s="0"/>
      <c r="BH27" s="0"/>
      <c r="BI27" s="0"/>
    </row>
    <row r="28" customFormat="false" ht="16.4" hidden="false" customHeight="false" outlineLevel="0" collapsed="false">
      <c r="A28" s="241" t="s">
        <v>929</v>
      </c>
      <c r="B28" s="241"/>
      <c r="C28" s="242" t="n">
        <v>45483</v>
      </c>
      <c r="D28" s="219" t="n">
        <v>178</v>
      </c>
      <c r="E28" s="241" t="str">
        <f aca="false">_xlfn.xlookup(D28,'PO Client'!$A:$A,'PO Client'!$C:$C,FALSE())&amp;""</f>
        <v>Étiquettes Rive-Sud</v>
      </c>
      <c r="F28" s="241" t="str">
        <f aca="false">_xlfn.xlookup(E28,Clients!B:B,Clients!C:C)</f>
        <v>Étiquettes Rive-Sud</v>
      </c>
      <c r="G28" s="241"/>
      <c r="H28" s="243" t="n">
        <v>40058</v>
      </c>
      <c r="I28" s="243" t="n">
        <v>30012</v>
      </c>
      <c r="J28" s="244" t="str">
        <f aca="false">_xlfn.xlookup(I28,'Prix MP'!A:A,'Prix MP'!F:F,FALSE())</f>
        <v>D21-1</v>
      </c>
      <c r="K28" s="245" t="n">
        <f aca="false">60.24*12*19.685</f>
        <v>14229.8928</v>
      </c>
      <c r="L28" s="245" t="n">
        <v>6857</v>
      </c>
      <c r="M28" s="245" t="n">
        <v>7200</v>
      </c>
      <c r="N28" s="245"/>
      <c r="O28" s="245"/>
      <c r="P28" s="246"/>
      <c r="Q28" s="219" t="n">
        <v>2.33</v>
      </c>
      <c r="R28" s="247" t="n">
        <v>0</v>
      </c>
      <c r="S28" s="272"/>
      <c r="T28" s="248" t="n">
        <f aca="false">_xlfn.xlookup(I28,'Prix MP'!A:A,'Prix MP'!U:U, FALSE())</f>
        <v>0.327974576595346</v>
      </c>
      <c r="U28" s="249" t="n">
        <f aca="false">M28*T28</f>
        <v>2361.41695148649</v>
      </c>
      <c r="V28" s="249" t="n">
        <f aca="false">(K28-M28-L28)*T28</f>
        <v>56.7044428763837</v>
      </c>
      <c r="W28" s="250" t="n">
        <f aca="false">(K28-M28-L28)/K28</f>
        <v>0.0121499720644417</v>
      </c>
      <c r="X28" s="249" t="n">
        <v>22.4804382352941</v>
      </c>
      <c r="Y28" s="249" t="n">
        <f aca="false">19.2*1</f>
        <v>19.2</v>
      </c>
      <c r="Z28" s="249" t="n">
        <f aca="false">125000/52/40*Q28</f>
        <v>140.024038461538</v>
      </c>
      <c r="AA28" s="249" t="n">
        <f aca="false">(M28+N28)*T28+R28+V28+X28+Y28+Z28</f>
        <v>2599.82587105971</v>
      </c>
      <c r="AB28" s="285" t="n">
        <v>0.448</v>
      </c>
      <c r="AC28" s="285" t="str">
        <f aca="false">_xlfn.xlookup(H28,'Prix vente'!A:A,'Prix vente'!Z:Z, "")</f>
        <v>CAD</v>
      </c>
      <c r="AD28" s="249" t="n">
        <f aca="false">IF(AC28="CAD",(M28+N28)*AB28,(M28+N28)*AB28*S28)</f>
        <v>3225.6</v>
      </c>
      <c r="AE28" s="249" t="n">
        <f aca="false">AD28-AA28</f>
        <v>625.774128940291</v>
      </c>
      <c r="AF28" s="273" t="n">
        <f aca="false">1-AA28/AD28</f>
        <v>0.194002396124842</v>
      </c>
      <c r="AG28" s="252" t="n">
        <f aca="false">((M28+N28)*T28+V28)</f>
        <v>2418.12139436288</v>
      </c>
      <c r="AH28" s="273" t="n">
        <f aca="false">AG28/AD28</f>
        <v>0.749665610851586</v>
      </c>
      <c r="AI28" s="273" t="str">
        <f aca="false">IF(AD28=0,"S","")</f>
        <v/>
      </c>
      <c r="AK28" s="15" t="e">
        <v>#NAME?</v>
      </c>
      <c r="AL28" s="15" t="e">
        <f aca="false">_xlfn.xlookup(AK28,A:A,F:F)</f>
        <v>#NAME?</v>
      </c>
      <c r="AM28" s="15" t="e">
        <f aca="false">_xlfn.xlookup(AK28,A:A,J:J)</f>
        <v>#NAME?</v>
      </c>
      <c r="AN28" s="15" t="e">
        <f aca="false">_xlfn.xlookup(AK28,A:A,M:M)+_xlfn.xlookup(AK28,A:A,N:N)</f>
        <v>#NAME?</v>
      </c>
      <c r="AO28" s="223" t="e">
        <f aca="false">_xlfn.xlookup(AK28,A:A,AG:AG)</f>
        <v>#NAME?</v>
      </c>
      <c r="AP28" s="223" t="e">
        <f aca="false">_xlfn.xlookup(AK28,A:A,AD:AD)</f>
        <v>#NAME?</v>
      </c>
      <c r="AQ28" s="223" t="e">
        <f aca="false">_xlfn.xlookup(AK28,A:A,AE:AE)</f>
        <v>#NAME?</v>
      </c>
      <c r="AS28" s="0"/>
      <c r="AT28" s="0"/>
      <c r="AU28" s="0"/>
      <c r="AV28" s="0"/>
      <c r="AW28" s="0"/>
      <c r="AX28" s="1"/>
      <c r="AY28" s="1"/>
      <c r="AZ28" s="36"/>
      <c r="BA28" s="257" t="e">
        <v>#NAME?</v>
      </c>
      <c r="BB28" s="257" t="e">
        <f aca="false">_xlfn.xlookup(BA28,A:A,F:F)</f>
        <v>#NAME?</v>
      </c>
      <c r="BC28" s="257" t="e">
        <f aca="false">_xlfn.xlookup(BA28,A:A,J:J)</f>
        <v>#NAME?</v>
      </c>
      <c r="BD28" s="75" t="e">
        <f aca="false">_xlfn.xlookup(BA28,A:A,M:M)+_xlfn.xlookup(BA28,A:A,N:N)</f>
        <v>#NAME?</v>
      </c>
      <c r="BE28" s="75" t="e">
        <f aca="false">_xlfn.xlookup(BA28,$A$3:$A$990,$AA$3:$AA$990)</f>
        <v>#NAME?</v>
      </c>
      <c r="BF28" s="257"/>
      <c r="BG28" s="0"/>
      <c r="BH28" s="0"/>
      <c r="BI28" s="0"/>
      <c r="BL28" s="289" t="s">
        <v>1441</v>
      </c>
    </row>
    <row r="29" customFormat="false" ht="16.4" hidden="false" customHeight="false" outlineLevel="0" collapsed="false">
      <c r="A29" s="241" t="s">
        <v>931</v>
      </c>
      <c r="B29" s="241"/>
      <c r="C29" s="242" t="n">
        <v>45484</v>
      </c>
      <c r="D29" s="219" t="n">
        <v>173</v>
      </c>
      <c r="E29" s="241" t="str">
        <f aca="false">_xlfn.xlookup(D29,'PO Client'!$A:$A,'PO Client'!$C:$C,FALSE())&amp;""</f>
        <v>Imprimerie Ste-Julie</v>
      </c>
      <c r="F29" s="241" t="str">
        <f aca="false">_xlfn.xlookup(E29,Clients!B:B,Clients!C:C)</f>
        <v>Imprimerie Ste-Julie</v>
      </c>
      <c r="G29" s="241"/>
      <c r="H29" s="243" t="n">
        <v>40048</v>
      </c>
      <c r="I29" s="243" t="n">
        <v>30011</v>
      </c>
      <c r="J29" s="244" t="str">
        <f aca="false">_xlfn.xlookup(I29,'Prix MP'!A:A,'Prix MP'!F:F,FALSE())</f>
        <v>S21-1</v>
      </c>
      <c r="K29" s="245" t="n">
        <f aca="false">60.25*12*9.843</f>
        <v>7116.489</v>
      </c>
      <c r="L29" s="245" t="n">
        <v>3356.33</v>
      </c>
      <c r="M29" s="245" t="n">
        <v>3600</v>
      </c>
      <c r="N29" s="245"/>
      <c r="O29" s="245"/>
      <c r="P29" s="246"/>
      <c r="Q29" s="219" t="n">
        <v>1.1</v>
      </c>
      <c r="R29" s="247" t="n">
        <f aca="false">39.54</f>
        <v>39.54</v>
      </c>
      <c r="S29" s="272" t="n">
        <v>1.365</v>
      </c>
      <c r="T29" s="248" t="n">
        <f aca="false">_xlfn.xlookup(I29,'Prix MP'!A:A,'Prix MP'!U:U, FALSE())</f>
        <v>0.28357864079936</v>
      </c>
      <c r="U29" s="249" t="n">
        <f aca="false">M29*T29</f>
        <v>1020.8831068777</v>
      </c>
      <c r="V29" s="249" t="n">
        <f aca="false">(K29-M29-L29)*T29</f>
        <v>45.4176715317846</v>
      </c>
      <c r="W29" s="250" t="n">
        <f aca="false">(K29-M29-L29)/K29</f>
        <v>0.0225053393604627</v>
      </c>
      <c r="X29" s="249" t="n">
        <v>14.5819058823529</v>
      </c>
      <c r="Y29" s="249" t="n">
        <v>19.2</v>
      </c>
      <c r="Z29" s="249" t="n">
        <f aca="false">125000/52/40*Q29</f>
        <v>66.1057692307692</v>
      </c>
      <c r="AA29" s="249" t="n">
        <f aca="false">(M29+N29)*T29+R29+V29+X29+Y29+Z29</f>
        <v>1205.7284535226</v>
      </c>
      <c r="AB29" s="285" t="n">
        <v>0.27</v>
      </c>
      <c r="AC29" s="285" t="str">
        <f aca="false">_xlfn.xlookup(H29,'Prix vente'!A:A,'Prix vente'!Z:Z, "")</f>
        <v>USD</v>
      </c>
      <c r="AD29" s="249" t="n">
        <f aca="false">IF(AC29="CAD",(M29+N29)*AB29,(M29+N29)*AB29*S29)</f>
        <v>1326.78</v>
      </c>
      <c r="AE29" s="249" t="n">
        <f aca="false">AD29-AA29</f>
        <v>121.051546477398</v>
      </c>
      <c r="AF29" s="273" t="n">
        <f aca="false">1-AA29/AD29</f>
        <v>0.0912370901561657</v>
      </c>
      <c r="AG29" s="252" t="n">
        <f aca="false">((M29+N29)*T29+V29)</f>
        <v>1066.30077840948</v>
      </c>
      <c r="AH29" s="273" t="n">
        <f aca="false">AG29/AD29</f>
        <v>0.803675649625017</v>
      </c>
      <c r="AI29" s="273" t="str">
        <f aca="false">IF(AD29=0,"S","")</f>
        <v/>
      </c>
      <c r="AK29" s="15" t="e">
        <v>#NAME?</v>
      </c>
      <c r="AL29" s="15" t="e">
        <f aca="false">_xlfn.xlookup(AK29,A:A,F:F)</f>
        <v>#NAME?</v>
      </c>
      <c r="AM29" s="15" t="e">
        <f aca="false">_xlfn.xlookup(AK29,A:A,J:J)</f>
        <v>#NAME?</v>
      </c>
      <c r="AN29" s="15" t="e">
        <f aca="false">_xlfn.xlookup(AK29,A:A,M:M)+_xlfn.xlookup(AK29,A:A,N:N)</f>
        <v>#NAME?</v>
      </c>
      <c r="AO29" s="223" t="e">
        <f aca="false">_xlfn.xlookup(AK29,A:A,AG:AG)</f>
        <v>#NAME?</v>
      </c>
      <c r="AP29" s="223" t="e">
        <f aca="false">_xlfn.xlookup(AK29,A:A,AD:AD)</f>
        <v>#NAME?</v>
      </c>
      <c r="AQ29" s="223" t="e">
        <f aca="false">_xlfn.xlookup(AK29,A:A,AE:AE)</f>
        <v>#NAME?</v>
      </c>
      <c r="AS29" s="0"/>
      <c r="AT29" s="0"/>
      <c r="AU29" s="0"/>
      <c r="AV29" s="0"/>
      <c r="AW29" s="0"/>
      <c r="AX29" s="1"/>
      <c r="AY29" s="1"/>
      <c r="AZ29" s="36"/>
      <c r="BA29" s="257" t="e">
        <v>#NAME?</v>
      </c>
      <c r="BB29" s="257" t="e">
        <f aca="false">_xlfn.xlookup(BA29,A:A,F:F)</f>
        <v>#NAME?</v>
      </c>
      <c r="BC29" s="257" t="e">
        <f aca="false">_xlfn.xlookup(BA29,A:A,J:J)</f>
        <v>#NAME?</v>
      </c>
      <c r="BD29" s="75" t="e">
        <f aca="false">_xlfn.xlookup(BA29,A:A,M:M)+_xlfn.xlookup(BA29,A:A,N:N)</f>
        <v>#NAME?</v>
      </c>
      <c r="BE29" s="75" t="e">
        <f aca="false">_xlfn.xlookup(BA29,$A$3:$A$990,$AA$3:$AA$990)</f>
        <v>#NAME?</v>
      </c>
      <c r="BF29" s="257"/>
      <c r="BG29" s="0"/>
      <c r="BH29" s="0"/>
      <c r="BI29" s="0"/>
      <c r="BL29" s="42" t="s">
        <v>92</v>
      </c>
      <c r="BM29" s="73" t="n">
        <v>235003</v>
      </c>
      <c r="BN29" s="288" t="n">
        <f aca="false">BM29/SUM(BM29:BM31)</f>
        <v>0.561241435878477</v>
      </c>
    </row>
    <row r="30" customFormat="false" ht="16.4" hidden="false" customHeight="false" outlineLevel="0" collapsed="false">
      <c r="A30" s="241" t="s">
        <v>932</v>
      </c>
      <c r="B30" s="241"/>
      <c r="C30" s="242" t="n">
        <v>45488</v>
      </c>
      <c r="D30" s="219" t="n">
        <v>177</v>
      </c>
      <c r="E30" s="241" t="str">
        <f aca="false">_xlfn.xlookup(D30,'PO Client'!$A:$A,'PO Client'!$C:$C,FALSE())&amp;""</f>
        <v>Étiquettes Luso-Flex</v>
      </c>
      <c r="F30" s="241" t="str">
        <f aca="false">_xlfn.xlookup(E30,Clients!B:B,Clients!C:C)</f>
        <v>Luso-Flex</v>
      </c>
      <c r="G30" s="241"/>
      <c r="H30" s="243" t="n">
        <v>40060</v>
      </c>
      <c r="I30" s="243" t="n">
        <v>30012</v>
      </c>
      <c r="J30" s="244" t="str">
        <f aca="false">_xlfn.xlookup(I30,'Prix MP'!A:A,'Prix MP'!F:F,FALSE())</f>
        <v>D21-1</v>
      </c>
      <c r="K30" s="245" t="n">
        <f aca="false">4*60.24*12*9.843</f>
        <v>28461.23136</v>
      </c>
      <c r="L30" s="245" t="n">
        <v>0</v>
      </c>
      <c r="M30" s="245" t="n">
        <v>27894.75</v>
      </c>
      <c r="N30" s="245"/>
      <c r="O30" s="245"/>
      <c r="P30" s="246"/>
      <c r="Q30" s="219" t="n">
        <v>8.5</v>
      </c>
      <c r="R30" s="247" t="n">
        <v>0</v>
      </c>
      <c r="S30" s="272"/>
      <c r="T30" s="248" t="n">
        <f aca="false">_xlfn.xlookup(I30,'Prix MP'!A:A,'Prix MP'!U:U, FALSE())</f>
        <v>0.327974576595346</v>
      </c>
      <c r="U30" s="249" t="n">
        <f aca="false">M30*T30</f>
        <v>9148.76882048303</v>
      </c>
      <c r="V30" s="249" t="n">
        <f aca="false">(K30-M30-L30)*T30</f>
        <v>185.791484195155</v>
      </c>
      <c r="W30" s="250" t="n">
        <f aca="false">(K30-M30-L30)/K30</f>
        <v>0.0199036138962049</v>
      </c>
      <c r="X30" s="249" t="n">
        <v>51.0366705882353</v>
      </c>
      <c r="Y30" s="249" t="n">
        <f aca="false">19.2*6</f>
        <v>115.2</v>
      </c>
      <c r="Z30" s="249" t="n">
        <f aca="false">125000/52/40*Q30</f>
        <v>510.817307692308</v>
      </c>
      <c r="AA30" s="249" t="n">
        <f aca="false">(M30+N30)*T30+R30+V30+X30+Y30+Z30</f>
        <v>10011.6142829587</v>
      </c>
      <c r="AB30" s="285" t="n">
        <v>0.466</v>
      </c>
      <c r="AC30" s="285" t="str">
        <f aca="false">_xlfn.xlookup(H30,'Prix vente'!A:A,'Prix vente'!Z:Z, "")</f>
        <v>CAD</v>
      </c>
      <c r="AD30" s="249" t="n">
        <f aca="false">IF(AC30="CAD",(M30+N30)*AB30,(M30+N30)*AB30*S30)</f>
        <v>12998.9535</v>
      </c>
      <c r="AE30" s="249" t="n">
        <f aca="false">AD30-AA30</f>
        <v>2987.33921704127</v>
      </c>
      <c r="AF30" s="273" t="n">
        <f aca="false">1-AA30/AD30</f>
        <v>0.229813824400654</v>
      </c>
      <c r="AG30" s="252" t="n">
        <f aca="false">((M30+N30)*T30+V30)</f>
        <v>9334.56030467819</v>
      </c>
      <c r="AH30" s="273" t="n">
        <f aca="false">AG30/AD30</f>
        <v>0.718100907482913</v>
      </c>
      <c r="AI30" s="273" t="str">
        <f aca="false">IF(AD30=0,"S","")</f>
        <v/>
      </c>
      <c r="AK30" s="15" t="e">
        <v>#NAME?</v>
      </c>
      <c r="AL30" s="15" t="e">
        <f aca="false">_xlfn.xlookup(AK30,A:A,F:F)</f>
        <v>#NAME?</v>
      </c>
      <c r="AM30" s="15" t="e">
        <f aca="false">_xlfn.xlookup(AK30,A:A,J:J)</f>
        <v>#NAME?</v>
      </c>
      <c r="AN30" s="15" t="e">
        <f aca="false">_xlfn.xlookup(AK30,A:A,M:M)+_xlfn.xlookup(AK30,A:A,N:N)</f>
        <v>#NAME?</v>
      </c>
      <c r="AO30" s="223" t="e">
        <f aca="false">_xlfn.xlookup(AK30,A:A,AG:AG)</f>
        <v>#NAME?</v>
      </c>
      <c r="AP30" s="223" t="e">
        <f aca="false">_xlfn.xlookup(AK30,A:A,AD:AD)</f>
        <v>#NAME?</v>
      </c>
      <c r="AQ30" s="223" t="e">
        <f aca="false">_xlfn.xlookup(AK30,A:A,AE:AE)</f>
        <v>#NAME?</v>
      </c>
      <c r="AS30" s="0"/>
      <c r="AT30" s="0"/>
      <c r="AU30" s="0"/>
      <c r="AV30" s="0"/>
      <c r="AW30" s="0"/>
      <c r="AX30" s="1"/>
      <c r="AY30" s="1"/>
      <c r="AZ30" s="36"/>
      <c r="BA30" s="257" t="e">
        <v>#NAME?</v>
      </c>
      <c r="BB30" s="257" t="e">
        <f aca="false">_xlfn.xlookup(BA30,A:A,F:F)</f>
        <v>#NAME?</v>
      </c>
      <c r="BC30" s="257" t="e">
        <f aca="false">_xlfn.xlookup(BA30,A:A,J:J)</f>
        <v>#NAME?</v>
      </c>
      <c r="BD30" s="75" t="e">
        <f aca="false">_xlfn.xlookup(BA30,A:A,M:M)+_xlfn.xlookup(BA30,A:A,N:N)</f>
        <v>#NAME?</v>
      </c>
      <c r="BE30" s="75" t="e">
        <f aca="false">_xlfn.xlookup(BA30,$A$3:$A$990,$AA$3:$AA$990)</f>
        <v>#NAME?</v>
      </c>
      <c r="BF30" s="257"/>
      <c r="BG30" s="0"/>
      <c r="BH30" s="0"/>
      <c r="BI30" s="0"/>
      <c r="BL30" s="15" t="s">
        <v>1439</v>
      </c>
      <c r="BM30" s="73" t="n">
        <v>172983.56</v>
      </c>
      <c r="BN30" s="288" t="n">
        <f aca="false">BM30/SUM(BM29:BM31)</f>
        <v>0.413124690313616</v>
      </c>
    </row>
    <row r="31" customFormat="false" ht="16.4" hidden="false" customHeight="false" outlineLevel="0" collapsed="false">
      <c r="A31" s="241" t="s">
        <v>934</v>
      </c>
      <c r="B31" s="241"/>
      <c r="C31" s="242" t="n">
        <v>45481</v>
      </c>
      <c r="D31" s="219" t="n">
        <v>177</v>
      </c>
      <c r="E31" s="241" t="str">
        <f aca="false">_xlfn.xlookup(D31,'PO Client'!$A:$A,'PO Client'!$C:$C,FALSE())&amp;""</f>
        <v>Étiquettes Luso-Flex</v>
      </c>
      <c r="F31" s="241" t="str">
        <f aca="false">_xlfn.xlookup(E31,Clients!B:B,Clients!C:C)</f>
        <v>Luso-Flex</v>
      </c>
      <c r="G31" s="241"/>
      <c r="H31" s="243" t="n">
        <v>40056</v>
      </c>
      <c r="I31" s="243" t="n">
        <v>30012</v>
      </c>
      <c r="J31" s="244" t="str">
        <f aca="false">_xlfn.xlookup(I31,'Prix MP'!A:A,'Prix MP'!F:F,FALSE())</f>
        <v>D21-1</v>
      </c>
      <c r="K31" s="245" t="n">
        <f aca="false">60.25*9.843*12</f>
        <v>7116.489</v>
      </c>
      <c r="L31" s="245" t="n">
        <v>3356</v>
      </c>
      <c r="M31" s="245" t="n">
        <v>3600</v>
      </c>
      <c r="N31" s="245"/>
      <c r="O31" s="245"/>
      <c r="P31" s="246"/>
      <c r="Q31" s="219" t="n">
        <f aca="false">1.25+0.75</f>
        <v>2</v>
      </c>
      <c r="R31" s="247" t="n">
        <v>0</v>
      </c>
      <c r="S31" s="272"/>
      <c r="T31" s="248" t="n">
        <f aca="false">_xlfn.xlookup(I31,'Prix MP'!A:A,'Prix MP'!U:U, FALSE())</f>
        <v>0.327974576595346</v>
      </c>
      <c r="U31" s="249" t="n">
        <f aca="false">M31*T31</f>
        <v>1180.70847574325</v>
      </c>
      <c r="V31" s="249" t="n">
        <f aca="false">(K31-M31-L31)*T31</f>
        <v>52.6363118232104</v>
      </c>
      <c r="W31" s="250" t="n">
        <f aca="false">(K31-M31-L31)/K31</f>
        <v>0.0225517105415324</v>
      </c>
      <c r="X31" s="249" t="n">
        <v>14.5819058823529</v>
      </c>
      <c r="Y31" s="249" t="n">
        <f aca="false">19.2</f>
        <v>19.2</v>
      </c>
      <c r="Z31" s="249" t="n">
        <f aca="false">125000/52/40*Q31</f>
        <v>120.192307692308</v>
      </c>
      <c r="AA31" s="249" t="n">
        <f aca="false">(M31+N31)*T31+R31+V31+X31+Y31+Z31</f>
        <v>1387.31900114112</v>
      </c>
      <c r="AB31" s="285" t="n">
        <v>0.466</v>
      </c>
      <c r="AC31" s="285" t="str">
        <f aca="false">_xlfn.xlookup(H31,'Prix vente'!A:A,'Prix vente'!Z:Z, "")</f>
        <v>CAD</v>
      </c>
      <c r="AD31" s="249" t="n">
        <f aca="false">IF(AC31="CAD",(M31+N31)*AB31,(M31+N31)*AB31*S31)</f>
        <v>1677.6</v>
      </c>
      <c r="AE31" s="249" t="n">
        <f aca="false">AD31-AA31</f>
        <v>290.280998858883</v>
      </c>
      <c r="AF31" s="273" t="n">
        <f aca="false">1-AA31/AD31</f>
        <v>0.173033499558228</v>
      </c>
      <c r="AG31" s="252" t="n">
        <f aca="false">((M31+N31)*T31+V31)</f>
        <v>1233.34478756646</v>
      </c>
      <c r="AH31" s="273" t="n">
        <f aca="false">AG31/AD31</f>
        <v>0.735184065072995</v>
      </c>
      <c r="AI31" s="273" t="str">
        <f aca="false">IF(AD31=0,"S","")</f>
        <v/>
      </c>
      <c r="AK31" s="15" t="e">
        <v>#NAME?</v>
      </c>
      <c r="AL31" s="15" t="e">
        <f aca="false">_xlfn.xlookup(AK31,A:A,F:F)</f>
        <v>#NAME?</v>
      </c>
      <c r="AM31" s="15" t="e">
        <f aca="false">_xlfn.xlookup(AK31,A:A,J:J)</f>
        <v>#NAME?</v>
      </c>
      <c r="AN31" s="15" t="e">
        <f aca="false">_xlfn.xlookup(AK31,A:A,M:M)+_xlfn.xlookup(AK31,A:A,N:N)</f>
        <v>#NAME?</v>
      </c>
      <c r="AO31" s="223" t="e">
        <f aca="false">_xlfn.xlookup(AK31,A:A,AG:AG)</f>
        <v>#NAME?</v>
      </c>
      <c r="AP31" s="223" t="e">
        <f aca="false">_xlfn.xlookup(AK31,A:A,AD:AD)</f>
        <v>#NAME?</v>
      </c>
      <c r="AQ31" s="223" t="e">
        <f aca="false">_xlfn.xlookup(AK31,A:A,AE:AE)</f>
        <v>#NAME?</v>
      </c>
      <c r="AS31" s="0"/>
      <c r="AT31" s="0"/>
      <c r="AU31" s="0"/>
      <c r="AV31" s="0"/>
      <c r="AW31" s="0"/>
      <c r="AX31" s="1"/>
      <c r="AY31" s="1"/>
      <c r="AZ31" s="288"/>
      <c r="BA31" s="15" t="e">
        <v>#NAME?</v>
      </c>
      <c r="BB31" s="257" t="e">
        <f aca="false">_xlfn.xlookup(BA31,A:A,F:F)</f>
        <v>#NAME?</v>
      </c>
      <c r="BC31" s="15" t="e">
        <f aca="false">_xlfn.xlookup(BA31,A:A,J:J)</f>
        <v>#NAME?</v>
      </c>
      <c r="BD31" s="75" t="e">
        <f aca="false">_xlfn.xlookup(BA31,A:A,M:M)+_xlfn.xlookup(BA31,A:A,N:N)</f>
        <v>#NAME?</v>
      </c>
      <c r="BE31" s="75" t="e">
        <f aca="false">_xlfn.xlookup(BA31,$A$3:$A$990,$AA$3:$AA$990)</f>
        <v>#NAME?</v>
      </c>
      <c r="BG31" s="0"/>
      <c r="BH31" s="0"/>
      <c r="BI31" s="0"/>
      <c r="BL31" s="15" t="s">
        <v>1440</v>
      </c>
      <c r="BM31" s="73" t="n">
        <v>10733.415</v>
      </c>
      <c r="BN31" s="288" t="n">
        <f aca="false">BM31/SUM(BM29:BM31)</f>
        <v>0.0256338738079071</v>
      </c>
    </row>
    <row r="32" customFormat="false" ht="16.4" hidden="false" customHeight="false" outlineLevel="0" collapsed="false">
      <c r="A32" s="241" t="s">
        <v>936</v>
      </c>
      <c r="B32" s="241"/>
      <c r="C32" s="242" t="n">
        <v>45482</v>
      </c>
      <c r="D32" s="219" t="n">
        <v>176</v>
      </c>
      <c r="E32" s="241" t="str">
        <f aca="false">_xlfn.xlookup(D32,'PO Client'!$A:$A,'PO Client'!$C:$C,FALSE())&amp;""</f>
        <v>Digi America Inc.</v>
      </c>
      <c r="F32" s="241" t="str">
        <f aca="false">_xlfn.xlookup(E32,Clients!B:B,Clients!C:C)</f>
        <v>Digi</v>
      </c>
      <c r="G32" s="241"/>
      <c r="H32" s="243" t="n">
        <v>40054</v>
      </c>
      <c r="I32" s="243" t="n">
        <v>30013</v>
      </c>
      <c r="J32" s="244" t="str">
        <f aca="false">_xlfn.xlookup(I32,'Prix MP'!A:A,'Prix MP'!F:F,FALSE())</f>
        <v>D11-1</v>
      </c>
      <c r="K32" s="245" t="n">
        <v>0</v>
      </c>
      <c r="L32" s="245" t="n">
        <v>0</v>
      </c>
      <c r="M32" s="245"/>
      <c r="N32" s="245" t="n">
        <v>18883</v>
      </c>
      <c r="O32" s="245"/>
      <c r="P32" s="246"/>
      <c r="Q32" s="219" t="n">
        <v>6</v>
      </c>
      <c r="R32" s="247" t="n">
        <v>-56.41</v>
      </c>
      <c r="S32" s="272" t="n">
        <v>1.3635</v>
      </c>
      <c r="T32" s="248" t="n">
        <f aca="false">_xlfn.xlookup(I32,'Prix MP'!A:A,'Prix MP'!U:U, FALSE())</f>
        <v>0.358173933722525</v>
      </c>
      <c r="U32" s="249" t="n">
        <f aca="false">(M32+N32)*T32</f>
        <v>6763.39839048244</v>
      </c>
      <c r="V32" s="249" t="n">
        <f aca="false">(K32-M32-L32)*T32</f>
        <v>0</v>
      </c>
      <c r="W32" s="250" t="e">
        <f aca="false">(K32-M32-L32)/K32</f>
        <v>#DIV/0!</v>
      </c>
      <c r="X32" s="249" t="n">
        <v>0</v>
      </c>
      <c r="Y32" s="249" t="n">
        <f aca="false">19.2*3</f>
        <v>57.6</v>
      </c>
      <c r="Z32" s="249" t="n">
        <f aca="false">125000/52/40*Q32</f>
        <v>360.576923076923</v>
      </c>
      <c r="AA32" s="249" t="n">
        <f aca="false">(M32+N32)*T32+R32+V32+X32+Y32+Z32</f>
        <v>7125.16531355936</v>
      </c>
      <c r="AB32" s="285" t="n">
        <v>0.31</v>
      </c>
      <c r="AC32" s="285" t="str">
        <f aca="false">_xlfn.xlookup(H32,'Prix vente'!A:A,'Prix vente'!Z:Z, "")</f>
        <v>USD</v>
      </c>
      <c r="AD32" s="249" t="n">
        <f aca="false">5566.38*S32</f>
        <v>7589.75913</v>
      </c>
      <c r="AE32" s="249" t="n">
        <f aca="false">AD32-AA32</f>
        <v>464.593816440637</v>
      </c>
      <c r="AF32" s="273" t="n">
        <f aca="false">1-AA32/AD32</f>
        <v>0.0612132491272667</v>
      </c>
      <c r="AG32" s="252" t="n">
        <f aca="false">((M32+N32)*T32+V32)</f>
        <v>6763.39839048244</v>
      </c>
      <c r="AH32" s="273" t="n">
        <f aca="false">AG32/AD32</f>
        <v>0.891121611982229</v>
      </c>
      <c r="AI32" s="273" t="str">
        <f aca="false">IF(AD32=0,"S","")</f>
        <v/>
      </c>
      <c r="AK32" s="15" t="e">
        <v>#NAME?</v>
      </c>
      <c r="AL32" s="15" t="e">
        <f aca="false">_xlfn.xlookup(AK32,A:A,F:F)</f>
        <v>#NAME?</v>
      </c>
      <c r="AM32" s="15" t="e">
        <f aca="false">_xlfn.xlookup(AK32,A:A,J:J)</f>
        <v>#NAME?</v>
      </c>
      <c r="AN32" s="15" t="e">
        <f aca="false">_xlfn.xlookup(AK32,A:A,M:M)+_xlfn.xlookup(AK32,A:A,N:N)</f>
        <v>#NAME?</v>
      </c>
      <c r="AO32" s="223" t="e">
        <f aca="false">_xlfn.xlookup(AK32,A:A,AG:AG)</f>
        <v>#NAME?</v>
      </c>
      <c r="AP32" s="223" t="e">
        <f aca="false">_xlfn.xlookup(AK32,A:A,AD:AD)</f>
        <v>#NAME?</v>
      </c>
      <c r="AQ32" s="223" t="e">
        <f aca="false">_xlfn.xlookup(AK32,A:A,AE:AE)</f>
        <v>#NAME?</v>
      </c>
      <c r="AS32" s="0"/>
      <c r="AT32" s="0"/>
      <c r="AU32" s="0"/>
      <c r="AV32" s="0"/>
      <c r="AW32" s="0"/>
      <c r="AX32" s="1"/>
      <c r="AY32" s="1"/>
      <c r="AZ32" s="288"/>
      <c r="BA32" s="15" t="e">
        <v>#NAME?</v>
      </c>
      <c r="BB32" s="257" t="e">
        <f aca="false">_xlfn.xlookup(BA32,A:A,F:F)</f>
        <v>#NAME?</v>
      </c>
      <c r="BC32" s="15" t="e">
        <f aca="false">_xlfn.xlookup(BA32,A:A,J:J)</f>
        <v>#NAME?</v>
      </c>
      <c r="BD32" s="75" t="e">
        <f aca="false">_xlfn.xlookup(BA32,A:A,M:M)+_xlfn.xlookup(BA32,A:A,N:N)</f>
        <v>#NAME?</v>
      </c>
      <c r="BE32" s="75" t="e">
        <f aca="false">_xlfn.xlookup(BA32,$A$3:$A$990,$AA$3:$AA$990)</f>
        <v>#NAME?</v>
      </c>
      <c r="BG32" s="0"/>
      <c r="BH32" s="0"/>
      <c r="BI32" s="0"/>
      <c r="BM32" s="73"/>
    </row>
    <row r="33" customFormat="false" ht="16.4" hidden="false" customHeight="false" outlineLevel="0" collapsed="false">
      <c r="A33" s="241" t="s">
        <v>938</v>
      </c>
      <c r="B33" s="241"/>
      <c r="C33" s="242" t="n">
        <v>45488</v>
      </c>
      <c r="D33" s="219" t="n">
        <v>179</v>
      </c>
      <c r="E33" s="241" t="str">
        <f aca="false">_xlfn.xlookup(D33,'PO Client'!$A:$A,'PO Client'!$C:$C,FALSE())&amp;""</f>
        <v>Groupe Produlith Inc.</v>
      </c>
      <c r="F33" s="241" t="str">
        <f aca="false">_xlfn.xlookup(E33,Clients!B:B,Clients!C:C)</f>
        <v>Produlith</v>
      </c>
      <c r="G33" s="241"/>
      <c r="H33" s="243" t="n">
        <v>40062</v>
      </c>
      <c r="I33" s="243" t="n">
        <v>30017</v>
      </c>
      <c r="J33" s="244" t="str">
        <f aca="false">_xlfn.xlookup(I33,'Prix MP'!A:A,'Prix MP'!F:F,FALSE())</f>
        <v>B25-3</v>
      </c>
      <c r="K33" s="245" t="n">
        <f aca="false">47.75*12*4.3</f>
        <v>2463.9</v>
      </c>
      <c r="L33" s="245" t="n">
        <v>0</v>
      </c>
      <c r="M33" s="245" t="n">
        <v>2187</v>
      </c>
      <c r="N33" s="245" t="n">
        <v>0</v>
      </c>
      <c r="O33" s="245"/>
      <c r="P33" s="246"/>
      <c r="Q33" s="219" t="n">
        <v>1.5</v>
      </c>
      <c r="R33" s="247" t="n">
        <v>0</v>
      </c>
      <c r="S33" s="272" t="n">
        <v>1.3686</v>
      </c>
      <c r="T33" s="248" t="n">
        <f aca="false">_xlfn.xlookup(I33,'Prix MP'!A:A,'Prix MP'!U:U, FALSE())</f>
        <v>0.326284886247867</v>
      </c>
      <c r="U33" s="249" t="n">
        <f aca="false">M33*T33</f>
        <v>713.585046224085</v>
      </c>
      <c r="V33" s="249" t="n">
        <f aca="false">(K33-M33-L33)*T33</f>
        <v>90.3482850020343</v>
      </c>
      <c r="W33" s="250" t="n">
        <f aca="false">(K33-M33-L33)/K33</f>
        <v>0.112382807743821</v>
      </c>
      <c r="X33" s="249" t="n">
        <v>10.9364294117647</v>
      </c>
      <c r="Y33" s="249" t="n">
        <f aca="false">19.2</f>
        <v>19.2</v>
      </c>
      <c r="Z33" s="249" t="n">
        <f aca="false">125000/52/40*Q33</f>
        <v>90.1442307692308</v>
      </c>
      <c r="AA33" s="249" t="n">
        <f aca="false">(M33+N33)*T33+R33+V33+X33+Y33+Z33</f>
        <v>924.213991407115</v>
      </c>
      <c r="AB33" s="285" t="n">
        <v>0.34</v>
      </c>
      <c r="AC33" s="285" t="str">
        <f aca="false">_xlfn.xlookup(H33,'Prix vente'!A:A,'Prix vente'!Z:Z, "")</f>
        <v>USD</v>
      </c>
      <c r="AD33" s="249" t="n">
        <f aca="false">IF(AC33="CAD",(M33+N33)*AB33,(M33+N33)*AB33*S33)</f>
        <v>1017.663588</v>
      </c>
      <c r="AE33" s="249" t="n">
        <f aca="false">AD33-AA33</f>
        <v>93.4495965928857</v>
      </c>
      <c r="AF33" s="273" t="n">
        <f aca="false">1-AA33/AD33</f>
        <v>0.0918275918435294</v>
      </c>
      <c r="AG33" s="252" t="n">
        <f aca="false">((M33+N33)*T33+V33)</f>
        <v>803.933331226119</v>
      </c>
      <c r="AH33" s="273" t="n">
        <f aca="false">AG33/AD33</f>
        <v>0.789979459524613</v>
      </c>
      <c r="AI33" s="273" t="str">
        <f aca="false">IF(AD33=0,"S","")</f>
        <v/>
      </c>
      <c r="AK33" s="15" t="e">
        <v>#NAME?</v>
      </c>
      <c r="AL33" s="15" t="e">
        <f aca="false">_xlfn.xlookup(AK33,A:A,F:F)</f>
        <v>#NAME?</v>
      </c>
      <c r="AM33" s="15" t="e">
        <f aca="false">_xlfn.xlookup(AK33,A:A,J:J)</f>
        <v>#NAME?</v>
      </c>
      <c r="AN33" s="15" t="e">
        <f aca="false">_xlfn.xlookup(AK33,A:A,M:M)+_xlfn.xlookup(AK33,A:A,N:N)</f>
        <v>#NAME?</v>
      </c>
      <c r="AO33" s="223" t="e">
        <f aca="false">_xlfn.xlookup(AK33,A:A,AG:AG)</f>
        <v>#NAME?</v>
      </c>
      <c r="AP33" s="223" t="e">
        <f aca="false">_xlfn.xlookup(AK33,A:A,AD:AD)</f>
        <v>#NAME?</v>
      </c>
      <c r="AQ33" s="223" t="e">
        <f aca="false">_xlfn.xlookup(AK33,A:A,AE:AE)</f>
        <v>#NAME?</v>
      </c>
      <c r="AS33" s="0"/>
      <c r="AT33" s="0"/>
      <c r="AU33" s="0"/>
      <c r="AV33" s="0"/>
      <c r="AW33" s="0"/>
      <c r="AX33" s="1"/>
      <c r="AY33" s="1"/>
      <c r="AZ33" s="288"/>
      <c r="BA33" s="15" t="e">
        <v>#NAME?</v>
      </c>
      <c r="BB33" s="257" t="e">
        <f aca="false">_xlfn.xlookup(BA33,A:A,F:F)</f>
        <v>#NAME?</v>
      </c>
      <c r="BC33" s="15" t="e">
        <f aca="false">_xlfn.xlookup(BA33,A:A,J:J)</f>
        <v>#NAME?</v>
      </c>
      <c r="BD33" s="75" t="e">
        <f aca="false">_xlfn.xlookup(BA33,A:A,M:M)+_xlfn.xlookup(BA33,A:A,N:N)</f>
        <v>#NAME?</v>
      </c>
      <c r="BE33" s="75" t="e">
        <f aca="false">_xlfn.xlookup(BA33,$A$3:$A$990,$AA$3:$AA$990)</f>
        <v>#NAME?</v>
      </c>
      <c r="BG33" s="0"/>
      <c r="BH33" s="0"/>
      <c r="BI33" s="0"/>
    </row>
    <row r="34" customFormat="false" ht="16.4" hidden="false" customHeight="false" outlineLevel="0" collapsed="false">
      <c r="A34" s="241" t="s">
        <v>940</v>
      </c>
      <c r="B34" s="241"/>
      <c r="C34" s="242" t="n">
        <v>45491</v>
      </c>
      <c r="D34" s="219" t="n">
        <v>181</v>
      </c>
      <c r="E34" s="241" t="str">
        <f aca="false">_xlfn.xlookup(D34,'PO Client'!$A:$A,'PO Client'!$C:$C,FALSE())&amp;""</f>
        <v>Imprimerie Ste-Julie</v>
      </c>
      <c r="F34" s="241" t="str">
        <f aca="false">_xlfn.xlookup(E34,Clients!B:B,Clients!C:C)</f>
        <v>Imprimerie Ste-Julie</v>
      </c>
      <c r="G34" s="241"/>
      <c r="H34" s="243" t="n">
        <f aca="false">_xlfn.xlookup(D34,'PO Client'!A:A,'PO Client'!O:O,"")</f>
        <v>40067</v>
      </c>
      <c r="I34" s="243" t="n">
        <v>30015</v>
      </c>
      <c r="J34" s="244" t="str">
        <f aca="false">_xlfn.xlookup(I34,'Prix MP'!A:A,'Prix MP'!F:F,FALSE())</f>
        <v>S15-3</v>
      </c>
      <c r="K34" s="245" t="n">
        <f aca="false">60.24*9*12</f>
        <v>6505.92</v>
      </c>
      <c r="L34" s="245" t="n">
        <v>2747</v>
      </c>
      <c r="M34" s="245" t="n">
        <v>3600</v>
      </c>
      <c r="N34" s="245" t="n">
        <v>0</v>
      </c>
      <c r="O34" s="245"/>
      <c r="P34" s="246"/>
      <c r="Q34" s="219" t="n">
        <v>1.5</v>
      </c>
      <c r="R34" s="247" t="n">
        <v>-5.45</v>
      </c>
      <c r="S34" s="272" t="n">
        <v>1.3696</v>
      </c>
      <c r="T34" s="248" t="n">
        <f aca="false">_xlfn.xlookup(I34,'Prix MP'!A:A,'Prix MP'!U:U, FALSE())</f>
        <v>0.268854241086576</v>
      </c>
      <c r="U34" s="249" t="n">
        <f aca="false">M34*T34</f>
        <v>967.875267911675</v>
      </c>
      <c r="V34" s="249" t="n">
        <f aca="false">(K34-M34-L34)*T34</f>
        <v>42.7263159934787</v>
      </c>
      <c r="W34" s="250" t="n">
        <f aca="false">(K34-M34-L34)/K34</f>
        <v>0.0244269834243274</v>
      </c>
      <c r="X34" s="249" t="n">
        <v>14.5819058823529</v>
      </c>
      <c r="Y34" s="249" t="n">
        <f aca="false">19.2</f>
        <v>19.2</v>
      </c>
      <c r="Z34" s="249" t="n">
        <f aca="false">125000/52/40*Q34</f>
        <v>90.1442307692308</v>
      </c>
      <c r="AA34" s="249" t="n">
        <f aca="false">(M34+N34)*T34+R34+V34+X34+Y34+Z34</f>
        <v>1129.07772055674</v>
      </c>
      <c r="AB34" s="285" t="n">
        <v>0.28</v>
      </c>
      <c r="AC34" s="285" t="str">
        <f aca="false">_xlfn.xlookup(H34,'Prix vente'!A:A,'Prix vente'!Z:Z, "")</f>
        <v>USD</v>
      </c>
      <c r="AD34" s="249" t="n">
        <f aca="false">IF(AC34="CAD",(M34+N34)*AB34,(M34+N34)*AB34*S34)</f>
        <v>1380.5568</v>
      </c>
      <c r="AE34" s="249" t="n">
        <f aca="false">AD34-AA34</f>
        <v>251.479079443263</v>
      </c>
      <c r="AF34" s="273" t="n">
        <f aca="false">1-AA34/AD34</f>
        <v>0.182157720307678</v>
      </c>
      <c r="AG34" s="252" t="n">
        <f aca="false">((M34+N34)*T34+V34)</f>
        <v>1010.60158390515</v>
      </c>
      <c r="AH34" s="273" t="n">
        <f aca="false">AG34/AD34</f>
        <v>0.732024632311509</v>
      </c>
      <c r="AI34" s="273" t="str">
        <f aca="false">IF(AD34=0,"S","")</f>
        <v/>
      </c>
      <c r="AK34" s="15" t="e">
        <v>#NAME?</v>
      </c>
      <c r="AL34" s="15" t="e">
        <f aca="false">_xlfn.xlookup(AK34,A:A,F:F)</f>
        <v>#NAME?</v>
      </c>
      <c r="AM34" s="15" t="e">
        <f aca="false">_xlfn.xlookup(AK34,A:A,J:J)</f>
        <v>#NAME?</v>
      </c>
      <c r="AN34" s="15" t="e">
        <f aca="false">_xlfn.xlookup(AK34,A:A,M:M)+_xlfn.xlookup(AK34,A:A,N:N)</f>
        <v>#NAME?</v>
      </c>
      <c r="AO34" s="223" t="e">
        <f aca="false">_xlfn.xlookup(AK34,A:A,AG:AG)</f>
        <v>#NAME?</v>
      </c>
      <c r="AP34" s="223" t="e">
        <f aca="false">_xlfn.xlookup(AK34,A:A,AD:AD)</f>
        <v>#NAME?</v>
      </c>
      <c r="AQ34" s="223" t="e">
        <f aca="false">_xlfn.xlookup(AK34,A:A,AE:AE)</f>
        <v>#NAME?</v>
      </c>
      <c r="AS34" s="0"/>
      <c r="AT34" s="0"/>
      <c r="AU34" s="0"/>
      <c r="AV34" s="0"/>
      <c r="AW34" s="0"/>
      <c r="AX34" s="1"/>
      <c r="AY34" s="1"/>
      <c r="AZ34" s="288"/>
      <c r="BA34" s="15" t="e">
        <v>#NAME?</v>
      </c>
      <c r="BB34" s="257" t="e">
        <f aca="false">_xlfn.xlookup(BA34,A:A,F:F)</f>
        <v>#NAME?</v>
      </c>
      <c r="BC34" s="15" t="e">
        <f aca="false">_xlfn.xlookup(BA34,A:A,J:J)</f>
        <v>#NAME?</v>
      </c>
      <c r="BD34" s="75" t="e">
        <f aca="false">_xlfn.xlookup(BA34,A:A,M:M)+_xlfn.xlookup(BA34,A:A,N:N)</f>
        <v>#NAME?</v>
      </c>
      <c r="BE34" s="75" t="e">
        <f aca="false">_xlfn.xlookup(BA34,$A$3:$A$990,$AA$3:$AA$990)</f>
        <v>#NAME?</v>
      </c>
      <c r="BG34" s="0"/>
      <c r="BH34" s="0"/>
      <c r="BI34" s="0"/>
    </row>
    <row r="35" customFormat="false" ht="16.4" hidden="false" customHeight="false" outlineLevel="0" collapsed="false">
      <c r="A35" s="241" t="s">
        <v>942</v>
      </c>
      <c r="B35" s="241"/>
      <c r="C35" s="242" t="n">
        <v>45502</v>
      </c>
      <c r="D35" s="219" t="n">
        <v>182</v>
      </c>
      <c r="E35" s="241" t="str">
        <f aca="false">_xlfn.xlookup(D35,'PO Client'!$A:$A,'PO Client'!$C:$C,FALSE())</f>
        <v>Groupe Produlith Inc.</v>
      </c>
      <c r="F35" s="241" t="str">
        <f aca="false">_xlfn.xlookup(E35,Clients!B:B,Clients!C:C)</f>
        <v>Produlith</v>
      </c>
      <c r="G35" s="241"/>
      <c r="H35" s="243" t="n">
        <f aca="false">_xlfn.xlookup(D35,'PO Client'!A:A,'PO Client'!O:O,"")</f>
        <v>40051</v>
      </c>
      <c r="I35" s="243" t="n">
        <v>30016</v>
      </c>
      <c r="J35" s="244" t="str">
        <f aca="false">_xlfn.xlookup(I35,'Prix MP'!A:A,'Prix MP'!F:F,FALSE())</f>
        <v>B15-3</v>
      </c>
      <c r="K35" s="245" t="n">
        <f aca="false">60.24*12*16.919</f>
        <v>12230.40672</v>
      </c>
      <c r="L35" s="245" t="n">
        <f aca="false">60.24*12*14.3</f>
        <v>10337.184</v>
      </c>
      <c r="M35" s="245" t="n">
        <v>1800</v>
      </c>
      <c r="N35" s="245" t="n">
        <v>0</v>
      </c>
      <c r="O35" s="245"/>
      <c r="P35" s="246"/>
      <c r="Q35" s="219" t="n">
        <v>1.5</v>
      </c>
      <c r="R35" s="247" t="n">
        <v>0</v>
      </c>
      <c r="S35" s="272" t="n">
        <v>1.3852</v>
      </c>
      <c r="T35" s="248" t="n">
        <f aca="false">_xlfn.xlookup(I35,'Prix MP'!A:A,'Prix MP'!U:U, FALSE())</f>
        <v>0.326284886247867</v>
      </c>
      <c r="U35" s="249" t="n">
        <f aca="false">M35*T35</f>
        <v>587.31279524616</v>
      </c>
      <c r="V35" s="249" t="n">
        <f aca="false">(K35-M35-L35)*T35</f>
        <v>30.4171645909167</v>
      </c>
      <c r="W35" s="250" t="n">
        <f aca="false">(K35-M35-L35)/K35</f>
        <v>0.00762220931275781</v>
      </c>
      <c r="X35" s="249" t="n">
        <v>14.5819058823529</v>
      </c>
      <c r="Y35" s="249" t="n">
        <f aca="false">19.2</f>
        <v>19.2</v>
      </c>
      <c r="Z35" s="249" t="n">
        <f aca="false">125000/52/40*Q35</f>
        <v>90.1442307692308</v>
      </c>
      <c r="AA35" s="249" t="n">
        <f aca="false">(M35+N35)*T35+R35+V35+X35+Y35+Z35</f>
        <v>741.656096488661</v>
      </c>
      <c r="AB35" s="285" t="n">
        <v>0.34</v>
      </c>
      <c r="AC35" s="285" t="str">
        <f aca="false">_xlfn.xlookup(H35,'Prix vente'!A:A,'Prix vente'!Z:Z, "")</f>
        <v>USD</v>
      </c>
      <c r="AD35" s="249" t="n">
        <f aca="false">IF(AC35="CAD",(M35+N35)*AB35,(M35+N35)*AB35*S35)</f>
        <v>847.7424</v>
      </c>
      <c r="AE35" s="249" t="n">
        <f aca="false">AD35-AA35</f>
        <v>106.086303511339</v>
      </c>
      <c r="AF35" s="273" t="n">
        <f aca="false">1-AA35/AD35</f>
        <v>0.125139787170418</v>
      </c>
      <c r="AG35" s="252" t="n">
        <f aca="false">((M35+N35)*T35+V35)</f>
        <v>617.729959837077</v>
      </c>
      <c r="AH35" s="273" t="n">
        <f aca="false">AG35/AD35</f>
        <v>0.728676493988123</v>
      </c>
      <c r="AI35" s="273" t="str">
        <f aca="false">IF(AD35=0,"S","")</f>
        <v/>
      </c>
      <c r="AK35" s="15" t="e">
        <v>#NAME?</v>
      </c>
      <c r="AL35" s="15" t="e">
        <f aca="false">_xlfn.xlookup(AK35,A:A,F:F)</f>
        <v>#NAME?</v>
      </c>
      <c r="AM35" s="15" t="e">
        <f aca="false">_xlfn.xlookup(AK35,A:A,J:J)</f>
        <v>#NAME?</v>
      </c>
      <c r="AN35" s="15" t="e">
        <f aca="false">_xlfn.xlookup(AK35,A:A,M:M)+_xlfn.xlookup(AK35,A:A,N:N)</f>
        <v>#NAME?</v>
      </c>
      <c r="AO35" s="223" t="e">
        <f aca="false">_xlfn.xlookup(AK35,A:A,AG:AG)</f>
        <v>#NAME?</v>
      </c>
      <c r="AP35" s="223" t="e">
        <f aca="false">_xlfn.xlookup(AK35,A:A,AD:AD)</f>
        <v>#NAME?</v>
      </c>
      <c r="AQ35" s="223" t="e">
        <f aca="false">_xlfn.xlookup(AK35,A:A,AE:AE)</f>
        <v>#NAME?</v>
      </c>
      <c r="AS35" s="0"/>
      <c r="AT35" s="0"/>
      <c r="AU35" s="0"/>
      <c r="AV35" s="0"/>
      <c r="AW35" s="0"/>
      <c r="AX35" s="1"/>
      <c r="AY35" s="1"/>
      <c r="AZ35" s="288"/>
      <c r="BA35" s="15" t="e">
        <v>#NAME?</v>
      </c>
      <c r="BB35" s="257" t="e">
        <f aca="false">_xlfn.xlookup(BA35,A:A,F:F)</f>
        <v>#NAME?</v>
      </c>
      <c r="BC35" s="15" t="e">
        <f aca="false">_xlfn.xlookup(BA35,A:A,J:J)</f>
        <v>#NAME?</v>
      </c>
      <c r="BD35" s="75" t="e">
        <f aca="false">_xlfn.xlookup(BA35,A:A,M:M)+_xlfn.xlookup(BA35,A:A,N:N)</f>
        <v>#NAME?</v>
      </c>
      <c r="BE35" s="75" t="e">
        <f aca="false">_xlfn.xlookup(BA35,$A$3:$A$990,$AA$3:$AA$990)</f>
        <v>#NAME?</v>
      </c>
      <c r="BG35" s="0"/>
      <c r="BH35" s="0"/>
      <c r="BI35" s="0"/>
    </row>
    <row r="36" customFormat="false" ht="16.4" hidden="false" customHeight="false" outlineLevel="0" collapsed="false">
      <c r="A36" s="241" t="s">
        <v>944</v>
      </c>
      <c r="B36" s="241"/>
      <c r="C36" s="242" t="n">
        <v>45510</v>
      </c>
      <c r="D36" s="219" t="n">
        <v>183</v>
      </c>
      <c r="E36" s="241" t="str">
        <f aca="false">_xlfn.xlookup(D36,'PO Client'!$A:$A,'PO Client'!$C:$C,FALSE())</f>
        <v>ÉTIQUETTES MULTI-FLEX</v>
      </c>
      <c r="F36" s="241" t="str">
        <f aca="false">_xlfn.xlookup(E36,Clients!B:B,Clients!C:C)</f>
        <v>Multi-Flex</v>
      </c>
      <c r="G36" s="241"/>
      <c r="H36" s="243" t="n">
        <f aca="false">_xlfn.xlookup(D36,'PO Client'!A:A,'PO Client'!O:O,"")</f>
        <v>40063</v>
      </c>
      <c r="I36" s="243" t="n">
        <v>30017</v>
      </c>
      <c r="J36" s="244" t="str">
        <f aca="false">_xlfn.xlookup(I36,'Prix MP'!A:A,'Prix MP'!F:F,FALSE())</f>
        <v>B25-3</v>
      </c>
      <c r="K36" s="245" t="n">
        <f aca="false">4*15*12*1.7</f>
        <v>1224</v>
      </c>
      <c r="L36" s="245" t="n">
        <v>0</v>
      </c>
      <c r="M36" s="245" t="n">
        <f aca="false">10*12*3.3+13*12*3.4</f>
        <v>926.4</v>
      </c>
      <c r="N36" s="245"/>
      <c r="O36" s="245"/>
      <c r="P36" s="246"/>
      <c r="Q36" s="219" t="n">
        <v>2</v>
      </c>
      <c r="R36" s="247" t="n">
        <v>35</v>
      </c>
      <c r="S36" s="272"/>
      <c r="T36" s="248" t="n">
        <f aca="false">_xlfn.xlookup(I36,'Prix MP'!A:A,'Prix MP'!U:U, FALSE())</f>
        <v>0.326284886247867</v>
      </c>
      <c r="U36" s="249" t="n">
        <f aca="false">M36*T36</f>
        <v>302.270318620024</v>
      </c>
      <c r="V36" s="249" t="n">
        <f aca="false">(K36-M36-L36)*T36</f>
        <v>97.1023821473652</v>
      </c>
      <c r="W36" s="250" t="n">
        <f aca="false">(K36-M36-L36)/K36</f>
        <v>0.243137254901961</v>
      </c>
      <c r="X36" s="249" t="n">
        <v>5.58973058823529</v>
      </c>
      <c r="Y36" s="249" t="n">
        <f aca="false">19.2</f>
        <v>19.2</v>
      </c>
      <c r="Z36" s="249" t="n">
        <f aca="false">125000/52/40*Q36</f>
        <v>120.192307692308</v>
      </c>
      <c r="AA36" s="249" t="n">
        <f aca="false">(M36+N36)*T36+R36+V36+X36+Y36+Z36</f>
        <v>579.354739047932</v>
      </c>
      <c r="AB36" s="285" t="n">
        <v>0</v>
      </c>
      <c r="AC36" s="285" t="str">
        <f aca="false">_xlfn.xlookup(H36,'Prix vente'!A:A,'Prix vente'!Z:Z, "")</f>
        <v>CAD</v>
      </c>
      <c r="AD36" s="249" t="n">
        <f aca="false">IF(AC36="CAD",(M36+N36)*AB36,(M36+N36)*AB36*S36)</f>
        <v>0</v>
      </c>
      <c r="AE36" s="249" t="n">
        <f aca="false">AD36-AA36</f>
        <v>-579.354739047932</v>
      </c>
      <c r="AF36" s="273"/>
      <c r="AG36" s="252" t="n">
        <f aca="false">((M36+N36)*T36+V36)</f>
        <v>399.372700767389</v>
      </c>
      <c r="AH36" s="273"/>
      <c r="AI36" s="273" t="str">
        <f aca="false">IF(AD36=0,"S","")</f>
        <v>S</v>
      </c>
      <c r="AK36" s="15" t="e">
        <v>#NAME?</v>
      </c>
      <c r="AL36" s="15" t="e">
        <f aca="false">_xlfn.xlookup(AK36,A:A,F:F)</f>
        <v>#NAME?</v>
      </c>
      <c r="AM36" s="15" t="e">
        <f aca="false">_xlfn.xlookup(AK36,A:A,J:J)</f>
        <v>#NAME?</v>
      </c>
      <c r="AN36" s="15" t="e">
        <f aca="false">_xlfn.xlookup(AK36,A:A,M:M)+_xlfn.xlookup(AK36,A:A,N:N)</f>
        <v>#NAME?</v>
      </c>
      <c r="AO36" s="223" t="e">
        <f aca="false">_xlfn.xlookup(AK36,A:A,AG:AG)</f>
        <v>#NAME?</v>
      </c>
      <c r="AP36" s="223" t="e">
        <f aca="false">_xlfn.xlookup(AK36,A:A,AD:AD)</f>
        <v>#NAME?</v>
      </c>
      <c r="AQ36" s="223" t="e">
        <f aca="false">_xlfn.xlookup(AK36,A:A,AE:AE)</f>
        <v>#NAME?</v>
      </c>
      <c r="AS36" s="0"/>
      <c r="AT36" s="0"/>
      <c r="AU36" s="0"/>
      <c r="AV36" s="0"/>
      <c r="AW36" s="0"/>
      <c r="AX36" s="1"/>
      <c r="AY36" s="1"/>
      <c r="AZ36" s="288"/>
      <c r="BA36" s="15" t="e">
        <v>#NAME?</v>
      </c>
      <c r="BB36" s="257" t="e">
        <f aca="false">_xlfn.xlookup(BA36,A:A,F:F)</f>
        <v>#NAME?</v>
      </c>
      <c r="BC36" s="15" t="e">
        <f aca="false">_xlfn.xlookup(BA36,A:A,J:J)</f>
        <v>#NAME?</v>
      </c>
      <c r="BD36" s="75" t="e">
        <f aca="false">_xlfn.xlookup(BA36,A:A,M:M)+_xlfn.xlookup(BA36,A:A,N:N)</f>
        <v>#NAME?</v>
      </c>
      <c r="BE36" s="75" t="e">
        <f aca="false">_xlfn.xlookup(BA36,$A$3:$A$990,$AA$3:$AA$990)</f>
        <v>#NAME?</v>
      </c>
      <c r="BG36" s="0"/>
      <c r="BH36" s="0"/>
      <c r="BI36" s="0"/>
    </row>
    <row r="37" customFormat="false" ht="16.4" hidden="false" customHeight="false" outlineLevel="0" collapsed="false">
      <c r="A37" s="241" t="s">
        <v>948</v>
      </c>
      <c r="B37" s="241"/>
      <c r="C37" s="242" t="n">
        <v>45510</v>
      </c>
      <c r="D37" s="219" t="n">
        <v>183</v>
      </c>
      <c r="E37" s="241" t="str">
        <f aca="false">_xlfn.xlookup(D37,'PO Client'!$A:$A,'PO Client'!$C:$C,FALSE())</f>
        <v>ÉTIQUETTES MULTI-FLEX</v>
      </c>
      <c r="F37" s="241" t="str">
        <f aca="false">_xlfn.xlookup(E37,Clients!B:B,Clients!C:C)</f>
        <v>Multi-Flex</v>
      </c>
      <c r="G37" s="241"/>
      <c r="H37" s="243" t="n">
        <v>40065</v>
      </c>
      <c r="I37" s="243" t="n">
        <v>30011</v>
      </c>
      <c r="J37" s="244" t="str">
        <f aca="false">_xlfn.xlookup(I37,'Prix MP'!A:A,'Prix MP'!F:F,FALSE())</f>
        <v>S21-1</v>
      </c>
      <c r="K37" s="245" t="n">
        <f aca="false">47*12*4+12*12*5</f>
        <v>2976</v>
      </c>
      <c r="L37" s="245" t="n">
        <f aca="false">34*12*2.4</f>
        <v>979.2</v>
      </c>
      <c r="M37" s="245" t="n">
        <f aca="false">13*12*3.2+10*12*4.4</f>
        <v>1027.2</v>
      </c>
      <c r="N37" s="245"/>
      <c r="O37" s="245"/>
      <c r="P37" s="246"/>
      <c r="Q37" s="219" t="n">
        <v>3</v>
      </c>
      <c r="R37" s="247" t="n">
        <v>35</v>
      </c>
      <c r="S37" s="272"/>
      <c r="T37" s="248" t="n">
        <f aca="false">_xlfn.xlookup(I37,'Prix MP'!A:A,'Prix MP'!U:U, FALSE())</f>
        <v>0.28357864079936</v>
      </c>
      <c r="U37" s="249" t="n">
        <f aca="false">M37*T37</f>
        <v>291.291979829103</v>
      </c>
      <c r="V37" s="249" t="n">
        <f aca="false">(K37-M37-L37)*T37</f>
        <v>274.957850119059</v>
      </c>
      <c r="W37" s="250" t="n">
        <f aca="false">(K37-M37-L37)/K37</f>
        <v>0.325806451612903</v>
      </c>
      <c r="X37" s="249" t="n">
        <v>5.58973058823529</v>
      </c>
      <c r="Y37" s="249" t="n">
        <v>0</v>
      </c>
      <c r="Z37" s="249" t="n">
        <f aca="false">125000/52/40*Q37</f>
        <v>180.288461538462</v>
      </c>
      <c r="AA37" s="249" t="n">
        <f aca="false">(M37+N37)*T37+R37+V37+X37+Y37+Z37</f>
        <v>787.128022074859</v>
      </c>
      <c r="AB37" s="285" t="n">
        <v>0</v>
      </c>
      <c r="AC37" s="285" t="str">
        <f aca="false">_xlfn.xlookup(H37,'Prix vente'!A:A,'Prix vente'!Z:Z, "")</f>
        <v>CAD</v>
      </c>
      <c r="AD37" s="249" t="n">
        <f aca="false">IF(AC37="CAD",(M37+N37)*AB37,(M37+N37)*AB37*S37)</f>
        <v>0</v>
      </c>
      <c r="AE37" s="249" t="n">
        <f aca="false">AD37-AA37</f>
        <v>-787.128022074859</v>
      </c>
      <c r="AF37" s="273"/>
      <c r="AG37" s="252" t="n">
        <f aca="false">((M37+N37)*T37+V37)</f>
        <v>566.249829948162</v>
      </c>
      <c r="AH37" s="273"/>
      <c r="AI37" s="273" t="str">
        <f aca="false">IF(AD37=0,"S","")</f>
        <v>S</v>
      </c>
      <c r="AK37" s="15" t="e">
        <v>#NAME?</v>
      </c>
      <c r="AL37" s="15" t="e">
        <f aca="false">_xlfn.xlookup(AK37,A:A,F:F)</f>
        <v>#NAME?</v>
      </c>
      <c r="AM37" s="15" t="e">
        <f aca="false">_xlfn.xlookup(AK37,A:A,J:J)</f>
        <v>#NAME?</v>
      </c>
      <c r="AN37" s="15" t="e">
        <f aca="false">_xlfn.xlookup(AK37,A:A,M:M)+_xlfn.xlookup(AK37,A:A,N:N)</f>
        <v>#NAME?</v>
      </c>
      <c r="AO37" s="223" t="e">
        <f aca="false">_xlfn.xlookup(AK37,A:A,AG:AG)</f>
        <v>#NAME?</v>
      </c>
      <c r="AP37" s="223" t="e">
        <f aca="false">_xlfn.xlookup(AK37,A:A,AD:AD)</f>
        <v>#NAME?</v>
      </c>
      <c r="AQ37" s="223" t="e">
        <f aca="false">_xlfn.xlookup(AK37,A:A,AE:AE)</f>
        <v>#NAME?</v>
      </c>
      <c r="AS37" s="0"/>
      <c r="AT37" s="0"/>
      <c r="AU37" s="0"/>
      <c r="AV37" s="0"/>
      <c r="AW37" s="0"/>
      <c r="AX37" s="1"/>
      <c r="AY37" s="1"/>
      <c r="AZ37" s="288"/>
      <c r="BA37" s="15" t="e">
        <v>#NAME?</v>
      </c>
      <c r="BB37" s="257" t="e">
        <f aca="false">_xlfn.xlookup(BA37,A:A,F:F)</f>
        <v>#NAME?</v>
      </c>
      <c r="BC37" s="15" t="e">
        <f aca="false">_xlfn.xlookup(BA37,A:A,J:J)</f>
        <v>#NAME?</v>
      </c>
      <c r="BD37" s="75" t="e">
        <f aca="false">_xlfn.xlookup(BA37,A:A,M:M)+_xlfn.xlookup(BA37,A:A,N:N)</f>
        <v>#NAME?</v>
      </c>
      <c r="BE37" s="75" t="e">
        <f aca="false">_xlfn.xlookup(BA37,$A$3:$A$990,$AA$3:$AA$990)</f>
        <v>#NAME?</v>
      </c>
      <c r="BG37" s="0"/>
      <c r="BH37" s="0"/>
      <c r="BI37" s="0"/>
    </row>
    <row r="38" customFormat="false" ht="16.4" hidden="false" customHeight="false" outlineLevel="0" collapsed="false">
      <c r="A38" s="241" t="s">
        <v>951</v>
      </c>
      <c r="B38" s="241"/>
      <c r="C38" s="242" t="n">
        <v>45512</v>
      </c>
      <c r="D38" s="219" t="n">
        <v>184</v>
      </c>
      <c r="E38" s="241" t="str">
        <f aca="false">_xlfn.xlookup(D38,'PO Client'!$A:$A,'PO Client'!$C:$C,FALSE())</f>
        <v>Visuascan</v>
      </c>
      <c r="F38" s="241" t="str">
        <f aca="false">_xlfn.xlookup(E38,Clients!B:B,Clients!C:C)</f>
        <v>Visuascan</v>
      </c>
      <c r="G38" s="241"/>
      <c r="H38" s="243" t="n">
        <v>40068</v>
      </c>
      <c r="I38" s="243" t="n">
        <v>30012</v>
      </c>
      <c r="J38" s="244" t="str">
        <f aca="false">_xlfn.xlookup(I38,'Prix MP'!A:A,'Prix MP'!F:F,FALSE())</f>
        <v>D21-1</v>
      </c>
      <c r="K38" s="245" t="n">
        <f aca="false">35.25*12*4.435</f>
        <v>1876.005</v>
      </c>
      <c r="L38" s="245" t="n">
        <f aca="false">22*12*4.33</f>
        <v>1143.12</v>
      </c>
      <c r="M38" s="245" t="n">
        <f aca="false">13*12*4.33</f>
        <v>675.48</v>
      </c>
      <c r="N38" s="245" t="n">
        <v>0</v>
      </c>
      <c r="O38" s="245"/>
      <c r="P38" s="246"/>
      <c r="Q38" s="219" t="n">
        <v>1.5</v>
      </c>
      <c r="R38" s="247" t="n">
        <v>75</v>
      </c>
      <c r="S38" s="272"/>
      <c r="T38" s="248" t="n">
        <f aca="false">_xlfn.xlookup(I38,'Prix MP'!A:A,'Prix MP'!U:U, FALSE())</f>
        <v>0.327974576595346</v>
      </c>
      <c r="U38" s="249" t="n">
        <f aca="false">M38*T38</f>
        <v>221.540266998624</v>
      </c>
      <c r="V38" s="249" t="n">
        <f aca="false">(K38-M38-L38)*T38</f>
        <v>18.8273805694558</v>
      </c>
      <c r="W38" s="250" t="n">
        <f aca="false">(K38-M38-L38)/K38</f>
        <v>0.0305995986151422</v>
      </c>
      <c r="X38" s="249" t="n">
        <v>3.15941294117647</v>
      </c>
      <c r="Y38" s="249" t="n">
        <v>0</v>
      </c>
      <c r="Z38" s="249" t="n">
        <f aca="false">125000/52/40*Q38</f>
        <v>90.1442307692308</v>
      </c>
      <c r="AA38" s="249" t="n">
        <f aca="false">(M38+N38)*T38+R38+V38+X38+Y38+Z38</f>
        <v>408.671291278488</v>
      </c>
      <c r="AB38" s="285" t="n">
        <v>0</v>
      </c>
      <c r="AC38" s="285" t="str">
        <f aca="false">_xlfn.xlookup(H38,'Prix vente'!A:A,'Prix vente'!Z:Z, "")</f>
        <v>CAD</v>
      </c>
      <c r="AD38" s="249" t="n">
        <f aca="false">IF(AC38="CAD",(M38+N38)*AB38,(M38+N38)*AB38*S38)</f>
        <v>0</v>
      </c>
      <c r="AE38" s="249" t="n">
        <f aca="false">AD38-AA38</f>
        <v>-408.671291278488</v>
      </c>
      <c r="AF38" s="273"/>
      <c r="AG38" s="252" t="n">
        <f aca="false">((M38+N38)*T38+V38)</f>
        <v>240.36764756808</v>
      </c>
      <c r="AH38" s="273"/>
      <c r="AI38" s="273" t="str">
        <f aca="false">IF(AD38=0,"S","")</f>
        <v>S</v>
      </c>
      <c r="AK38" s="15" t="e">
        <v>#NAME?</v>
      </c>
      <c r="AL38" s="15" t="e">
        <f aca="false">_xlfn.xlookup(AK38,A:A,F:F)</f>
        <v>#NAME?</v>
      </c>
      <c r="AM38" s="15" t="e">
        <f aca="false">_xlfn.xlookup(AK38,A:A,J:J)</f>
        <v>#NAME?</v>
      </c>
      <c r="AN38" s="15" t="e">
        <f aca="false">_xlfn.xlookup(AK38,A:A,M:M)+_xlfn.xlookup(AK38,A:A,N:N)</f>
        <v>#NAME?</v>
      </c>
      <c r="AO38" s="223" t="e">
        <f aca="false">_xlfn.xlookup(AK38,A:A,AG:AG)</f>
        <v>#NAME?</v>
      </c>
      <c r="AP38" s="223" t="e">
        <f aca="false">_xlfn.xlookup(AK38,A:A,AD:AD)</f>
        <v>#NAME?</v>
      </c>
      <c r="AQ38" s="223" t="e">
        <f aca="false">_xlfn.xlookup(AK38,A:A,AE:AE)</f>
        <v>#NAME?</v>
      </c>
      <c r="AS38" s="0"/>
      <c r="AT38" s="0"/>
      <c r="AU38" s="0"/>
      <c r="AV38" s="0"/>
      <c r="AW38" s="0"/>
      <c r="AX38" s="1"/>
      <c r="AY38" s="1"/>
      <c r="AZ38" s="288"/>
      <c r="BA38" s="15" t="e">
        <v>#NAME?</v>
      </c>
      <c r="BB38" s="257" t="e">
        <f aca="false">_xlfn.xlookup(BA38,A:A,F:F)</f>
        <v>#NAME?</v>
      </c>
      <c r="BC38" s="15" t="e">
        <f aca="false">_xlfn.xlookup(BA38,A:A,J:J)</f>
        <v>#NAME?</v>
      </c>
      <c r="BD38" s="75" t="e">
        <f aca="false">_xlfn.xlookup(BA38,A:A,M:M)+_xlfn.xlookup(BA38,A:A,N:N)</f>
        <v>#NAME?</v>
      </c>
      <c r="BE38" s="75" t="e">
        <f aca="false">_xlfn.xlookup(BA38,$A$3:$A$990,$AA$3:$AA$990)</f>
        <v>#NAME?</v>
      </c>
      <c r="BG38" s="0"/>
      <c r="BH38" s="0"/>
      <c r="BI38" s="0"/>
    </row>
    <row r="39" customFormat="false" ht="16.4" hidden="false" customHeight="false" outlineLevel="0" collapsed="false">
      <c r="A39" s="241" t="s">
        <v>953</v>
      </c>
      <c r="B39" s="241"/>
      <c r="C39" s="242" t="n">
        <v>45513</v>
      </c>
      <c r="D39" s="219" t="n">
        <v>185</v>
      </c>
      <c r="E39" s="241" t="str">
        <f aca="false">_xlfn.xlookup(D39,'PO Client'!$A:$A,'PO Client'!$C:$C,FALSE())</f>
        <v>Imprimerie Ste-Julie</v>
      </c>
      <c r="F39" s="241" t="str">
        <f aca="false">_xlfn.xlookup(E39,Clients!B:B,Clients!C:C)</f>
        <v>Imprimerie Ste-Julie</v>
      </c>
      <c r="G39" s="241"/>
      <c r="H39" s="243" t="n">
        <v>40069</v>
      </c>
      <c r="I39" s="243" t="n">
        <v>30011</v>
      </c>
      <c r="J39" s="244" t="str">
        <f aca="false">_xlfn.xlookup(I39,'Prix MP'!A:A,'Prix MP'!F:F,FALSE())</f>
        <v>S21-1</v>
      </c>
      <c r="K39" s="245" t="n">
        <f aca="false">60.24*12*9.843</f>
        <v>7115.30784</v>
      </c>
      <c r="L39" s="245" t="n">
        <f aca="false">60.24*12*4.7</f>
        <v>3397.536</v>
      </c>
      <c r="M39" s="245" t="n">
        <f aca="false">3600</f>
        <v>3600</v>
      </c>
      <c r="N39" s="245" t="n">
        <v>0</v>
      </c>
      <c r="O39" s="245"/>
      <c r="P39" s="246" t="n">
        <v>1</v>
      </c>
      <c r="Q39" s="219" t="n">
        <v>2</v>
      </c>
      <c r="R39" s="247" t="n">
        <f aca="false">6.6/2</f>
        <v>3.3</v>
      </c>
      <c r="S39" s="272" t="n">
        <v>1.375</v>
      </c>
      <c r="T39" s="248" t="n">
        <f aca="false">_xlfn.xlookup(I39,'Prix MP'!A:A,'Prix MP'!U:U, FALSE())</f>
        <v>0.28357864079936</v>
      </c>
      <c r="U39" s="249" t="n">
        <f aca="false">M39*T39</f>
        <v>1020.8831068777</v>
      </c>
      <c r="V39" s="249" t="n">
        <f aca="false">(K39-M39-L39)*T39</f>
        <v>33.3975783116395</v>
      </c>
      <c r="W39" s="250" t="n">
        <f aca="false">(K39-M39-L39)/K39</f>
        <v>0.0165518966499135</v>
      </c>
      <c r="X39" s="249" t="n">
        <v>14.5819058823529</v>
      </c>
      <c r="Y39" s="249" t="n">
        <f aca="false">19.2*P39</f>
        <v>19.2</v>
      </c>
      <c r="Z39" s="249" t="n">
        <f aca="false">125000/52/40*Q39</f>
        <v>120.192307692308</v>
      </c>
      <c r="AA39" s="249" t="n">
        <f aca="false">(M39+N39)*T39+R39+V39+X39+Y39+Z39</f>
        <v>1211.554898764</v>
      </c>
      <c r="AB39" s="285" t="n">
        <v>0.27</v>
      </c>
      <c r="AC39" s="285" t="str">
        <f aca="false">_xlfn.xlookup(H39,'Prix vente'!A:A,'Prix vente'!Z:Z, "")</f>
        <v>USD</v>
      </c>
      <c r="AD39" s="249" t="n">
        <f aca="false">IF(AC39="CAD",(M39+N39)*AB39,(M39+N39)*AB39*S39)</f>
        <v>1336.5</v>
      </c>
      <c r="AE39" s="249" t="n">
        <f aca="false">AD39-AA39</f>
        <v>124.945101236004</v>
      </c>
      <c r="AF39" s="273" t="n">
        <f aca="false">1-AA39/AD39</f>
        <v>0.0934867947893785</v>
      </c>
      <c r="AG39" s="252" t="n">
        <f aca="false">((M39+N39)*T39+V39)</f>
        <v>1054.28068518934</v>
      </c>
      <c r="AH39" s="273" t="n">
        <f aca="false">AG39/AD39</f>
        <v>0.788837025955357</v>
      </c>
      <c r="AI39" s="273" t="str">
        <f aca="false">IF(AD39=0,"S","")</f>
        <v/>
      </c>
      <c r="AK39" s="15" t="e">
        <v>#NAME?</v>
      </c>
      <c r="AL39" s="15" t="e">
        <f aca="false">_xlfn.xlookup(AK39,A:A,F:F)</f>
        <v>#NAME?</v>
      </c>
      <c r="AM39" s="15" t="e">
        <f aca="false">_xlfn.xlookup(AK39,A:A,J:J)</f>
        <v>#NAME?</v>
      </c>
      <c r="AN39" s="15" t="e">
        <f aca="false">_xlfn.xlookup(AK39,A:A,M:M)+_xlfn.xlookup(AK39,A:A,N:N)</f>
        <v>#NAME?</v>
      </c>
      <c r="AO39" s="223" t="e">
        <f aca="false">_xlfn.xlookup(AK39,A:A,AG:AG)</f>
        <v>#NAME?</v>
      </c>
      <c r="AP39" s="223" t="e">
        <f aca="false">_xlfn.xlookup(AK39,A:A,AD:AD)</f>
        <v>#NAME?</v>
      </c>
      <c r="AQ39" s="223" t="e">
        <f aca="false">_xlfn.xlookup(AK39,A:A,AE:AE)</f>
        <v>#NAME?</v>
      </c>
      <c r="AS39" s="0"/>
      <c r="AT39" s="0"/>
      <c r="AU39" s="0"/>
      <c r="AV39" s="0"/>
      <c r="AW39" s="0"/>
      <c r="AX39" s="1"/>
      <c r="AY39" s="1"/>
      <c r="AZ39" s="288"/>
      <c r="BA39" s="15" t="e">
        <v>#NAME?</v>
      </c>
      <c r="BB39" s="257" t="e">
        <f aca="false">_xlfn.xlookup(BA39,A:A,F:F)</f>
        <v>#NAME?</v>
      </c>
      <c r="BC39" s="15" t="e">
        <f aca="false">_xlfn.xlookup(BA39,A:A,J:J)</f>
        <v>#NAME?</v>
      </c>
      <c r="BD39" s="75" t="e">
        <f aca="false">_xlfn.xlookup(BA39,A:A,M:M)+_xlfn.xlookup(BA39,A:A,N:N)</f>
        <v>#NAME?</v>
      </c>
      <c r="BE39" s="75" t="e">
        <f aca="false">_xlfn.xlookup(BA39,$A$3:$A$990,$AA$3:$AA$990)</f>
        <v>#NAME?</v>
      </c>
      <c r="BG39" s="0"/>
      <c r="BH39" s="0"/>
      <c r="BI39" s="0"/>
    </row>
    <row r="40" customFormat="false" ht="16.4" hidden="false" customHeight="false" outlineLevel="0" collapsed="false">
      <c r="A40" s="241" t="s">
        <v>956</v>
      </c>
      <c r="B40" s="241"/>
      <c r="C40" s="242" t="n">
        <v>45516</v>
      </c>
      <c r="D40" s="219" t="n">
        <v>186</v>
      </c>
      <c r="E40" s="241" t="str">
        <f aca="false">_xlfn.xlookup(D40,'PO Client'!$A:$A,'PO Client'!$C:$C,FALSE())</f>
        <v>Imprimerie Ste-Julie</v>
      </c>
      <c r="F40" s="241" t="str">
        <f aca="false">_xlfn.xlookup(E40,Clients!B:B,Clients!C:C)</f>
        <v>Imprimerie Ste-Julie</v>
      </c>
      <c r="G40" s="241"/>
      <c r="H40" s="243" t="n">
        <v>40067</v>
      </c>
      <c r="I40" s="243" t="n">
        <v>30015</v>
      </c>
      <c r="J40" s="244" t="str">
        <f aca="false">_xlfn.xlookup(I40,'Prix MP'!A:A,'Prix MP'!F:F,FALSE())</f>
        <v>S15-3</v>
      </c>
      <c r="K40" s="245" t="n">
        <f aca="false">60.24*12*19.685</f>
        <v>14229.8928</v>
      </c>
      <c r="L40" s="245" t="n">
        <v>10482</v>
      </c>
      <c r="M40" s="245" t="n">
        <v>3600</v>
      </c>
      <c r="N40" s="245" t="n">
        <v>0</v>
      </c>
      <c r="O40" s="245"/>
      <c r="P40" s="246" t="n">
        <v>0</v>
      </c>
      <c r="Q40" s="219" t="n">
        <v>2.5</v>
      </c>
      <c r="R40" s="247" t="n">
        <f aca="false">6.6/2</f>
        <v>3.3</v>
      </c>
      <c r="S40" s="272" t="n">
        <v>1.375</v>
      </c>
      <c r="T40" s="248" t="n">
        <f aca="false">_xlfn.xlookup(I40,'Prix MP'!A:A,'Prix MP'!U:U, FALSE())</f>
        <v>0.268854241086576</v>
      </c>
      <c r="U40" s="249" t="n">
        <f aca="false">M40*T40</f>
        <v>967.875267911675</v>
      </c>
      <c r="V40" s="249" t="n">
        <f aca="false">(K40-M40-L40)*T40</f>
        <v>39.7616065061687</v>
      </c>
      <c r="W40" s="250" t="n">
        <f aca="false">(K40-M40-L40)/K40</f>
        <v>0.0103931071075953</v>
      </c>
      <c r="X40" s="249" t="n">
        <v>14.5819058823529</v>
      </c>
      <c r="Y40" s="249" t="n">
        <f aca="false">19.2*P40</f>
        <v>0</v>
      </c>
      <c r="Z40" s="249" t="n">
        <f aca="false">125000/52/40*Q40</f>
        <v>150.240384615385</v>
      </c>
      <c r="AA40" s="249" t="n">
        <f aca="false">(M40+N40)*T40+R40+V40+X40+Y40+Z40</f>
        <v>1175.75916491558</v>
      </c>
      <c r="AB40" s="285" t="n">
        <v>0.28</v>
      </c>
      <c r="AC40" s="285" t="str">
        <f aca="false">_xlfn.xlookup(H40,'Prix vente'!A:A,'Prix vente'!Z:Z, "")</f>
        <v>USD</v>
      </c>
      <c r="AD40" s="249" t="n">
        <f aca="false">IF(AC40="CAD",(M40+N40)*AB40,(M40+N40)*AB40*S40)</f>
        <v>1386</v>
      </c>
      <c r="AE40" s="249" t="n">
        <f aca="false">AD40-AA40</f>
        <v>210.240835084419</v>
      </c>
      <c r="AF40" s="273" t="n">
        <f aca="false">1-AA40/AD40</f>
        <v>0.151688914202322</v>
      </c>
      <c r="AG40" s="252" t="n">
        <f aca="false">((M40+N40)*T40+V40)</f>
        <v>1007.63687441784</v>
      </c>
      <c r="AH40" s="273" t="n">
        <f aca="false">AG40/AD40</f>
        <v>0.727010731903206</v>
      </c>
      <c r="AI40" s="273" t="str">
        <f aca="false">IF(AD40=0,"S","")</f>
        <v/>
      </c>
      <c r="AK40" s="15" t="e">
        <v>#NAME?</v>
      </c>
      <c r="AL40" s="15" t="e">
        <f aca="false">_xlfn.xlookup(AK40,A:A,F:F)</f>
        <v>#NAME?</v>
      </c>
      <c r="AM40" s="15" t="e">
        <f aca="false">_xlfn.xlookup(AK40,A:A,J:J)</f>
        <v>#NAME?</v>
      </c>
      <c r="AN40" s="15" t="e">
        <f aca="false">_xlfn.xlookup(AK40,A:A,M:M)+_xlfn.xlookup(AK40,A:A,N:N)</f>
        <v>#NAME?</v>
      </c>
      <c r="AO40" s="223" t="e">
        <f aca="false">_xlfn.xlookup(AK40,A:A,AG:AG)</f>
        <v>#NAME?</v>
      </c>
      <c r="AP40" s="223" t="e">
        <f aca="false">_xlfn.xlookup(AK40,A:A,AD:AD)</f>
        <v>#NAME?</v>
      </c>
      <c r="AQ40" s="223" t="e">
        <f aca="false">_xlfn.xlookup(AK40,A:A,AE:AE)</f>
        <v>#NAME?</v>
      </c>
      <c r="AS40" s="0"/>
      <c r="AT40" s="0"/>
      <c r="AU40" s="0"/>
      <c r="AV40" s="0"/>
      <c r="AW40" s="0"/>
      <c r="AX40" s="1"/>
      <c r="AY40" s="1"/>
      <c r="AZ40" s="288"/>
      <c r="BA40" s="15" t="e">
        <v>#NAME?</v>
      </c>
      <c r="BB40" s="257" t="e">
        <f aca="false">_xlfn.xlookup(BA40,A:A,F:F)</f>
        <v>#NAME?</v>
      </c>
      <c r="BC40" s="15" t="e">
        <f aca="false">_xlfn.xlookup(BA40,A:A,J:J)</f>
        <v>#NAME?</v>
      </c>
      <c r="BD40" s="75" t="e">
        <f aca="false">_xlfn.xlookup(BA40,A:A,M:M)+_xlfn.xlookup(BA40,A:A,N:N)</f>
        <v>#NAME?</v>
      </c>
      <c r="BE40" s="75" t="e">
        <f aca="false">_xlfn.xlookup(BA40,$A$3:$A$990,$AA$3:$AA$990)</f>
        <v>#NAME?</v>
      </c>
      <c r="BG40" s="0"/>
      <c r="BH40" s="0"/>
      <c r="BI40" s="0"/>
    </row>
    <row r="41" customFormat="false" ht="16.4" hidden="false" customHeight="false" outlineLevel="0" collapsed="false">
      <c r="A41" s="241" t="s">
        <v>958</v>
      </c>
      <c r="B41" s="241"/>
      <c r="C41" s="242" t="n">
        <v>45517</v>
      </c>
      <c r="D41" s="219" t="n">
        <v>187</v>
      </c>
      <c r="E41" s="241" t="str">
        <f aca="false">_xlfn.xlookup(D41,'PO Client'!$A:$A,'PO Client'!$C:$C,FALSE())</f>
        <v>Étiquettes Luso-Flex</v>
      </c>
      <c r="F41" s="241" t="str">
        <f aca="false">_xlfn.xlookup(E41,Clients!B:B,Clients!C:C)</f>
        <v>Luso-Flex</v>
      </c>
      <c r="G41" s="241"/>
      <c r="H41" s="243" t="n">
        <v>40071</v>
      </c>
      <c r="I41" s="243" t="n">
        <v>30012</v>
      </c>
      <c r="J41" s="244" t="str">
        <f aca="false">_xlfn.xlookup(I41,'Prix MP'!A:A,'Prix MP'!F:F,FALSE())</f>
        <v>D21-1</v>
      </c>
      <c r="K41" s="245" t="n">
        <f aca="false">12*12*4.5</f>
        <v>648</v>
      </c>
      <c r="L41" s="245" t="n">
        <v>0</v>
      </c>
      <c r="M41" s="245" t="n">
        <v>445</v>
      </c>
      <c r="N41" s="245"/>
      <c r="O41" s="245"/>
      <c r="P41" s="246" t="n">
        <v>0</v>
      </c>
      <c r="Q41" s="219" t="n">
        <v>1.5</v>
      </c>
      <c r="R41" s="247" t="n">
        <v>0</v>
      </c>
      <c r="S41" s="272"/>
      <c r="T41" s="248" t="n">
        <f aca="false">_xlfn.xlookup(I41,'Prix MP'!A:A,'Prix MP'!U:U, FALSE())</f>
        <v>0.327974576595346</v>
      </c>
      <c r="U41" s="249" t="n">
        <f aca="false">M41*T41</f>
        <v>145.948686584929</v>
      </c>
      <c r="V41" s="249" t="n">
        <f aca="false">(K41-M41-L41)*T41</f>
        <v>66.5788390488553</v>
      </c>
      <c r="W41" s="250" t="n">
        <f aca="false">(K41-M41-L41)/K41</f>
        <v>0.313271604938272</v>
      </c>
      <c r="X41" s="249" t="n">
        <v>2.09007317647059</v>
      </c>
      <c r="Y41" s="249" t="n">
        <f aca="false">19.2*P41</f>
        <v>0</v>
      </c>
      <c r="Z41" s="249" t="n">
        <f aca="false">125000/52/40*Q41</f>
        <v>90.1442307692308</v>
      </c>
      <c r="AA41" s="249" t="n">
        <f aca="false">(M41+N41)*T41+R41+V41+X41+Y41+Z41</f>
        <v>304.761829579486</v>
      </c>
      <c r="AB41" s="285" t="n">
        <v>0</v>
      </c>
      <c r="AC41" s="285" t="str">
        <f aca="false">_xlfn.xlookup(H41,'Prix vente'!A:A,'Prix vente'!Z:Z, "")</f>
        <v>CAD</v>
      </c>
      <c r="AD41" s="249" t="n">
        <f aca="false">IF(AC41="CAD",(M41+N41)*AB41,(M41+N41)*AB41*S41)</f>
        <v>0</v>
      </c>
      <c r="AE41" s="249" t="n">
        <f aca="false">AD41-AA41</f>
        <v>-304.761829579486</v>
      </c>
      <c r="AF41" s="273"/>
      <c r="AG41" s="252" t="n">
        <f aca="false">((M41+N41)*T41+V41)</f>
        <v>212.527525633784</v>
      </c>
      <c r="AH41" s="273"/>
      <c r="AI41" s="273" t="str">
        <f aca="false">IF(AD41=0,"S","")</f>
        <v>S</v>
      </c>
      <c r="AK41" s="15" t="e">
        <v>#NAME?</v>
      </c>
      <c r="AL41" s="15" t="e">
        <f aca="false">_xlfn.xlookup(AK41,A:A,F:F)</f>
        <v>#NAME?</v>
      </c>
      <c r="AM41" s="15" t="e">
        <f aca="false">_xlfn.xlookup(AK41,A:A,J:J)</f>
        <v>#NAME?</v>
      </c>
      <c r="AN41" s="15" t="e">
        <f aca="false">_xlfn.xlookup(AK41,A:A,M:M)+_xlfn.xlookup(AK41,A:A,N:N)</f>
        <v>#NAME?</v>
      </c>
      <c r="AO41" s="223" t="e">
        <f aca="false">_xlfn.xlookup(AK41,A:A,AG:AG)</f>
        <v>#NAME?</v>
      </c>
      <c r="AP41" s="223" t="e">
        <f aca="false">_xlfn.xlookup(AK41,A:A,AD:AD)</f>
        <v>#NAME?</v>
      </c>
      <c r="AQ41" s="223" t="e">
        <f aca="false">_xlfn.xlookup(AK41,A:A,AE:AE)</f>
        <v>#NAME?</v>
      </c>
      <c r="AS41" s="0"/>
      <c r="AT41" s="0"/>
      <c r="AU41" s="0"/>
      <c r="AV41" s="0"/>
      <c r="AW41" s="0"/>
      <c r="AX41" s="1"/>
      <c r="AY41" s="1"/>
      <c r="AZ41" s="288"/>
      <c r="BA41" s="15" t="e">
        <v>#NAME?</v>
      </c>
      <c r="BB41" s="257" t="e">
        <f aca="false">_xlfn.xlookup(BA41,A:A,F:F)</f>
        <v>#NAME?</v>
      </c>
      <c r="BC41" s="15" t="e">
        <f aca="false">_xlfn.xlookup(BA41,A:A,J:J)</f>
        <v>#NAME?</v>
      </c>
      <c r="BD41" s="75" t="e">
        <f aca="false">_xlfn.xlookup(BA41,A:A,M:M)+_xlfn.xlookup(BA41,A:A,N:N)</f>
        <v>#NAME?</v>
      </c>
      <c r="BE41" s="75" t="e">
        <f aca="false">_xlfn.xlookup(BA41,$A$3:$A$990,$AA$3:$AA$990)</f>
        <v>#NAME?</v>
      </c>
      <c r="BG41" s="0"/>
      <c r="BH41" s="0"/>
      <c r="BI41" s="0"/>
    </row>
    <row r="42" customFormat="false" ht="16.4" hidden="false" customHeight="false" outlineLevel="0" collapsed="false">
      <c r="A42" s="241" t="s">
        <v>959</v>
      </c>
      <c r="B42" s="241"/>
      <c r="C42" s="242" t="n">
        <v>45520</v>
      </c>
      <c r="D42" s="219" t="n">
        <v>189</v>
      </c>
      <c r="E42" s="241" t="str">
        <f aca="false">_xlfn.xlookup(D42,'PO Client'!$A:$A,'PO Client'!$C:$C,FALSE())</f>
        <v>Profecta</v>
      </c>
      <c r="F42" s="241" t="str">
        <f aca="false">_xlfn.xlookup(E42,Clients!B:B,Clients!C:C)</f>
        <v>Profecta</v>
      </c>
      <c r="G42" s="241"/>
      <c r="H42" s="243" t="n">
        <v>40072</v>
      </c>
      <c r="I42" s="243" t="n">
        <v>30017</v>
      </c>
      <c r="J42" s="244" t="str">
        <f aca="false">_xlfn.xlookup(I42,'Prix MP'!A:A,'Prix MP'!F:F,FALSE())</f>
        <v>B25-3</v>
      </c>
      <c r="K42" s="245" t="n">
        <f aca="false">60.24*19.849*12</f>
        <v>14348.44512</v>
      </c>
      <c r="L42" s="245" t="n">
        <f aca="false">13350+285</f>
        <v>13635</v>
      </c>
      <c r="M42" s="245" t="n">
        <v>600</v>
      </c>
      <c r="N42" s="245"/>
      <c r="O42" s="245"/>
      <c r="P42" s="246" t="n">
        <v>1</v>
      </c>
      <c r="Q42" s="219" t="n">
        <v>1</v>
      </c>
      <c r="R42" s="247" t="n">
        <v>65</v>
      </c>
      <c r="S42" s="272"/>
      <c r="T42" s="248" t="n">
        <f aca="false">_xlfn.xlookup(I42,'Prix MP'!A:A,'Prix MP'!U:U, FALSE())</f>
        <v>0.326284886247867</v>
      </c>
      <c r="U42" s="249" t="n">
        <f aca="false">M42*T42</f>
        <v>195.77093174872</v>
      </c>
      <c r="V42" s="249" t="n">
        <f aca="false">(K42-M42-L42)*T42</f>
        <v>37.0154280745757</v>
      </c>
      <c r="W42" s="250" t="n">
        <f aca="false">(K42-M42-L42)/K42</f>
        <v>0.00790643996971292</v>
      </c>
      <c r="X42" s="249" t="n">
        <v>2.43031764705882</v>
      </c>
      <c r="Y42" s="249" t="n">
        <f aca="false">19.2*P42</f>
        <v>19.2</v>
      </c>
      <c r="Z42" s="249" t="n">
        <f aca="false">125000/52/40*Q42</f>
        <v>60.0961538461539</v>
      </c>
      <c r="AA42" s="249" t="n">
        <f aca="false">(M42+N42)*T42+R42+V42+X42+Y42+Z42</f>
        <v>379.512831316508</v>
      </c>
      <c r="AB42" s="285" t="n">
        <f aca="false">_xlfn.xlookup(H42,'Prix vente'!A:A,'Prix vente'!X:X, "")</f>
        <v>0</v>
      </c>
      <c r="AC42" s="285" t="str">
        <f aca="false">_xlfn.xlookup(H42,'Prix vente'!A:A,'Prix vente'!Z:Z, "")</f>
        <v>CAD</v>
      </c>
      <c r="AD42" s="249" t="n">
        <f aca="false">IF(AC42="CAD",(M42+N42)*AB42,(M42+N42)*AB42*S42)</f>
        <v>0</v>
      </c>
      <c r="AE42" s="249" t="n">
        <f aca="false">AD42-AA42</f>
        <v>-379.512831316508</v>
      </c>
      <c r="AF42" s="273"/>
      <c r="AG42" s="252" t="n">
        <f aca="false">((M42+N42)*T42+V42)</f>
        <v>232.786359823296</v>
      </c>
      <c r="AH42" s="273"/>
      <c r="AI42" s="273" t="str">
        <f aca="false">IF(AD42=0,"S","")</f>
        <v>S</v>
      </c>
      <c r="AK42" s="15" t="e">
        <v>#NAME?</v>
      </c>
      <c r="AL42" s="15" t="e">
        <f aca="false">_xlfn.xlookup(AK42,A:A,F:F)</f>
        <v>#NAME?</v>
      </c>
      <c r="AM42" s="15" t="e">
        <f aca="false">_xlfn.xlookup(AK42,A:A,J:J)</f>
        <v>#NAME?</v>
      </c>
      <c r="AN42" s="15" t="e">
        <f aca="false">_xlfn.xlookup(AK42,A:A,M:M)+_xlfn.xlookup(AK42,A:A,N:N)</f>
        <v>#NAME?</v>
      </c>
      <c r="AO42" s="223" t="e">
        <f aca="false">_xlfn.xlookup(AK42,A:A,AG:AG)</f>
        <v>#NAME?</v>
      </c>
      <c r="AP42" s="223" t="e">
        <f aca="false">_xlfn.xlookup(AK42,A:A,AD:AD)</f>
        <v>#NAME?</v>
      </c>
      <c r="AQ42" s="223" t="e">
        <f aca="false">_xlfn.xlookup(AK42,A:A,AE:AE)</f>
        <v>#NAME?</v>
      </c>
      <c r="AS42" s="0"/>
      <c r="AT42" s="0"/>
      <c r="AU42" s="0"/>
      <c r="AV42" s="0"/>
      <c r="AW42" s="0"/>
      <c r="AX42" s="1"/>
      <c r="AY42" s="1"/>
      <c r="AZ42" s="288"/>
      <c r="BA42" s="15" t="e">
        <v>#NAME?</v>
      </c>
      <c r="BB42" s="257" t="e">
        <f aca="false">_xlfn.xlookup(BA42,A:A,F:F)</f>
        <v>#NAME?</v>
      </c>
      <c r="BC42" s="15" t="e">
        <f aca="false">_xlfn.xlookup(BA42,A:A,J:J)</f>
        <v>#NAME?</v>
      </c>
      <c r="BD42" s="75" t="e">
        <f aca="false">_xlfn.xlookup(BA42,A:A,M:M)+_xlfn.xlookup(BA42,A:A,N:N)</f>
        <v>#NAME?</v>
      </c>
      <c r="BE42" s="75" t="e">
        <f aca="false">_xlfn.xlookup(BA42,$A$3:$A$990,$AA$3:$AA$990)</f>
        <v>#NAME?</v>
      </c>
      <c r="BG42" s="0"/>
      <c r="BH42" s="0"/>
      <c r="BI42" s="0"/>
    </row>
    <row r="43" customFormat="false" ht="16.4" hidden="false" customHeight="false" outlineLevel="0" collapsed="false">
      <c r="A43" s="241" t="s">
        <v>960</v>
      </c>
      <c r="B43" s="241"/>
      <c r="C43" s="242" t="n">
        <v>45520</v>
      </c>
      <c r="D43" s="219" t="n">
        <v>190</v>
      </c>
      <c r="E43" s="241" t="str">
        <f aca="false">_xlfn.xlookup(D43,'PO Client'!$A:$A,'PO Client'!$C:$C,FALSE())</f>
        <v>Étiquettes Luso-Flex</v>
      </c>
      <c r="F43" s="241" t="str">
        <f aca="false">_xlfn.xlookup(E43,Clients!B:B,Clients!C:C)</f>
        <v>Luso-Flex</v>
      </c>
      <c r="G43" s="241"/>
      <c r="H43" s="243" t="n">
        <v>40073</v>
      </c>
      <c r="I43" s="243" t="n">
        <v>30017</v>
      </c>
      <c r="J43" s="244" t="str">
        <f aca="false">_xlfn.xlookup(I43,'Prix MP'!A:A,'Prix MP'!F:F,FALSE())</f>
        <v>B25-3</v>
      </c>
      <c r="K43" s="245" t="n">
        <f aca="false">60.24*19.849*12</f>
        <v>14348.44512</v>
      </c>
      <c r="L43" s="245" t="n">
        <f aca="false">13350+600</f>
        <v>13950</v>
      </c>
      <c r="M43" s="245" t="n">
        <v>285</v>
      </c>
      <c r="N43" s="245"/>
      <c r="O43" s="245"/>
      <c r="P43" s="246" t="n">
        <v>0</v>
      </c>
      <c r="Q43" s="219" t="n">
        <v>1</v>
      </c>
      <c r="R43" s="247" t="n">
        <v>0</v>
      </c>
      <c r="S43" s="272"/>
      <c r="T43" s="248" t="n">
        <f aca="false">_xlfn.xlookup(I43,'Prix MP'!A:A,'Prix MP'!U:U, FALSE())</f>
        <v>0.326284886247867</v>
      </c>
      <c r="U43" s="249" t="n">
        <f aca="false">M43*T43</f>
        <v>92.991192580642</v>
      </c>
      <c r="V43" s="249" t="n">
        <f aca="false">(K43-M43-L43)*T43</f>
        <v>37.0154280745757</v>
      </c>
      <c r="W43" s="250" t="n">
        <f aca="false">(K43-M43-L43)/K43</f>
        <v>0.00790643996971292</v>
      </c>
      <c r="X43" s="249" t="n">
        <v>1.15440088235294</v>
      </c>
      <c r="Y43" s="249" t="n">
        <f aca="false">19.2*P43</f>
        <v>0</v>
      </c>
      <c r="Z43" s="249" t="n">
        <f aca="false">125000/52/40*Q43</f>
        <v>60.0961538461539</v>
      </c>
      <c r="AA43" s="249" t="n">
        <f aca="false">(M43+N43)*T43+R43+V43+X43+Y43+Z43</f>
        <v>191.257175383725</v>
      </c>
      <c r="AB43" s="285" t="n">
        <f aca="false">_xlfn.xlookup(H43,'Prix vente'!A:A,'Prix vente'!X:X, "")</f>
        <v>0</v>
      </c>
      <c r="AC43" s="285" t="str">
        <f aca="false">_xlfn.xlookup(H43,'Prix vente'!A:A,'Prix vente'!Z:Z, "")</f>
        <v>CAD</v>
      </c>
      <c r="AD43" s="249" t="n">
        <f aca="false">IF(AC43="CAD",(M43+N43)*AB43,(M43+N43)*AB43*S43)</f>
        <v>0</v>
      </c>
      <c r="AE43" s="249" t="n">
        <f aca="false">AD43-AA43</f>
        <v>-191.257175383725</v>
      </c>
      <c r="AF43" s="273"/>
      <c r="AG43" s="252" t="n">
        <f aca="false">((M43+N43)*T43+V43)</f>
        <v>130.006620655218</v>
      </c>
      <c r="AH43" s="273"/>
      <c r="AI43" s="273" t="str">
        <f aca="false">IF(AD43=0,"S","")</f>
        <v>S</v>
      </c>
      <c r="AK43" s="15" t="e">
        <v>#NAME?</v>
      </c>
      <c r="AL43" s="15" t="e">
        <f aca="false">_xlfn.xlookup(AK43,A:A,F:F)</f>
        <v>#NAME?</v>
      </c>
      <c r="AM43" s="15" t="e">
        <f aca="false">_xlfn.xlookup(AK43,A:A,J:J)</f>
        <v>#NAME?</v>
      </c>
      <c r="AN43" s="15" t="e">
        <f aca="false">_xlfn.xlookup(AK43,A:A,M:M)+_xlfn.xlookup(AK43,A:A,N:N)</f>
        <v>#NAME?</v>
      </c>
      <c r="AO43" s="223" t="e">
        <f aca="false">_xlfn.xlookup(AK43,A:A,AG:AG)</f>
        <v>#NAME?</v>
      </c>
      <c r="AP43" s="223" t="e">
        <f aca="false">_xlfn.xlookup(AK43,A:A,AD:AD)</f>
        <v>#NAME?</v>
      </c>
      <c r="AQ43" s="223" t="e">
        <f aca="false">_xlfn.xlookup(AK43,A:A,AE:AE)</f>
        <v>#NAME?</v>
      </c>
      <c r="AS43" s="0"/>
      <c r="AT43" s="0"/>
      <c r="AU43" s="0"/>
      <c r="AV43" s="0"/>
      <c r="AW43" s="0"/>
      <c r="AX43" s="1"/>
      <c r="AY43" s="1"/>
      <c r="AZ43" s="288"/>
      <c r="BA43" s="15" t="e">
        <v>#NAME?</v>
      </c>
      <c r="BB43" s="257" t="e">
        <f aca="false">_xlfn.xlookup(BA43,A:A,F:F)</f>
        <v>#NAME?</v>
      </c>
      <c r="BC43" s="15" t="e">
        <f aca="false">_xlfn.xlookup(BA43,A:A,J:J)</f>
        <v>#NAME?</v>
      </c>
      <c r="BD43" s="75" t="e">
        <f aca="false">_xlfn.xlookup(BA43,A:A,M:M)+_xlfn.xlookup(BA43,A:A,N:N)</f>
        <v>#NAME?</v>
      </c>
      <c r="BE43" s="75" t="e">
        <f aca="false">_xlfn.xlookup(BA43,$A$3:$A$990,$AA$3:$AA$990)</f>
        <v>#NAME?</v>
      </c>
      <c r="BG43" s="0"/>
      <c r="BH43" s="0"/>
      <c r="BI43" s="0"/>
    </row>
    <row r="44" customFormat="false" ht="16.4" hidden="false" customHeight="false" outlineLevel="0" collapsed="false">
      <c r="A44" s="241" t="s">
        <v>961</v>
      </c>
      <c r="B44" s="241"/>
      <c r="C44" s="242" t="n">
        <v>45520</v>
      </c>
      <c r="D44" s="219" t="n">
        <v>191</v>
      </c>
      <c r="E44" s="241" t="str">
        <f aca="false">_xlfn.xlookup(D44,'PO Client'!$A:$A,'PO Client'!$C:$C,FALSE())</f>
        <v>Étiquettes Corsair</v>
      </c>
      <c r="F44" s="241" t="str">
        <f aca="false">_xlfn.xlookup(E44,Clients!B:B,Clients!C:C)</f>
        <v>Corsair</v>
      </c>
      <c r="G44" s="241"/>
      <c r="H44" s="243" t="n">
        <v>40074</v>
      </c>
      <c r="I44" s="243" t="n">
        <v>30012</v>
      </c>
      <c r="J44" s="244" t="str">
        <f aca="false">_xlfn.xlookup(I44,'Prix MP'!A:A,'Prix MP'!F:F,FALSE())</f>
        <v>D21-1</v>
      </c>
      <c r="K44" s="245" t="n">
        <f aca="false">22*12*4.33</f>
        <v>1143.12</v>
      </c>
      <c r="L44" s="245" t="n">
        <v>670.8</v>
      </c>
      <c r="M44" s="245" t="n">
        <v>451.5</v>
      </c>
      <c r="N44" s="245"/>
      <c r="O44" s="245"/>
      <c r="P44" s="246" t="n">
        <v>1</v>
      </c>
      <c r="Q44" s="219" t="n">
        <v>1</v>
      </c>
      <c r="R44" s="247" t="n">
        <v>65</v>
      </c>
      <c r="S44" s="272"/>
      <c r="T44" s="248" t="n">
        <f aca="false">_xlfn.xlookup(I44,'Prix MP'!A:A,'Prix MP'!U:U, FALSE())</f>
        <v>0.327974576595346</v>
      </c>
      <c r="U44" s="249" t="n">
        <f aca="false">M44*T44</f>
        <v>148.080521332799</v>
      </c>
      <c r="V44" s="249" t="n">
        <f aca="false">(K44-M44-L44)*T44</f>
        <v>6.82843068471516</v>
      </c>
      <c r="W44" s="250" t="n">
        <f aca="false">(K44-M44-L44)/K44</f>
        <v>0.0182133109384843</v>
      </c>
      <c r="X44" s="249" t="n">
        <v>2.12652794117647</v>
      </c>
      <c r="Y44" s="249" t="n">
        <f aca="false">19.2*P44</f>
        <v>19.2</v>
      </c>
      <c r="Z44" s="249" t="n">
        <f aca="false">125000/52/40*Q44</f>
        <v>60.0961538461539</v>
      </c>
      <c r="AA44" s="249" t="n">
        <f aca="false">(M44+N44)*T44+R44+V44+X44+Y44+Z44</f>
        <v>301.331633804844</v>
      </c>
      <c r="AB44" s="285" t="n">
        <f aca="false">_xlfn.xlookup(H44,'Prix vente'!A:A,'Prix vente'!X:X, "")</f>
        <v>0</v>
      </c>
      <c r="AC44" s="285" t="str">
        <f aca="false">_xlfn.xlookup(H44,'Prix vente'!A:A,'Prix vente'!Z:Z, "")</f>
        <v>CAD</v>
      </c>
      <c r="AD44" s="249" t="n">
        <f aca="false">IF(AC44="CAD",(M44+N44)*AB44,(M44+N44)*AB44*S44)</f>
        <v>0</v>
      </c>
      <c r="AE44" s="249" t="n">
        <f aca="false">AD44-AA44</f>
        <v>-301.331633804844</v>
      </c>
      <c r="AF44" s="273"/>
      <c r="AG44" s="252" t="n">
        <f aca="false">((M44+N44)*T44+V44)</f>
        <v>154.908952017514</v>
      </c>
      <c r="AH44" s="273"/>
      <c r="AI44" s="273" t="str">
        <f aca="false">IF(AD44=0,"S","")</f>
        <v>S</v>
      </c>
      <c r="AK44" s="15" t="e">
        <v>#NAME?</v>
      </c>
      <c r="AL44" s="15" t="e">
        <f aca="false">_xlfn.xlookup(AK44,A:A,F:F)</f>
        <v>#NAME?</v>
      </c>
      <c r="AM44" s="15" t="e">
        <f aca="false">_xlfn.xlookup(AK44,A:A,J:J)</f>
        <v>#NAME?</v>
      </c>
      <c r="AN44" s="15" t="e">
        <f aca="false">_xlfn.xlookup(AK44,A:A,M:M)+_xlfn.xlookup(AK44,A:A,N:N)</f>
        <v>#NAME?</v>
      </c>
      <c r="AO44" s="223" t="e">
        <f aca="false">_xlfn.xlookup(AK44,A:A,AG:AG)</f>
        <v>#NAME?</v>
      </c>
      <c r="AP44" s="223" t="e">
        <f aca="false">_xlfn.xlookup(AK44,A:A,AD:AD)</f>
        <v>#NAME?</v>
      </c>
      <c r="AQ44" s="223" t="e">
        <f aca="false">_xlfn.xlookup(AK44,A:A,AE:AE)</f>
        <v>#NAME?</v>
      </c>
      <c r="AS44" s="0"/>
      <c r="AT44" s="0"/>
      <c r="AU44" s="0"/>
      <c r="AV44" s="0"/>
      <c r="AW44" s="0"/>
      <c r="AX44" s="1"/>
      <c r="AY44" s="1"/>
      <c r="AZ44" s="288"/>
      <c r="BA44" s="15" t="e">
        <v>#NAME?</v>
      </c>
      <c r="BB44" s="257" t="e">
        <f aca="false">_xlfn.xlookup(BA44,A:A,F:F)</f>
        <v>#NAME?</v>
      </c>
      <c r="BC44" s="15" t="e">
        <f aca="false">_xlfn.xlookup(BA44,A:A,J:J)</f>
        <v>#NAME?</v>
      </c>
      <c r="BD44" s="75" t="e">
        <f aca="false">_xlfn.xlookup(BA44,A:A,M:M)+_xlfn.xlookup(BA44,A:A,N:N)</f>
        <v>#NAME?</v>
      </c>
      <c r="BE44" s="75" t="e">
        <f aca="false">_xlfn.xlookup(BA44,$A$3:$A$990,$AA$3:$AA$990)</f>
        <v>#NAME?</v>
      </c>
      <c r="BG44" s="0"/>
      <c r="BH44" s="0"/>
      <c r="BI44" s="0"/>
    </row>
    <row r="45" customFormat="false" ht="16.4" hidden="false" customHeight="false" outlineLevel="0" collapsed="false">
      <c r="A45" s="241" t="s">
        <v>963</v>
      </c>
      <c r="B45" s="241"/>
      <c r="C45" s="242" t="n">
        <v>45520</v>
      </c>
      <c r="D45" s="219" t="n">
        <v>192</v>
      </c>
      <c r="E45" s="241" t="str">
        <f aca="false">_xlfn.xlookup(D45,'PO Client'!$A:$A,'PO Client'!$C:$C,FALSE())</f>
        <v>ÉTIQUETTES MULTI-FLEX</v>
      </c>
      <c r="F45" s="241" t="str">
        <f aca="false">_xlfn.xlookup(E45,Clients!B:B,Clients!C:C)</f>
        <v>Multi-Flex</v>
      </c>
      <c r="G45" s="241"/>
      <c r="H45" s="243" t="n">
        <v>40075</v>
      </c>
      <c r="I45" s="243" t="n">
        <v>30015</v>
      </c>
      <c r="J45" s="244" t="str">
        <f aca="false">_xlfn.xlookup(I45,'Prix MP'!A:A,'Prix MP'!F:F,FALSE())</f>
        <v>S15-3</v>
      </c>
      <c r="K45" s="245" t="n">
        <f aca="false">60.24*12*3.8</f>
        <v>2746.944</v>
      </c>
      <c r="L45" s="245" t="n">
        <f aca="false">37.5*12*2.6</f>
        <v>1170</v>
      </c>
      <c r="M45" s="245" t="n">
        <v>1076</v>
      </c>
      <c r="N45" s="245"/>
      <c r="O45" s="245"/>
      <c r="P45" s="246" t="n">
        <v>0</v>
      </c>
      <c r="Q45" s="219" t="n">
        <v>1</v>
      </c>
      <c r="R45" s="247" t="n">
        <v>70</v>
      </c>
      <c r="S45" s="272"/>
      <c r="T45" s="248" t="n">
        <f aca="false">_xlfn.xlookup(I45,'Prix MP'!A:A,'Prix MP'!U:U, FALSE())</f>
        <v>0.268854241086576</v>
      </c>
      <c r="U45" s="249" t="n">
        <f aca="false">M45*T45</f>
        <v>289.287163409156</v>
      </c>
      <c r="V45" s="249" t="n">
        <f aca="false">(K45-M45-L45)*T45</f>
        <v>134.680918946874</v>
      </c>
      <c r="W45" s="250" t="n">
        <f aca="false">(K45-M45-L45)/K45</f>
        <v>0.182364110808229</v>
      </c>
      <c r="X45" s="249" t="n">
        <v>5.58973058823529</v>
      </c>
      <c r="Y45" s="249" t="n">
        <f aca="false">19.2*P45</f>
        <v>0</v>
      </c>
      <c r="Z45" s="249" t="n">
        <f aca="false">125000/52/40*Q45</f>
        <v>60.0961538461539</v>
      </c>
      <c r="AA45" s="249" t="n">
        <f aca="false">(M45+N45)*T45+R45+V45+X45+Y45+Z45</f>
        <v>559.653966790419</v>
      </c>
      <c r="AB45" s="285" t="n">
        <f aca="false">_xlfn.xlookup(H45,'Prix vente'!A:A,'Prix vente'!X:X, "")</f>
        <v>0</v>
      </c>
      <c r="AC45" s="285" t="str">
        <f aca="false">_xlfn.xlookup(H45,'Prix vente'!A:A,'Prix vente'!Z:Z, "")</f>
        <v>CAD</v>
      </c>
      <c r="AD45" s="249" t="n">
        <f aca="false">IF(AC45="CAD",(M45+N45)*AB45,(M45+N45)*AB45*S45)</f>
        <v>0</v>
      </c>
      <c r="AE45" s="249" t="n">
        <f aca="false">AD45-AA45</f>
        <v>-559.653966790419</v>
      </c>
      <c r="AF45" s="273"/>
      <c r="AG45" s="252" t="n">
        <f aca="false">((M45+N45)*T45+V45)</f>
        <v>423.96808235603</v>
      </c>
      <c r="AH45" s="273"/>
      <c r="AI45" s="273" t="str">
        <f aca="false">IF(AD45=0,"S","")</f>
        <v>S</v>
      </c>
      <c r="AK45" s="15" t="e">
        <v>#NAME?</v>
      </c>
      <c r="AL45" s="15" t="e">
        <f aca="false">_xlfn.xlookup(AK45,A:A,F:F)</f>
        <v>#NAME?</v>
      </c>
      <c r="AM45" s="15" t="e">
        <f aca="false">_xlfn.xlookup(AK45,A:A,J:J)</f>
        <v>#NAME?</v>
      </c>
      <c r="AN45" s="15" t="e">
        <f aca="false">_xlfn.xlookup(AK45,A:A,M:M)+_xlfn.xlookup(AK45,A:A,N:N)</f>
        <v>#NAME?</v>
      </c>
      <c r="AO45" s="223" t="e">
        <f aca="false">_xlfn.xlookup(AK45,A:A,AG:AG)</f>
        <v>#NAME?</v>
      </c>
      <c r="AP45" s="223" t="e">
        <f aca="false">_xlfn.xlookup(AK45,A:A,AD:AD)</f>
        <v>#NAME?</v>
      </c>
      <c r="AQ45" s="223" t="e">
        <f aca="false">_xlfn.xlookup(AK45,A:A,AE:AE)</f>
        <v>#NAME?</v>
      </c>
      <c r="AS45" s="0"/>
      <c r="AT45" s="0"/>
      <c r="AU45" s="0"/>
      <c r="AV45" s="0"/>
      <c r="AW45" s="0"/>
      <c r="AX45" s="288"/>
      <c r="AY45" s="288"/>
      <c r="AZ45" s="288"/>
      <c r="BA45" s="15" t="e">
        <v>#NAME?</v>
      </c>
      <c r="BB45" s="257" t="e">
        <f aca="false">_xlfn.xlookup(BA45,A:A,F:F)</f>
        <v>#NAME?</v>
      </c>
      <c r="BC45" s="15" t="e">
        <f aca="false">_xlfn.xlookup(BA45,A:A,J:J)</f>
        <v>#NAME?</v>
      </c>
      <c r="BD45" s="75" t="e">
        <f aca="false">_xlfn.xlookup(BA45,A:A,M:M)+_xlfn.xlookup(BA45,A:A,N:N)</f>
        <v>#NAME?</v>
      </c>
      <c r="BE45" s="75" t="e">
        <f aca="false">_xlfn.xlookup(BA45,$A$3:$A$990,$AA$3:$AA$990)</f>
        <v>#NAME?</v>
      </c>
      <c r="BG45" s="0"/>
      <c r="BH45" s="0"/>
      <c r="BI45" s="0"/>
    </row>
    <row r="46" customFormat="false" ht="16.4" hidden="false" customHeight="false" outlineLevel="0" collapsed="false">
      <c r="A46" s="241" t="s">
        <v>965</v>
      </c>
      <c r="B46" s="241"/>
      <c r="C46" s="242" t="n">
        <v>45524</v>
      </c>
      <c r="D46" s="219" t="n">
        <v>193</v>
      </c>
      <c r="E46" s="241" t="str">
        <f aca="false">_xlfn.xlookup(D46,'PO Client'!$A:$A,'PO Client'!$C:$C,FALSE())</f>
        <v>Digi America Inc.</v>
      </c>
      <c r="F46" s="241" t="str">
        <f aca="false">_xlfn.xlookup(E46,Clients!B:B,Clients!C:C)</f>
        <v>Digi</v>
      </c>
      <c r="G46" s="241"/>
      <c r="H46" s="243" t="n">
        <v>40054</v>
      </c>
      <c r="I46" s="243" t="n">
        <v>30013</v>
      </c>
      <c r="J46" s="244" t="str">
        <f aca="false">_xlfn.xlookup(I46,'Prix MP'!A:A,'Prix MP'!F:F,FALSE())</f>
        <v>D11-1</v>
      </c>
      <c r="K46" s="245"/>
      <c r="L46" s="245" t="n">
        <v>0</v>
      </c>
      <c r="M46" s="245"/>
      <c r="N46" s="245" t="n">
        <v>13112</v>
      </c>
      <c r="O46" s="245"/>
      <c r="P46" s="246" t="n">
        <v>5</v>
      </c>
      <c r="Q46" s="219" t="n">
        <v>0.5</v>
      </c>
      <c r="R46" s="247" t="n">
        <f aca="false">-70.02/3</f>
        <v>-23.34</v>
      </c>
      <c r="S46" s="272" t="n">
        <v>1.36</v>
      </c>
      <c r="T46" s="248" t="n">
        <f aca="false">_xlfn.xlookup(I46,'Prix MP'!A:A,'Prix MP'!U:U, FALSE())</f>
        <v>0.358173933722525</v>
      </c>
      <c r="U46" s="249" t="n">
        <f aca="false">(M46+N46)*T46</f>
        <v>4696.37661896975</v>
      </c>
      <c r="V46" s="249" t="n">
        <f aca="false">(K46-M46-L46)*T46</f>
        <v>0</v>
      </c>
      <c r="W46" s="250" t="e">
        <f aca="false">(K46-M46-L46)/K46</f>
        <v>#DIV/0!</v>
      </c>
      <c r="X46" s="249" t="n">
        <v>52.4948611764706</v>
      </c>
      <c r="Y46" s="249" t="n">
        <f aca="false">19.2*P46</f>
        <v>96</v>
      </c>
      <c r="Z46" s="249" t="n">
        <f aca="false">125000/52/40*Q46</f>
        <v>30.0480769230769</v>
      </c>
      <c r="AA46" s="249" t="n">
        <f aca="false">(M46+N46)*T46+R46+V46+X46+Y46+Z46</f>
        <v>4851.57955706929</v>
      </c>
      <c r="AB46" s="285" t="n">
        <f aca="false">_xlfn.xlookup(H46,'Prix vente'!A:A,'Prix vente'!X:X, "")</f>
        <v>0.31</v>
      </c>
      <c r="AC46" s="285" t="str">
        <f aca="false">_xlfn.xlookup(H46,'Prix vente'!A:A,'Prix vente'!Z:Z, "")</f>
        <v>USD</v>
      </c>
      <c r="AD46" s="249" t="n">
        <f aca="false">3881.34*S46</f>
        <v>5278.6224</v>
      </c>
      <c r="AE46" s="249" t="n">
        <f aca="false">AD46-AA46</f>
        <v>427.042842930706</v>
      </c>
      <c r="AF46" s="273" t="n">
        <f aca="false">1-AA46/AD46</f>
        <v>0.0809004339713153</v>
      </c>
      <c r="AG46" s="252" t="n">
        <f aca="false">((M46+N46)*T46+V46)</f>
        <v>4696.37661896975</v>
      </c>
      <c r="AH46" s="273" t="n">
        <f aca="false">AG46/AD46</f>
        <v>0.889697398883797</v>
      </c>
      <c r="AI46" s="273" t="str">
        <f aca="false">IF(AD46=0,"S","")</f>
        <v/>
      </c>
      <c r="AK46" s="15" t="e">
        <v>#NAME?</v>
      </c>
      <c r="AL46" s="15" t="e">
        <f aca="false">_xlfn.xlookup(AK46,A:A,F:F)</f>
        <v>#NAME?</v>
      </c>
      <c r="AM46" s="15" t="e">
        <f aca="false">_xlfn.xlookup(AK46,A:A,J:J)</f>
        <v>#NAME?</v>
      </c>
      <c r="AN46" s="15" t="e">
        <f aca="false">_xlfn.xlookup(AK46,A:A,M:M)+_xlfn.xlookup(AK46,A:A,N:N)</f>
        <v>#NAME?</v>
      </c>
      <c r="AO46" s="223" t="e">
        <f aca="false">_xlfn.xlookup(AK46,A:A,AG:AG)</f>
        <v>#NAME?</v>
      </c>
      <c r="AP46" s="223" t="e">
        <f aca="false">_xlfn.xlookup(AK46,A:A,AD:AD)</f>
        <v>#NAME?</v>
      </c>
      <c r="AQ46" s="223" t="e">
        <f aca="false">_xlfn.xlookup(AK46,A:A,AE:AE)</f>
        <v>#NAME?</v>
      </c>
      <c r="AS46" s="0"/>
      <c r="AT46" s="0"/>
      <c r="AU46" s="0"/>
      <c r="AV46" s="0"/>
      <c r="AW46" s="0"/>
      <c r="AX46" s="288"/>
      <c r="AY46" s="288"/>
      <c r="AZ46" s="288"/>
      <c r="BA46" s="15" t="e">
        <v>#NAME?</v>
      </c>
      <c r="BB46" s="257" t="e">
        <f aca="false">_xlfn.xlookup(BA46,A:A,F:F)</f>
        <v>#NAME?</v>
      </c>
      <c r="BC46" s="15" t="e">
        <f aca="false">_xlfn.xlookup(BA46,A:A,J:J)</f>
        <v>#NAME?</v>
      </c>
      <c r="BD46" s="75" t="e">
        <f aca="false">_xlfn.xlookup(BA46,A:A,M:M)+_xlfn.xlookup(BA46,A:A,N:N)</f>
        <v>#NAME?</v>
      </c>
      <c r="BE46" s="75" t="e">
        <f aca="false">_xlfn.xlookup(BA46,$A$3:$A$990,$AA$3:$AA$990)</f>
        <v>#NAME?</v>
      </c>
      <c r="BG46" s="0"/>
      <c r="BH46" s="0"/>
      <c r="BI46" s="0"/>
    </row>
    <row r="47" customFormat="false" ht="16.4" hidden="false" customHeight="false" outlineLevel="0" collapsed="false">
      <c r="A47" s="241" t="s">
        <v>967</v>
      </c>
      <c r="B47" s="241"/>
      <c r="C47" s="242" t="n">
        <v>45525</v>
      </c>
      <c r="D47" s="219" t="n">
        <v>194</v>
      </c>
      <c r="E47" s="241" t="str">
        <f aca="false">_xlfn.xlookup(D47,'PO Client'!$A:$A,'PO Client'!$C:$C,FALSE())</f>
        <v>Étiquettes Luso-Flex</v>
      </c>
      <c r="F47" s="241" t="str">
        <f aca="false">_xlfn.xlookup(E47,Clients!B:B,Clients!C:C)</f>
        <v>Luso-Flex</v>
      </c>
      <c r="G47" s="241"/>
      <c r="H47" s="243" t="n">
        <v>40060</v>
      </c>
      <c r="I47" s="243" t="n">
        <v>30012</v>
      </c>
      <c r="J47" s="244" t="str">
        <f aca="false">_xlfn.xlookup(I47,'Prix MP'!A:A,'Prix MP'!F:F,FALSE())</f>
        <v>D21-1</v>
      </c>
      <c r="K47" s="245" t="n">
        <f aca="false">60.24*12*9.843</f>
        <v>7115.30784</v>
      </c>
      <c r="L47" s="245" t="n">
        <v>0</v>
      </c>
      <c r="M47" s="245" t="n">
        <v>6984</v>
      </c>
      <c r="N47" s="245" t="n">
        <v>0</v>
      </c>
      <c r="O47" s="245"/>
      <c r="P47" s="246" t="n">
        <v>2</v>
      </c>
      <c r="Q47" s="219" t="n">
        <v>3.75</v>
      </c>
      <c r="R47" s="247" t="n">
        <v>0</v>
      </c>
      <c r="S47" s="272" t="n">
        <v>1.36</v>
      </c>
      <c r="T47" s="248" t="n">
        <f aca="false">_xlfn.xlookup(I47,'Prix MP'!A:A,'Prix MP'!U:U, FALSE())</f>
        <v>0.327974576595346</v>
      </c>
      <c r="U47" s="249" t="n">
        <f aca="false">M47*T47</f>
        <v>2290.5744429419</v>
      </c>
      <c r="V47" s="249" t="n">
        <f aca="false">(K47-M47-L47)*T47</f>
        <v>43.0656332276493</v>
      </c>
      <c r="W47" s="250" t="n">
        <f aca="false">(K47-M47-L47)/K47</f>
        <v>0.018454273933424</v>
      </c>
      <c r="X47" s="249" t="n">
        <v>12.7591676470588</v>
      </c>
      <c r="Y47" s="249" t="n">
        <f aca="false">19.2*P47</f>
        <v>38.4</v>
      </c>
      <c r="Z47" s="249" t="n">
        <f aca="false">125000/52/40*Q47</f>
        <v>225.360576923077</v>
      </c>
      <c r="AA47" s="249" t="n">
        <f aca="false">(M47+N47)*T47+R47+V47+X47+Y47+Z47</f>
        <v>2610.15982073968</v>
      </c>
      <c r="AB47" s="285" t="n">
        <f aca="false">_xlfn.xlookup(H47,'Prix vente'!A:A,'Prix vente'!X:X, "")</f>
        <v>0.466</v>
      </c>
      <c r="AC47" s="285" t="str">
        <f aca="false">_xlfn.xlookup(H47,'Prix vente'!A:A,'Prix vente'!Z:Z, "")</f>
        <v>CAD</v>
      </c>
      <c r="AD47" s="249" t="n">
        <f aca="false">IF(AC47="CAD",(M47+N47)*AB47,(M47+N47)*AB47*S47)</f>
        <v>3254.544</v>
      </c>
      <c r="AE47" s="249" t="n">
        <f aca="false">AD47-AA47</f>
        <v>644.384179260317</v>
      </c>
      <c r="AF47" s="273" t="n">
        <f aca="false">1-AA47/AD47</f>
        <v>0.197995227368355</v>
      </c>
      <c r="AG47" s="252" t="n">
        <f aca="false">((M47+N47)*T47+V47)</f>
        <v>2333.64007616955</v>
      </c>
      <c r="AH47" s="273" t="n">
        <f aca="false">AG47/AD47</f>
        <v>0.717040567332796</v>
      </c>
      <c r="AI47" s="273" t="str">
        <f aca="false">IF(AD47=0,"S","")</f>
        <v/>
      </c>
      <c r="AK47" s="15" t="e">
        <v>#NAME?</v>
      </c>
      <c r="AL47" s="15" t="e">
        <f aca="false">_xlfn.xlookup(AK47,A:A,F:F)</f>
        <v>#NAME?</v>
      </c>
      <c r="AM47" s="15" t="e">
        <f aca="false">_xlfn.xlookup(AK47,A:A,J:J)</f>
        <v>#NAME?</v>
      </c>
      <c r="AN47" s="15" t="e">
        <f aca="false">_xlfn.xlookup(AK47,A:A,M:M)+_xlfn.xlookup(AK47,A:A,N:N)</f>
        <v>#NAME?</v>
      </c>
      <c r="AO47" s="223" t="e">
        <f aca="false">_xlfn.xlookup(AK47,A:A,AG:AG)</f>
        <v>#NAME?</v>
      </c>
      <c r="AP47" s="223" t="e">
        <f aca="false">_xlfn.xlookup(AK47,A:A,AD:AD)</f>
        <v>#NAME?</v>
      </c>
      <c r="AQ47" s="223" t="e">
        <f aca="false">_xlfn.xlookup(AK47,A:A,AE:AE)</f>
        <v>#NAME?</v>
      </c>
      <c r="AS47" s="0"/>
      <c r="AT47" s="0"/>
      <c r="AU47" s="0"/>
      <c r="AV47" s="0"/>
      <c r="AW47" s="0"/>
      <c r="AX47" s="288"/>
      <c r="AY47" s="288"/>
      <c r="AZ47" s="288"/>
      <c r="BA47" s="15" t="e">
        <v>#NAME?</v>
      </c>
      <c r="BB47" s="257" t="e">
        <f aca="false">_xlfn.xlookup(BA47,A:A,F:F)</f>
        <v>#NAME?</v>
      </c>
      <c r="BC47" s="15" t="e">
        <f aca="false">_xlfn.xlookup(BA47,A:A,J:J)</f>
        <v>#NAME?</v>
      </c>
      <c r="BD47" s="75" t="e">
        <f aca="false">_xlfn.xlookup(BA47,A:A,M:M)+_xlfn.xlookup(BA47,A:A,N:N)</f>
        <v>#NAME?</v>
      </c>
      <c r="BE47" s="75" t="e">
        <f aca="false">_xlfn.xlookup(BA47,$A$3:$A$990,$AA$3:$AA$990)</f>
        <v>#NAME?</v>
      </c>
      <c r="BG47" s="0"/>
      <c r="BH47" s="0"/>
      <c r="BI47" s="0"/>
    </row>
    <row r="48" customFormat="false" ht="16.4" hidden="false" customHeight="false" outlineLevel="0" collapsed="false">
      <c r="A48" s="241" t="s">
        <v>969</v>
      </c>
      <c r="B48" s="241"/>
      <c r="C48" s="242" t="n">
        <v>45527</v>
      </c>
      <c r="D48" s="219" t="n">
        <v>195</v>
      </c>
      <c r="E48" s="241" t="str">
        <f aca="false">_xlfn.xlookup(D48,'PO Client'!$A:$A,'PO Client'!$C:$C,FALSE())</f>
        <v>Imprimerie Ste-Julie</v>
      </c>
      <c r="F48" s="241" t="str">
        <f aca="false">_xlfn.xlookup(E48,Clients!B:B,Clients!C:C)</f>
        <v>Imprimerie Ste-Julie</v>
      </c>
      <c r="G48" s="241"/>
      <c r="H48" s="243" t="n">
        <v>40048</v>
      </c>
      <c r="I48" s="243" t="n">
        <v>30011</v>
      </c>
      <c r="J48" s="244" t="str">
        <f aca="false">_xlfn.xlookup(I48,'Prix MP'!A:A,'Prix MP'!F:F,FALSE())</f>
        <v>S21-1</v>
      </c>
      <c r="K48" s="245" t="n">
        <f aca="false">60.24*12*9.843</f>
        <v>7115.30784</v>
      </c>
      <c r="L48" s="245" t="n">
        <v>0</v>
      </c>
      <c r="M48" s="245" t="n">
        <v>6977</v>
      </c>
      <c r="N48" s="245" t="n">
        <v>0</v>
      </c>
      <c r="O48" s="245"/>
      <c r="P48" s="246" t="n">
        <v>1</v>
      </c>
      <c r="Q48" s="219" t="n">
        <v>3</v>
      </c>
      <c r="R48" s="247" t="n">
        <v>-41.24</v>
      </c>
      <c r="S48" s="272" t="n">
        <v>1.36</v>
      </c>
      <c r="T48" s="248" t="n">
        <f aca="false">_xlfn.xlookup(I48,'Prix MP'!A:A,'Prix MP'!U:U, FALSE())</f>
        <v>0.28357864079936</v>
      </c>
      <c r="U48" s="249" t="n">
        <f aca="false">M48*T48</f>
        <v>1978.52817685713</v>
      </c>
      <c r="V48" s="249" t="n">
        <f aca="false">(K48-M48-L48)*T48</f>
        <v>39.2211492790952</v>
      </c>
      <c r="W48" s="250" t="n">
        <f aca="false">(K48-M48-L48)/K48</f>
        <v>0.0194380683324025</v>
      </c>
      <c r="X48" s="249" t="n">
        <v>29.1638117647059</v>
      </c>
      <c r="Y48" s="249" t="n">
        <f aca="false">19.2*P48</f>
        <v>19.2</v>
      </c>
      <c r="Z48" s="249" t="n">
        <f aca="false">125000/52/40*Q48</f>
        <v>180.288461538462</v>
      </c>
      <c r="AA48" s="249" t="n">
        <f aca="false">(M48+N48)*T48+R48+V48+X48+Y48+Z48</f>
        <v>2205.1615994394</v>
      </c>
      <c r="AB48" s="285" t="n">
        <f aca="false">_xlfn.xlookup(H48,'Prix vente'!A:A,'Prix vente'!X:X, "")</f>
        <v>0.27</v>
      </c>
      <c r="AC48" s="285" t="str">
        <f aca="false">_xlfn.xlookup(H48,'Prix vente'!A:A,'Prix vente'!Z:Z, "")</f>
        <v>USD</v>
      </c>
      <c r="AD48" s="249" t="n">
        <f aca="false">IF(AC48="CAD",(M48+N48)*AB48,(M48+N48)*AB48*S48)</f>
        <v>2561.9544</v>
      </c>
      <c r="AE48" s="249" t="n">
        <f aca="false">AD48-AA48</f>
        <v>356.792800560604</v>
      </c>
      <c r="AF48" s="273" t="n">
        <f aca="false">1-AA48/AD48</f>
        <v>0.139265866933699</v>
      </c>
      <c r="AG48" s="252" t="n">
        <f aca="false">((M48+N48)*T48+V48)</f>
        <v>2017.74932613623</v>
      </c>
      <c r="AH48" s="273" t="n">
        <f aca="false">AG48/AD48</f>
        <v>0.78758206084239</v>
      </c>
      <c r="AI48" s="273" t="str">
        <f aca="false">IF(AD48=0,"S","")</f>
        <v/>
      </c>
      <c r="AK48" s="15" t="e">
        <v>#NAME?</v>
      </c>
      <c r="AL48" s="15" t="e">
        <f aca="false">_xlfn.xlookup(AK48,A:A,F:F)</f>
        <v>#NAME?</v>
      </c>
      <c r="AM48" s="15" t="e">
        <f aca="false">_xlfn.xlookup(AK48,A:A,J:J)</f>
        <v>#NAME?</v>
      </c>
      <c r="AN48" s="15" t="e">
        <f aca="false">_xlfn.xlookup(AK48,A:A,M:M)+_xlfn.xlookup(AK48,A:A,N:N)</f>
        <v>#NAME?</v>
      </c>
      <c r="AO48" s="223" t="e">
        <f aca="false">_xlfn.xlookup(AK48,A:A,AG:AG)</f>
        <v>#NAME?</v>
      </c>
      <c r="AP48" s="223" t="e">
        <f aca="false">_xlfn.xlookup(AK48,A:A,AD:AD)</f>
        <v>#NAME?</v>
      </c>
      <c r="AQ48" s="223" t="e">
        <f aca="false">_xlfn.xlookup(AK48,A:A,AE:AE)</f>
        <v>#NAME?</v>
      </c>
      <c r="AS48" s="0"/>
      <c r="AT48" s="0"/>
      <c r="AU48" s="0"/>
      <c r="AV48" s="0"/>
      <c r="AW48" s="0"/>
      <c r="AX48" s="288"/>
      <c r="AY48" s="288"/>
      <c r="AZ48" s="288"/>
      <c r="BA48" s="15" t="e">
        <v>#NAME?</v>
      </c>
      <c r="BB48" s="257" t="e">
        <f aca="false">_xlfn.xlookup(BA48,A:A,F:F)</f>
        <v>#NAME?</v>
      </c>
      <c r="BC48" s="15" t="e">
        <f aca="false">_xlfn.xlookup(BA48,A:A,J:J)</f>
        <v>#NAME?</v>
      </c>
      <c r="BD48" s="75" t="e">
        <f aca="false">_xlfn.xlookup(BA48,A:A,M:M)+_xlfn.xlookup(BA48,A:A,N:N)</f>
        <v>#NAME?</v>
      </c>
      <c r="BE48" s="75" t="e">
        <f aca="false">_xlfn.xlookup(BA48,$A$3:$A$990,$AA$3:$AA$990)</f>
        <v>#NAME?</v>
      </c>
      <c r="BG48" s="0"/>
      <c r="BH48" s="0"/>
      <c r="BI48" s="0"/>
    </row>
    <row r="49" customFormat="false" ht="16.4" hidden="false" customHeight="false" outlineLevel="0" collapsed="false">
      <c r="A49" s="241" t="s">
        <v>972</v>
      </c>
      <c r="B49" s="241"/>
      <c r="C49" s="242" t="n">
        <v>45527</v>
      </c>
      <c r="D49" s="219" t="n">
        <v>196</v>
      </c>
      <c r="E49" s="241" t="str">
        <f aca="false">_xlfn.xlookup(D49,'PO Client'!$A:$A,'PO Client'!$C:$C,FALSE())</f>
        <v>Emballages Mijo</v>
      </c>
      <c r="F49" s="241" t="str">
        <f aca="false">_xlfn.xlookup(E49,Clients!B:B,Clients!C:C)</f>
        <v>Mijo</v>
      </c>
      <c r="G49" s="241"/>
      <c r="H49" s="243" t="n">
        <v>40077</v>
      </c>
      <c r="I49" s="243" t="n">
        <v>30015</v>
      </c>
      <c r="J49" s="244" t="str">
        <f aca="false">_xlfn.xlookup(I49,'Prix MP'!A:A,'Prix MP'!F:F,FALSE())</f>
        <v>S15-3</v>
      </c>
      <c r="K49" s="245" t="n">
        <f aca="false">37.5*12*2.6</f>
        <v>1170</v>
      </c>
      <c r="L49" s="245" t="n">
        <f aca="false">15.75*12*2.6</f>
        <v>491.4</v>
      </c>
      <c r="M49" s="245" t="n">
        <f aca="false">657.9</f>
        <v>657.9</v>
      </c>
      <c r="N49" s="245" t="n">
        <v>0</v>
      </c>
      <c r="O49" s="245"/>
      <c r="P49" s="246" t="n">
        <v>1</v>
      </c>
      <c r="Q49" s="219" t="n">
        <v>2.25</v>
      </c>
      <c r="R49" s="247" t="n">
        <f aca="false">65/2</f>
        <v>32.5</v>
      </c>
      <c r="S49" s="272"/>
      <c r="T49" s="248" t="n">
        <f aca="false">_xlfn.xlookup(I49,'Prix MP'!A:A,'Prix MP'!U:U, FALSE())</f>
        <v>0.268854241086576</v>
      </c>
      <c r="U49" s="249" t="n">
        <f aca="false">M49*T49</f>
        <v>176.879205210859</v>
      </c>
      <c r="V49" s="249" t="n">
        <f aca="false">(K49-M49-L49)*T49</f>
        <v>5.56528279049213</v>
      </c>
      <c r="W49" s="250" t="n">
        <f aca="false">(K49-M49-L49)/K49</f>
        <v>0.0176923076923077</v>
      </c>
      <c r="X49" s="249" t="n">
        <v>2.61259147058824</v>
      </c>
      <c r="Y49" s="249" t="n">
        <f aca="false">19.2*P49</f>
        <v>19.2</v>
      </c>
      <c r="Z49" s="249" t="n">
        <f aca="false">125000/52/40*Q49</f>
        <v>135.216346153846</v>
      </c>
      <c r="AA49" s="249" t="n">
        <f aca="false">(M49+N49)*T49+R49+V49+X49+Y49+Z49</f>
        <v>371.973425625785</v>
      </c>
      <c r="AB49" s="285" t="n">
        <f aca="false">_xlfn.xlookup(H49,'Prix vente'!A:A,'Prix vente'!X:X, "")</f>
        <v>0</v>
      </c>
      <c r="AC49" s="285" t="str">
        <f aca="false">_xlfn.xlookup(H49,'Prix vente'!A:A,'Prix vente'!Z:Z, "")</f>
        <v>CAD</v>
      </c>
      <c r="AD49" s="249" t="n">
        <f aca="false">IF(AC49="CAD",(M49+N49)*AB49,(M49+N49)*AB49*S49)</f>
        <v>0</v>
      </c>
      <c r="AE49" s="249" t="n">
        <f aca="false">AD49-AA49</f>
        <v>-371.973425625785</v>
      </c>
      <c r="AF49" s="273"/>
      <c r="AG49" s="252" t="n">
        <f aca="false">((M49+N49)*T49+V49)</f>
        <v>182.444488001351</v>
      </c>
      <c r="AH49" s="273"/>
      <c r="AI49" s="273" t="str">
        <f aca="false">IF(AD49=0,"S","")</f>
        <v>S</v>
      </c>
      <c r="AK49" s="15" t="e">
        <v>#NAME?</v>
      </c>
      <c r="AL49" s="15" t="e">
        <f aca="false">_xlfn.xlookup(AK49,A:A,F:F)</f>
        <v>#NAME?</v>
      </c>
      <c r="AM49" s="15" t="e">
        <f aca="false">_xlfn.xlookup(AK49,A:A,J:J)</f>
        <v>#NAME?</v>
      </c>
      <c r="AN49" s="15" t="e">
        <f aca="false">_xlfn.xlookup(AK49,A:A,M:M)+_xlfn.xlookup(AK49,A:A,N:N)</f>
        <v>#NAME?</v>
      </c>
      <c r="AO49" s="223" t="e">
        <f aca="false">_xlfn.xlookup(AK49,A:A,AG:AG)</f>
        <v>#NAME?</v>
      </c>
      <c r="AP49" s="223" t="e">
        <f aca="false">_xlfn.xlookup(AK49,A:A,AD:AD)</f>
        <v>#NAME?</v>
      </c>
      <c r="AQ49" s="223" t="e">
        <f aca="false">_xlfn.xlookup(AK49,A:A,AE:AE)</f>
        <v>#NAME?</v>
      </c>
      <c r="AS49" s="0"/>
      <c r="AT49" s="0"/>
      <c r="AU49" s="0"/>
      <c r="AV49" s="0"/>
      <c r="AW49" s="0"/>
      <c r="AX49" s="288"/>
      <c r="AY49" s="288"/>
      <c r="AZ49" s="288"/>
      <c r="BA49" s="15" t="e">
        <v>#NAME?</v>
      </c>
      <c r="BB49" s="257" t="e">
        <f aca="false">_xlfn.xlookup(BA49,A:A,F:F)</f>
        <v>#NAME?</v>
      </c>
      <c r="BC49" s="15" t="e">
        <f aca="false">_xlfn.xlookup(BA49,A:A,J:J)</f>
        <v>#NAME?</v>
      </c>
      <c r="BD49" s="75" t="e">
        <f aca="false">_xlfn.xlookup(BA49,A:A,M:M)+_xlfn.xlookup(BA49,A:A,N:N)</f>
        <v>#NAME?</v>
      </c>
      <c r="BE49" s="75" t="e">
        <f aca="false">_xlfn.xlookup(BA49,$A$3:$A$990,$AA$3:$AA$990)</f>
        <v>#NAME?</v>
      </c>
      <c r="BG49" s="0"/>
      <c r="BH49" s="0"/>
      <c r="BI49" s="0"/>
    </row>
    <row r="50" customFormat="false" ht="16.4" hidden="false" customHeight="false" outlineLevel="0" collapsed="false">
      <c r="A50" s="241" t="s">
        <v>974</v>
      </c>
      <c r="B50" s="241"/>
      <c r="C50" s="242" t="n">
        <v>45527</v>
      </c>
      <c r="D50" s="219" t="n">
        <v>196</v>
      </c>
      <c r="E50" s="241" t="str">
        <f aca="false">_xlfn.xlookup(D50,'PO Client'!$A:$A,'PO Client'!$C:$C,FALSE())</f>
        <v>Emballages Mijo</v>
      </c>
      <c r="F50" s="241" t="str">
        <f aca="false">_xlfn.xlookup(E50,Clients!B:B,Clients!C:C)</f>
        <v>Mijo</v>
      </c>
      <c r="G50" s="241"/>
      <c r="H50" s="243" t="n">
        <v>40078</v>
      </c>
      <c r="I50" s="243" t="n">
        <v>30017</v>
      </c>
      <c r="J50" s="244" t="str">
        <f aca="false">_xlfn.xlookup(I50,'Prix MP'!A:A,'Prix MP'!F:F,FALSE())</f>
        <v>B25-3</v>
      </c>
      <c r="K50" s="245" t="n">
        <f aca="false">46*12*5</f>
        <v>2760</v>
      </c>
      <c r="L50" s="245" t="n">
        <v>2087.4</v>
      </c>
      <c r="M50" s="245" t="n">
        <v>614.13</v>
      </c>
      <c r="N50" s="245" t="n">
        <v>0</v>
      </c>
      <c r="O50" s="245"/>
      <c r="P50" s="246"/>
      <c r="Q50" s="219" t="n">
        <v>1</v>
      </c>
      <c r="R50" s="247" t="n">
        <f aca="false">65/2</f>
        <v>32.5</v>
      </c>
      <c r="S50" s="272"/>
      <c r="T50" s="248" t="n">
        <f aca="false">_xlfn.xlookup(I50,'Prix MP'!A:A,'Prix MP'!U:U, FALSE())</f>
        <v>0.326284886247867</v>
      </c>
      <c r="U50" s="249" t="n">
        <f aca="false">M50*T50</f>
        <v>200.381337191402</v>
      </c>
      <c r="V50" s="249" t="n">
        <f aca="false">(K50-M50-L50)*T50</f>
        <v>19.0778772989127</v>
      </c>
      <c r="W50" s="250" t="n">
        <f aca="false">(K50-M50-L50)/K50</f>
        <v>0.0211847826086956</v>
      </c>
      <c r="X50" s="249" t="n">
        <v>2.18728588235294</v>
      </c>
      <c r="Y50" s="249" t="n">
        <f aca="false">19.2*P50</f>
        <v>0</v>
      </c>
      <c r="Z50" s="249" t="n">
        <f aca="false">125000/52/40*Q50</f>
        <v>60.0961538461539</v>
      </c>
      <c r="AA50" s="249" t="n">
        <f aca="false">(M50+N50)*T50+R50+V50+X50+Y50+Z50</f>
        <v>314.242654218822</v>
      </c>
      <c r="AB50" s="285" t="n">
        <f aca="false">_xlfn.xlookup(H50,'Prix vente'!A:A,'Prix vente'!X:X, "")</f>
        <v>0</v>
      </c>
      <c r="AC50" s="285" t="str">
        <f aca="false">_xlfn.xlookup(H50,'Prix vente'!A:A,'Prix vente'!Z:Z, "")</f>
        <v>CAD</v>
      </c>
      <c r="AD50" s="249" t="n">
        <f aca="false">IF(AC50="CAD",(M50+N50)*AB50,(M50+N50)*AB50*S50)</f>
        <v>0</v>
      </c>
      <c r="AE50" s="249" t="n">
        <f aca="false">AD50-AA50</f>
        <v>-314.242654218822</v>
      </c>
      <c r="AF50" s="273"/>
      <c r="AG50" s="252" t="n">
        <f aca="false">((M50+N50)*T50+V50)</f>
        <v>219.459214490315</v>
      </c>
      <c r="AH50" s="273"/>
      <c r="AI50" s="273" t="str">
        <f aca="false">IF(AD50=0,"S","")</f>
        <v>S</v>
      </c>
      <c r="AK50" s="15" t="e">
        <v>#NAME?</v>
      </c>
      <c r="AL50" s="15" t="e">
        <f aca="false">_xlfn.xlookup(AK50,A:A,F:F)</f>
        <v>#NAME?</v>
      </c>
      <c r="AM50" s="15" t="e">
        <f aca="false">_xlfn.xlookup(AK50,A:A,J:J)</f>
        <v>#NAME?</v>
      </c>
      <c r="AN50" s="15" t="e">
        <f aca="false">_xlfn.xlookup(AK50,A:A,M:M)+_xlfn.xlookup(AK50,A:A,N:N)</f>
        <v>#NAME?</v>
      </c>
      <c r="AO50" s="223" t="e">
        <f aca="false">_xlfn.xlookup(AK50,A:A,AG:AG)</f>
        <v>#NAME?</v>
      </c>
      <c r="AP50" s="223" t="e">
        <f aca="false">_xlfn.xlookup(AK50,A:A,AD:AD)</f>
        <v>#NAME?</v>
      </c>
      <c r="AQ50" s="223" t="e">
        <f aca="false">_xlfn.xlookup(AK50,A:A,AE:AE)</f>
        <v>#NAME?</v>
      </c>
      <c r="AX50" s="288"/>
      <c r="AY50" s="288"/>
      <c r="AZ50" s="288"/>
      <c r="BA50" s="15" t="e">
        <v>#NAME?</v>
      </c>
      <c r="BB50" s="257" t="e">
        <f aca="false">_xlfn.xlookup(BA50,A:A,F:F)</f>
        <v>#NAME?</v>
      </c>
      <c r="BC50" s="15" t="e">
        <f aca="false">_xlfn.xlookup(BA50,A:A,J:J)</f>
        <v>#NAME?</v>
      </c>
      <c r="BD50" s="75" t="e">
        <f aca="false">_xlfn.xlookup(BA50,A:A,M:M)+_xlfn.xlookup(BA50,A:A,N:N)</f>
        <v>#NAME?</v>
      </c>
      <c r="BE50" s="75" t="e">
        <f aca="false">_xlfn.xlookup(BA50,$A$3:$A$990,$AA$3:$AA$990)</f>
        <v>#NAME?</v>
      </c>
      <c r="BG50" s="0"/>
      <c r="BH50" s="0"/>
      <c r="BI50" s="0"/>
    </row>
    <row r="51" customFormat="false" ht="16.4" hidden="false" customHeight="false" outlineLevel="0" collapsed="false">
      <c r="A51" s="241" t="s">
        <v>976</v>
      </c>
      <c r="B51" s="241"/>
      <c r="C51" s="242" t="n">
        <v>45530</v>
      </c>
      <c r="D51" s="219" t="n">
        <v>197</v>
      </c>
      <c r="E51" s="241" t="str">
        <f aca="false">_xlfn.xlookup(D51,'PO Client'!$A:$A,'PO Client'!$C:$C,FALSE())</f>
        <v>Digi America Inc.</v>
      </c>
      <c r="F51" s="241" t="str">
        <f aca="false">_xlfn.xlookup(E51,Clients!B:B,Clients!C:C)</f>
        <v>Digi</v>
      </c>
      <c r="G51" s="241"/>
      <c r="H51" s="243" t="n">
        <v>40033</v>
      </c>
      <c r="I51" s="243" t="n">
        <v>30013</v>
      </c>
      <c r="J51" s="244" t="str">
        <f aca="false">_xlfn.xlookup(I51,'Prix MP'!A:A,'Prix MP'!F:F,FALSE())</f>
        <v>D11-1</v>
      </c>
      <c r="K51" s="245" t="n">
        <v>21925</v>
      </c>
      <c r="L51" s="245" t="n">
        <v>5269</v>
      </c>
      <c r="M51" s="245" t="n">
        <v>16194</v>
      </c>
      <c r="N51" s="245"/>
      <c r="O51" s="245"/>
      <c r="P51" s="246" t="n">
        <v>3</v>
      </c>
      <c r="Q51" s="219" t="n">
        <v>16</v>
      </c>
      <c r="R51" s="247" t="n">
        <v>-105.82</v>
      </c>
      <c r="S51" s="272" t="n">
        <v>1.3491</v>
      </c>
      <c r="T51" s="248" t="n">
        <f aca="false">_xlfn.xlookup(I51,'Prix MP'!A:A,'Prix MP'!U:U, FALSE())</f>
        <v>0.358173933722525</v>
      </c>
      <c r="U51" s="249" t="n">
        <f aca="false">M51*T51</f>
        <v>5800.26868270257</v>
      </c>
      <c r="V51" s="249" t="n">
        <f aca="false">(K51-M51-L51)*T51</f>
        <v>165.476357379807</v>
      </c>
      <c r="W51" s="250" t="n">
        <f aca="false">(K51-M51-L51)/K51</f>
        <v>0.0210718358038769</v>
      </c>
      <c r="X51" s="249" t="n">
        <v>68.0488941176471</v>
      </c>
      <c r="Y51" s="249" t="n">
        <f aca="false">19.2*P51</f>
        <v>57.6</v>
      </c>
      <c r="Z51" s="249" t="n">
        <f aca="false">125000/52/40*Q51</f>
        <v>961.538461538462</v>
      </c>
      <c r="AA51" s="249" t="n">
        <f aca="false">(M51+N51)*T51+R51+V51+X51+Y51+Z51</f>
        <v>6947.11239573849</v>
      </c>
      <c r="AB51" s="285" t="n">
        <f aca="false">_xlfn.xlookup(H51,'Prix vente'!A:A,'Prix vente'!X:X, "")</f>
        <v>0.31</v>
      </c>
      <c r="AC51" s="285" t="str">
        <f aca="false">_xlfn.xlookup(H51,'Prix vente'!A:A,'Prix vente'!Z:Z, "")</f>
        <v>USD</v>
      </c>
      <c r="AD51" s="249" t="n">
        <f aca="false">IF(AC51="CAD",(M51+N51)*AB51,(M51+N51)*AB51*S51)</f>
        <v>6772.670874</v>
      </c>
      <c r="AE51" s="249" t="n">
        <f aca="false">AD51-AA51</f>
        <v>-174.441521738486</v>
      </c>
      <c r="AF51" s="273" t="n">
        <f aca="false">1-AA51/AD51</f>
        <v>-0.0257566807813088</v>
      </c>
      <c r="AG51" s="252" t="n">
        <f aca="false">((M51+N51)*T51+V51)</f>
        <v>5965.74504008238</v>
      </c>
      <c r="AH51" s="273" t="n">
        <f aca="false">AG51/AD51</f>
        <v>0.880855596125987</v>
      </c>
      <c r="AI51" s="273" t="str">
        <f aca="false">IF(AD51=0,"S","")</f>
        <v/>
      </c>
      <c r="AK51" s="15" t="e">
        <v>#NAME?</v>
      </c>
      <c r="AL51" s="15" t="e">
        <f aca="false">_xlfn.xlookup(AK51,A:A,F:F)</f>
        <v>#NAME?</v>
      </c>
      <c r="AM51" s="15" t="e">
        <f aca="false">_xlfn.xlookup(AK51,A:A,J:J)</f>
        <v>#NAME?</v>
      </c>
      <c r="AN51" s="15" t="e">
        <f aca="false">_xlfn.xlookup(AK51,A:A,M:M)+_xlfn.xlookup(AK51,A:A,N:N)</f>
        <v>#NAME?</v>
      </c>
      <c r="AO51" s="223" t="e">
        <f aca="false">_xlfn.xlookup(AK51,A:A,AG:AG)</f>
        <v>#NAME?</v>
      </c>
      <c r="AP51" s="223" t="e">
        <f aca="false">_xlfn.xlookup(AK51,A:A,AD:AD)</f>
        <v>#NAME?</v>
      </c>
      <c r="AQ51" s="223" t="e">
        <f aca="false">_xlfn.xlookup(AK51,A:A,AE:AE)</f>
        <v>#NAME?</v>
      </c>
      <c r="AX51" s="288"/>
      <c r="AY51" s="288"/>
      <c r="AZ51" s="288"/>
      <c r="BA51" s="15" t="e">
        <v>#NAME?</v>
      </c>
      <c r="BB51" s="257" t="e">
        <f aca="false">_xlfn.xlookup(BA51,A:A,F:F)</f>
        <v>#NAME?</v>
      </c>
      <c r="BC51" s="15" t="e">
        <f aca="false">_xlfn.xlookup(BA51,A:A,J:J)</f>
        <v>#NAME?</v>
      </c>
      <c r="BD51" s="75" t="e">
        <f aca="false">_xlfn.xlookup(BA51,A:A,M:M)+_xlfn.xlookup(BA51,A:A,N:N)</f>
        <v>#NAME?</v>
      </c>
      <c r="BE51" s="75" t="e">
        <f aca="false">_xlfn.xlookup(BA51,$A$3:$A$990,$AA$3:$AA$990)</f>
        <v>#NAME?</v>
      </c>
      <c r="BG51" s="0"/>
      <c r="BH51" s="0"/>
      <c r="BI51" s="0"/>
    </row>
    <row r="52" customFormat="false" ht="16.4" hidden="false" customHeight="false" outlineLevel="0" collapsed="false">
      <c r="A52" s="241" t="s">
        <v>978</v>
      </c>
      <c r="B52" s="241"/>
      <c r="C52" s="242" t="n">
        <v>45530</v>
      </c>
      <c r="D52" s="219" t="n">
        <v>198</v>
      </c>
      <c r="E52" s="241" t="str">
        <f aca="false">_xlfn.xlookup(D52,'PO Client'!$A:$A,'PO Client'!$C:$C,FALSE())</f>
        <v>Étiquettes Luso-Flex</v>
      </c>
      <c r="F52" s="241" t="str">
        <f aca="false">_xlfn.xlookup(E52,Clients!B:B,Clients!C:C)</f>
        <v>Luso-Flex</v>
      </c>
      <c r="G52" s="241"/>
      <c r="H52" s="243" t="n">
        <v>40060</v>
      </c>
      <c r="I52" s="243" t="n">
        <v>30012</v>
      </c>
      <c r="J52" s="244" t="str">
        <f aca="false">_xlfn.xlookup(I52,'Prix MP'!A:A,'Prix MP'!F:F,FALSE())</f>
        <v>D21-1</v>
      </c>
      <c r="K52" s="245" t="n">
        <v>14231</v>
      </c>
      <c r="L52" s="245" t="n">
        <v>0</v>
      </c>
      <c r="M52" s="245" t="n">
        <v>13615</v>
      </c>
      <c r="N52" s="245"/>
      <c r="O52" s="245"/>
      <c r="P52" s="246" t="n">
        <v>3</v>
      </c>
      <c r="Q52" s="219" t="n">
        <v>4</v>
      </c>
      <c r="R52" s="247" t="n">
        <v>0</v>
      </c>
      <c r="S52" s="272"/>
      <c r="T52" s="248" t="n">
        <f aca="false">_xlfn.xlookup(I52,'Prix MP'!A:A,'Prix MP'!U:U, FALSE())</f>
        <v>0.327974576595346</v>
      </c>
      <c r="U52" s="249" t="n">
        <f aca="false">M52*T52</f>
        <v>4465.37386034564</v>
      </c>
      <c r="V52" s="249" t="n">
        <f aca="false">(K52-M52-L52)*T52</f>
        <v>202.032339182733</v>
      </c>
      <c r="W52" s="250" t="n">
        <f aca="false">(K52-M52-L52)/K52</f>
        <v>0.0432857845548451</v>
      </c>
      <c r="X52" s="249" t="n">
        <v>25.5183352941176</v>
      </c>
      <c r="Y52" s="249" t="n">
        <f aca="false">19.2*P52</f>
        <v>57.6</v>
      </c>
      <c r="Z52" s="249" t="n">
        <f aca="false">125000/52/40*Q52</f>
        <v>240.384615384615</v>
      </c>
      <c r="AA52" s="249" t="n">
        <f aca="false">(M52+N52)*T52+R52+V52+X52+Y52+Z52</f>
        <v>4990.90915020711</v>
      </c>
      <c r="AB52" s="285" t="n">
        <f aca="false">_xlfn.xlookup(H52,'Prix vente'!A:A,'Prix vente'!X:X, "")</f>
        <v>0.466</v>
      </c>
      <c r="AC52" s="285" t="str">
        <f aca="false">_xlfn.xlookup(H52,'Prix vente'!A:A,'Prix vente'!Z:Z, "")</f>
        <v>CAD</v>
      </c>
      <c r="AD52" s="249" t="n">
        <f aca="false">IF(AC52="CAD",(M52+N52)*AB52,(M52+N52)*AB52*S52)</f>
        <v>6344.59</v>
      </c>
      <c r="AE52" s="249" t="n">
        <f aca="false">AD52-AA52</f>
        <v>1353.6808497929</v>
      </c>
      <c r="AF52" s="273" t="n">
        <f aca="false">1-AA52/AD52</f>
        <v>0.213359862464382</v>
      </c>
      <c r="AG52" s="252" t="n">
        <f aca="false">((M52+N52)*T52+V52)</f>
        <v>4667.40619952837</v>
      </c>
      <c r="AH52" s="273" t="n">
        <f aca="false">AG52/AD52</f>
        <v>0.735651350131115</v>
      </c>
      <c r="AI52" s="273" t="str">
        <f aca="false">IF(AD52=0,"S","")</f>
        <v/>
      </c>
      <c r="AK52" s="15" t="e">
        <v>#NAME?</v>
      </c>
      <c r="AL52" s="15" t="e">
        <f aca="false">_xlfn.xlookup(AK52,A:A,F:F)</f>
        <v>#NAME?</v>
      </c>
      <c r="AM52" s="15" t="e">
        <f aca="false">_xlfn.xlookup(AK52,A:A,J:J)</f>
        <v>#NAME?</v>
      </c>
      <c r="AN52" s="15" t="e">
        <f aca="false">_xlfn.xlookup(AK52,A:A,M:M)+_xlfn.xlookup(AK52,A:A,N:N)</f>
        <v>#NAME?</v>
      </c>
      <c r="AO52" s="223" t="e">
        <f aca="false">_xlfn.xlookup(AK52,A:A,AG:AG)</f>
        <v>#NAME?</v>
      </c>
      <c r="AP52" s="223" t="e">
        <f aca="false">_xlfn.xlookup(AK52,A:A,AD:AD)</f>
        <v>#NAME?</v>
      </c>
      <c r="AQ52" s="223" t="e">
        <f aca="false">_xlfn.xlookup(AK52,A:A,AE:AE)</f>
        <v>#NAME?</v>
      </c>
      <c r="AX52" s="288"/>
      <c r="AY52" s="288"/>
      <c r="AZ52" s="288"/>
      <c r="BA52" s="15" t="e">
        <v>#NAME?</v>
      </c>
      <c r="BB52" s="257" t="e">
        <f aca="false">_xlfn.xlookup(BA52,A:A,F:F)</f>
        <v>#NAME?</v>
      </c>
      <c r="BC52" s="15" t="e">
        <f aca="false">_xlfn.xlookup(BA52,A:A,J:J)</f>
        <v>#NAME?</v>
      </c>
      <c r="BD52" s="75" t="e">
        <f aca="false">_xlfn.xlookup(BA52,A:A,M:M)+_xlfn.xlookup(BA52,A:A,N:N)</f>
        <v>#NAME?</v>
      </c>
      <c r="BE52" s="75" t="e">
        <f aca="false">_xlfn.xlookup(BA52,$A$3:$A$990,$AA$3:$AA$990)</f>
        <v>#NAME?</v>
      </c>
      <c r="BG52" s="0"/>
      <c r="BH52" s="0"/>
      <c r="BI52" s="0"/>
    </row>
    <row r="53" customFormat="false" ht="16.4" hidden="false" customHeight="false" outlineLevel="0" collapsed="false">
      <c r="A53" s="241" t="s">
        <v>979</v>
      </c>
      <c r="B53" s="241"/>
      <c r="C53" s="242" t="n">
        <v>45538</v>
      </c>
      <c r="D53" s="219" t="n">
        <v>199</v>
      </c>
      <c r="E53" s="241" t="str">
        <f aca="false">_xlfn.xlookup(D53,'PO Client'!$A:$A,'PO Client'!$C:$C,FALSE())</f>
        <v>Étiquettes Luso-Flex</v>
      </c>
      <c r="F53" s="241" t="str">
        <f aca="false">_xlfn.xlookup(E53,Clients!B:B,Clients!C:C)</f>
        <v>Luso-Flex</v>
      </c>
      <c r="G53" s="241"/>
      <c r="H53" s="243" t="n">
        <v>40080</v>
      </c>
      <c r="I53" s="243" t="n">
        <v>30017</v>
      </c>
      <c r="J53" s="244" t="str">
        <f aca="false">_xlfn.xlookup(I53,'Prix MP'!A:A,'Prix MP'!F:F,FALSE())</f>
        <v>B25-3</v>
      </c>
      <c r="K53" s="245" t="n">
        <v>10589.47</v>
      </c>
      <c r="L53" s="245" t="n">
        <v>3252.96</v>
      </c>
      <c r="M53" s="245" t="n">
        <v>7182.79</v>
      </c>
      <c r="N53" s="245" t="n">
        <v>0</v>
      </c>
      <c r="O53" s="245"/>
      <c r="P53" s="246" t="n">
        <v>2</v>
      </c>
      <c r="Q53" s="219" t="n">
        <v>4.5</v>
      </c>
      <c r="R53" s="247" t="n">
        <v>0</v>
      </c>
      <c r="S53" s="272"/>
      <c r="T53" s="248" t="n">
        <f aca="false">_xlfn.xlookup(I53,'Prix MP'!A:A,'Prix MP'!U:U, FALSE())</f>
        <v>0.326284886247867</v>
      </c>
      <c r="U53" s="249" t="n">
        <f aca="false">M53*T53</f>
        <v>2343.63581809232</v>
      </c>
      <c r="V53" s="249" t="n">
        <f aca="false">(K53-M53-L53)*T53</f>
        <v>50.1565127140219</v>
      </c>
      <c r="W53" s="250" t="n">
        <f aca="false">(K53-M53-L53)/K53</f>
        <v>0.0145163072372838</v>
      </c>
      <c r="X53" s="249" t="n">
        <v>14.5818913004471</v>
      </c>
      <c r="Y53" s="249" t="n">
        <f aca="false">19.2*P53</f>
        <v>38.4</v>
      </c>
      <c r="Z53" s="249" t="n">
        <f aca="false">125000/52/40*Q53</f>
        <v>270.432692307692</v>
      </c>
      <c r="AA53" s="249" t="n">
        <f aca="false">(M53+N53)*T53+R53+V53+X53+Y53+Z53</f>
        <v>2717.20691441448</v>
      </c>
      <c r="AB53" s="285" t="n">
        <f aca="false">_xlfn.xlookup(H53,'Prix vente'!A:A,'Prix vente'!X:X, "")</f>
        <v>0.452</v>
      </c>
      <c r="AC53" s="285" t="str">
        <f aca="false">_xlfn.xlookup(H53,'Prix vente'!A:A,'Prix vente'!Z:Z, "")</f>
        <v>CAD</v>
      </c>
      <c r="AD53" s="249" t="n">
        <f aca="false">IF(AC53="CAD",(M53+N53)*AB53,(M53+N53)*AB53*S53)</f>
        <v>3246.62108</v>
      </c>
      <c r="AE53" s="249" t="n">
        <f aca="false">AD53-AA53</f>
        <v>529.414165585524</v>
      </c>
      <c r="AF53" s="273" t="n">
        <f aca="false">1-AA53/AD53</f>
        <v>0.163066200994889</v>
      </c>
      <c r="AG53" s="252" t="n">
        <f aca="false">((M53+N53)*T53+V53)</f>
        <v>2393.79233080634</v>
      </c>
      <c r="AH53" s="273" t="n">
        <f aca="false">AG53/AD53</f>
        <v>0.737318052159736</v>
      </c>
      <c r="AI53" s="273" t="str">
        <f aca="false">IF(AD53=0,"S","")</f>
        <v/>
      </c>
      <c r="AK53" s="15" t="e">
        <v>#NAME?</v>
      </c>
      <c r="AL53" s="15" t="e">
        <f aca="false">_xlfn.xlookup(AK53,A:A,F:F)</f>
        <v>#NAME?</v>
      </c>
      <c r="AM53" s="15" t="e">
        <f aca="false">_xlfn.xlookup(AK53,A:A,J:J)</f>
        <v>#NAME?</v>
      </c>
      <c r="AN53" s="15" t="e">
        <f aca="false">_xlfn.xlookup(AK53,A:A,M:M)+_xlfn.xlookup(AK53,A:A,N:N)</f>
        <v>#NAME?</v>
      </c>
      <c r="AO53" s="223" t="e">
        <f aca="false">_xlfn.xlookup(AK53,A:A,AG:AG)</f>
        <v>#NAME?</v>
      </c>
      <c r="AP53" s="223" t="e">
        <f aca="false">_xlfn.xlookup(AK53,A:A,AD:AD)</f>
        <v>#NAME?</v>
      </c>
      <c r="AQ53" s="223" t="e">
        <f aca="false">_xlfn.xlookup(AK53,A:A,AE:AE)</f>
        <v>#NAME?</v>
      </c>
      <c r="AX53" s="288"/>
      <c r="AY53" s="288"/>
      <c r="AZ53" s="288"/>
      <c r="BA53" s="15" t="e">
        <v>#NAME?</v>
      </c>
      <c r="BB53" s="257" t="e">
        <f aca="false">_xlfn.xlookup(BA53,A:A,F:F)</f>
        <v>#NAME?</v>
      </c>
      <c r="BC53" s="15" t="e">
        <f aca="false">_xlfn.xlookup(BA53,A:A,J:J)</f>
        <v>#NAME?</v>
      </c>
      <c r="BD53" s="75" t="e">
        <f aca="false">_xlfn.xlookup(BA53,A:A,M:M)+_xlfn.xlookup(BA53,A:A,N:N)</f>
        <v>#NAME?</v>
      </c>
      <c r="BE53" s="75" t="e">
        <f aca="false">_xlfn.xlookup(BA53,$A$3:$A$990,$AA$3:$AA$990)</f>
        <v>#NAME?</v>
      </c>
      <c r="BG53" s="0"/>
      <c r="BH53" s="0"/>
      <c r="BI53" s="0"/>
    </row>
    <row r="54" customFormat="false" ht="16.4" hidden="false" customHeight="false" outlineLevel="0" collapsed="false">
      <c r="A54" s="241" t="s">
        <v>980</v>
      </c>
      <c r="B54" s="241"/>
      <c r="C54" s="242" t="n">
        <v>45539</v>
      </c>
      <c r="D54" s="219" t="n">
        <v>200</v>
      </c>
      <c r="E54" s="241" t="str">
        <f aca="false">_xlfn.xlookup(D54,'PO Client'!$A:$A,'PO Client'!$C:$C,FALSE())</f>
        <v>Imprimerie Ste-Julie</v>
      </c>
      <c r="F54" s="241" t="str">
        <f aca="false">_xlfn.xlookup(E54,Clients!B:B,Clients!C:C)</f>
        <v>Imprimerie Ste-Julie</v>
      </c>
      <c r="G54" s="241"/>
      <c r="H54" s="243" t="n">
        <v>40081</v>
      </c>
      <c r="I54" s="243" t="n">
        <v>30011</v>
      </c>
      <c r="J54" s="244" t="str">
        <f aca="false">_xlfn.xlookup(I54,'Prix MP'!A:A,'Prix MP'!F:F,FALSE())</f>
        <v>S21-1</v>
      </c>
      <c r="K54" s="245" t="n">
        <v>7115.31</v>
      </c>
      <c r="L54" s="245" t="n">
        <v>3470</v>
      </c>
      <c r="M54" s="245" t="n">
        <v>3492</v>
      </c>
      <c r="N54" s="245" t="n">
        <v>0</v>
      </c>
      <c r="O54" s="245"/>
      <c r="P54" s="246" t="n">
        <v>0.5</v>
      </c>
      <c r="Q54" s="219" t="n">
        <v>2.5</v>
      </c>
      <c r="R54" s="247" t="n">
        <f aca="false">-24.76/3/2</f>
        <v>-4.12666666666667</v>
      </c>
      <c r="S54" s="272" t="n">
        <v>1.3525</v>
      </c>
      <c r="T54" s="248" t="n">
        <f aca="false">_xlfn.xlookup(I54,'Prix MP'!A:A,'Prix MP'!U:U, FALSE())</f>
        <v>0.28357864079936</v>
      </c>
      <c r="U54" s="249" t="n">
        <f aca="false">M54*T54</f>
        <v>990.256613671365</v>
      </c>
      <c r="V54" s="249" t="n">
        <f aca="false">(K54-M54-L54)*T54</f>
        <v>43.47544142095</v>
      </c>
      <c r="W54" s="250" t="n">
        <f aca="false">(K54-M54-L54)/K54</f>
        <v>0.0215464962173117</v>
      </c>
      <c r="X54" s="249" t="n">
        <v>14.5819058823529</v>
      </c>
      <c r="Y54" s="249" t="n">
        <f aca="false">19.2*P54</f>
        <v>9.6</v>
      </c>
      <c r="Z54" s="249" t="n">
        <f aca="false">125000/52/40*Q54</f>
        <v>150.240384615385</v>
      </c>
      <c r="AA54" s="249" t="n">
        <f aca="false">(M54+N54)*T54+R54+V54+X54+Y54+Z54</f>
        <v>1204.02767892339</v>
      </c>
      <c r="AB54" s="285" t="n">
        <f aca="false">_xlfn.xlookup(H54,'Prix vente'!A:A,'Prix vente'!X:X, "")</f>
        <v>0.27</v>
      </c>
      <c r="AC54" s="285" t="str">
        <f aca="false">_xlfn.xlookup(H54,'Prix vente'!A:A,'Prix vente'!Z:Z, "")</f>
        <v>USD</v>
      </c>
      <c r="AD54" s="249" t="n">
        <f aca="false">IF(AC54="CAD",(M54+N54)*AB54,(M54+N54)*AB54*S54)</f>
        <v>1275.1911</v>
      </c>
      <c r="AE54" s="249" t="n">
        <f aca="false">AD54-AA54</f>
        <v>71.1634210766147</v>
      </c>
      <c r="AF54" s="273" t="n">
        <f aca="false">1-AA54/AD54</f>
        <v>0.0558060835561154</v>
      </c>
      <c r="AG54" s="252" t="n">
        <f aca="false">((M54+N54)*T54+V54)</f>
        <v>1033.73205509231</v>
      </c>
      <c r="AH54" s="273" t="n">
        <f aca="false">AG54/AD54</f>
        <v>0.810648737347928</v>
      </c>
      <c r="AI54" s="273" t="str">
        <f aca="false">IF(AD54=0,"S","")</f>
        <v/>
      </c>
      <c r="AK54" s="15" t="e">
        <v>#NAME?</v>
      </c>
      <c r="AL54" s="15" t="e">
        <f aca="false">_xlfn.xlookup(AK54,A:A,F:F)</f>
        <v>#NAME?</v>
      </c>
      <c r="AM54" s="15" t="e">
        <f aca="false">_xlfn.xlookup(AK54,A:A,J:J)</f>
        <v>#NAME?</v>
      </c>
      <c r="AN54" s="15" t="e">
        <f aca="false">_xlfn.xlookup(AK54,A:A,M:M)+_xlfn.xlookup(AK54,A:A,N:N)</f>
        <v>#NAME?</v>
      </c>
      <c r="AO54" s="223" t="e">
        <f aca="false">_xlfn.xlookup(AK54,A:A,AG:AG)</f>
        <v>#NAME?</v>
      </c>
      <c r="AP54" s="223" t="e">
        <f aca="false">_xlfn.xlookup(AK54,A:A,AD:AD)</f>
        <v>#NAME?</v>
      </c>
      <c r="AQ54" s="223" t="e">
        <f aca="false">_xlfn.xlookup(AK54,A:A,AE:AE)</f>
        <v>#NAME?</v>
      </c>
      <c r="AX54" s="288"/>
      <c r="AY54" s="288"/>
      <c r="AZ54" s="288"/>
      <c r="BA54" s="15" t="e">
        <v>#NAME?</v>
      </c>
      <c r="BB54" s="257" t="e">
        <f aca="false">_xlfn.xlookup(BA54,A:A,F:F)</f>
        <v>#NAME?</v>
      </c>
      <c r="BC54" s="15" t="e">
        <f aca="false">_xlfn.xlookup(BA54,A:A,J:J)</f>
        <v>#NAME?</v>
      </c>
      <c r="BD54" s="75" t="e">
        <f aca="false">_xlfn.xlookup(BA54,A:A,M:M)+_xlfn.xlookup(BA54,A:A,N:N)</f>
        <v>#NAME?</v>
      </c>
      <c r="BE54" s="75" t="e">
        <f aca="false">_xlfn.xlookup(BA54,$A$3:$A$990,$AA$3:$AA$990)</f>
        <v>#NAME?</v>
      </c>
      <c r="BG54" s="0"/>
      <c r="BH54" s="0"/>
      <c r="BI54" s="0"/>
    </row>
    <row r="55" customFormat="false" ht="16.4" hidden="false" customHeight="false" outlineLevel="0" collapsed="false">
      <c r="A55" s="241" t="s">
        <v>981</v>
      </c>
      <c r="B55" s="241"/>
      <c r="C55" s="242" t="n">
        <v>45539</v>
      </c>
      <c r="D55" s="219" t="n">
        <v>200</v>
      </c>
      <c r="E55" s="241" t="str">
        <f aca="false">_xlfn.xlookup(D55,'PO Client'!$A:$A,'PO Client'!$C:$C,FALSE())</f>
        <v>Imprimerie Ste-Julie</v>
      </c>
      <c r="F55" s="241" t="str">
        <f aca="false">_xlfn.xlookup(E55,Clients!B:B,Clients!C:C)</f>
        <v>Imprimerie Ste-Julie</v>
      </c>
      <c r="G55" s="241"/>
      <c r="H55" s="243" t="n">
        <v>40082</v>
      </c>
      <c r="I55" s="243" t="n">
        <v>30011</v>
      </c>
      <c r="J55" s="244" t="str">
        <f aca="false">_xlfn.xlookup(I55,'Prix MP'!A:A,'Prix MP'!F:F,FALSE())</f>
        <v>S21-1</v>
      </c>
      <c r="K55" s="245" t="n">
        <v>3470</v>
      </c>
      <c r="L55" s="245" t="n">
        <v>0</v>
      </c>
      <c r="M55" s="245" t="n">
        <v>3327.6</v>
      </c>
      <c r="N55" s="245"/>
      <c r="O55" s="245"/>
      <c r="P55" s="246" t="n">
        <v>0.5</v>
      </c>
      <c r="Q55" s="219" t="n">
        <v>1.75</v>
      </c>
      <c r="R55" s="247" t="n">
        <f aca="false">-24.76/3/2</f>
        <v>-4.12666666666667</v>
      </c>
      <c r="S55" s="272" t="n">
        <v>1.3525</v>
      </c>
      <c r="T55" s="248" t="n">
        <f aca="false">_xlfn.xlookup(I55,'Prix MP'!A:A,'Prix MP'!U:U, FALSE())</f>
        <v>0.28357864079936</v>
      </c>
      <c r="U55" s="249" t="n">
        <f aca="false">M55*T55</f>
        <v>943.63628512395</v>
      </c>
      <c r="V55" s="249" t="n">
        <f aca="false">(K55-M55-L55)*T55</f>
        <v>40.3815984498289</v>
      </c>
      <c r="W55" s="250" t="n">
        <f aca="false">(K55-M55-L55)/K55</f>
        <v>0.0410374639769453</v>
      </c>
      <c r="X55" s="249" t="n">
        <v>14.5819058823529</v>
      </c>
      <c r="Y55" s="249" t="n">
        <f aca="false">19.2*P55</f>
        <v>9.6</v>
      </c>
      <c r="Z55" s="249" t="n">
        <f aca="false">125000/52/40*Q55</f>
        <v>105.168269230769</v>
      </c>
      <c r="AA55" s="249" t="n">
        <f aca="false">(M55+N55)*T55+R55+V55+X55+Y55+Z55</f>
        <v>1109.24139202023</v>
      </c>
      <c r="AB55" s="285" t="n">
        <f aca="false">_xlfn.xlookup(H55,'Prix vente'!A:A,'Prix vente'!X:X, "")</f>
        <v>0.27</v>
      </c>
      <c r="AC55" s="285" t="str">
        <f aca="false">_xlfn.xlookup(H55,'Prix vente'!A:A,'Prix vente'!Z:Z, "")</f>
        <v>USD</v>
      </c>
      <c r="AD55" s="249" t="n">
        <f aca="false">IF(AC55="CAD",(M55+N55)*AB55,(M55+N55)*AB55*S55)</f>
        <v>1215.15633</v>
      </c>
      <c r="AE55" s="249" t="n">
        <f aca="false">AD55-AA55</f>
        <v>105.914937979766</v>
      </c>
      <c r="AF55" s="273" t="n">
        <f aca="false">1-AA55/AD55</f>
        <v>0.0871615736715667</v>
      </c>
      <c r="AG55" s="252" t="n">
        <f aca="false">((M55+N55)*T55+V55)</f>
        <v>984.017883573779</v>
      </c>
      <c r="AH55" s="273" t="n">
        <f aca="false">AG55/AD55</f>
        <v>0.809787069597686</v>
      </c>
      <c r="AI55" s="273" t="str">
        <f aca="false">IF(AD55=0,"S","")</f>
        <v/>
      </c>
      <c r="AK55" s="15" t="e">
        <v>#NAME?</v>
      </c>
      <c r="AL55" s="15" t="e">
        <f aca="false">_xlfn.xlookup(AK55,A:A,F:F)</f>
        <v>#NAME?</v>
      </c>
      <c r="AM55" s="15" t="e">
        <f aca="false">_xlfn.xlookup(AK55,A:A,J:J)</f>
        <v>#NAME?</v>
      </c>
      <c r="AN55" s="15" t="e">
        <f aca="false">_xlfn.xlookup(AK55,A:A,M:M)+_xlfn.xlookup(AK55,A:A,N:N)</f>
        <v>#NAME?</v>
      </c>
      <c r="AO55" s="223" t="e">
        <f aca="false">_xlfn.xlookup(AK55,A:A,AG:AG)</f>
        <v>#NAME?</v>
      </c>
      <c r="AP55" s="223" t="e">
        <f aca="false">_xlfn.xlookup(AK55,A:A,AD:AD)</f>
        <v>#NAME?</v>
      </c>
      <c r="AQ55" s="223" t="e">
        <f aca="false">_xlfn.xlookup(AK55,A:A,AE:AE)</f>
        <v>#NAME?</v>
      </c>
      <c r="AX55" s="288"/>
      <c r="AY55" s="288"/>
      <c r="AZ55" s="288"/>
      <c r="BA55" s="15" t="e">
        <v>#NAME?</v>
      </c>
      <c r="BB55" s="257" t="e">
        <f aca="false">_xlfn.xlookup(BA55,A:A,F:F)</f>
        <v>#NAME?</v>
      </c>
      <c r="BC55" s="15" t="e">
        <f aca="false">_xlfn.xlookup(BA55,A:A,J:J)</f>
        <v>#NAME?</v>
      </c>
      <c r="BD55" s="75" t="e">
        <f aca="false">_xlfn.xlookup(BA55,A:A,M:M)+_xlfn.xlookup(BA55,A:A,N:N)</f>
        <v>#NAME?</v>
      </c>
      <c r="BE55" s="75" t="e">
        <f aca="false">_xlfn.xlookup(BA55,A4:A991,AA4:AA991)</f>
        <v>#NAME?</v>
      </c>
      <c r="BG55" s="0"/>
      <c r="BH55" s="0"/>
      <c r="BI55" s="0"/>
    </row>
    <row r="56" customFormat="false" ht="16.4" hidden="false" customHeight="false" outlineLevel="0" collapsed="false">
      <c r="A56" s="241" t="s">
        <v>984</v>
      </c>
      <c r="B56" s="241"/>
      <c r="C56" s="242" t="n">
        <v>45539</v>
      </c>
      <c r="D56" s="219" t="n">
        <v>201</v>
      </c>
      <c r="E56" s="241" t="str">
        <f aca="false">_xlfn.xlookup(D56,'PO Client'!$A:$A,'PO Client'!$C:$C,FALSE())</f>
        <v>Imprimerie Ste-Julie</v>
      </c>
      <c r="F56" s="241" t="str">
        <f aca="false">_xlfn.xlookup(E56,Clients!B:B,Clients!C:C)</f>
        <v>Imprimerie Ste-Julie</v>
      </c>
      <c r="G56" s="241"/>
      <c r="H56" s="243" t="n">
        <v>40067</v>
      </c>
      <c r="I56" s="243" t="n">
        <v>30015</v>
      </c>
      <c r="J56" s="244" t="str">
        <f aca="false">_xlfn.xlookup(I56,'Prix MP'!A:A,'Prix MP'!F:F,FALSE())</f>
        <v>S15-3</v>
      </c>
      <c r="K56" s="245" t="n">
        <v>10482</v>
      </c>
      <c r="L56" s="245" t="n">
        <v>6795</v>
      </c>
      <c r="M56" s="245" t="n">
        <v>3600</v>
      </c>
      <c r="N56" s="245" t="n">
        <v>0</v>
      </c>
      <c r="O56" s="245"/>
      <c r="P56" s="246" t="n">
        <v>1</v>
      </c>
      <c r="Q56" s="219" t="n">
        <v>1.25</v>
      </c>
      <c r="R56" s="247" t="n">
        <f aca="false">-24.76/3</f>
        <v>-8.25333333333333</v>
      </c>
      <c r="S56" s="272" t="n">
        <v>1.3525</v>
      </c>
      <c r="T56" s="248" t="n">
        <f aca="false">_xlfn.xlookup(I56,'Prix MP'!A:A,'Prix MP'!U:U, FALSE())</f>
        <v>0.268854241086576</v>
      </c>
      <c r="U56" s="249" t="n">
        <f aca="false">M56*T56</f>
        <v>967.875267911675</v>
      </c>
      <c r="V56" s="249" t="n">
        <f aca="false">(K56-M56-L56)*T56</f>
        <v>23.3903189745321</v>
      </c>
      <c r="W56" s="250" t="n">
        <f aca="false">(K56-M56-L56)/K56</f>
        <v>0.00829994275901546</v>
      </c>
      <c r="X56" s="249" t="n">
        <v>14.5819058823529</v>
      </c>
      <c r="Y56" s="249" t="n">
        <f aca="false">19.2*P56</f>
        <v>19.2</v>
      </c>
      <c r="Z56" s="249" t="n">
        <f aca="false">125000/52/40*Q56</f>
        <v>75.1201923076923</v>
      </c>
      <c r="AA56" s="249" t="n">
        <f aca="false">(M56+N56)*T56+R56+V56+X56+Y56+Z56</f>
        <v>1091.91435174292</v>
      </c>
      <c r="AB56" s="285" t="n">
        <f aca="false">_xlfn.xlookup(H56,'Prix vente'!A:A,'Prix vente'!X:X, "")</f>
        <v>0.28</v>
      </c>
      <c r="AC56" s="285" t="str">
        <f aca="false">_xlfn.xlookup(H56,'Prix vente'!A:A,'Prix vente'!Z:Z, "")</f>
        <v>USD</v>
      </c>
      <c r="AD56" s="249" t="n">
        <f aca="false">IF(AC56="CAD",(M56+N56)*AB56,(M56+N56)*AB56*S56)</f>
        <v>1363.32</v>
      </c>
      <c r="AE56" s="249" t="n">
        <f aca="false">AD56-AA56</f>
        <v>271.405648257081</v>
      </c>
      <c r="AF56" s="273" t="n">
        <f aca="false">1-AA56/AD56</f>
        <v>0.199076994584603</v>
      </c>
      <c r="AG56" s="252" t="n">
        <f aca="false">((M56+N56)*T56+V56)</f>
        <v>991.265586886207</v>
      </c>
      <c r="AH56" s="273" t="n">
        <f aca="false">AG56/AD56</f>
        <v>0.727096783503658</v>
      </c>
      <c r="AI56" s="273" t="str">
        <f aca="false">IF(AD56=0,"S","")</f>
        <v/>
      </c>
      <c r="AK56" s="15" t="e">
        <v>#NAME?</v>
      </c>
      <c r="AL56" s="15" t="e">
        <f aca="false">_xlfn.xlookup(AK56,A:A,F:F)</f>
        <v>#NAME?</v>
      </c>
      <c r="AM56" s="15" t="e">
        <f aca="false">_xlfn.xlookup(AK56,A:A,J:J)</f>
        <v>#NAME?</v>
      </c>
      <c r="AN56" s="15" t="e">
        <f aca="false">_xlfn.xlookup(AK56,A:A,M:M)+_xlfn.xlookup(AK56,A:A,N:N)</f>
        <v>#NAME?</v>
      </c>
      <c r="AO56" s="223" t="e">
        <f aca="false">_xlfn.xlookup(AK56,A:A,AG:AG)</f>
        <v>#NAME?</v>
      </c>
      <c r="AP56" s="223" t="e">
        <f aca="false">_xlfn.xlookup(AK56,A:A,AD:AD)</f>
        <v>#NAME?</v>
      </c>
      <c r="AQ56" s="223" t="e">
        <f aca="false">_xlfn.xlookup(AK56,A:A,AE:AE)</f>
        <v>#NAME?</v>
      </c>
      <c r="AX56" s="288"/>
      <c r="AY56" s="288"/>
      <c r="AZ56" s="288"/>
      <c r="BA56" s="15" t="e">
        <v>#NAME?</v>
      </c>
      <c r="BB56" s="257" t="e">
        <f aca="false">_xlfn.xlookup(BA56,A:A,F:F)</f>
        <v>#NAME?</v>
      </c>
      <c r="BC56" s="15" t="e">
        <f aca="false">_xlfn.xlookup(BA56,A:A,J:J)</f>
        <v>#NAME?</v>
      </c>
      <c r="BD56" s="75" t="e">
        <f aca="false">_xlfn.xlookup(BA56,A:A,M:M)+_xlfn.xlookup(BA56,A:A,N:N)</f>
        <v>#NAME?</v>
      </c>
      <c r="BE56" s="75" t="e">
        <f aca="false">_xlfn.xlookup(BA56,A5:A992,AA5:AA992)</f>
        <v>#NAME?</v>
      </c>
      <c r="BG56" s="0"/>
      <c r="BH56" s="0"/>
      <c r="BI56" s="0"/>
    </row>
    <row r="57" customFormat="false" ht="16.4" hidden="false" customHeight="false" outlineLevel="0" collapsed="false">
      <c r="A57" s="241" t="s">
        <v>985</v>
      </c>
      <c r="B57" s="241"/>
      <c r="C57" s="242" t="n">
        <v>45539</v>
      </c>
      <c r="D57" s="219" t="n">
        <v>202</v>
      </c>
      <c r="E57" s="241" t="str">
        <f aca="false">_xlfn.xlookup(D57,'PO Client'!$A:$A,'PO Client'!$C:$C,FALSE())</f>
        <v>Imprimerie Ste-Julie</v>
      </c>
      <c r="F57" s="241" t="str">
        <f aca="false">_xlfn.xlookup(E57,Clients!B:B,Clients!C:C)</f>
        <v>Imprimerie Ste-Julie</v>
      </c>
      <c r="G57" s="241"/>
      <c r="H57" s="243" t="n">
        <v>40084</v>
      </c>
      <c r="I57" s="243" t="n">
        <v>30017</v>
      </c>
      <c r="J57" s="244" t="str">
        <f aca="false">_xlfn.xlookup(I57,'Prix MP'!A:A,'Prix MP'!F:F,FALSE())</f>
        <v>B25-3</v>
      </c>
      <c r="K57" s="245" t="n">
        <v>2087.4</v>
      </c>
      <c r="L57" s="245" t="n">
        <v>1339.2</v>
      </c>
      <c r="M57" s="245" t="n">
        <v>714.24</v>
      </c>
      <c r="N57" s="245" t="n">
        <v>0</v>
      </c>
      <c r="O57" s="245"/>
      <c r="P57" s="246" t="n">
        <v>0</v>
      </c>
      <c r="Q57" s="219" t="n">
        <v>2</v>
      </c>
      <c r="R57" s="247" t="n">
        <f aca="false">-24.76/3</f>
        <v>-8.25333333333333</v>
      </c>
      <c r="S57" s="272" t="n">
        <v>1.3525</v>
      </c>
      <c r="T57" s="248" t="n">
        <f aca="false">_xlfn.xlookup(I57,'Prix MP'!A:A,'Prix MP'!U:U, FALSE())</f>
        <v>0.326284886247867</v>
      </c>
      <c r="U57" s="249" t="n">
        <f aca="false">M57*T57</f>
        <v>233.045717153676</v>
      </c>
      <c r="V57" s="249" t="n">
        <f aca="false">(K57-M57-L57)*T57</f>
        <v>11.0806347369776</v>
      </c>
      <c r="W57" s="250" t="n">
        <f aca="false">(K57-M57-L57)/K57</f>
        <v>0.016269042828399</v>
      </c>
      <c r="X57" s="249" t="n">
        <v>2.91638117647059</v>
      </c>
      <c r="Y57" s="249" t="n">
        <f aca="false">19.2*P57</f>
        <v>0</v>
      </c>
      <c r="Z57" s="249" t="n">
        <f aca="false">125000/52/40*Q57</f>
        <v>120.192307692308</v>
      </c>
      <c r="AA57" s="249" t="n">
        <f aca="false">(M57+N57)*T57+R57+V57+X57+Y57+Z57</f>
        <v>358.981707426099</v>
      </c>
      <c r="AB57" s="285" t="n">
        <f aca="false">_xlfn.xlookup(H57,'Prix vente'!A:A,'Prix vente'!X:X, "")</f>
        <v>0.33</v>
      </c>
      <c r="AC57" s="285" t="str">
        <f aca="false">_xlfn.xlookup(H57,'Prix vente'!A:A,'Prix vente'!Z:Z, "")</f>
        <v>USD</v>
      </c>
      <c r="AD57" s="249" t="n">
        <f aca="false">IF(AC57="CAD",(M57+N57)*AB57,(M57+N57)*AB57*S57)</f>
        <v>318.783168</v>
      </c>
      <c r="AE57" s="249" t="n">
        <f aca="false">AD57-AA57</f>
        <v>-40.1985394260988</v>
      </c>
      <c r="AF57" s="273"/>
      <c r="AG57" s="252" t="n">
        <f aca="false">((M57+N57)*T57+V57)</f>
        <v>244.126351890654</v>
      </c>
      <c r="AH57" s="273" t="n">
        <f aca="false">AG57/AD57</f>
        <v>0.765806907002862</v>
      </c>
      <c r="AI57" s="273" t="str">
        <f aca="false">IF(AD57=0,"S","")</f>
        <v/>
      </c>
      <c r="AK57" s="15" t="e">
        <v>#NAME?</v>
      </c>
      <c r="AL57" s="15" t="e">
        <f aca="false">_xlfn.xlookup(AK57,A:A,F:F)</f>
        <v>#NAME?</v>
      </c>
      <c r="AM57" s="15" t="e">
        <f aca="false">_xlfn.xlookup(AK57,A:A,J:J)</f>
        <v>#NAME?</v>
      </c>
      <c r="AN57" s="15" t="e">
        <f aca="false">_xlfn.xlookup(AK57,A:A,M:M)+_xlfn.xlookup(AK57,A:A,N:N)</f>
        <v>#NAME?</v>
      </c>
      <c r="AO57" s="223" t="e">
        <f aca="false">_xlfn.xlookup(AK57,A:A,AG:AG)</f>
        <v>#NAME?</v>
      </c>
      <c r="AP57" s="223" t="e">
        <f aca="false">_xlfn.xlookup(AK57,A:A,AD:AD)</f>
        <v>#NAME?</v>
      </c>
      <c r="AQ57" s="223" t="e">
        <f aca="false">_xlfn.xlookup(AK57,A:A,AE:AE)</f>
        <v>#NAME?</v>
      </c>
      <c r="AX57" s="288"/>
      <c r="AY57" s="288"/>
      <c r="AZ57" s="288"/>
      <c r="BA57" s="15" t="e">
        <v>#NAME?</v>
      </c>
      <c r="BB57" s="257" t="e">
        <f aca="false">_xlfn.xlookup(BA57,A:A,F:F)</f>
        <v>#NAME?</v>
      </c>
      <c r="BC57" s="15" t="e">
        <f aca="false">_xlfn.xlookup(BA57,A:A,J:J)</f>
        <v>#NAME?</v>
      </c>
      <c r="BD57" s="75" t="e">
        <f aca="false">_xlfn.xlookup(BA57,A:A,M:M)+_xlfn.xlookup(BA57,A:A,N:N)</f>
        <v>#NAME?</v>
      </c>
      <c r="BE57" s="75" t="e">
        <f aca="false">_xlfn.xlookup(BA57,A6:A993,AA6:AA993)</f>
        <v>#NAME?</v>
      </c>
      <c r="BG57" s="0"/>
      <c r="BH57" s="0"/>
      <c r="BI57" s="0"/>
    </row>
    <row r="58" customFormat="false" ht="16.4" hidden="false" customHeight="false" outlineLevel="0" collapsed="false">
      <c r="A58" s="241" t="s">
        <v>987</v>
      </c>
      <c r="B58" s="241"/>
      <c r="C58" s="242" t="n">
        <v>45540</v>
      </c>
      <c r="D58" s="219" t="n">
        <v>203</v>
      </c>
      <c r="E58" s="241" t="str">
        <f aca="false">_xlfn.xlookup(D58,'PO Client'!$A:$A,'PO Client'!$C:$C,FALSE())</f>
        <v>Étiquettes Luso-Flex</v>
      </c>
      <c r="F58" s="241" t="str">
        <f aca="false">_xlfn.xlookup(E58,Clients!B:B,Clients!C:C)</f>
        <v>Luso-Flex</v>
      </c>
      <c r="G58" s="241"/>
      <c r="H58" s="243" t="n">
        <v>40060</v>
      </c>
      <c r="I58" s="243" t="n">
        <v>30012</v>
      </c>
      <c r="J58" s="244" t="str">
        <f aca="false">_xlfn.xlookup(I58,'Prix MP'!A:A,'Prix MP'!F:F,FALSE())</f>
        <v>D21-1</v>
      </c>
      <c r="K58" s="245" t="n">
        <v>21345.92</v>
      </c>
      <c r="L58" s="245"/>
      <c r="M58" s="245" t="n">
        <v>20973.6</v>
      </c>
      <c r="N58" s="245" t="n">
        <v>0</v>
      </c>
      <c r="O58" s="245"/>
      <c r="P58" s="246" t="n">
        <v>4</v>
      </c>
      <c r="Q58" s="219" t="n">
        <v>5.5</v>
      </c>
      <c r="R58" s="247" t="n">
        <v>0</v>
      </c>
      <c r="S58" s="272"/>
      <c r="T58" s="248" t="n">
        <f aca="false">_xlfn.xlookup(I58,'Prix MP'!A:A,'Prix MP'!U:U, FALSE())</f>
        <v>0.327974576595346</v>
      </c>
      <c r="U58" s="249" t="n">
        <f aca="false">M58*T58</f>
        <v>6878.80757968015</v>
      </c>
      <c r="V58" s="249" t="n">
        <f aca="false">(K58-M58-L58)*T58</f>
        <v>122.111494357979</v>
      </c>
      <c r="W58" s="250" t="n">
        <f aca="false">(K58-M58-L58)/K58</f>
        <v>0.017442209096633</v>
      </c>
      <c r="X58" s="249" t="n">
        <v>43.7457176470588</v>
      </c>
      <c r="Y58" s="249" t="n">
        <f aca="false">19.2*P58</f>
        <v>76.8</v>
      </c>
      <c r="Z58" s="249" t="n">
        <f aca="false">125000/52/40*Q58</f>
        <v>330.528846153846</v>
      </c>
      <c r="AA58" s="249" t="n">
        <f aca="false">(M58+N58)*T58+R58+V58+X58+Y58+Z58</f>
        <v>7451.99363783904</v>
      </c>
      <c r="AB58" s="285" t="n">
        <f aca="false">_xlfn.xlookup(H58,'Prix vente'!A:A,'Prix vente'!X:X, "")</f>
        <v>0.466</v>
      </c>
      <c r="AC58" s="285" t="str">
        <f aca="false">_xlfn.xlookup(H58,'Prix vente'!A:A,'Prix vente'!Z:Z, "")</f>
        <v>CAD</v>
      </c>
      <c r="AD58" s="249" t="n">
        <f aca="false">IF(AC58="CAD",(M58+N58)*AB58,(M58+N58)*AB58*S58)</f>
        <v>9773.6976</v>
      </c>
      <c r="AE58" s="249" t="n">
        <f aca="false">AD58-AA58</f>
        <v>2321.70396216096</v>
      </c>
      <c r="AF58" s="273" t="n">
        <f aca="false">1-AA58/AD58</f>
        <v>0.237546121967285</v>
      </c>
      <c r="AG58" s="252" t="n">
        <f aca="false">((M58+N58)*T58+V58)</f>
        <v>7000.91907403813</v>
      </c>
      <c r="AH58" s="273" t="n">
        <f aca="false">AG58/AD58</f>
        <v>0.716301993427557</v>
      </c>
      <c r="AI58" s="273" t="str">
        <f aca="false">IF(AD58=0,"S","")</f>
        <v/>
      </c>
      <c r="AK58" s="15" t="e">
        <v>#NAME?</v>
      </c>
      <c r="AL58" s="15" t="e">
        <f aca="false">_xlfn.xlookup(AK58,A:A,F:F)</f>
        <v>#NAME?</v>
      </c>
      <c r="AM58" s="15" t="e">
        <f aca="false">_xlfn.xlookup(AK58,A:A,J:J)</f>
        <v>#NAME?</v>
      </c>
      <c r="AN58" s="15" t="e">
        <f aca="false">_xlfn.xlookup(AK58,A:A,M:M)+_xlfn.xlookup(AK58,A:A,N:N)</f>
        <v>#NAME?</v>
      </c>
      <c r="AO58" s="223" t="e">
        <f aca="false">_xlfn.xlookup(AK58,A:A,AG:AG)</f>
        <v>#NAME?</v>
      </c>
      <c r="AP58" s="223" t="e">
        <f aca="false">_xlfn.xlookup(AK58,A:A,AD:AD)</f>
        <v>#NAME?</v>
      </c>
      <c r="AQ58" s="223" t="e">
        <f aca="false">_xlfn.xlookup(AK58,A:A,AE:AE)</f>
        <v>#NAME?</v>
      </c>
      <c r="AX58" s="288"/>
      <c r="AY58" s="288"/>
      <c r="AZ58" s="288"/>
      <c r="BA58" s="15" t="e">
        <v>#NAME?</v>
      </c>
      <c r="BB58" s="257" t="e">
        <f aca="false">_xlfn.xlookup(BA58,A:A,F:F)</f>
        <v>#NAME?</v>
      </c>
      <c r="BC58" s="15" t="e">
        <f aca="false">_xlfn.xlookup(BA58,A:A,J:J)</f>
        <v>#NAME?</v>
      </c>
      <c r="BD58" s="75" t="e">
        <f aca="false">_xlfn.xlookup(BA58,A:A,M:M)+_xlfn.xlookup(BA58,A:A,N:N)</f>
        <v>#NAME?</v>
      </c>
      <c r="BE58" s="75" t="e">
        <f aca="false">_xlfn.xlookup(BA58,A7:A994,AA7:AA994)</f>
        <v>#NAME?</v>
      </c>
      <c r="BG58" s="0"/>
      <c r="BH58" s="0"/>
      <c r="BI58" s="0"/>
    </row>
    <row r="59" customFormat="false" ht="16.4" hidden="false" customHeight="false" outlineLevel="0" collapsed="false">
      <c r="A59" s="241" t="s">
        <v>990</v>
      </c>
      <c r="B59" s="241"/>
      <c r="C59" s="242" t="n">
        <v>45541</v>
      </c>
      <c r="D59" s="219" t="n">
        <v>204</v>
      </c>
      <c r="E59" s="241" t="str">
        <f aca="false">_xlfn.xlookup(D59,'PO Client'!$A:$A,'PO Client'!$C:$C,FALSE())</f>
        <v>Étiquettes iFlex Inc.</v>
      </c>
      <c r="F59" s="241" t="str">
        <f aca="false">_xlfn.xlookup(E59,Clients!B:B,Clients!C:C)</f>
        <v>iFlex</v>
      </c>
      <c r="G59" s="241"/>
      <c r="H59" s="243" t="n">
        <v>40086</v>
      </c>
      <c r="I59" s="243" t="n">
        <v>30011</v>
      </c>
      <c r="J59" s="244" t="str">
        <f aca="false">_xlfn.xlookup(I59,'Prix MP'!A:A,'Prix MP'!F:F,FALSE())</f>
        <v>S21-1</v>
      </c>
      <c r="K59" s="245" t="n">
        <v>7115.31</v>
      </c>
      <c r="L59" s="245" t="n">
        <v>6145.25</v>
      </c>
      <c r="M59" s="245" t="n">
        <v>780</v>
      </c>
      <c r="N59" s="245"/>
      <c r="O59" s="245"/>
      <c r="P59" s="246" t="n">
        <v>0.5</v>
      </c>
      <c r="Q59" s="219" t="n">
        <v>1</v>
      </c>
      <c r="R59" s="247" t="n">
        <f aca="false">65/2</f>
        <v>32.5</v>
      </c>
      <c r="S59" s="272"/>
      <c r="T59" s="248" t="n">
        <f aca="false">_xlfn.xlookup(I59,'Prix MP'!A:A,'Prix MP'!U:U, FALSE())</f>
        <v>0.28357864079936</v>
      </c>
      <c r="U59" s="249" t="n">
        <f aca="false">M59*T59</f>
        <v>221.191339823501</v>
      </c>
      <c r="V59" s="249" t="n">
        <f aca="false">(K59-M59-L59)*T59</f>
        <v>53.8969564703265</v>
      </c>
      <c r="W59" s="250" t="n">
        <f aca="false">(K59-M59-L59)/K59</f>
        <v>0.0267114152440302</v>
      </c>
      <c r="X59" s="249" t="n">
        <v>3.15941294117647</v>
      </c>
      <c r="Y59" s="249" t="n">
        <f aca="false">19.2*P59</f>
        <v>9.6</v>
      </c>
      <c r="Z59" s="249" t="n">
        <f aca="false">125000/52/40*Q59</f>
        <v>60.0961538461539</v>
      </c>
      <c r="AA59" s="249" t="n">
        <f aca="false">(M59+N59)*T59+R59+V59+X59+Y59+Z59</f>
        <v>380.443863081158</v>
      </c>
      <c r="AB59" s="285" t="n">
        <f aca="false">_xlfn.xlookup(H59,'Prix vente'!A:A,'Prix vente'!X:X, "")</f>
        <v>0.322</v>
      </c>
      <c r="AC59" s="285" t="str">
        <f aca="false">_xlfn.xlookup(H59,'Prix vente'!A:A,'Prix vente'!Z:Z, "")</f>
        <v>CAD</v>
      </c>
      <c r="AD59" s="249" t="n">
        <f aca="false">IF(AC59="CAD",(M59+N59)*AB59,(M59+N59)*AB59*S59)</f>
        <v>251.16</v>
      </c>
      <c r="AE59" s="249" t="n">
        <f aca="false">AD59-AA59</f>
        <v>-129.283863081158</v>
      </c>
      <c r="AF59" s="273"/>
      <c r="AG59" s="252" t="n">
        <f aca="false">((M59+N59)*T59+V59)</f>
        <v>275.088296293827</v>
      </c>
      <c r="AH59" s="273"/>
      <c r="AI59" s="273" t="str">
        <f aca="false">IF(AD59=0,"S","")</f>
        <v/>
      </c>
      <c r="AK59" s="15" t="e">
        <v>#NAME?</v>
      </c>
      <c r="AL59" s="15" t="e">
        <f aca="false">_xlfn.xlookup(AK59,A:A,F:F)</f>
        <v>#NAME?</v>
      </c>
      <c r="AM59" s="15" t="e">
        <f aca="false">_xlfn.xlookup(AK59,A:A,J:J)</f>
        <v>#NAME?</v>
      </c>
      <c r="AN59" s="15" t="e">
        <f aca="false">_xlfn.xlookup(AK59,A:A,M:M)+_xlfn.xlookup(AK59,A:A,N:N)</f>
        <v>#NAME?</v>
      </c>
      <c r="AO59" s="223" t="e">
        <f aca="false">_xlfn.xlookup(AK59,A:A,AG:AG)</f>
        <v>#NAME?</v>
      </c>
      <c r="AP59" s="223" t="e">
        <f aca="false">_xlfn.xlookup(AK59,A:A,AD:AD)</f>
        <v>#NAME?</v>
      </c>
      <c r="AQ59" s="223" t="e">
        <f aca="false">_xlfn.xlookup(AK59,A:A,AE:AE)</f>
        <v>#NAME?</v>
      </c>
      <c r="AX59" s="288"/>
      <c r="AY59" s="288"/>
      <c r="AZ59" s="288"/>
      <c r="BA59" s="15" t="e">
        <v>#NAME?</v>
      </c>
      <c r="BB59" s="257" t="e">
        <f aca="false">_xlfn.xlookup(BA59,A:A,F:F)</f>
        <v>#NAME?</v>
      </c>
      <c r="BC59" s="15" t="e">
        <f aca="false">_xlfn.xlookup(BA59,A:A,J:J)</f>
        <v>#NAME?</v>
      </c>
      <c r="BD59" s="75" t="e">
        <f aca="false">_xlfn.xlookup(BA59,A:A,M:M)+_xlfn.xlookup(BA59,A:A,N:N)</f>
        <v>#NAME?</v>
      </c>
      <c r="BE59" s="75" t="e">
        <f aca="false">_xlfn.xlookup(BA59,A8:A995,AA8:AA995)</f>
        <v>#NAME?</v>
      </c>
      <c r="BG59" s="0"/>
      <c r="BH59" s="0"/>
      <c r="BI59" s="0"/>
    </row>
    <row r="60" customFormat="false" ht="16.4" hidden="false" customHeight="false" outlineLevel="0" collapsed="false">
      <c r="A60" s="241" t="s">
        <v>992</v>
      </c>
      <c r="B60" s="241"/>
      <c r="C60" s="242" t="n">
        <v>45541</v>
      </c>
      <c r="D60" s="219" t="n">
        <v>204</v>
      </c>
      <c r="E60" s="241" t="str">
        <f aca="false">_xlfn.xlookup(D60,'PO Client'!$A:$A,'PO Client'!$C:$C,FALSE())</f>
        <v>Étiquettes iFlex Inc.</v>
      </c>
      <c r="F60" s="241" t="str">
        <f aca="false">_xlfn.xlookup(E60,Clients!B:B,Clients!C:C)</f>
        <v>iFlex</v>
      </c>
      <c r="G60" s="241"/>
      <c r="H60" s="243" t="n">
        <v>40087</v>
      </c>
      <c r="I60" s="243" t="n">
        <v>30017</v>
      </c>
      <c r="J60" s="244" t="str">
        <f aca="false">_xlfn.xlookup(I60,'Prix MP'!A:A,'Prix MP'!F:F,FALSE())</f>
        <v>B25-3</v>
      </c>
      <c r="K60" s="245" t="n">
        <v>1339.22</v>
      </c>
      <c r="L60" s="245" t="n">
        <v>552.9</v>
      </c>
      <c r="M60" s="245" t="n">
        <v>756.6</v>
      </c>
      <c r="N60" s="245"/>
      <c r="O60" s="245"/>
      <c r="P60" s="246" t="n">
        <v>0.5</v>
      </c>
      <c r="Q60" s="219" t="n">
        <v>1</v>
      </c>
      <c r="R60" s="247" t="n">
        <f aca="false">65/2</f>
        <v>32.5</v>
      </c>
      <c r="S60" s="272"/>
      <c r="T60" s="248" t="n">
        <f aca="false">_xlfn.xlookup(I60,'Prix MP'!A:A,'Prix MP'!U:U, FALSE())</f>
        <v>0.326284886247867</v>
      </c>
      <c r="U60" s="249" t="n">
        <f aca="false">M60*T60</f>
        <v>246.867144935136</v>
      </c>
      <c r="V60" s="249" t="n">
        <f aca="false">(K60-M60-L60)*T60</f>
        <v>9.69718681928661</v>
      </c>
      <c r="W60" s="250" t="n">
        <f aca="false">(K60-M60-L60)/K60</f>
        <v>0.0221920222218904</v>
      </c>
      <c r="X60" s="249" t="n">
        <v>3.15941294117647</v>
      </c>
      <c r="Y60" s="249" t="n">
        <f aca="false">19.2*P60</f>
        <v>9.6</v>
      </c>
      <c r="Z60" s="249" t="n">
        <f aca="false">125000/52/40*Q60</f>
        <v>60.0961538461539</v>
      </c>
      <c r="AA60" s="249" t="n">
        <f aca="false">(M60+N60)*T60+R60+V60+X60+Y60+Z60</f>
        <v>361.919898541753</v>
      </c>
      <c r="AB60" s="285" t="n">
        <f aca="false">_xlfn.xlookup(H60,'Prix vente'!A:A,'Prix vente'!X:X, "")</f>
        <v>0</v>
      </c>
      <c r="AC60" s="285" t="str">
        <f aca="false">_xlfn.xlookup(H60,'Prix vente'!A:A,'Prix vente'!Z:Z, "")</f>
        <v>CAD</v>
      </c>
      <c r="AD60" s="249" t="n">
        <f aca="false">IF(AC60="CAD",(M60+N60)*AB60,(M60+N60)*AB60*S60)</f>
        <v>0</v>
      </c>
      <c r="AE60" s="249" t="n">
        <f aca="false">AD60-AA60</f>
        <v>-361.919898541753</v>
      </c>
      <c r="AF60" s="273"/>
      <c r="AG60" s="252" t="n">
        <f aca="false">((M60+N60)*T60+V60)</f>
        <v>256.564331754423</v>
      </c>
      <c r="AH60" s="273"/>
      <c r="AI60" s="273" t="str">
        <f aca="false">IF(AD60=0,"S","")</f>
        <v>S</v>
      </c>
      <c r="AK60" s="15" t="e">
        <v>#NAME?</v>
      </c>
      <c r="AL60" s="15" t="e">
        <f aca="false">_xlfn.xlookup(AK60,A:A,F:F)</f>
        <v>#NAME?</v>
      </c>
      <c r="AM60" s="15" t="e">
        <f aca="false">_xlfn.xlookup(AK60,A:A,J:J)</f>
        <v>#NAME?</v>
      </c>
      <c r="AN60" s="15" t="e">
        <f aca="false">_xlfn.xlookup(AK60,A:A,M:M)+_xlfn.xlookup(AK60,A:A,N:N)</f>
        <v>#NAME?</v>
      </c>
      <c r="AO60" s="223" t="e">
        <f aca="false">_xlfn.xlookup(AK60,A:A,AG:AG)</f>
        <v>#NAME?</v>
      </c>
      <c r="AP60" s="223" t="e">
        <f aca="false">_xlfn.xlookup(AK60,A:A,AD:AD)</f>
        <v>#NAME?</v>
      </c>
      <c r="AQ60" s="223" t="e">
        <f aca="false">_xlfn.xlookup(AK60,A:A,AE:AE)</f>
        <v>#NAME?</v>
      </c>
      <c r="AX60" s="288"/>
      <c r="AY60" s="288"/>
      <c r="AZ60" s="288"/>
      <c r="BA60" s="15" t="e">
        <v>#NAME?</v>
      </c>
      <c r="BB60" s="257" t="e">
        <f aca="false">_xlfn.xlookup(BA60,A:A,F:F)</f>
        <v>#NAME?</v>
      </c>
      <c r="BC60" s="15" t="e">
        <f aca="false">_xlfn.xlookup(BA60,A:A,J:J)</f>
        <v>#NAME?</v>
      </c>
      <c r="BD60" s="75" t="e">
        <f aca="false">_xlfn.xlookup(BA60,A:A,M:M)+_xlfn.xlookup(BA60,A:A,N:N)</f>
        <v>#NAME?</v>
      </c>
      <c r="BE60" s="75" t="e">
        <f aca="false">_xlfn.xlookup(BA60,A9:A996,AA9:AA996)</f>
        <v>#NAME?</v>
      </c>
      <c r="BG60" s="0"/>
      <c r="BH60" s="0"/>
      <c r="BI60" s="0"/>
    </row>
    <row r="61" customFormat="false" ht="16.4" hidden="false" customHeight="false" outlineLevel="0" collapsed="false">
      <c r="A61" s="241" t="s">
        <v>994</v>
      </c>
      <c r="B61" s="241"/>
      <c r="C61" s="242" t="n">
        <v>45544</v>
      </c>
      <c r="D61" s="219" t="n">
        <v>205</v>
      </c>
      <c r="E61" s="241" t="str">
        <f aca="false">_xlfn.xlookup(D61,'PO Client'!$A:$A,'PO Client'!$C:$C,FALSE())</f>
        <v>Imprimerie Ste-Julie</v>
      </c>
      <c r="F61" s="241" t="str">
        <f aca="false">_xlfn.xlookup(E61,Clients!B:B,Clients!C:C)</f>
        <v>Imprimerie Ste-Julie</v>
      </c>
      <c r="G61" s="241"/>
      <c r="H61" s="243" t="n">
        <v>40088</v>
      </c>
      <c r="I61" s="243" t="n">
        <v>30011</v>
      </c>
      <c r="J61" s="244" t="str">
        <f aca="false">_xlfn.xlookup(I61,'Prix MP'!A:A,'Prix MP'!F:F,FALSE())</f>
        <v>S21-1</v>
      </c>
      <c r="K61" s="245" t="n">
        <v>3397.54</v>
      </c>
      <c r="L61" s="245" t="n">
        <v>0</v>
      </c>
      <c r="M61" s="245" t="n">
        <v>3276</v>
      </c>
      <c r="N61" s="245"/>
      <c r="O61" s="245"/>
      <c r="P61" s="246" t="n">
        <v>1</v>
      </c>
      <c r="Q61" s="219" t="n">
        <v>1.25</v>
      </c>
      <c r="R61" s="247" t="n">
        <v>-15.42</v>
      </c>
      <c r="S61" s="272" t="n">
        <v>1.3545</v>
      </c>
      <c r="T61" s="248" t="n">
        <f aca="false">_xlfn.xlookup(I61,'Prix MP'!A:A,'Prix MP'!U:U, FALSE())</f>
        <v>0.28357864079936</v>
      </c>
      <c r="U61" s="249" t="n">
        <f aca="false">M61*T61</f>
        <v>929.003627258703</v>
      </c>
      <c r="V61" s="249" t="n">
        <f aca="false">(K61-M61-L61)*T61</f>
        <v>34.4661480027542</v>
      </c>
      <c r="W61" s="250" t="n">
        <f aca="false">(K61-M61-L61)/K61</f>
        <v>0.0357729415989216</v>
      </c>
      <c r="X61" s="249" t="n">
        <v>14.5819058823529</v>
      </c>
      <c r="Y61" s="249" t="n">
        <f aca="false">19.2*P61</f>
        <v>19.2</v>
      </c>
      <c r="Z61" s="249" t="n">
        <f aca="false">125000/52/40*Q61</f>
        <v>75.1201923076923</v>
      </c>
      <c r="AA61" s="249" t="n">
        <f aca="false">(M61+N61)*T61+R61+V61+X61+Y61+Z61</f>
        <v>1056.9518734515</v>
      </c>
      <c r="AB61" s="285" t="n">
        <f aca="false">_xlfn.xlookup(H61,'Prix vente'!A:A,'Prix vente'!X:X, "")</f>
        <v>0.27</v>
      </c>
      <c r="AC61" s="285" t="str">
        <f aca="false">_xlfn.xlookup(H61,'Prix vente'!A:A,'Prix vente'!Z:Z, "")</f>
        <v>USD</v>
      </c>
      <c r="AD61" s="249" t="n">
        <f aca="false">IF(AC61="CAD",(M61+N61)*AB61,(M61+N61)*AB61*S61)</f>
        <v>1198.08234</v>
      </c>
      <c r="AE61" s="249" t="n">
        <f aca="false">AD61-AA61</f>
        <v>141.130466548497</v>
      </c>
      <c r="AF61" s="273" t="n">
        <f aca="false">1-AA61/AD61</f>
        <v>0.11779696756777</v>
      </c>
      <c r="AG61" s="252" t="n">
        <f aca="false">((M61+N61)*T61+V61)</f>
        <v>963.469775261457</v>
      </c>
      <c r="AH61" s="273" t="n">
        <f aca="false">AG61/AD61</f>
        <v>0.804176593790254</v>
      </c>
      <c r="AI61" s="273" t="str">
        <f aca="false">IF(AD61=0,"S","")</f>
        <v/>
      </c>
      <c r="AK61" s="15" t="e">
        <v>#NAME?</v>
      </c>
      <c r="AL61" s="15" t="e">
        <f aca="false">_xlfn.xlookup(AK61,A:A,F:F)</f>
        <v>#NAME?</v>
      </c>
      <c r="AM61" s="15" t="e">
        <f aca="false">_xlfn.xlookup(AK61,A:A,J:J)</f>
        <v>#NAME?</v>
      </c>
      <c r="AN61" s="15" t="e">
        <f aca="false">_xlfn.xlookup(AK61,A:A,M:M)+_xlfn.xlookup(AK61,A:A,N:N)</f>
        <v>#NAME?</v>
      </c>
      <c r="AO61" s="223" t="e">
        <f aca="false">_xlfn.xlookup(AK61,A:A,AG:AG)</f>
        <v>#NAME?</v>
      </c>
      <c r="AP61" s="223" t="e">
        <f aca="false">_xlfn.xlookup(AK61,A:A,AD:AD)</f>
        <v>#NAME?</v>
      </c>
      <c r="AQ61" s="223" t="e">
        <f aca="false">_xlfn.xlookup(AK61,A:A,AE:AE)</f>
        <v>#NAME?</v>
      </c>
      <c r="AX61" s="288"/>
      <c r="AY61" s="288"/>
      <c r="AZ61" s="288"/>
      <c r="BA61" s="15" t="e">
        <v>#NAME?</v>
      </c>
      <c r="BB61" s="257" t="e">
        <f aca="false">_xlfn.xlookup(BA61,A:A,F:F)</f>
        <v>#NAME?</v>
      </c>
      <c r="BC61" s="15" t="e">
        <f aca="false">_xlfn.xlookup(BA61,A:A,J:J)</f>
        <v>#NAME?</v>
      </c>
      <c r="BD61" s="75" t="e">
        <f aca="false">_xlfn.xlookup(BA61,A:A,M:M)+_xlfn.xlookup(BA61,A:A,N:N)</f>
        <v>#NAME?</v>
      </c>
      <c r="BE61" s="75" t="e">
        <f aca="false">_xlfn.xlookup(BA61,A10:A997,AA10:AA997)</f>
        <v>#NAME?</v>
      </c>
      <c r="BG61" s="0"/>
      <c r="BH61" s="0"/>
      <c r="BI61" s="0"/>
    </row>
    <row r="62" customFormat="false" ht="16.4" hidden="false" customHeight="false" outlineLevel="0" collapsed="false">
      <c r="A62" s="241" t="s">
        <v>996</v>
      </c>
      <c r="B62" s="241"/>
      <c r="C62" s="242" t="n">
        <v>45544</v>
      </c>
      <c r="D62" s="219" t="n">
        <v>206</v>
      </c>
      <c r="E62" s="241" t="str">
        <f aca="false">_xlfn.xlookup(D62,'PO Client'!$A:$A,'PO Client'!$C:$C,FALSE())</f>
        <v>Groupe Produlith Inc.</v>
      </c>
      <c r="F62" s="241" t="str">
        <f aca="false">_xlfn.xlookup(E62,Clients!B:B,Clients!C:C)</f>
        <v>Produlith</v>
      </c>
      <c r="G62" s="241"/>
      <c r="H62" s="243" t="n">
        <v>40089</v>
      </c>
      <c r="I62" s="243" t="n">
        <v>30017</v>
      </c>
      <c r="J62" s="244" t="str">
        <f aca="false">_xlfn.xlookup(I62,'Prix MP'!A:A,'Prix MP'!F:F,FALSE())</f>
        <v>B25-3</v>
      </c>
      <c r="K62" s="245" t="n">
        <v>3252.96</v>
      </c>
      <c r="L62" s="245" t="n">
        <v>0</v>
      </c>
      <c r="M62" s="245" t="n">
        <v>3117.6</v>
      </c>
      <c r="N62" s="245" t="n">
        <v>0</v>
      </c>
      <c r="O62" s="245"/>
      <c r="P62" s="246" t="n">
        <v>1</v>
      </c>
      <c r="Q62" s="219" t="n">
        <v>1.5</v>
      </c>
      <c r="R62" s="247" t="n">
        <v>0</v>
      </c>
      <c r="S62" s="272" t="n">
        <v>1.3561</v>
      </c>
      <c r="T62" s="248" t="n">
        <f aca="false">_xlfn.xlookup(I62,'Prix MP'!A:A,'Prix MP'!U:U, FALSE())</f>
        <v>0.326284886247867</v>
      </c>
      <c r="U62" s="249" t="n">
        <f aca="false">M62*T62</f>
        <v>1017.22576136635</v>
      </c>
      <c r="V62" s="249" t="n">
        <f aca="false">(K62-M62-L62)*T62</f>
        <v>44.1659222025113</v>
      </c>
      <c r="W62" s="250" t="n">
        <f aca="false">(K62-M62-L62)/K62</f>
        <v>0.0416113324479859</v>
      </c>
      <c r="X62" s="249" t="n">
        <v>14.5819058823529</v>
      </c>
      <c r="Y62" s="249" t="n">
        <f aca="false">19.2*P62</f>
        <v>19.2</v>
      </c>
      <c r="Z62" s="249" t="n">
        <f aca="false">125000/52/40*Q62</f>
        <v>90.1442307692308</v>
      </c>
      <c r="AA62" s="249" t="n">
        <f aca="false">(M62+N62)*T62+R62+V62+X62+Y62+Z62</f>
        <v>1185.31782022044</v>
      </c>
      <c r="AB62" s="285" t="n">
        <f aca="false">_xlfn.xlookup(H62,'Prix vente'!A:A,'Prix vente'!X:X, "")</f>
        <v>0.34</v>
      </c>
      <c r="AC62" s="285" t="str">
        <f aca="false">_xlfn.xlookup(H62,'Prix vente'!A:A,'Prix vente'!Z:Z, "")</f>
        <v>USD</v>
      </c>
      <c r="AD62" s="249" t="n">
        <f aca="false">IF(AC62="CAD",(M62+N62)*AB62,(M62+N62)*AB62*S62)</f>
        <v>1437.4443024</v>
      </c>
      <c r="AE62" s="249" t="n">
        <f aca="false">AD62-AA62</f>
        <v>252.126482179556</v>
      </c>
      <c r="AF62" s="273" t="n">
        <f aca="false">1-AA62/AD62</f>
        <v>0.175399131471458</v>
      </c>
      <c r="AG62" s="252" t="n">
        <f aca="false">((M62+N62)*T62+V62)</f>
        <v>1061.39168356886</v>
      </c>
      <c r="AH62" s="273" t="n">
        <f aca="false">AG62/AD62</f>
        <v>0.738388041746542</v>
      </c>
      <c r="AI62" s="273" t="str">
        <f aca="false">IF(AD62=0,"S","")</f>
        <v/>
      </c>
      <c r="AK62" s="15" t="e">
        <v>#NAME?</v>
      </c>
      <c r="AL62" s="15" t="e">
        <f aca="false">_xlfn.xlookup(AK62,A:A,F:F)</f>
        <v>#NAME?</v>
      </c>
      <c r="AM62" s="15" t="e">
        <f aca="false">_xlfn.xlookup(AK62,A:A,J:J)</f>
        <v>#NAME?</v>
      </c>
      <c r="AN62" s="15" t="e">
        <f aca="false">_xlfn.xlookup(AK62,A:A,M:M)+_xlfn.xlookup(AK62,A:A,N:N)</f>
        <v>#NAME?</v>
      </c>
      <c r="AO62" s="223" t="e">
        <f aca="false">_xlfn.xlookup(AK62,A:A,AG:AG)</f>
        <v>#NAME?</v>
      </c>
      <c r="AP62" s="223" t="e">
        <f aca="false">_xlfn.xlookup(AK62,A:A,AD:AD)</f>
        <v>#NAME?</v>
      </c>
      <c r="AQ62" s="223" t="e">
        <f aca="false">_xlfn.xlookup(AK62,A:A,AE:AE)</f>
        <v>#NAME?</v>
      </c>
      <c r="AX62" s="288"/>
      <c r="AY62" s="288"/>
      <c r="AZ62" s="288"/>
      <c r="BA62" s="15" t="e">
        <v>#NAME?</v>
      </c>
      <c r="BB62" s="257" t="e">
        <f aca="false">_xlfn.xlookup(BA62,A:A,F:F)</f>
        <v>#NAME?</v>
      </c>
      <c r="BC62" s="15" t="e">
        <f aca="false">_xlfn.xlookup(BA62,A:A,J:J)</f>
        <v>#NAME?</v>
      </c>
      <c r="BD62" s="75" t="e">
        <f aca="false">_xlfn.xlookup(BA62,A:A,M:M)+_xlfn.xlookup(BA62,A:A,N:N)</f>
        <v>#NAME?</v>
      </c>
      <c r="BE62" s="75" t="e">
        <f aca="false">_xlfn.xlookup(BA62,A11:A998,AA11:AA998)</f>
        <v>#NAME?</v>
      </c>
      <c r="BG62" s="0"/>
      <c r="BH62" s="0"/>
      <c r="BI62" s="0"/>
    </row>
    <row r="63" customFormat="false" ht="16.4" hidden="false" customHeight="false" outlineLevel="0" collapsed="false">
      <c r="A63" s="241" t="s">
        <v>998</v>
      </c>
      <c r="B63" s="241"/>
      <c r="C63" s="242" t="n">
        <v>45546</v>
      </c>
      <c r="D63" s="219" t="n">
        <v>207</v>
      </c>
      <c r="E63" s="241" t="str">
        <f aca="false">_xlfn.xlookup(D63,'PO Client'!$A:$A,'PO Client'!$C:$C,FALSE())</f>
        <v>Visuascan</v>
      </c>
      <c r="F63" s="241" t="str">
        <f aca="false">_xlfn.xlookup(E63,Clients!B:B,Clients!C:C)</f>
        <v>Visuascan</v>
      </c>
      <c r="G63" s="241"/>
      <c r="H63" s="243" t="n">
        <v>40090</v>
      </c>
      <c r="I63" s="243" t="n">
        <v>30012</v>
      </c>
      <c r="J63" s="244" t="str">
        <f aca="false">_xlfn.xlookup(I63,'Prix MP'!A:A,'Prix MP'!F:F,FALSE())</f>
        <v>D21-1</v>
      </c>
      <c r="K63" s="245" t="n">
        <v>7115.31</v>
      </c>
      <c r="L63" s="245" t="n">
        <v>0</v>
      </c>
      <c r="M63" s="245" t="n">
        <v>6912</v>
      </c>
      <c r="N63" s="245"/>
      <c r="O63" s="245"/>
      <c r="P63" s="246" t="n">
        <v>2</v>
      </c>
      <c r="Q63" s="219" t="n">
        <v>3.75</v>
      </c>
      <c r="R63" s="247" t="n">
        <v>109.65</v>
      </c>
      <c r="S63" s="272"/>
      <c r="T63" s="248" t="n">
        <f aca="false">_xlfn.xlookup(I63,'Prix MP'!A:A,'Prix MP'!U:U, FALSE())</f>
        <v>0.327974576595346</v>
      </c>
      <c r="U63" s="249" t="n">
        <f aca="false">M63*T63</f>
        <v>2266.96027342703</v>
      </c>
      <c r="V63" s="249" t="n">
        <f aca="false">(K63-M63-L63)*T63</f>
        <v>66.6805111676</v>
      </c>
      <c r="W63" s="250" t="n">
        <f aca="false">(K63-M63-L63)/K63</f>
        <v>0.0285735969339355</v>
      </c>
      <c r="X63" s="249" t="n">
        <v>29.1638117647059</v>
      </c>
      <c r="Y63" s="249" t="n">
        <f aca="false">19.2*P63</f>
        <v>38.4</v>
      </c>
      <c r="Z63" s="249" t="n">
        <f aca="false">125000/52/40*Q63</f>
        <v>225.360576923077</v>
      </c>
      <c r="AA63" s="249" t="n">
        <f aca="false">(M63+N63)*T63+R63+V63+X63+Y63+Z63</f>
        <v>2736.21517328242</v>
      </c>
      <c r="AB63" s="285" t="n">
        <f aca="false">_xlfn.xlookup(H63,'Prix vente'!A:A,'Prix vente'!X:X, "")</f>
        <v>0.48</v>
      </c>
      <c r="AC63" s="285" t="str">
        <f aca="false">_xlfn.xlookup(H63,'Prix vente'!A:A,'Prix vente'!Z:Z, "")</f>
        <v>CAD</v>
      </c>
      <c r="AD63" s="249" t="n">
        <f aca="false">IF(AC63="CAD",(M63+N63)*AB63,(M63+N63)*AB63*S63)</f>
        <v>3317.76</v>
      </c>
      <c r="AE63" s="249" t="n">
        <f aca="false">AD63-AA63</f>
        <v>581.544826717584</v>
      </c>
      <c r="AF63" s="273" t="n">
        <f aca="false">1-AA63/AD63</f>
        <v>0.175282367234997</v>
      </c>
      <c r="AG63" s="252" t="n">
        <f aca="false">((M63+N63)*T63+V63)</f>
        <v>2333.64078459463</v>
      </c>
      <c r="AH63" s="273" t="n">
        <f aca="false">AG63/AD63</f>
        <v>0.70337841935361</v>
      </c>
      <c r="AI63" s="273" t="str">
        <f aca="false">IF(AD63=0,"S","")</f>
        <v/>
      </c>
      <c r="AK63" s="15" t="e">
        <v>#NAME?</v>
      </c>
      <c r="AL63" s="15" t="e">
        <f aca="false">_xlfn.xlookup(AK63,A:A,F:F)</f>
        <v>#NAME?</v>
      </c>
      <c r="AM63" s="15" t="e">
        <f aca="false">_xlfn.xlookup(AK63,A:A,J:J)</f>
        <v>#NAME?</v>
      </c>
      <c r="AN63" s="15" t="e">
        <f aca="false">_xlfn.xlookup(AK63,A:A,M:M)+_xlfn.xlookup(AK63,A:A,N:N)</f>
        <v>#NAME?</v>
      </c>
      <c r="AO63" s="223" t="e">
        <f aca="false">_xlfn.xlookup(AK63,A:A,AG:AG)</f>
        <v>#NAME?</v>
      </c>
      <c r="AP63" s="223" t="e">
        <f aca="false">_xlfn.xlookup(AK63,A:A,AD:AD)</f>
        <v>#NAME?</v>
      </c>
      <c r="AQ63" s="223" t="e">
        <f aca="false">_xlfn.xlookup(AK63,A:A,AE:AE)</f>
        <v>#NAME?</v>
      </c>
      <c r="AX63" s="288"/>
      <c r="AY63" s="288"/>
      <c r="AZ63" s="288"/>
      <c r="BA63" s="15" t="e">
        <v>#NAME?</v>
      </c>
      <c r="BB63" s="257" t="e">
        <f aca="false">_xlfn.xlookup(BA63,A:A,F:F)</f>
        <v>#NAME?</v>
      </c>
      <c r="BC63" s="15" t="e">
        <f aca="false">_xlfn.xlookup(BA63,A:A,J:J)</f>
        <v>#NAME?</v>
      </c>
      <c r="BD63" s="75" t="e">
        <f aca="false">_xlfn.xlookup(BA63,A:A,M:M)+_xlfn.xlookup(BA63,A:A,N:N)</f>
        <v>#NAME?</v>
      </c>
      <c r="BE63" s="75" t="e">
        <f aca="false">_xlfn.xlookup(BA63,A12:A999,AA12:AA999)</f>
        <v>#NAME?</v>
      </c>
      <c r="BG63" s="0"/>
      <c r="BH63" s="0"/>
      <c r="BI63" s="0"/>
    </row>
    <row r="64" customFormat="false" ht="16.4" hidden="false" customHeight="false" outlineLevel="0" collapsed="false">
      <c r="A64" s="241" t="s">
        <v>1001</v>
      </c>
      <c r="B64" s="241"/>
      <c r="C64" s="242" t="n">
        <v>45553</v>
      </c>
      <c r="D64" s="219" t="n">
        <v>208</v>
      </c>
      <c r="E64" s="241" t="s">
        <v>293</v>
      </c>
      <c r="F64" s="241" t="str">
        <f aca="false">_xlfn.xlookup(E64,Clients!B:B,Clients!C:C)</f>
        <v>Alpha</v>
      </c>
      <c r="G64" s="241" t="s">
        <v>1442</v>
      </c>
      <c r="H64" s="243" t="n">
        <v>40093</v>
      </c>
      <c r="I64" s="243" t="n">
        <v>30012</v>
      </c>
      <c r="J64" s="244" t="str">
        <f aca="false">_xlfn.xlookup(I64,'Prix MP'!A:A,'Prix MP'!F:F,FALSE())</f>
        <v>D21-1</v>
      </c>
      <c r="K64" s="245" t="n">
        <v>6856.5168</v>
      </c>
      <c r="L64" s="245" t="n">
        <v>0</v>
      </c>
      <c r="M64" s="245" t="n">
        <v>6626.208</v>
      </c>
      <c r="N64" s="245"/>
      <c r="O64" s="245"/>
      <c r="P64" s="246" t="n">
        <v>0</v>
      </c>
      <c r="Q64" s="219" t="n">
        <v>1.75</v>
      </c>
      <c r="R64" s="247" t="n">
        <v>0</v>
      </c>
      <c r="S64" s="272"/>
      <c r="T64" s="248" t="n">
        <f aca="false">_xlfn.xlookup(I64,'Prix MP'!A:A,'Prix MP'!U:U, FALSE())</f>
        <v>0.327974576595346</v>
      </c>
      <c r="U64" s="249" t="n">
        <f aca="false">M64*T64</f>
        <v>2173.2277632327</v>
      </c>
      <c r="V64" s="249" t="n">
        <f aca="false">(K64-M64-L64)*T64</f>
        <v>75.5354311661825</v>
      </c>
      <c r="W64" s="250" t="n">
        <f aca="false">(K64-M64-L64)/K64</f>
        <v>0.033589766745704</v>
      </c>
      <c r="X64" s="249" t="n">
        <v>11.9571628235294</v>
      </c>
      <c r="Y64" s="249" t="n">
        <f aca="false">19.2*P64</f>
        <v>0</v>
      </c>
      <c r="Z64" s="249" t="n">
        <f aca="false">125000/52/40*Q64</f>
        <v>105.168269230769</v>
      </c>
      <c r="AA64" s="249" t="n">
        <f aca="false">(M64+N64)*T64+R64+V64+X64+Y64+Z64</f>
        <v>2365.88862645318</v>
      </c>
      <c r="AB64" s="285" t="n">
        <f aca="false">_xlfn.xlookup(H64,'Prix vente'!A:A,'Prix vente'!X:X, "")</f>
        <v>0</v>
      </c>
      <c r="AC64" s="285" t="str">
        <f aca="false">_xlfn.xlookup(H64,'Prix vente'!A:A,'Prix vente'!Z:Z, "")</f>
        <v>CAD</v>
      </c>
      <c r="AD64" s="249" t="n">
        <f aca="false">IF(AC64="CAD",(M64+N64)*AB64,(M64+N64)*AB64*S64)</f>
        <v>0</v>
      </c>
      <c r="AE64" s="249" t="n">
        <f aca="false">AD64-AA64</f>
        <v>-2365.88862645318</v>
      </c>
      <c r="AF64" s="273"/>
      <c r="AG64" s="252" t="n">
        <f aca="false">((M64+N64)*T64+V64)</f>
        <v>2248.76319439888</v>
      </c>
      <c r="AH64" s="273"/>
      <c r="AI64" s="273" t="str">
        <f aca="false">IF(AD64=0,"S","")</f>
        <v>S</v>
      </c>
      <c r="AK64" s="15" t="e">
        <v>#NAME?</v>
      </c>
      <c r="AL64" s="15" t="e">
        <f aca="false">_xlfn.xlookup(AK64,A:A,F:F)</f>
        <v>#NAME?</v>
      </c>
      <c r="AM64" s="15" t="e">
        <f aca="false">_xlfn.xlookup(AK64,A:A,J:J)</f>
        <v>#NAME?</v>
      </c>
      <c r="AN64" s="15" t="e">
        <f aca="false">_xlfn.xlookup(AK64,A:A,M:M)+_xlfn.xlookup(AK64,A:A,N:N)</f>
        <v>#NAME?</v>
      </c>
      <c r="AO64" s="223" t="e">
        <f aca="false">_xlfn.xlookup(AK64,A:A,AG:AG)</f>
        <v>#NAME?</v>
      </c>
      <c r="AP64" s="223" t="e">
        <f aca="false">_xlfn.xlookup(AK64,A:A,AD:AD)</f>
        <v>#NAME?</v>
      </c>
      <c r="AQ64" s="223" t="e">
        <f aca="false">_xlfn.xlookup(AK64,A:A,AE:AE)</f>
        <v>#NAME?</v>
      </c>
      <c r="AX64" s="288"/>
      <c r="AY64" s="288"/>
      <c r="AZ64" s="288"/>
      <c r="BA64" s="15" t="e">
        <v>#NAME?</v>
      </c>
      <c r="BB64" s="257" t="e">
        <f aca="false">_xlfn.xlookup(BA64,A:A,F:F)</f>
        <v>#NAME?</v>
      </c>
      <c r="BC64" s="15" t="e">
        <f aca="false">_xlfn.xlookup(BA64,A:A,J:J)</f>
        <v>#NAME?</v>
      </c>
      <c r="BD64" s="75" t="e">
        <f aca="false">_xlfn.xlookup(BA64,A:A,M:M)+_xlfn.xlookup(BA64,A:A,N:N)</f>
        <v>#NAME?</v>
      </c>
      <c r="BE64" s="75" t="e">
        <f aca="false">_xlfn.xlookup(BA64,A13:A1000,AA13:AA1000)</f>
        <v>#NAME?</v>
      </c>
      <c r="BG64" s="0"/>
      <c r="BH64" s="0"/>
      <c r="BI64" s="0"/>
    </row>
    <row r="65" customFormat="false" ht="16.4" hidden="false" customHeight="false" outlineLevel="0" collapsed="false">
      <c r="A65" s="241" t="s">
        <v>1003</v>
      </c>
      <c r="B65" s="241"/>
      <c r="C65" s="242" t="n">
        <v>45555</v>
      </c>
      <c r="D65" s="219" t="n">
        <v>209</v>
      </c>
      <c r="E65" s="241" t="str">
        <f aca="false">_xlfn.xlookup(D65,'PO Client'!$A:$A,'PO Client'!$C:$C,FALSE())</f>
        <v>Étiquettes Multi-Flex</v>
      </c>
      <c r="F65" s="241" t="str">
        <f aca="false">_xlfn.xlookup(E65,Clients!B:B,Clients!C:C)</f>
        <v>Multi-Flex</v>
      </c>
      <c r="G65" s="241"/>
      <c r="H65" s="243" t="n">
        <v>40094</v>
      </c>
      <c r="I65" s="243" t="n">
        <v>30015</v>
      </c>
      <c r="J65" s="244" t="str">
        <f aca="false">_xlfn.xlookup(I65,'Prix MP'!A:A,'Prix MP'!F:F,FALSE())</f>
        <v>S15-3</v>
      </c>
      <c r="K65" s="245" t="n">
        <v>6795</v>
      </c>
      <c r="L65" s="245" t="n">
        <v>3036.1</v>
      </c>
      <c r="M65" s="245" t="n">
        <v>3600</v>
      </c>
      <c r="N65" s="245"/>
      <c r="O65" s="245"/>
      <c r="P65" s="246" t="n">
        <v>1</v>
      </c>
      <c r="Q65" s="219" t="n">
        <v>1.5</v>
      </c>
      <c r="R65" s="247" t="n">
        <f aca="false">115/3</f>
        <v>38.3333333333333</v>
      </c>
      <c r="S65" s="272"/>
      <c r="T65" s="248" t="n">
        <f aca="false">_xlfn.xlookup(I65,'Prix MP'!A:A,'Prix MP'!U:U, FALSE())</f>
        <v>0.268854241086576</v>
      </c>
      <c r="U65" s="249" t="n">
        <f aca="false">M65*T65</f>
        <v>967.875267911675</v>
      </c>
      <c r="V65" s="249" t="n">
        <f aca="false">(K65-M65-L65)*T65</f>
        <v>42.720938908657</v>
      </c>
      <c r="W65" s="250" t="n">
        <f aca="false">(K65-M65-L65)/K65</f>
        <v>0.0233848417954378</v>
      </c>
      <c r="X65" s="249" t="n">
        <v>14.5819058823529</v>
      </c>
      <c r="Y65" s="249" t="n">
        <f aca="false">19.2*P65</f>
        <v>19.2</v>
      </c>
      <c r="Z65" s="249" t="n">
        <f aca="false">125000/52/40*Q65</f>
        <v>90.1442307692308</v>
      </c>
      <c r="AA65" s="249" t="n">
        <f aca="false">(M65+N65)*T65+R65+V65+X65+Y65+Z65</f>
        <v>1172.85567680525</v>
      </c>
      <c r="AB65" s="285" t="n">
        <f aca="false">_xlfn.xlookup(H65,'Prix vente'!A:A,'Prix vente'!X:X, "")</f>
        <v>0.343</v>
      </c>
      <c r="AC65" s="285" t="str">
        <f aca="false">_xlfn.xlookup(H65,'Prix vente'!A:A,'Prix vente'!Z:Z, "")</f>
        <v>CAD</v>
      </c>
      <c r="AD65" s="249" t="n">
        <f aca="false">IF(AC65="CAD",(M65+N65)*AB65,(M65+N65)*AB65*S65)</f>
        <v>1234.8</v>
      </c>
      <c r="AE65" s="249" t="n">
        <f aca="false">AD65-AA65</f>
        <v>61.944323194751</v>
      </c>
      <c r="AF65" s="273" t="n">
        <f aca="false">1-AA65/AD65</f>
        <v>0.0501654706792606</v>
      </c>
      <c r="AG65" s="252" t="n">
        <f aca="false">((M65+N65)*T65+V65)</f>
        <v>1010.59620682033</v>
      </c>
      <c r="AH65" s="273" t="n">
        <f aca="false">AG65/AD65</f>
        <v>0.818429062860651</v>
      </c>
      <c r="AI65" s="273" t="str">
        <f aca="false">IF(AD65=0,"S","")</f>
        <v/>
      </c>
      <c r="AK65" s="15" t="e">
        <v>#NAME?</v>
      </c>
      <c r="AL65" s="15" t="e">
        <f aca="false">_xlfn.xlookup(AK65,A:A,F:F)</f>
        <v>#NAME?</v>
      </c>
      <c r="AM65" s="15" t="e">
        <f aca="false">_xlfn.xlookup(AK65,A:A,J:J)</f>
        <v>#NAME?</v>
      </c>
      <c r="AN65" s="15" t="e">
        <f aca="false">_xlfn.xlookup(AK65,A:A,M:M)+_xlfn.xlookup(AK65,A:A,N:N)</f>
        <v>#NAME?</v>
      </c>
      <c r="AO65" s="223" t="e">
        <f aca="false">_xlfn.xlookup(AK65,A:A,AG:AG)</f>
        <v>#NAME?</v>
      </c>
      <c r="AP65" s="223" t="e">
        <f aca="false">_xlfn.xlookup(AK65,A:A,AD:AD)</f>
        <v>#NAME?</v>
      </c>
      <c r="AQ65" s="223" t="e">
        <f aca="false">_xlfn.xlookup(AK65,A:A,AE:AE)</f>
        <v>#NAME?</v>
      </c>
      <c r="AX65" s="288"/>
      <c r="AY65" s="288"/>
      <c r="AZ65" s="288"/>
      <c r="BA65" s="15" t="e">
        <v>#NAME?</v>
      </c>
      <c r="BB65" s="257" t="e">
        <f aca="false">_xlfn.xlookup(BA65,A:A,F:F)</f>
        <v>#NAME?</v>
      </c>
      <c r="BC65" s="15" t="e">
        <f aca="false">_xlfn.xlookup(BA65,A:A,J:J)</f>
        <v>#NAME?</v>
      </c>
      <c r="BD65" s="75" t="e">
        <f aca="false">_xlfn.xlookup(BA65,A:A,M:M)+_xlfn.xlookup(BA65,A:A,N:N)</f>
        <v>#NAME?</v>
      </c>
      <c r="BE65" s="75" t="e">
        <f aca="false">_xlfn.xlookup(BA65,A14:A1001,AA14:AA1001)</f>
        <v>#NAME?</v>
      </c>
      <c r="BG65" s="0"/>
      <c r="BH65" s="0"/>
      <c r="BI65" s="0"/>
    </row>
    <row r="66" customFormat="false" ht="16.4" hidden="false" customHeight="false" outlineLevel="0" collapsed="false">
      <c r="A66" s="241" t="s">
        <v>1007</v>
      </c>
      <c r="B66" s="241"/>
      <c r="C66" s="242" t="n">
        <v>45555</v>
      </c>
      <c r="D66" s="219" t="n">
        <v>209</v>
      </c>
      <c r="E66" s="241" t="str">
        <f aca="false">_xlfn.xlookup(D66,'PO Client'!$A:$A,'PO Client'!$C:$C,FALSE())</f>
        <v>Étiquettes Multi-Flex</v>
      </c>
      <c r="F66" s="241" t="str">
        <f aca="false">_xlfn.xlookup(E66,Clients!B:B,Clients!C:C)</f>
        <v>Multi-Flex</v>
      </c>
      <c r="G66" s="241"/>
      <c r="H66" s="243" t="n">
        <v>40096</v>
      </c>
      <c r="I66" s="243" t="n">
        <v>30017</v>
      </c>
      <c r="J66" s="244" t="str">
        <f aca="false">_xlfn.xlookup(I66,'Prix MP'!A:A,'Prix MP'!F:F,FALSE())</f>
        <v>B25-3</v>
      </c>
      <c r="K66" s="245" t="n">
        <v>13945.1</v>
      </c>
      <c r="L66" s="245" t="n">
        <v>6571.7</v>
      </c>
      <c r="M66" s="245" t="n">
        <v>7200</v>
      </c>
      <c r="N66" s="245"/>
      <c r="O66" s="245"/>
      <c r="P66" s="246" t="n">
        <v>1</v>
      </c>
      <c r="Q66" s="219" t="n">
        <v>1.5</v>
      </c>
      <c r="R66" s="247" t="n">
        <f aca="false">115/3*2</f>
        <v>76.6666666666667</v>
      </c>
      <c r="S66" s="272"/>
      <c r="T66" s="248" t="n">
        <f aca="false">_xlfn.xlookup(I66,'Prix MP'!A:A,'Prix MP'!U:U, FALSE())</f>
        <v>0.326284886247867</v>
      </c>
      <c r="U66" s="249" t="n">
        <f aca="false">M66*T66</f>
        <v>2349.25118098464</v>
      </c>
      <c r="V66" s="249" t="n">
        <f aca="false">(K66-M66-L66)*T66</f>
        <v>56.5777992753803</v>
      </c>
      <c r="W66" s="250" t="n">
        <f aca="false">(K66-M66-L66)/K66</f>
        <v>0.012434475192003</v>
      </c>
      <c r="X66" s="249" t="n">
        <v>29.1638117647059</v>
      </c>
      <c r="Y66" s="249" t="n">
        <f aca="false">19.2*P66</f>
        <v>19.2</v>
      </c>
      <c r="Z66" s="249" t="n">
        <f aca="false">125000/52/40*Q66</f>
        <v>90.1442307692308</v>
      </c>
      <c r="AA66" s="249" t="n">
        <f aca="false">(M66+N66)*T66+R66+V66+X66+Y66+Z66</f>
        <v>2621.00368946062</v>
      </c>
      <c r="AB66" s="285" t="n">
        <f aca="false">_xlfn.xlookup(H66,'Prix vente'!A:A,'Prix vente'!X:X, "")</f>
        <v>0.452</v>
      </c>
      <c r="AC66" s="285" t="str">
        <f aca="false">_xlfn.xlookup(H66,'Prix vente'!A:A,'Prix vente'!Z:Z, "")</f>
        <v>CAD</v>
      </c>
      <c r="AD66" s="249" t="n">
        <f aca="false">IF(AC66="CAD",(M66+N66)*AB66,(M66+N66)*AB66*S66)</f>
        <v>3254.4</v>
      </c>
      <c r="AE66" s="249" t="n">
        <f aca="false">AD66-AA66</f>
        <v>633.396310539376</v>
      </c>
      <c r="AF66" s="273" t="n">
        <f aca="false">1-AA66/AD66</f>
        <v>0.194627676542335</v>
      </c>
      <c r="AG66" s="252" t="n">
        <f aca="false">((M66+N66)*T66+V66)</f>
        <v>2405.82898026002</v>
      </c>
      <c r="AH66" s="273" t="n">
        <f aca="false">AG66/AD66</f>
        <v>0.739254234347352</v>
      </c>
      <c r="AI66" s="273" t="str">
        <f aca="false">IF(AD66=0,"S","")</f>
        <v/>
      </c>
      <c r="AK66" s="15" t="e">
        <v>#NAME?</v>
      </c>
      <c r="AL66" s="15" t="e">
        <f aca="false">_xlfn.xlookup(AK66,A:A,F:F)</f>
        <v>#NAME?</v>
      </c>
      <c r="AM66" s="15" t="e">
        <f aca="false">_xlfn.xlookup(AK66,A:A,J:J)</f>
        <v>#NAME?</v>
      </c>
      <c r="AN66" s="15" t="e">
        <f aca="false">_xlfn.xlookup(AK66,A:A,M:M)+_xlfn.xlookup(AK66,A:A,N:N)</f>
        <v>#NAME?</v>
      </c>
      <c r="AO66" s="223" t="e">
        <f aca="false">_xlfn.xlookup(AK66,A:A,AG:AG)</f>
        <v>#NAME?</v>
      </c>
      <c r="AP66" s="223" t="e">
        <f aca="false">_xlfn.xlookup(AK66,A:A,AD:AD)</f>
        <v>#NAME?</v>
      </c>
      <c r="AQ66" s="223" t="e">
        <f aca="false">_xlfn.xlookup(AK66,A:A,AE:AE)</f>
        <v>#NAME?</v>
      </c>
      <c r="AX66" s="288"/>
      <c r="AY66" s="288"/>
      <c r="AZ66" s="288"/>
      <c r="BA66" s="15" t="e">
        <v>#NAME?</v>
      </c>
      <c r="BB66" s="257" t="e">
        <f aca="false">_xlfn.xlookup(BA66,A:A,F:F)</f>
        <v>#NAME?</v>
      </c>
      <c r="BC66" s="15" t="e">
        <f aca="false">_xlfn.xlookup(BA66,A:A,J:J)</f>
        <v>#NAME?</v>
      </c>
      <c r="BD66" s="75" t="e">
        <f aca="false">_xlfn.xlookup(BA66,A:A,M:M)+_xlfn.xlookup(BA66,A:A,N:N)</f>
        <v>#NAME?</v>
      </c>
      <c r="BE66" s="75" t="e">
        <f aca="false">_xlfn.xlookup(BA66,A15:A1002,AA15:AA1002)</f>
        <v>#NAME?</v>
      </c>
      <c r="BG66" s="0"/>
      <c r="BH66" s="0"/>
      <c r="BI66" s="0"/>
    </row>
    <row r="67" customFormat="false" ht="16.4" hidden="false" customHeight="false" outlineLevel="0" collapsed="false">
      <c r="A67" s="241" t="s">
        <v>1011</v>
      </c>
      <c r="B67" s="241"/>
      <c r="C67" s="242" t="n">
        <v>45559</v>
      </c>
      <c r="D67" s="219" t="n">
        <v>210</v>
      </c>
      <c r="E67" s="241" t="str">
        <f aca="false">_xlfn.xlookup(D67,'PO Client'!$A:$A,'PO Client'!$C:$C,FALSE())</f>
        <v>Étiquettes Luso-Flex</v>
      </c>
      <c r="F67" s="241" t="str">
        <f aca="false">_xlfn.xlookup(E67,Clients!B:B,Clients!C:C)</f>
        <v>Luso-Flex</v>
      </c>
      <c r="G67" s="241"/>
      <c r="H67" s="243" t="n">
        <v>40098</v>
      </c>
      <c r="I67" s="243" t="n">
        <v>30017</v>
      </c>
      <c r="J67" s="244" t="str">
        <f aca="false">_xlfn.xlookup(I67,'Prix MP'!A:A,'Prix MP'!F:F,FALSE())</f>
        <v>B25-3</v>
      </c>
      <c r="K67" s="245" t="n">
        <v>20659.19</v>
      </c>
      <c r="L67" s="245" t="n">
        <v>4698.72</v>
      </c>
      <c r="M67" s="245" t="n">
        <v>15729.378</v>
      </c>
      <c r="N67" s="245"/>
      <c r="O67" s="245"/>
      <c r="P67" s="246" t="n">
        <v>3</v>
      </c>
      <c r="Q67" s="219" t="n">
        <v>4.5</v>
      </c>
      <c r="R67" s="247" t="n">
        <v>0</v>
      </c>
      <c r="S67" s="272"/>
      <c r="T67" s="248" t="n">
        <f aca="false">_xlfn.xlookup(I67,'Prix MP'!A:A,'Prix MP'!U:U, FALSE())</f>
        <v>0.326284886247867</v>
      </c>
      <c r="U67" s="249" t="n">
        <f aca="false">M67*T67</f>
        <v>5132.2583114797</v>
      </c>
      <c r="V67" s="249" t="n">
        <f aca="false">(K67-M67-L67)*T67</f>
        <v>75.4018269327913</v>
      </c>
      <c r="W67" s="250" t="n">
        <f aca="false">(K67-M67-L67)/K67</f>
        <v>0.0111859177441128</v>
      </c>
      <c r="X67" s="249" t="n">
        <v>43.7384266941177</v>
      </c>
      <c r="Y67" s="249" t="n">
        <f aca="false">19.2*P67</f>
        <v>57.6</v>
      </c>
      <c r="Z67" s="249" t="n">
        <f aca="false">125000/52/40*Q67</f>
        <v>270.432692307692</v>
      </c>
      <c r="AA67" s="249" t="n">
        <f aca="false">(M67+N67)*T67+R67+V67+X67+Y67+Z67</f>
        <v>5579.4312574143</v>
      </c>
      <c r="AB67" s="285" t="n">
        <f aca="false">_xlfn.xlookup(H67,'Prix vente'!A:A,'Prix vente'!X:X, "")</f>
        <v>0.452</v>
      </c>
      <c r="AC67" s="285" t="str">
        <f aca="false">_xlfn.xlookup(H67,'Prix vente'!A:A,'Prix vente'!Z:Z, "")</f>
        <v>CAD</v>
      </c>
      <c r="AD67" s="249" t="n">
        <f aca="false">IF(AC67="CAD",(M67+N67)*AB67,(M67+N67)*AB67*S67)</f>
        <v>7109.678856</v>
      </c>
      <c r="AE67" s="249" t="n">
        <f aca="false">AD67-AA67</f>
        <v>1530.2475985857</v>
      </c>
      <c r="AF67" s="273" t="n">
        <f aca="false">1-AA67/AD67</f>
        <v>0.215234419103796</v>
      </c>
      <c r="AG67" s="252" t="n">
        <f aca="false">((M67+N67)*T67+V67)</f>
        <v>5207.66013841249</v>
      </c>
      <c r="AH67" s="273" t="n">
        <f aca="false">AG67/AD67</f>
        <v>0.732474735341617</v>
      </c>
      <c r="AI67" s="273" t="str">
        <f aca="false">IF(AD67=0,"S","")</f>
        <v/>
      </c>
      <c r="AK67" s="15" t="e">
        <v>#NAME?</v>
      </c>
      <c r="AL67" s="15" t="e">
        <f aca="false">_xlfn.xlookup(AK67,A:A,F:F)</f>
        <v>#NAME?</v>
      </c>
      <c r="AM67" s="15" t="e">
        <f aca="false">_xlfn.xlookup(AK67,A:A,J:J)</f>
        <v>#NAME?</v>
      </c>
      <c r="AN67" s="15" t="e">
        <f aca="false">_xlfn.xlookup(AK67,A:A,M:M)+_xlfn.xlookup(AK67,A:A,N:N)</f>
        <v>#NAME?</v>
      </c>
      <c r="AO67" s="223" t="e">
        <f aca="false">_xlfn.xlookup(AK67,A:A,AG:AG)</f>
        <v>#NAME?</v>
      </c>
      <c r="AP67" s="223" t="e">
        <f aca="false">_xlfn.xlookup(AK67,A:A,AD:AD)</f>
        <v>#NAME?</v>
      </c>
      <c r="AQ67" s="223" t="e">
        <f aca="false">_xlfn.xlookup(AK67,A:A,AE:AE)</f>
        <v>#NAME?</v>
      </c>
      <c r="AX67" s="288"/>
      <c r="AY67" s="288"/>
      <c r="AZ67" s="288"/>
      <c r="BA67" s="15" t="e">
        <v>#NAME?</v>
      </c>
      <c r="BB67" s="257" t="e">
        <f aca="false">_xlfn.xlookup(BA67,A:A,F:F)</f>
        <v>#NAME?</v>
      </c>
      <c r="BC67" s="15" t="e">
        <f aca="false">_xlfn.xlookup(BA67,A:A,J:J)</f>
        <v>#NAME?</v>
      </c>
      <c r="BD67" s="75" t="e">
        <f aca="false">_xlfn.xlookup(BA67,A:A,M:M)+_xlfn.xlookup(BA67,A:A,N:N)</f>
        <v>#NAME?</v>
      </c>
      <c r="BE67" s="75" t="e">
        <f aca="false">_xlfn.xlookup(BA67,A16:A1003,AA16:AA1003)</f>
        <v>#NAME?</v>
      </c>
      <c r="BG67" s="0"/>
      <c r="BH67" s="0"/>
      <c r="BI67" s="0"/>
    </row>
    <row r="68" customFormat="false" ht="16.4" hidden="false" customHeight="false" outlineLevel="0" collapsed="false">
      <c r="A68" s="241" t="s">
        <v>1014</v>
      </c>
      <c r="B68" s="241"/>
      <c r="C68" s="242" t="n">
        <v>45559</v>
      </c>
      <c r="D68" s="219" t="n">
        <v>211</v>
      </c>
      <c r="E68" s="241" t="str">
        <f aca="false">_xlfn.xlookup(D68,'PO Client'!$A:$A,'PO Client'!$C:$C,FALSE())</f>
        <v>Étiquettes Luso-Flex</v>
      </c>
      <c r="F68" s="241" t="str">
        <f aca="false">_xlfn.xlookup(E68,Clients!B:B,Clients!C:C)</f>
        <v>Luso-Flex</v>
      </c>
      <c r="G68" s="241"/>
      <c r="H68" s="243" t="n">
        <v>40100</v>
      </c>
      <c r="I68" s="243" t="n">
        <v>30012</v>
      </c>
      <c r="J68" s="244" t="str">
        <f aca="false">_xlfn.xlookup(I68,'Prix MP'!A:A,'Prix MP'!F:F,FALSE())</f>
        <v>D21-1</v>
      </c>
      <c r="K68" s="245" t="n">
        <v>14230.62</v>
      </c>
      <c r="L68" s="245" t="n">
        <v>0</v>
      </c>
      <c r="M68" s="245" t="n">
        <v>13879.29</v>
      </c>
      <c r="N68" s="245"/>
      <c r="O68" s="245"/>
      <c r="P68" s="246" t="n">
        <v>3</v>
      </c>
      <c r="Q68" s="219" t="n">
        <v>3.5</v>
      </c>
      <c r="R68" s="247" t="n">
        <v>0</v>
      </c>
      <c r="S68" s="272"/>
      <c r="T68" s="248" t="n">
        <f aca="false">_xlfn.xlookup(I68,'Prix MP'!A:A,'Prix MP'!U:U, FALSE())</f>
        <v>0.327974576595346</v>
      </c>
      <c r="U68" s="249" t="n">
        <f aca="false">M68*T68</f>
        <v>4552.05426119402</v>
      </c>
      <c r="V68" s="249" t="n">
        <f aca="false">(K68-M68-L68)*T68</f>
        <v>115.227307995243</v>
      </c>
      <c r="W68" s="250" t="n">
        <f aca="false">(K68-M68-L68)/K68</f>
        <v>0.0246883129477141</v>
      </c>
      <c r="X68" s="249" t="n">
        <v>29.1589511294118</v>
      </c>
      <c r="Y68" s="249" t="n">
        <f aca="false">19.2*P68</f>
        <v>57.6</v>
      </c>
      <c r="Z68" s="249" t="n">
        <f aca="false">125000/52/40*Q68</f>
        <v>210.336538461538</v>
      </c>
      <c r="AA68" s="249" t="n">
        <f aca="false">(M68+N68)*T68+R68+V68+X68+Y68+Z68</f>
        <v>4964.37705878022</v>
      </c>
      <c r="AB68" s="285" t="n">
        <f aca="false">_xlfn.xlookup(H68,'Prix vente'!A:A,'Prix vente'!X:X, "")</f>
        <v>0.466</v>
      </c>
      <c r="AC68" s="285" t="str">
        <f aca="false">_xlfn.xlookup(H68,'Prix vente'!A:A,'Prix vente'!Z:Z, "")</f>
        <v>CAD</v>
      </c>
      <c r="AD68" s="249" t="n">
        <f aca="false">IF(AC68="CAD",(M68+N68)*AB68,(M68+N68)*AB68*S68)</f>
        <v>6467.74914</v>
      </c>
      <c r="AE68" s="249" t="n">
        <f aca="false">AD68-AA68</f>
        <v>1503.37208121979</v>
      </c>
      <c r="AF68" s="273" t="n">
        <f aca="false">1-AA68/AD68</f>
        <v>0.232441309747487</v>
      </c>
      <c r="AG68" s="252" t="n">
        <f aca="false">((M68+N68)*T68+V68)</f>
        <v>4667.28156918927</v>
      </c>
      <c r="AH68" s="273" t="n">
        <f aca="false">AG68/AD68</f>
        <v>0.721623777942208</v>
      </c>
      <c r="AI68" s="273" t="str">
        <f aca="false">IF(AD68=0,"S","")</f>
        <v/>
      </c>
      <c r="AK68" s="15" t="e">
        <v>#NAME?</v>
      </c>
      <c r="AL68" s="15" t="e">
        <f aca="false">_xlfn.xlookup(AK68,A:A,F:F)</f>
        <v>#NAME?</v>
      </c>
      <c r="AM68" s="15" t="e">
        <f aca="false">_xlfn.xlookup(AK68,A:A,J:J)</f>
        <v>#NAME?</v>
      </c>
      <c r="AN68" s="15" t="e">
        <f aca="false">_xlfn.xlookup(AK68,A:A,M:M)+_xlfn.xlookup(AK68,A:A,N:N)</f>
        <v>#NAME?</v>
      </c>
      <c r="AO68" s="223" t="e">
        <f aca="false">_xlfn.xlookup(AK68,A:A,AG:AG)</f>
        <v>#NAME?</v>
      </c>
      <c r="AP68" s="223" t="e">
        <f aca="false">_xlfn.xlookup(AK68,A:A,AD:AD)</f>
        <v>#NAME?</v>
      </c>
      <c r="AQ68" s="223" t="e">
        <f aca="false">_xlfn.xlookup(AK68,A:A,AE:AE)</f>
        <v>#NAME?</v>
      </c>
      <c r="AX68" s="288"/>
      <c r="AY68" s="288"/>
      <c r="AZ68" s="288"/>
      <c r="BA68" s="15" t="e">
        <v>#NAME?</v>
      </c>
      <c r="BB68" s="257" t="e">
        <f aca="false">_xlfn.xlookup(BA68,A:A,F:F)</f>
        <v>#NAME?</v>
      </c>
      <c r="BC68" s="15" t="e">
        <f aca="false">_xlfn.xlookup(BA68,A:A,J:J)</f>
        <v>#NAME?</v>
      </c>
      <c r="BD68" s="75" t="e">
        <f aca="false">_xlfn.xlookup(BA68,A:A,M:M)+_xlfn.xlookup(BA68,A:A,N:N)</f>
        <v>#NAME?</v>
      </c>
      <c r="BE68" s="75" t="e">
        <f aca="false">_xlfn.xlookup(BA68,A17:A1004,AA17:AA1004)</f>
        <v>#NAME?</v>
      </c>
      <c r="BG68" s="0"/>
      <c r="BH68" s="0"/>
      <c r="BI68" s="0"/>
    </row>
    <row r="69" customFormat="false" ht="16.4" hidden="false" customHeight="false" outlineLevel="0" collapsed="false">
      <c r="A69" s="241" t="s">
        <v>1015</v>
      </c>
      <c r="B69" s="241"/>
      <c r="C69" s="242" t="n">
        <v>45560</v>
      </c>
      <c r="D69" s="219" t="n">
        <v>212</v>
      </c>
      <c r="E69" s="241" t="str">
        <f aca="false">_xlfn.xlookup(D69,'PO Client'!$A:$A,'PO Client'!$C:$C,FALSE())</f>
        <v>Étiquettes Rive-Sud</v>
      </c>
      <c r="F69" s="241" t="str">
        <f aca="false">_xlfn.xlookup(E69,Clients!B:B,Clients!C:C)</f>
        <v>Étiquettes Rive-Sud</v>
      </c>
      <c r="G69" s="241"/>
      <c r="H69" s="243" t="n">
        <v>40101</v>
      </c>
      <c r="I69" s="243" t="n">
        <v>30017</v>
      </c>
      <c r="J69" s="244" t="str">
        <f aca="false">_xlfn.xlookup(I69,'Prix MP'!A:A,'Prix MP'!F:F,FALSE())</f>
        <v>B25-3</v>
      </c>
      <c r="K69" s="245" t="n">
        <v>4698.72</v>
      </c>
      <c r="L69" s="245" t="n">
        <v>0</v>
      </c>
      <c r="M69" s="245" t="n">
        <v>4623.36</v>
      </c>
      <c r="N69" s="245"/>
      <c r="O69" s="245"/>
      <c r="P69" s="246" t="n">
        <v>1</v>
      </c>
      <c r="Q69" s="219" t="n">
        <v>2.5</v>
      </c>
      <c r="R69" s="247" t="n">
        <v>0</v>
      </c>
      <c r="S69" s="272"/>
      <c r="T69" s="248" t="n">
        <f aca="false">_xlfn.xlookup(I69,'Prix MP'!A:A,'Prix MP'!U:U, FALSE())</f>
        <v>0.326284886247867</v>
      </c>
      <c r="U69" s="249" t="n">
        <f aca="false">M69*T69</f>
        <v>1508.53249168294</v>
      </c>
      <c r="V69" s="249" t="n">
        <f aca="false">(K69-M69-L69)*T69</f>
        <v>24.5888290276394</v>
      </c>
      <c r="W69" s="250" t="n">
        <f aca="false">(K69-M69-L69)/K69</f>
        <v>0.0160384104607213</v>
      </c>
      <c r="X69" s="249" t="n">
        <v>14.6305122352941</v>
      </c>
      <c r="Y69" s="249" t="n">
        <f aca="false">19.2*P69</f>
        <v>19.2</v>
      </c>
      <c r="Z69" s="249" t="n">
        <f aca="false">125000/52/40*Q69</f>
        <v>150.240384615385</v>
      </c>
      <c r="AA69" s="249" t="n">
        <f aca="false">(M69+N69)*T69+R69+V69+X69+Y69+Z69</f>
        <v>1717.19221756126</v>
      </c>
      <c r="AB69" s="285" t="n">
        <f aca="false">_xlfn.xlookup(H69,'Prix vente'!A:A,'Prix vente'!X:X, "")</f>
        <v>0.532</v>
      </c>
      <c r="AC69" s="285" t="str">
        <f aca="false">_xlfn.xlookup(H69,'Prix vente'!A:A,'Prix vente'!Z:Z, "")</f>
        <v>CAD</v>
      </c>
      <c r="AD69" s="249" t="n">
        <f aca="false">IF(AC69="CAD",(M69+N69)*AB69,(M69+N69)*AB69*S69)</f>
        <v>2459.62752</v>
      </c>
      <c r="AE69" s="249" t="n">
        <f aca="false">AD69-AA69</f>
        <v>742.435302438745</v>
      </c>
      <c r="AF69" s="273" t="n">
        <f aca="false">1-AA69/AD69</f>
        <v>0.301848672777391</v>
      </c>
      <c r="AG69" s="252" t="n">
        <f aca="false">((M69+N69)*T69+V69)</f>
        <v>1533.12132071058</v>
      </c>
      <c r="AH69" s="273" t="n">
        <f aca="false">AG69/AD69</f>
        <v>0.623314427995413</v>
      </c>
      <c r="AI69" s="273" t="str">
        <f aca="false">IF(AD69=0,"S","")</f>
        <v/>
      </c>
      <c r="AK69" s="15" t="e">
        <v>#NAME?</v>
      </c>
      <c r="AL69" s="15" t="e">
        <f aca="false">_xlfn.xlookup(AK69,A:A,F:F)</f>
        <v>#NAME?</v>
      </c>
      <c r="AM69" s="15" t="e">
        <f aca="false">_xlfn.xlookup(AK69,A:A,J:J)</f>
        <v>#NAME?</v>
      </c>
      <c r="AN69" s="15" t="e">
        <f aca="false">_xlfn.xlookup(AK69,A:A,M:M)+_xlfn.xlookup(AK69,A:A,N:N)</f>
        <v>#NAME?</v>
      </c>
      <c r="AO69" s="223" t="e">
        <f aca="false">_xlfn.xlookup(AK69,A:A,AG:AG)</f>
        <v>#NAME?</v>
      </c>
      <c r="AP69" s="223" t="e">
        <f aca="false">_xlfn.xlookup(AK69,A:A,AD:AD)</f>
        <v>#NAME?</v>
      </c>
      <c r="AQ69" s="223" t="e">
        <f aca="false">_xlfn.xlookup(AK69,A:A,AE:AE)</f>
        <v>#NAME?</v>
      </c>
      <c r="AX69" s="288"/>
      <c r="AY69" s="288"/>
      <c r="AZ69" s="288"/>
      <c r="BA69" s="15" t="e">
        <v>#NAME?</v>
      </c>
      <c r="BB69" s="257" t="e">
        <f aca="false">_xlfn.xlookup(BA69,A:A,F:F)</f>
        <v>#NAME?</v>
      </c>
      <c r="BC69" s="15" t="e">
        <f aca="false">_xlfn.xlookup(BA69,A:A,J:J)</f>
        <v>#NAME?</v>
      </c>
      <c r="BD69" s="75" t="e">
        <f aca="false">_xlfn.xlookup(BA69,A:A,M:M)+_xlfn.xlookup(BA69,A:A,N:N)</f>
        <v>#NAME?</v>
      </c>
      <c r="BE69" s="75" t="e">
        <f aca="false">_xlfn.xlookup(BA69,A18:A1005,AA18:AA1005)</f>
        <v>#NAME?</v>
      </c>
      <c r="BG69" s="0"/>
      <c r="BH69" s="0"/>
      <c r="BI69" s="0"/>
    </row>
    <row r="70" customFormat="false" ht="16.4" hidden="false" customHeight="false" outlineLevel="0" collapsed="false">
      <c r="A70" s="241" t="s">
        <v>1017</v>
      </c>
      <c r="B70" s="241"/>
      <c r="C70" s="242" t="n">
        <v>45565</v>
      </c>
      <c r="D70" s="219" t="n">
        <v>213</v>
      </c>
      <c r="E70" s="241" t="str">
        <f aca="false">_xlfn.xlookup(D70,'PO Client'!$A:$A,'PO Client'!$C:$C,FALSE())</f>
        <v>Digi America Inc.</v>
      </c>
      <c r="F70" s="241" t="str">
        <f aca="false">_xlfn.xlookup(E70,Clients!B:B,Clients!C:C)</f>
        <v>Digi</v>
      </c>
      <c r="G70" s="241"/>
      <c r="H70" s="243" t="n">
        <v>40103</v>
      </c>
      <c r="I70" s="243" t="n">
        <v>30019</v>
      </c>
      <c r="J70" s="244" t="str">
        <f aca="false">_xlfn.xlookup(I70,'Prix MP'!A:A,'Prix MP'!F:F,FALSE())</f>
        <v>D16-1</v>
      </c>
      <c r="K70" s="245" t="n">
        <v>35573.454048</v>
      </c>
      <c r="L70" s="245"/>
      <c r="M70" s="245" t="n">
        <v>35028</v>
      </c>
      <c r="N70" s="245"/>
      <c r="O70" s="245"/>
      <c r="P70" s="246" t="n">
        <v>5</v>
      </c>
      <c r="Q70" s="219" t="n">
        <v>11</v>
      </c>
      <c r="R70" s="247" t="n">
        <f aca="false">-117.03</f>
        <v>-117.03</v>
      </c>
      <c r="S70" s="272" t="n">
        <v>1.354</v>
      </c>
      <c r="T70" s="248" t="n">
        <f aca="false">_xlfn.xlookup(I70,'Prix MP'!A:A,'Prix MP'!U:U, FALSE())</f>
        <v>0.378144584023772</v>
      </c>
      <c r="U70" s="249" t="n">
        <f aca="false">M70*T70</f>
        <v>13245.6484891847</v>
      </c>
      <c r="V70" s="249" t="n">
        <f aca="false">(K70-M70-L70)*T70</f>
        <v>206.260494085051</v>
      </c>
      <c r="W70" s="250" t="n">
        <f aca="false">(K70-M70-L70)/K70</f>
        <v>0.0153331764541062</v>
      </c>
      <c r="X70" s="249" t="n">
        <v>145.819058823529</v>
      </c>
      <c r="Y70" s="249" t="n">
        <f aca="false">19.2*P70</f>
        <v>96</v>
      </c>
      <c r="Z70" s="249" t="n">
        <f aca="false">125000/52/40*Q70</f>
        <v>661.057692307692</v>
      </c>
      <c r="AA70" s="249" t="n">
        <f aca="false">(M70+N70)*T70+R70+V70+X70+Y70+Z70</f>
        <v>14237.755734401</v>
      </c>
      <c r="AB70" s="285" t="n">
        <f aca="false">_xlfn.xlookup(H70,'Prix vente'!A:A,'Prix vente'!X:X, "")</f>
        <v>0.31</v>
      </c>
      <c r="AC70" s="285" t="str">
        <f aca="false">_xlfn.xlookup(H70,'Prix vente'!A:A,'Prix vente'!Z:Z, "")</f>
        <v>USD</v>
      </c>
      <c r="AD70" s="249" t="n">
        <f aca="false">IF(AC70="CAD",(M70+N70)*AB70,(M70+N70)*AB70*S70)</f>
        <v>14702.65272</v>
      </c>
      <c r="AE70" s="249" t="n">
        <f aca="false">AD70-AA70</f>
        <v>464.896985599033</v>
      </c>
      <c r="AF70" s="273" t="n">
        <f aca="false">1-AA70/AD70</f>
        <v>0.0316199392349541</v>
      </c>
      <c r="AG70" s="252" t="n">
        <f aca="false">((M70+N70)*T70+V70)</f>
        <v>13451.9089832697</v>
      </c>
      <c r="AH70" s="273" t="n">
        <f aca="false">AG70/AD70</f>
        <v>0.914930743414155</v>
      </c>
      <c r="AI70" s="273" t="str">
        <f aca="false">IF(AD70=0,"S","")</f>
        <v/>
      </c>
      <c r="AK70" s="15" t="e">
        <v>#NAME?</v>
      </c>
      <c r="AL70" s="15" t="e">
        <f aca="false">_xlfn.xlookup(AK70,A:A,F:F)</f>
        <v>#NAME?</v>
      </c>
      <c r="AM70" s="15" t="e">
        <f aca="false">_xlfn.xlookup(AK70,A:A,J:J)</f>
        <v>#NAME?</v>
      </c>
      <c r="AN70" s="15" t="e">
        <f aca="false">_xlfn.xlookup(AK70,A:A,M:M)+_xlfn.xlookup(AK70,A:A,N:N)</f>
        <v>#NAME?</v>
      </c>
      <c r="AO70" s="223" t="e">
        <f aca="false">_xlfn.xlookup(AK70,A:A,AG:AG)</f>
        <v>#NAME?</v>
      </c>
      <c r="AP70" s="223" t="e">
        <f aca="false">_xlfn.xlookup(AK70,A:A,AD:AD)</f>
        <v>#NAME?</v>
      </c>
      <c r="AQ70" s="223" t="e">
        <f aca="false">_xlfn.xlookup(AK70,A:A,AE:AE)</f>
        <v>#NAME?</v>
      </c>
      <c r="AX70" s="288"/>
      <c r="AY70" s="288"/>
      <c r="AZ70" s="288"/>
      <c r="BA70" s="15" t="e">
        <v>#NAME?</v>
      </c>
      <c r="BB70" s="257" t="e">
        <f aca="false">_xlfn.xlookup(BA70,A:A,F:F)</f>
        <v>#NAME?</v>
      </c>
      <c r="BC70" s="15" t="e">
        <f aca="false">_xlfn.xlookup(BA70,A:A,J:J)</f>
        <v>#NAME?</v>
      </c>
      <c r="BD70" s="75" t="e">
        <f aca="false">_xlfn.xlookup(BA70,A:A,M:M)+_xlfn.xlookup(BA70,A:A,N:N)</f>
        <v>#NAME?</v>
      </c>
      <c r="BE70" s="75" t="e">
        <f aca="false">_xlfn.xlookup(BA70,A19:A1006,AA19:AA1006)</f>
        <v>#NAME?</v>
      </c>
      <c r="BG70" s="0"/>
      <c r="BH70" s="0"/>
      <c r="BI70" s="0"/>
    </row>
    <row r="71" customFormat="false" ht="16.4" hidden="false" customHeight="false" outlineLevel="0" collapsed="false">
      <c r="A71" s="241" t="s">
        <v>1019</v>
      </c>
      <c r="B71" s="241"/>
      <c r="C71" s="242" t="n">
        <v>45566</v>
      </c>
      <c r="D71" s="219" t="n">
        <v>214</v>
      </c>
      <c r="E71" s="241" t="str">
        <f aca="false">_xlfn.xlookup(D71,'PO Client'!$A:$A,'PO Client'!$C:$C,FALSE())</f>
        <v>Amstik</v>
      </c>
      <c r="F71" s="241" t="str">
        <f aca="false">_xlfn.xlookup(E71,Clients!B:B,Clients!C:C)</f>
        <v>Amstik</v>
      </c>
      <c r="G71" s="241"/>
      <c r="H71" s="243" t="n">
        <v>40104</v>
      </c>
      <c r="I71" s="243" t="n">
        <v>30012</v>
      </c>
      <c r="J71" s="244" t="str">
        <f aca="false">_xlfn.xlookup(I71,'Prix MP'!A:A,'Prix MP'!F:F,FALSE())</f>
        <v>D21-1</v>
      </c>
      <c r="K71" s="245" t="n">
        <v>670.8</v>
      </c>
      <c r="L71" s="245" t="n">
        <v>204.6</v>
      </c>
      <c r="M71" s="245" t="n">
        <v>283.65</v>
      </c>
      <c r="N71" s="245"/>
      <c r="O71" s="245"/>
      <c r="P71" s="246" t="n">
        <v>0</v>
      </c>
      <c r="Q71" s="219" t="n">
        <v>0.75</v>
      </c>
      <c r="R71" s="247" t="n">
        <v>0</v>
      </c>
      <c r="S71" s="272"/>
      <c r="T71" s="248" t="n">
        <f aca="false">_xlfn.xlookup(I71,'Prix MP'!A:A,'Prix MP'!U:U, FALSE())</f>
        <v>0.327974576595346</v>
      </c>
      <c r="U71" s="249" t="n">
        <f aca="false">M71*T71</f>
        <v>93.0299886512699</v>
      </c>
      <c r="V71" s="249" t="n">
        <f aca="false">(K71-M71-L71)*T71</f>
        <v>59.8717589574804</v>
      </c>
      <c r="W71" s="250" t="n">
        <f aca="false">(K71-M71-L71)/K71</f>
        <v>0.272137745974955</v>
      </c>
      <c r="X71" s="249" t="n">
        <v>1.85311720588235</v>
      </c>
      <c r="Y71" s="249" t="n">
        <f aca="false">19.2*P71</f>
        <v>0</v>
      </c>
      <c r="Z71" s="249" t="n">
        <f aca="false">125000/52/40*Q71</f>
        <v>45.0721153846154</v>
      </c>
      <c r="AA71" s="249" t="n">
        <f aca="false">(M71+N71)*T71+R71+V71+X71+Y71+Z71</f>
        <v>199.826980199248</v>
      </c>
      <c r="AB71" s="285" t="n">
        <v>0</v>
      </c>
      <c r="AC71" s="285" t="str">
        <f aca="false">_xlfn.xlookup(H71,'Prix vente'!A:A,'Prix vente'!Z:Z, "")</f>
        <v>CAD</v>
      </c>
      <c r="AD71" s="249" t="n">
        <f aca="false">IF(AC71="CAD",(M71+N71)*AB71,(M71+N71)*AB71*S71)</f>
        <v>0</v>
      </c>
      <c r="AE71" s="249" t="n">
        <f aca="false">AD71-AA71</f>
        <v>-199.826980199248</v>
      </c>
      <c r="AF71" s="273"/>
      <c r="AG71" s="252" t="n">
        <f aca="false">((M71+N71)*T71+V71)</f>
        <v>152.90174760875</v>
      </c>
      <c r="AH71" s="273"/>
      <c r="AI71" s="273" t="str">
        <f aca="false">IF(AD71=0,"S","")</f>
        <v>S</v>
      </c>
      <c r="AK71" s="15" t="e">
        <v>#NAME?</v>
      </c>
      <c r="AL71" s="15" t="e">
        <f aca="false">_xlfn.xlookup(AK71,A:A,F:F)</f>
        <v>#NAME?</v>
      </c>
      <c r="AM71" s="15" t="e">
        <f aca="false">_xlfn.xlookup(AK71,A:A,J:J)</f>
        <v>#NAME?</v>
      </c>
      <c r="AN71" s="15" t="e">
        <f aca="false">_xlfn.xlookup(AK71,A:A,M:M)+_xlfn.xlookup(AK71,A:A,N:N)</f>
        <v>#NAME?</v>
      </c>
      <c r="AO71" s="223" t="e">
        <f aca="false">_xlfn.xlookup(AK71,A:A,AG:AG)</f>
        <v>#NAME?</v>
      </c>
      <c r="AP71" s="223" t="e">
        <f aca="false">_xlfn.xlookup(AK71,A:A,AD:AD)</f>
        <v>#NAME?</v>
      </c>
      <c r="AQ71" s="223" t="e">
        <f aca="false">_xlfn.xlookup(AK71,A:A,AE:AE)</f>
        <v>#NAME?</v>
      </c>
      <c r="AX71" s="288"/>
      <c r="AY71" s="288"/>
      <c r="AZ71" s="288"/>
      <c r="BA71" s="15" t="e">
        <v>#NAME?</v>
      </c>
      <c r="BB71" s="257" t="e">
        <f aca="false">_xlfn.xlookup(BA71,A:A,F:F)</f>
        <v>#NAME?</v>
      </c>
      <c r="BC71" s="15" t="e">
        <f aca="false">_xlfn.xlookup(BA71,A:A,J:J)</f>
        <v>#NAME?</v>
      </c>
      <c r="BD71" s="75" t="e">
        <f aca="false">_xlfn.xlookup(BA71,A:A,M:M)+_xlfn.xlookup(BA71,A:A,N:N)</f>
        <v>#NAME?</v>
      </c>
      <c r="BE71" s="75" t="e">
        <f aca="false">_xlfn.xlookup(BA71,A20:A1007,AA20:AA1007)</f>
        <v>#NAME?</v>
      </c>
      <c r="BG71" s="0"/>
      <c r="BH71" s="0"/>
      <c r="BI71" s="0"/>
    </row>
    <row r="72" customFormat="false" ht="16.4" hidden="false" customHeight="false" outlineLevel="0" collapsed="false">
      <c r="A72" s="241" t="s">
        <v>1021</v>
      </c>
      <c r="B72" s="241"/>
      <c r="C72" s="242" t="n">
        <v>45568</v>
      </c>
      <c r="D72" s="219" t="n">
        <v>215</v>
      </c>
      <c r="E72" s="241" t="str">
        <f aca="false">_xlfn.xlookup(D72,'PO Client'!$A:$A,'PO Client'!$C:$C,FALSE())</f>
        <v>Étiquettes Luso-Flex</v>
      </c>
      <c r="F72" s="241" t="str">
        <f aca="false">_xlfn.xlookup(E72,Clients!B:B,Clients!C:C)</f>
        <v>Luso-Flex</v>
      </c>
      <c r="G72" s="241"/>
      <c r="H72" s="243" t="n">
        <v>40105</v>
      </c>
      <c r="I72" s="243" t="n">
        <v>30023</v>
      </c>
      <c r="J72" s="244" t="str">
        <f aca="false">_xlfn.xlookup(I72,'Prix MP'!A:A,'Prix MP'!F:F,FALSE())</f>
        <v>T11-1</v>
      </c>
      <c r="K72" s="245" t="n">
        <f aca="false">7114.835376/4</f>
        <v>1778.708844</v>
      </c>
      <c r="L72" s="245" t="n">
        <f aca="false">5681.87/4</f>
        <v>1420.4675</v>
      </c>
      <c r="M72" s="245" t="n">
        <f aca="false">1285.2/4</f>
        <v>321.3</v>
      </c>
      <c r="N72" s="245"/>
      <c r="O72" s="245"/>
      <c r="P72" s="246" t="n">
        <v>0</v>
      </c>
      <c r="Q72" s="219" t="n">
        <f aca="false">1.5/4</f>
        <v>0.375</v>
      </c>
      <c r="R72" s="247" t="n">
        <v>0</v>
      </c>
      <c r="S72" s="272"/>
      <c r="T72" s="248" t="n">
        <f aca="false">_xlfn.xlookup(I72,'Prix MP'!A:A,'Prix MP'!U:U, FALSE())</f>
        <v>0.2951148717267</v>
      </c>
      <c r="U72" s="249" t="n">
        <f aca="false">M72*T72</f>
        <v>94.8204082857887</v>
      </c>
      <c r="V72" s="249" t="n">
        <f aca="false">(K72-M72-L72)*T72</f>
        <v>10.9019399959719</v>
      </c>
      <c r="W72" s="250" t="n">
        <f aca="false">(K72-M72-L72)/K72</f>
        <v>0.0207686289549927</v>
      </c>
      <c r="X72" s="249" t="n">
        <f aca="false">10.8452925/4</f>
        <v>2.711323125</v>
      </c>
      <c r="Y72" s="249" t="n">
        <f aca="false">19.2*P72</f>
        <v>0</v>
      </c>
      <c r="Z72" s="249" t="n">
        <f aca="false">125000/52/40*Q72</f>
        <v>22.5360576923077</v>
      </c>
      <c r="AA72" s="249" t="n">
        <f aca="false">(M72+N72)*T72+R72+V72+X72+Y72+Z72</f>
        <v>130.969729099068</v>
      </c>
      <c r="AB72" s="285" t="n">
        <f aca="false">_xlfn.xlookup(H72,'Prix vente'!A:A,'Prix vente'!X:X, "")</f>
        <v>0</v>
      </c>
      <c r="AC72" s="285" t="str">
        <f aca="false">_xlfn.xlookup(H72,'Prix vente'!A:A,'Prix vente'!Z:Z, "")</f>
        <v>CAD</v>
      </c>
      <c r="AD72" s="249" t="n">
        <f aca="false">IF(AC72="CAD",(M72+N72)*AB72,(M72+N72)*AB72*S72)</f>
        <v>0</v>
      </c>
      <c r="AE72" s="249" t="n">
        <f aca="false">AD72-AA72</f>
        <v>-130.969729099068</v>
      </c>
      <c r="AF72" s="273"/>
      <c r="AG72" s="252" t="n">
        <f aca="false">((M72+N72)*T72+V72)</f>
        <v>105.722348281761</v>
      </c>
      <c r="AH72" s="273"/>
      <c r="AI72" s="273" t="str">
        <f aca="false">IF(AD72=0,"S","")</f>
        <v>S</v>
      </c>
      <c r="AK72" s="15" t="e">
        <v>#NAME?</v>
      </c>
      <c r="AL72" s="15" t="e">
        <f aca="false">_xlfn.xlookup(AK72,A:A,F:F)</f>
        <v>#NAME?</v>
      </c>
      <c r="AM72" s="15" t="e">
        <f aca="false">_xlfn.xlookup(AK72,A:A,J:J)</f>
        <v>#NAME?</v>
      </c>
      <c r="AN72" s="15" t="e">
        <f aca="false">_xlfn.xlookup(AK72,A:A,M:M)+_xlfn.xlookup(AK72,A:A,N:N)</f>
        <v>#NAME?</v>
      </c>
      <c r="AO72" s="223" t="e">
        <f aca="false">_xlfn.xlookup(AK72,A:A,AG:AG)</f>
        <v>#NAME?</v>
      </c>
      <c r="AP72" s="223" t="e">
        <f aca="false">_xlfn.xlookup(AK72,A:A,AD:AD)</f>
        <v>#NAME?</v>
      </c>
      <c r="AQ72" s="223" t="e">
        <f aca="false">_xlfn.xlookup(AK72,A:A,AE:AE)</f>
        <v>#NAME?</v>
      </c>
      <c r="AX72" s="288"/>
      <c r="AY72" s="288"/>
      <c r="AZ72" s="288"/>
      <c r="BA72" s="15" t="e">
        <v>#NAME?</v>
      </c>
      <c r="BB72" s="257" t="e">
        <f aca="false">_xlfn.xlookup(BA72,A:A,F:F)</f>
        <v>#NAME?</v>
      </c>
      <c r="BC72" s="15" t="e">
        <f aca="false">_xlfn.xlookup(BA72,A:A,J:J)</f>
        <v>#NAME?</v>
      </c>
      <c r="BD72" s="75" t="e">
        <f aca="false">_xlfn.xlookup(BA72,A:A,M:M)+_xlfn.xlookup(BA72,A:A,N:N)</f>
        <v>#NAME?</v>
      </c>
      <c r="BE72" s="75" t="e">
        <f aca="false">_xlfn.xlookup(BA72,A21:A1008,AA21:AA1008)</f>
        <v>#NAME?</v>
      </c>
      <c r="BG72" s="0"/>
      <c r="BH72" s="0"/>
      <c r="BI72" s="0"/>
    </row>
    <row r="73" customFormat="false" ht="16.4" hidden="false" customHeight="false" outlineLevel="0" collapsed="false">
      <c r="A73" s="241" t="s">
        <v>1443</v>
      </c>
      <c r="B73" s="241"/>
      <c r="C73" s="242" t="n">
        <v>45568</v>
      </c>
      <c r="D73" s="219" t="n">
        <v>215</v>
      </c>
      <c r="E73" s="241" t="s">
        <v>151</v>
      </c>
      <c r="F73" s="241" t="str">
        <f aca="false">_xlfn.xlookup(E73,Clients!B:B,Clients!C:C)</f>
        <v>Visuascan</v>
      </c>
      <c r="G73" s="241"/>
      <c r="H73" s="243" t="n">
        <v>40105</v>
      </c>
      <c r="I73" s="243" t="n">
        <v>30023</v>
      </c>
      <c r="J73" s="244" t="str">
        <f aca="false">_xlfn.xlookup(I73,'Prix MP'!A:A,'Prix MP'!F:F,FALSE())</f>
        <v>T11-1</v>
      </c>
      <c r="K73" s="245" t="n">
        <f aca="false">7114.835376/4</f>
        <v>1778.708844</v>
      </c>
      <c r="L73" s="245" t="n">
        <f aca="false">5681.87/4</f>
        <v>1420.4675</v>
      </c>
      <c r="M73" s="245" t="n">
        <f aca="false">1285.2/4</f>
        <v>321.3</v>
      </c>
      <c r="N73" s="245"/>
      <c r="O73" s="245"/>
      <c r="P73" s="246" t="n">
        <v>0</v>
      </c>
      <c r="Q73" s="219" t="n">
        <f aca="false">1.5/4</f>
        <v>0.375</v>
      </c>
      <c r="R73" s="247" t="n">
        <v>0</v>
      </c>
      <c r="S73" s="272"/>
      <c r="T73" s="248" t="n">
        <f aca="false">_xlfn.xlookup(I73,'Prix MP'!A:A,'Prix MP'!U:U, FALSE())</f>
        <v>0.2951148717267</v>
      </c>
      <c r="U73" s="249" t="n">
        <f aca="false">M73*T73</f>
        <v>94.8204082857887</v>
      </c>
      <c r="V73" s="249" t="n">
        <f aca="false">(K73-M73-L73)*T73</f>
        <v>10.9019399959719</v>
      </c>
      <c r="W73" s="250" t="n">
        <f aca="false">(K73-M73-L73)/K73</f>
        <v>0.0207686289549927</v>
      </c>
      <c r="X73" s="249" t="n">
        <f aca="false">10.8452925/4</f>
        <v>2.711323125</v>
      </c>
      <c r="Y73" s="249" t="n">
        <f aca="false">19.2*P73</f>
        <v>0</v>
      </c>
      <c r="Z73" s="249" t="n">
        <f aca="false">125000/52/40*Q73</f>
        <v>22.5360576923077</v>
      </c>
      <c r="AA73" s="249" t="n">
        <f aca="false">(M73+N73)*T73+R73+V73+X73+Y73+Z73</f>
        <v>130.969729099068</v>
      </c>
      <c r="AB73" s="285" t="n">
        <f aca="false">_xlfn.xlookup(H73,'Prix vente'!A:A,'Prix vente'!X:X, "")</f>
        <v>0</v>
      </c>
      <c r="AC73" s="285" t="str">
        <f aca="false">_xlfn.xlookup(H73,'Prix vente'!A:A,'Prix vente'!Z:Z, "")</f>
        <v>CAD</v>
      </c>
      <c r="AD73" s="249" t="n">
        <f aca="false">IF(AC73="CAD",(M73+N73)*AB73,(M73+N73)*AB73*S73)</f>
        <v>0</v>
      </c>
      <c r="AE73" s="249" t="n">
        <f aca="false">AD73-AA73</f>
        <v>-130.969729099068</v>
      </c>
      <c r="AF73" s="273"/>
      <c r="AG73" s="252" t="n">
        <f aca="false">((M73+N73)*T73+V73)</f>
        <v>105.722348281761</v>
      </c>
      <c r="AH73" s="273"/>
      <c r="AI73" s="273" t="str">
        <f aca="false">IF(AD73=0,"S","")</f>
        <v>S</v>
      </c>
      <c r="AK73" s="15" t="e">
        <v>#NAME?</v>
      </c>
      <c r="AL73" s="15" t="e">
        <f aca="false">_xlfn.xlookup(AK73,A:A,F:F)</f>
        <v>#NAME?</v>
      </c>
      <c r="AM73" s="15" t="e">
        <f aca="false">_xlfn.xlookup(AK73,A:A,J:J)</f>
        <v>#NAME?</v>
      </c>
      <c r="AN73" s="15" t="e">
        <f aca="false">_xlfn.xlookup(AK73,A:A,M:M)+_xlfn.xlookup(AK73,A:A,N:N)</f>
        <v>#NAME?</v>
      </c>
      <c r="AO73" s="223" t="e">
        <f aca="false">_xlfn.xlookup(AK73,A:A,AG:AG)</f>
        <v>#NAME?</v>
      </c>
      <c r="AP73" s="223" t="e">
        <f aca="false">_xlfn.xlookup(AK73,A:A,AD:AD)</f>
        <v>#NAME?</v>
      </c>
      <c r="AQ73" s="223" t="e">
        <f aca="false">_xlfn.xlookup(AK73,A:A,AE:AE)</f>
        <v>#NAME?</v>
      </c>
      <c r="AX73" s="288"/>
      <c r="AY73" s="288"/>
      <c r="AZ73" s="288"/>
      <c r="BA73" s="15" t="e">
        <v>#NAME?</v>
      </c>
      <c r="BB73" s="257" t="e">
        <f aca="false">_xlfn.xlookup(BA73,A:A,F:F)</f>
        <v>#NAME?</v>
      </c>
      <c r="BC73" s="15" t="e">
        <f aca="false">_xlfn.xlookup(BA73,A:A,J:J)</f>
        <v>#NAME?</v>
      </c>
      <c r="BD73" s="75" t="e">
        <f aca="false">_xlfn.xlookup(BA73,A:A,M:M)+_xlfn.xlookup(BA73,A:A,N:N)</f>
        <v>#NAME?</v>
      </c>
      <c r="BE73" s="75" t="e">
        <f aca="false">_xlfn.xlookup(BA73,A22:A1009,AA22:AA1009)</f>
        <v>#NAME?</v>
      </c>
      <c r="BG73" s="0"/>
      <c r="BH73" s="0"/>
      <c r="BI73" s="0"/>
    </row>
    <row r="74" customFormat="false" ht="16.4" hidden="false" customHeight="false" outlineLevel="0" collapsed="false">
      <c r="A74" s="241" t="s">
        <v>1444</v>
      </c>
      <c r="B74" s="241"/>
      <c r="C74" s="242" t="n">
        <v>45568</v>
      </c>
      <c r="D74" s="219" t="n">
        <v>215</v>
      </c>
      <c r="E74" s="241" t="s">
        <v>160</v>
      </c>
      <c r="F74" s="241" t="str">
        <f aca="false">_xlfn.xlookup(E74,Clients!B:B,Clients!C:C)</f>
        <v>Corsair</v>
      </c>
      <c r="G74" s="241"/>
      <c r="H74" s="243" t="n">
        <v>40105</v>
      </c>
      <c r="I74" s="243" t="n">
        <v>30023</v>
      </c>
      <c r="J74" s="244" t="str">
        <f aca="false">_xlfn.xlookup(I74,'Prix MP'!A:A,'Prix MP'!F:F,FALSE())</f>
        <v>T11-1</v>
      </c>
      <c r="K74" s="245" t="n">
        <f aca="false">7114.835376/4</f>
        <v>1778.708844</v>
      </c>
      <c r="L74" s="245" t="n">
        <f aca="false">5681.87/4</f>
        <v>1420.4675</v>
      </c>
      <c r="M74" s="245" t="n">
        <f aca="false">1285.2/4</f>
        <v>321.3</v>
      </c>
      <c r="N74" s="245"/>
      <c r="O74" s="245"/>
      <c r="P74" s="246" t="n">
        <v>0</v>
      </c>
      <c r="Q74" s="219" t="n">
        <f aca="false">1.5/4</f>
        <v>0.375</v>
      </c>
      <c r="R74" s="247" t="n">
        <v>0</v>
      </c>
      <c r="S74" s="272"/>
      <c r="T74" s="248" t="n">
        <f aca="false">_xlfn.xlookup(I74,'Prix MP'!A:A,'Prix MP'!U:U, FALSE())</f>
        <v>0.2951148717267</v>
      </c>
      <c r="U74" s="249" t="n">
        <f aca="false">M74*T74</f>
        <v>94.8204082857887</v>
      </c>
      <c r="V74" s="249" t="n">
        <f aca="false">(K74-M74-L74)*T74</f>
        <v>10.9019399959719</v>
      </c>
      <c r="W74" s="250" t="n">
        <f aca="false">(K74-M74-L74)/K74</f>
        <v>0.0207686289549927</v>
      </c>
      <c r="X74" s="249" t="n">
        <f aca="false">10.8452925/4</f>
        <v>2.711323125</v>
      </c>
      <c r="Y74" s="249" t="n">
        <f aca="false">19.2*P74</f>
        <v>0</v>
      </c>
      <c r="Z74" s="249" t="n">
        <f aca="false">125000/52/40*Q74</f>
        <v>22.5360576923077</v>
      </c>
      <c r="AA74" s="249" t="n">
        <f aca="false">(M74+N74)*T74+R74+V74+X74+Y74+Z74</f>
        <v>130.969729099068</v>
      </c>
      <c r="AB74" s="285" t="n">
        <f aca="false">_xlfn.xlookup(H74,'Prix vente'!A:A,'Prix vente'!X:X, "")</f>
        <v>0</v>
      </c>
      <c r="AC74" s="285" t="str">
        <f aca="false">_xlfn.xlookup(H74,'Prix vente'!A:A,'Prix vente'!Z:Z, "")</f>
        <v>CAD</v>
      </c>
      <c r="AD74" s="249" t="n">
        <f aca="false">IF(AC74="CAD",(M74+N74)*AB74,(M74+N74)*AB74*S74)</f>
        <v>0</v>
      </c>
      <c r="AE74" s="249" t="n">
        <f aca="false">AD74-AA74</f>
        <v>-130.969729099068</v>
      </c>
      <c r="AF74" s="273"/>
      <c r="AG74" s="252" t="n">
        <f aca="false">((M74+N74)*T74+V74)</f>
        <v>105.722348281761</v>
      </c>
      <c r="AH74" s="273"/>
      <c r="AI74" s="273" t="str">
        <f aca="false">IF(AD74=0,"S","")</f>
        <v>S</v>
      </c>
      <c r="AK74" s="15" t="e">
        <v>#NAME?</v>
      </c>
      <c r="AL74" s="15" t="e">
        <f aca="false">_xlfn.xlookup(AK74,A:A,F:F)</f>
        <v>#NAME?</v>
      </c>
      <c r="AM74" s="15" t="e">
        <f aca="false">_xlfn.xlookup(AK74,A:A,J:J)</f>
        <v>#NAME?</v>
      </c>
      <c r="AN74" s="15" t="e">
        <f aca="false">_xlfn.xlookup(AK74,A:A,M:M)+_xlfn.xlookup(AK74,A:A,N:N)</f>
        <v>#NAME?</v>
      </c>
      <c r="AO74" s="223" t="e">
        <f aca="false">_xlfn.xlookup(AK74,A:A,AG:AG)</f>
        <v>#NAME?</v>
      </c>
      <c r="AP74" s="223" t="e">
        <f aca="false">_xlfn.xlookup(AK74,A:A,AD:AD)</f>
        <v>#NAME?</v>
      </c>
      <c r="AQ74" s="223" t="e">
        <f aca="false">_xlfn.xlookup(AK74,A:A,AE:AE)</f>
        <v>#NAME?</v>
      </c>
      <c r="AX74" s="288"/>
      <c r="AY74" s="288"/>
      <c r="AZ74" s="288"/>
      <c r="BA74" s="15" t="e">
        <v>#NAME?</v>
      </c>
      <c r="BB74" s="257" t="e">
        <f aca="false">_xlfn.xlookup(BA74,A:A,F:F)</f>
        <v>#NAME?</v>
      </c>
      <c r="BC74" s="15" t="e">
        <f aca="false">_xlfn.xlookup(BA74,A:A,J:J)</f>
        <v>#NAME?</v>
      </c>
      <c r="BD74" s="75" t="e">
        <f aca="false">_xlfn.xlookup(BA74,A:A,M:M)+_xlfn.xlookup(BA74,A:A,N:N)</f>
        <v>#NAME?</v>
      </c>
      <c r="BE74" s="75" t="e">
        <f aca="false">_xlfn.xlookup(BA74,A23:A1010,AA23:AA1010)</f>
        <v>#NAME?</v>
      </c>
      <c r="BG74" s="0"/>
      <c r="BH74" s="0"/>
      <c r="BI74" s="0"/>
    </row>
    <row r="75" customFormat="false" ht="16.4" hidden="false" customHeight="false" outlineLevel="0" collapsed="false">
      <c r="A75" s="241" t="s">
        <v>1445</v>
      </c>
      <c r="B75" s="241"/>
      <c r="C75" s="242" t="n">
        <v>45568</v>
      </c>
      <c r="D75" s="219" t="n">
        <v>215</v>
      </c>
      <c r="E75" s="241" t="s">
        <v>230</v>
      </c>
      <c r="F75" s="241" t="str">
        <f aca="false">_xlfn.xlookup(E75,Clients!B:B,Clients!C:C)</f>
        <v>Damaflex</v>
      </c>
      <c r="G75" s="241"/>
      <c r="H75" s="243" t="n">
        <v>40105</v>
      </c>
      <c r="I75" s="243" t="n">
        <v>30023</v>
      </c>
      <c r="J75" s="244" t="str">
        <f aca="false">_xlfn.xlookup(I75,'Prix MP'!A:A,'Prix MP'!F:F,FALSE())</f>
        <v>T11-1</v>
      </c>
      <c r="K75" s="245" t="n">
        <f aca="false">7114.835376/4</f>
        <v>1778.708844</v>
      </c>
      <c r="L75" s="245" t="n">
        <f aca="false">5681.87/4</f>
        <v>1420.4675</v>
      </c>
      <c r="M75" s="245" t="n">
        <f aca="false">1285.2/4</f>
        <v>321.3</v>
      </c>
      <c r="N75" s="245"/>
      <c r="O75" s="245"/>
      <c r="P75" s="246" t="n">
        <v>0</v>
      </c>
      <c r="Q75" s="219" t="n">
        <f aca="false">1.5/4</f>
        <v>0.375</v>
      </c>
      <c r="R75" s="247" t="n">
        <v>0</v>
      </c>
      <c r="S75" s="272"/>
      <c r="T75" s="248" t="n">
        <f aca="false">_xlfn.xlookup(I75,'Prix MP'!A:A,'Prix MP'!U:U, FALSE())</f>
        <v>0.2951148717267</v>
      </c>
      <c r="U75" s="249" t="n">
        <f aca="false">M75*T75</f>
        <v>94.8204082857887</v>
      </c>
      <c r="V75" s="249" t="n">
        <f aca="false">(K75-M75-L75)*T75</f>
        <v>10.9019399959719</v>
      </c>
      <c r="W75" s="250" t="n">
        <f aca="false">(K75-M75-L75)/K75</f>
        <v>0.0207686289549927</v>
      </c>
      <c r="X75" s="249" t="n">
        <f aca="false">10.8452925/4</f>
        <v>2.711323125</v>
      </c>
      <c r="Y75" s="249" t="n">
        <f aca="false">19.2*P75</f>
        <v>0</v>
      </c>
      <c r="Z75" s="249" t="n">
        <f aca="false">125000/52/40*Q75</f>
        <v>22.5360576923077</v>
      </c>
      <c r="AA75" s="249" t="n">
        <f aca="false">(M75+N75)*T75+R75+V75+X75+Y75+Z75</f>
        <v>130.969729099068</v>
      </c>
      <c r="AB75" s="285" t="n">
        <f aca="false">_xlfn.xlookup(H75,'Prix vente'!A:A,'Prix vente'!X:X, "")</f>
        <v>0</v>
      </c>
      <c r="AC75" s="285" t="str">
        <f aca="false">_xlfn.xlookup(H75,'Prix vente'!A:A,'Prix vente'!Z:Z, "")</f>
        <v>CAD</v>
      </c>
      <c r="AD75" s="249" t="n">
        <f aca="false">IF(AC75="CAD",(M75+N75)*AB75,(M75+N75)*AB75*S75)</f>
        <v>0</v>
      </c>
      <c r="AE75" s="249" t="n">
        <f aca="false">AD75-AA75</f>
        <v>-130.969729099068</v>
      </c>
      <c r="AF75" s="273"/>
      <c r="AG75" s="252" t="n">
        <f aca="false">((M75+N75)*T75+V75)</f>
        <v>105.722348281761</v>
      </c>
      <c r="AH75" s="273"/>
      <c r="AI75" s="273" t="str">
        <f aca="false">IF(AD75=0,"S","")</f>
        <v>S</v>
      </c>
      <c r="AK75" s="15" t="e">
        <v>#NAME?</v>
      </c>
      <c r="AL75" s="15" t="e">
        <f aca="false">_xlfn.xlookup(AK75,A:A,F:F)</f>
        <v>#NAME?</v>
      </c>
      <c r="AM75" s="15" t="e">
        <f aca="false">_xlfn.xlookup(AK75,A:A,J:J)</f>
        <v>#NAME?</v>
      </c>
      <c r="AN75" s="15" t="e">
        <f aca="false">_xlfn.xlookup(AK75,A:A,M:M)+_xlfn.xlookup(AK75,A:A,N:N)</f>
        <v>#NAME?</v>
      </c>
      <c r="AO75" s="223" t="e">
        <f aca="false">_xlfn.xlookup(AK75,A:A,AG:AG)</f>
        <v>#NAME?</v>
      </c>
      <c r="AP75" s="223" t="e">
        <f aca="false">_xlfn.xlookup(AK75,A:A,AD:AD)</f>
        <v>#NAME?</v>
      </c>
      <c r="AQ75" s="223" t="e">
        <f aca="false">_xlfn.xlookup(AK75,A:A,AE:AE)</f>
        <v>#NAME?</v>
      </c>
      <c r="AX75" s="288"/>
      <c r="AY75" s="288"/>
      <c r="AZ75" s="288"/>
      <c r="BA75" s="15" t="e">
        <v>#NAME?</v>
      </c>
      <c r="BB75" s="257" t="e">
        <f aca="false">_xlfn.xlookup(BA75,A:A,F:F)</f>
        <v>#NAME?</v>
      </c>
      <c r="BC75" s="15" t="e">
        <f aca="false">_xlfn.xlookup(BA75,A:A,J:J)</f>
        <v>#NAME?</v>
      </c>
      <c r="BD75" s="75" t="e">
        <f aca="false">_xlfn.xlookup(BA75,A:A,M:M)+_xlfn.xlookup(BA75,A:A,N:N)</f>
        <v>#NAME?</v>
      </c>
      <c r="BE75" s="75" t="e">
        <f aca="false">_xlfn.xlookup(BA75,A24:A1011,AA24:AA1011)</f>
        <v>#NAME?</v>
      </c>
      <c r="BG75" s="0"/>
      <c r="BH75" s="0"/>
      <c r="BI75" s="0"/>
    </row>
    <row r="76" customFormat="false" ht="16.4" hidden="false" customHeight="false" outlineLevel="0" collapsed="false">
      <c r="A76" s="241" t="s">
        <v>1025</v>
      </c>
      <c r="B76" s="241"/>
      <c r="C76" s="242" t="n">
        <v>45568</v>
      </c>
      <c r="D76" s="219" t="n">
        <v>216</v>
      </c>
      <c r="E76" s="241" t="s">
        <v>218</v>
      </c>
      <c r="F76" s="241" t="str">
        <f aca="false">_xlfn.xlookup(E76,Clients!B:B,Clients!C:C)</f>
        <v>MCC Label</v>
      </c>
      <c r="G76" s="241"/>
      <c r="H76" s="243" t="n">
        <v>40106</v>
      </c>
      <c r="I76" s="243" t="n">
        <v>30024</v>
      </c>
      <c r="J76" s="244" t="str">
        <f aca="false">_xlfn.xlookup(I76,'Prix MP'!A:A,'Prix MP'!F:F,FALSE())</f>
        <v>S31-1</v>
      </c>
      <c r="K76" s="245" t="n">
        <f aca="false">5022.29232/2</f>
        <v>2511.14616</v>
      </c>
      <c r="L76" s="245" t="n">
        <f aca="false">4286.57856/2</f>
        <v>2143.28928</v>
      </c>
      <c r="M76" s="245" t="n">
        <f aca="false">633.6/2</f>
        <v>316.8</v>
      </c>
      <c r="N76" s="245"/>
      <c r="O76" s="245"/>
      <c r="P76" s="246" t="n">
        <v>0</v>
      </c>
      <c r="Q76" s="219" t="n">
        <f aca="false">1.5/2</f>
        <v>0.75</v>
      </c>
      <c r="R76" s="247" t="n">
        <v>0</v>
      </c>
      <c r="S76" s="272"/>
      <c r="T76" s="248" t="n">
        <f aca="false">_xlfn.xlookup(I76,'Prix MP'!A:A,'Prix MP'!U:U, FALSE())</f>
        <v>0.286374902011219</v>
      </c>
      <c r="U76" s="249" t="n">
        <f aca="false">M76*T76</f>
        <v>90.7235689571541</v>
      </c>
      <c r="V76" s="249" t="n">
        <f aca="false">(K76-M76-L76)*T76</f>
        <v>14.6214090069985</v>
      </c>
      <c r="W76" s="250" t="n">
        <f aca="false">(K76-M76-L76)/K76</f>
        <v>0.0203321020549436</v>
      </c>
      <c r="X76" s="249" t="n">
        <f aca="false">5.34669882352941/2</f>
        <v>2.67334941176471</v>
      </c>
      <c r="Y76" s="249" t="n">
        <f aca="false">19.2*P76</f>
        <v>0</v>
      </c>
      <c r="Z76" s="249" t="n">
        <f aca="false">125000/52/40*Q76</f>
        <v>45.0721153846154</v>
      </c>
      <c r="AA76" s="249" t="n">
        <f aca="false">(M76+N76)*T76+R76+V76+X76+Y76+Z76</f>
        <v>153.090442760533</v>
      </c>
      <c r="AB76" s="285" t="n">
        <f aca="false">_xlfn.xlookup(H76,'Prix vente'!A:A,'Prix vente'!X:X, "")</f>
        <v>0</v>
      </c>
      <c r="AC76" s="285" t="str">
        <f aca="false">_xlfn.xlookup(H76,'Prix vente'!A:A,'Prix vente'!Z:Z, "")</f>
        <v>CAD</v>
      </c>
      <c r="AD76" s="249" t="n">
        <f aca="false">IF(AC76="CAD",(M76+N76)*AB76,(M76+N76)*AB76*S76)</f>
        <v>0</v>
      </c>
      <c r="AE76" s="249" t="n">
        <f aca="false">AD76-AA76</f>
        <v>-153.090442760533</v>
      </c>
      <c r="AF76" s="273"/>
      <c r="AG76" s="252" t="n">
        <f aca="false">((M76+N76)*T76+V76)</f>
        <v>105.344977964153</v>
      </c>
      <c r="AH76" s="273"/>
      <c r="AI76" s="273" t="str">
        <f aca="false">IF(AD76=0,"S","")</f>
        <v>S</v>
      </c>
      <c r="AK76" s="15" t="e">
        <v>#NAME?</v>
      </c>
      <c r="AL76" s="15" t="e">
        <f aca="false">_xlfn.xlookup(AK76,A:A,F:F)</f>
        <v>#NAME?</v>
      </c>
      <c r="AM76" s="15" t="e">
        <f aca="false">_xlfn.xlookup(AK76,A:A,J:J)</f>
        <v>#NAME?</v>
      </c>
      <c r="AN76" s="15" t="e">
        <f aca="false">_xlfn.xlookup(AK76,A:A,M:M)+_xlfn.xlookup(AK76,A:A,N:N)</f>
        <v>#NAME?</v>
      </c>
      <c r="AO76" s="223" t="e">
        <f aca="false">_xlfn.xlookup(AK76,A:A,AG:AG)</f>
        <v>#NAME?</v>
      </c>
      <c r="AP76" s="223" t="e">
        <f aca="false">_xlfn.xlookup(AK76,A:A,AD:AD)</f>
        <v>#NAME?</v>
      </c>
      <c r="AQ76" s="223" t="e">
        <f aca="false">_xlfn.xlookup(AK76,A:A,AE:AE)</f>
        <v>#NAME?</v>
      </c>
      <c r="AX76" s="288"/>
      <c r="AY76" s="288"/>
      <c r="AZ76" s="288"/>
      <c r="BA76" s="15" t="e">
        <v>#NAME?</v>
      </c>
      <c r="BB76" s="257" t="e">
        <f aca="false">_xlfn.xlookup(BA76,A:A,F:F)</f>
        <v>#NAME?</v>
      </c>
      <c r="BC76" s="15" t="e">
        <f aca="false">_xlfn.xlookup(BA76,A:A,J:J)</f>
        <v>#NAME?</v>
      </c>
      <c r="BD76" s="75" t="e">
        <f aca="false">_xlfn.xlookup(BA76,A:A,M:M)+_xlfn.xlookup(BA76,A:A,N:N)</f>
        <v>#NAME?</v>
      </c>
      <c r="BE76" s="75" t="e">
        <f aca="false">_xlfn.xlookup(BA76,A24:A1012,AA24:AA1012)</f>
        <v>#NAME?</v>
      </c>
      <c r="BG76" s="0"/>
      <c r="BH76" s="0"/>
      <c r="BI76" s="0"/>
    </row>
    <row r="77" customFormat="false" ht="16.4" hidden="false" customHeight="false" outlineLevel="0" collapsed="false">
      <c r="A77" s="241" t="s">
        <v>1446</v>
      </c>
      <c r="B77" s="241"/>
      <c r="C77" s="242" t="n">
        <v>45568</v>
      </c>
      <c r="D77" s="219" t="n">
        <v>216</v>
      </c>
      <c r="E77" s="241" t="s">
        <v>230</v>
      </c>
      <c r="F77" s="241" t="str">
        <f aca="false">_xlfn.xlookup(E77,Clients!B:B,Clients!C:C)</f>
        <v>Damaflex</v>
      </c>
      <c r="G77" s="241"/>
      <c r="H77" s="243" t="n">
        <v>40106</v>
      </c>
      <c r="I77" s="243" t="n">
        <v>30024</v>
      </c>
      <c r="J77" s="244" t="str">
        <f aca="false">_xlfn.xlookup(I77,'Prix MP'!A:A,'Prix MP'!F:F,FALSE())</f>
        <v>S31-1</v>
      </c>
      <c r="K77" s="245" t="n">
        <f aca="false">5022.29232/2</f>
        <v>2511.14616</v>
      </c>
      <c r="L77" s="245" t="n">
        <f aca="false">4286.57856/2</f>
        <v>2143.28928</v>
      </c>
      <c r="M77" s="245" t="n">
        <f aca="false">633.6/2</f>
        <v>316.8</v>
      </c>
      <c r="N77" s="245"/>
      <c r="O77" s="245"/>
      <c r="P77" s="246" t="n">
        <v>0</v>
      </c>
      <c r="Q77" s="219" t="n">
        <f aca="false">1.5/2</f>
        <v>0.75</v>
      </c>
      <c r="R77" s="247" t="n">
        <v>0</v>
      </c>
      <c r="S77" s="272"/>
      <c r="T77" s="248" t="n">
        <f aca="false">_xlfn.xlookup(I77,'Prix MP'!A:A,'Prix MP'!U:U, FALSE())</f>
        <v>0.286374902011219</v>
      </c>
      <c r="U77" s="249" t="n">
        <f aca="false">M77*T77</f>
        <v>90.7235689571541</v>
      </c>
      <c r="V77" s="249" t="n">
        <f aca="false">(K77-M77-L77)*T77</f>
        <v>14.6214090069985</v>
      </c>
      <c r="W77" s="250" t="n">
        <f aca="false">(K77-M77-L77)/K77</f>
        <v>0.0203321020549436</v>
      </c>
      <c r="X77" s="249" t="n">
        <f aca="false">5.34669882352941/2</f>
        <v>2.67334941176471</v>
      </c>
      <c r="Y77" s="249" t="n">
        <f aca="false">19.2*P77</f>
        <v>0</v>
      </c>
      <c r="Z77" s="249" t="n">
        <f aca="false">125000/52/40*Q77</f>
        <v>45.0721153846154</v>
      </c>
      <c r="AA77" s="249" t="n">
        <f aca="false">(M77+N77)*T77+R77+V77+X77+Y77+Z77</f>
        <v>153.090442760533</v>
      </c>
      <c r="AB77" s="285" t="n">
        <f aca="false">_xlfn.xlookup(H77,'Prix vente'!A:A,'Prix vente'!X:X, "")</f>
        <v>0</v>
      </c>
      <c r="AC77" s="285" t="str">
        <f aca="false">_xlfn.xlookup(H77,'Prix vente'!A:A,'Prix vente'!Z:Z, "")</f>
        <v>CAD</v>
      </c>
      <c r="AD77" s="249" t="n">
        <f aca="false">IF(AC77="CAD",(M77+N77)*AB77,(M77+N77)*AB77*S77)</f>
        <v>0</v>
      </c>
      <c r="AE77" s="249" t="n">
        <f aca="false">AD77-AA77</f>
        <v>-153.090442760533</v>
      </c>
      <c r="AF77" s="273"/>
      <c r="AG77" s="252" t="n">
        <f aca="false">((M77+N77)*T77+V77)</f>
        <v>105.344977964153</v>
      </c>
      <c r="AH77" s="273"/>
      <c r="AI77" s="273" t="str">
        <f aca="false">IF(AD77=0,"S","")</f>
        <v>S</v>
      </c>
      <c r="AK77" s="15" t="e">
        <v>#NAME?</v>
      </c>
      <c r="AL77" s="15" t="e">
        <f aca="false">_xlfn.xlookup(AK77,A:A,F:F)</f>
        <v>#NAME?</v>
      </c>
      <c r="AM77" s="15" t="e">
        <f aca="false">_xlfn.xlookup(AK77,A:A,J:J)</f>
        <v>#NAME?</v>
      </c>
      <c r="AN77" s="15" t="e">
        <f aca="false">_xlfn.xlookup(AK77,A:A,M:M)+_xlfn.xlookup(AK77,A:A,N:N)</f>
        <v>#NAME?</v>
      </c>
      <c r="AO77" s="223" t="e">
        <f aca="false">_xlfn.xlookup(AK77,A:A,AG:AG)</f>
        <v>#NAME?</v>
      </c>
      <c r="AP77" s="223" t="e">
        <f aca="false">_xlfn.xlookup(AK77,A:A,AD:AD)</f>
        <v>#NAME?</v>
      </c>
      <c r="AQ77" s="223" t="e">
        <f aca="false">_xlfn.xlookup(AK77,A:A,AE:AE)</f>
        <v>#NAME?</v>
      </c>
      <c r="AX77" s="288"/>
      <c r="AY77" s="288"/>
      <c r="AZ77" s="288"/>
      <c r="BA77" s="15" t="e">
        <v>#NAME?</v>
      </c>
      <c r="BB77" s="257" t="e">
        <f aca="false">_xlfn.xlookup(BA77,A:A,F:F)</f>
        <v>#NAME?</v>
      </c>
      <c r="BC77" s="15" t="e">
        <f aca="false">_xlfn.xlookup(BA77,A:A,J:J)</f>
        <v>#NAME?</v>
      </c>
      <c r="BD77" s="75" t="e">
        <f aca="false">_xlfn.xlookup(BA77,A:A,M:M)+_xlfn.xlookup(BA77,A:A,N:N)</f>
        <v>#NAME?</v>
      </c>
      <c r="BE77" s="75" t="e">
        <f aca="false">_xlfn.xlookup(BA77,A25:A1013,AA25:AA1013)</f>
        <v>#NAME?</v>
      </c>
      <c r="BG77" s="0"/>
      <c r="BH77" s="0"/>
      <c r="BI77" s="0"/>
    </row>
    <row r="78" customFormat="false" ht="16.4" hidden="false" customHeight="false" outlineLevel="0" collapsed="false">
      <c r="A78" s="241" t="s">
        <v>1029</v>
      </c>
      <c r="B78" s="241"/>
      <c r="C78" s="242" t="n">
        <v>45568</v>
      </c>
      <c r="D78" s="219" t="n">
        <v>217</v>
      </c>
      <c r="E78" s="241" t="str">
        <f aca="false">_xlfn.xlookup(D78,'PO Client'!$A:$A,'PO Client'!$C:$C,FALSE())</f>
        <v>Amstik</v>
      </c>
      <c r="F78" s="241" t="str">
        <f aca="false">_xlfn.xlookup(E78,Clients!B:B,Clients!C:C)</f>
        <v>Amstik</v>
      </c>
      <c r="G78" s="241"/>
      <c r="H78" s="243" t="n">
        <v>40107</v>
      </c>
      <c r="I78" s="243" t="n">
        <v>30011</v>
      </c>
      <c r="J78" s="244" t="str">
        <f aca="false">_xlfn.xlookup(I78,'Prix MP'!A:A,'Prix MP'!F:F,FALSE())</f>
        <v>S21-1</v>
      </c>
      <c r="K78" s="245" t="n">
        <f aca="false">979.2/2</f>
        <v>489.6</v>
      </c>
      <c r="L78" s="245" t="n">
        <f aca="false">378/2</f>
        <v>189</v>
      </c>
      <c r="M78" s="245" t="n">
        <f aca="false">448.2/2</f>
        <v>224.1</v>
      </c>
      <c r="N78" s="245"/>
      <c r="O78" s="245"/>
      <c r="P78" s="246" t="n">
        <v>0</v>
      </c>
      <c r="Q78" s="219" t="n">
        <f aca="false">2.25/2</f>
        <v>1.125</v>
      </c>
      <c r="R78" s="247" t="n">
        <v>0</v>
      </c>
      <c r="S78" s="272"/>
      <c r="T78" s="248" t="n">
        <f aca="false">_xlfn.xlookup(I78,'Prix MP'!A:A,'Prix MP'!U:U, FALSE())</f>
        <v>0.28357864079936</v>
      </c>
      <c r="U78" s="249" t="n">
        <f aca="false">M78*T78</f>
        <v>63.5499734031366</v>
      </c>
      <c r="V78" s="249" t="n">
        <f aca="false">(K78-M78-L78)*T78</f>
        <v>21.693766021151</v>
      </c>
      <c r="W78" s="250" t="n">
        <f aca="false">(K78-M78-L78)/K78</f>
        <v>0.15625</v>
      </c>
      <c r="X78" s="249" t="n">
        <f aca="false">4.07078205882353/2</f>
        <v>2.03539102941177</v>
      </c>
      <c r="Y78" s="249" t="n">
        <f aca="false">19.2*P78</f>
        <v>0</v>
      </c>
      <c r="Z78" s="249" t="n">
        <f aca="false">125000/52/40*Q78</f>
        <v>67.6081730769231</v>
      </c>
      <c r="AA78" s="249" t="n">
        <f aca="false">(M78+N78)*T78+R78+V78+X78+Y78+Z78</f>
        <v>154.887303530622</v>
      </c>
      <c r="AB78" s="285" t="n">
        <f aca="false">_xlfn.xlookup(H78,'Prix vente'!A:A,'Prix vente'!X:X, "")</f>
        <v>0</v>
      </c>
      <c r="AC78" s="285" t="str">
        <f aca="false">_xlfn.xlookup(H78,'Prix vente'!A:A,'Prix vente'!Z:Z, "")</f>
        <v>CAD</v>
      </c>
      <c r="AD78" s="249" t="n">
        <f aca="false">IF(AC78="CAD",(M78+N78)*AB78,(M78+N78)*AB78*S78)</f>
        <v>0</v>
      </c>
      <c r="AE78" s="249" t="n">
        <f aca="false">AD78-AA78</f>
        <v>-154.887303530622</v>
      </c>
      <c r="AF78" s="273"/>
      <c r="AG78" s="252" t="n">
        <f aca="false">((M78+N78)*T78+V78)</f>
        <v>85.2437394242876</v>
      </c>
      <c r="AH78" s="273"/>
      <c r="AI78" s="273" t="str">
        <f aca="false">IF(AD78=0,"S","")</f>
        <v>S</v>
      </c>
      <c r="AK78" s="15" t="e">
        <v>#NAME?</v>
      </c>
      <c r="AL78" s="15" t="e">
        <f aca="false">_xlfn.xlookup(AK78,A:A,F:F)</f>
        <v>#NAME?</v>
      </c>
      <c r="AM78" s="15" t="e">
        <f aca="false">_xlfn.xlookup(AK78,A:A,J:J)</f>
        <v>#NAME?</v>
      </c>
      <c r="AN78" s="15" t="e">
        <f aca="false">_xlfn.xlookup(AK78,A:A,M:M)+_xlfn.xlookup(AK78,A:A,N:N)</f>
        <v>#NAME?</v>
      </c>
      <c r="AO78" s="223" t="e">
        <f aca="false">_xlfn.xlookup(AK78,A:A,AG:AG)</f>
        <v>#NAME?</v>
      </c>
      <c r="AP78" s="223" t="e">
        <f aca="false">_xlfn.xlookup(AK78,A:A,AD:AD)</f>
        <v>#NAME?</v>
      </c>
      <c r="AQ78" s="223" t="e">
        <f aca="false">_xlfn.xlookup(AK78,A:A,AE:AE)</f>
        <v>#NAME?</v>
      </c>
      <c r="AX78" s="288"/>
      <c r="AY78" s="288"/>
      <c r="AZ78" s="288"/>
      <c r="BA78" s="15" t="e">
        <v>#NAME?</v>
      </c>
      <c r="BB78" s="257" t="e">
        <f aca="false">_xlfn.xlookup(BA78,A:A,F:F)</f>
        <v>#NAME?</v>
      </c>
      <c r="BC78" s="15" t="e">
        <f aca="false">_xlfn.xlookup(BA78,A:A,J:J)</f>
        <v>#NAME?</v>
      </c>
      <c r="BD78" s="75" t="e">
        <f aca="false">_xlfn.xlookup(BA78,A:A,M:M)+_xlfn.xlookup(BA78,A:A,N:N)</f>
        <v>#NAME?</v>
      </c>
      <c r="BE78" s="75" t="e">
        <f aca="false">_xlfn.xlookup(BA78,A26:A1014,AA26:AA1014)</f>
        <v>#NAME?</v>
      </c>
      <c r="BG78" s="0"/>
      <c r="BH78" s="0"/>
      <c r="BI78" s="0"/>
    </row>
    <row r="79" customFormat="false" ht="16.4" hidden="false" customHeight="false" outlineLevel="0" collapsed="false">
      <c r="A79" s="241" t="s">
        <v>1447</v>
      </c>
      <c r="B79" s="241"/>
      <c r="C79" s="242" t="n">
        <v>45568</v>
      </c>
      <c r="D79" s="219" t="n">
        <v>217</v>
      </c>
      <c r="E79" s="241" t="s">
        <v>230</v>
      </c>
      <c r="F79" s="241" t="str">
        <f aca="false">_xlfn.xlookup(E79,Clients!B:B,Clients!C:C)</f>
        <v>Damaflex</v>
      </c>
      <c r="G79" s="241"/>
      <c r="H79" s="243" t="n">
        <v>40107</v>
      </c>
      <c r="I79" s="243" t="n">
        <v>30011</v>
      </c>
      <c r="J79" s="244" t="str">
        <f aca="false">_xlfn.xlookup(I79,'Prix MP'!A:A,'Prix MP'!F:F,FALSE())</f>
        <v>S21-1</v>
      </c>
      <c r="K79" s="245" t="n">
        <f aca="false">979.2/2</f>
        <v>489.6</v>
      </c>
      <c r="L79" s="245" t="n">
        <f aca="false">378/2</f>
        <v>189</v>
      </c>
      <c r="M79" s="245" t="n">
        <f aca="false">448.2/2</f>
        <v>224.1</v>
      </c>
      <c r="N79" s="245"/>
      <c r="O79" s="245"/>
      <c r="P79" s="246" t="n">
        <v>0</v>
      </c>
      <c r="Q79" s="219" t="n">
        <f aca="false">2.25/2</f>
        <v>1.125</v>
      </c>
      <c r="R79" s="247" t="n">
        <v>0</v>
      </c>
      <c r="S79" s="272"/>
      <c r="T79" s="248" t="n">
        <f aca="false">_xlfn.xlookup(I79,'Prix MP'!A:A,'Prix MP'!U:U, FALSE())</f>
        <v>0.28357864079936</v>
      </c>
      <c r="U79" s="249" t="n">
        <f aca="false">M79*T79</f>
        <v>63.5499734031366</v>
      </c>
      <c r="V79" s="249" t="n">
        <f aca="false">(K79-M79-L79)*T79</f>
        <v>21.693766021151</v>
      </c>
      <c r="W79" s="250" t="n">
        <f aca="false">(K79-M79-L79)/K79</f>
        <v>0.15625</v>
      </c>
      <c r="X79" s="249" t="n">
        <f aca="false">4.07078205882353/2</f>
        <v>2.03539102941177</v>
      </c>
      <c r="Y79" s="249" t="n">
        <f aca="false">19.2*P79</f>
        <v>0</v>
      </c>
      <c r="Z79" s="249" t="n">
        <f aca="false">125000/52/40*Q79</f>
        <v>67.6081730769231</v>
      </c>
      <c r="AA79" s="249" t="n">
        <f aca="false">(M79+N79)*T79+R79+V79+X79+Y79+Z79</f>
        <v>154.887303530622</v>
      </c>
      <c r="AB79" s="285" t="n">
        <f aca="false">_xlfn.xlookup(H79,'Prix vente'!A:A,'Prix vente'!X:X, "")</f>
        <v>0</v>
      </c>
      <c r="AC79" s="285" t="str">
        <f aca="false">_xlfn.xlookup(H79,'Prix vente'!A:A,'Prix vente'!Z:Z, "")</f>
        <v>CAD</v>
      </c>
      <c r="AD79" s="249" t="n">
        <f aca="false">IF(AC79="CAD",(M79+N79)*AB79,(M79+N79)*AB79*S79)</f>
        <v>0</v>
      </c>
      <c r="AE79" s="249" t="n">
        <f aca="false">AD79-AA79</f>
        <v>-154.887303530622</v>
      </c>
      <c r="AF79" s="273"/>
      <c r="AG79" s="252" t="n">
        <f aca="false">((M79+N79)*T79+V79)</f>
        <v>85.2437394242876</v>
      </c>
      <c r="AH79" s="273"/>
      <c r="AI79" s="273" t="str">
        <f aca="false">IF(AD79=0,"S","")</f>
        <v>S</v>
      </c>
      <c r="AK79" s="15" t="e">
        <v>#NAME?</v>
      </c>
      <c r="AL79" s="15" t="e">
        <f aca="false">_xlfn.xlookup(AK79,A:A,F:F)</f>
        <v>#NAME?</v>
      </c>
      <c r="AM79" s="15" t="e">
        <f aca="false">_xlfn.xlookup(AK79,A:A,J:J)</f>
        <v>#NAME?</v>
      </c>
      <c r="AN79" s="15" t="e">
        <f aca="false">_xlfn.xlookup(AK79,A:A,M:M)+_xlfn.xlookup(AK79,A:A,N:N)</f>
        <v>#NAME?</v>
      </c>
      <c r="AO79" s="223" t="e">
        <f aca="false">_xlfn.xlookup(AK79,A:A,AG:AG)</f>
        <v>#NAME?</v>
      </c>
      <c r="AP79" s="223" t="e">
        <f aca="false">_xlfn.xlookup(AK79,A:A,AD:AD)</f>
        <v>#NAME?</v>
      </c>
      <c r="AQ79" s="223" t="e">
        <f aca="false">_xlfn.xlookup(AK79,A:A,AE:AE)</f>
        <v>#NAME?</v>
      </c>
      <c r="AX79" s="288"/>
      <c r="AY79" s="288"/>
      <c r="AZ79" s="288"/>
      <c r="BA79" s="15" t="e">
        <v>#NAME?</v>
      </c>
      <c r="BB79" s="257" t="e">
        <f aca="false">_xlfn.xlookup(BA79,A:A,F:F)</f>
        <v>#NAME?</v>
      </c>
      <c r="BC79" s="15" t="e">
        <f aca="false">_xlfn.xlookup(BA79,A:A,J:J)</f>
        <v>#NAME?</v>
      </c>
      <c r="BD79" s="75" t="e">
        <f aca="false">_xlfn.xlookup(BA79,A:A,M:M)+_xlfn.xlookup(BA79,A:A,N:N)</f>
        <v>#NAME?</v>
      </c>
      <c r="BE79" s="75" t="e">
        <f aca="false">_xlfn.xlookup(BA79,A27:A1015,AA27:AA1015)</f>
        <v>#NAME?</v>
      </c>
      <c r="BG79" s="0"/>
      <c r="BH79" s="0"/>
      <c r="BI79" s="0"/>
    </row>
    <row r="80" customFormat="false" ht="16.4" hidden="false" customHeight="false" outlineLevel="0" collapsed="false">
      <c r="A80" s="241" t="s">
        <v>1034</v>
      </c>
      <c r="B80" s="241"/>
      <c r="C80" s="242" t="n">
        <v>45568</v>
      </c>
      <c r="D80" s="219" t="n">
        <v>217</v>
      </c>
      <c r="E80" s="241" t="str">
        <f aca="false">_xlfn.xlookup(D80,'PO Client'!$A:$A,'PO Client'!$C:$C,FALSE())</f>
        <v>Amstik</v>
      </c>
      <c r="F80" s="241" t="str">
        <f aca="false">_xlfn.xlookup(E80,Clients!B:B,Clients!C:C)</f>
        <v>Amstik</v>
      </c>
      <c r="G80" s="241"/>
      <c r="H80" s="243" t="n">
        <v>40108</v>
      </c>
      <c r="I80" s="243" t="n">
        <v>30015</v>
      </c>
      <c r="J80" s="244" t="str">
        <f aca="false">_xlfn.xlookup(I80,'Prix MP'!A:A,'Prix MP'!F:F,FALSE())</f>
        <v>S15-3</v>
      </c>
      <c r="K80" s="245" t="n">
        <v>491.4</v>
      </c>
      <c r="L80" s="245" t="n">
        <v>263.16</v>
      </c>
      <c r="M80" s="245" t="n">
        <v>206.55</v>
      </c>
      <c r="N80" s="245"/>
      <c r="O80" s="245"/>
      <c r="P80" s="246" t="n">
        <v>0</v>
      </c>
      <c r="Q80" s="219" t="n">
        <v>0.75</v>
      </c>
      <c r="R80" s="247" t="n">
        <v>0</v>
      </c>
      <c r="S80" s="272"/>
      <c r="T80" s="248" t="n">
        <f aca="false">_xlfn.xlookup(I80,'Prix MP'!A:A,'Prix MP'!U:U, FALSE())</f>
        <v>0.268854241086576</v>
      </c>
      <c r="U80" s="249" t="n">
        <f aca="false">M80*T80</f>
        <v>55.5318434964324</v>
      </c>
      <c r="V80" s="249" t="n">
        <f aca="false">(K80-M80-L80)*T80</f>
        <v>5.83144848916783</v>
      </c>
      <c r="W80" s="250" t="n">
        <f aca="false">(K80-M80-L80)/K80</f>
        <v>0.044139194139194</v>
      </c>
      <c r="X80" s="249" t="n">
        <v>1.64046441176471</v>
      </c>
      <c r="Y80" s="249" t="n">
        <f aca="false">19.2*P80</f>
        <v>0</v>
      </c>
      <c r="Z80" s="249" t="n">
        <f aca="false">125000/52/40*Q80</f>
        <v>45.0721153846154</v>
      </c>
      <c r="AA80" s="249" t="n">
        <f aca="false">(M80+N80)*T80+R80+V80+X80+Y80+Z80</f>
        <v>108.07587178198</v>
      </c>
      <c r="AB80" s="285" t="n">
        <f aca="false">_xlfn.xlookup(H80,'Prix vente'!A:A,'Prix vente'!X:X, "")</f>
        <v>0</v>
      </c>
      <c r="AC80" s="285" t="str">
        <f aca="false">_xlfn.xlookup(H80,'Prix vente'!A:A,'Prix vente'!Z:Z, "")</f>
        <v>CAD</v>
      </c>
      <c r="AD80" s="249" t="n">
        <f aca="false">IF(AC80="CAD",(M80+N80)*AB80,(M80+N80)*AB80*S80)</f>
        <v>0</v>
      </c>
      <c r="AE80" s="249" t="n">
        <f aca="false">AD80-AA80</f>
        <v>-108.07587178198</v>
      </c>
      <c r="AF80" s="273"/>
      <c r="AG80" s="252" t="n">
        <f aca="false">((M80+N80)*T80+V80)</f>
        <v>61.3632919856002</v>
      </c>
      <c r="AH80" s="273"/>
      <c r="AI80" s="273" t="str">
        <f aca="false">IF(AD80=0,"S","")</f>
        <v>S</v>
      </c>
      <c r="AK80" s="15" t="e">
        <v>#NAME?</v>
      </c>
      <c r="AL80" s="15" t="e">
        <f aca="false">_xlfn.xlookup(AK80,A:A,F:F)</f>
        <v>#NAME?</v>
      </c>
      <c r="AM80" s="15" t="e">
        <f aca="false">_xlfn.xlookup(AK80,A:A,J:J)</f>
        <v>#NAME?</v>
      </c>
      <c r="AN80" s="15" t="e">
        <f aca="false">_xlfn.xlookup(AK80,A:A,M:M)+_xlfn.xlookup(AK80,A:A,N:N)</f>
        <v>#NAME?</v>
      </c>
      <c r="AO80" s="223" t="e">
        <f aca="false">_xlfn.xlookup(AK80,A:A,AG:AG)</f>
        <v>#NAME?</v>
      </c>
      <c r="AP80" s="223" t="e">
        <f aca="false">_xlfn.xlookup(AK80,A:A,AD:AD)</f>
        <v>#NAME?</v>
      </c>
      <c r="AQ80" s="223" t="e">
        <f aca="false">_xlfn.xlookup(AK80,A:A,AE:AE)</f>
        <v>#NAME?</v>
      </c>
      <c r="AX80" s="288"/>
      <c r="AY80" s="288"/>
      <c r="AZ80" s="288"/>
      <c r="BA80" s="15" t="e">
        <v>#NAME?</v>
      </c>
      <c r="BB80" s="257" t="e">
        <f aca="false">_xlfn.xlookup(BA80,A:A,F:F)</f>
        <v>#NAME?</v>
      </c>
      <c r="BC80" s="15" t="e">
        <f aca="false">_xlfn.xlookup(BA80,A:A,J:J)</f>
        <v>#NAME?</v>
      </c>
      <c r="BD80" s="75" t="e">
        <f aca="false">_xlfn.xlookup(BA80,A:A,M:M)+_xlfn.xlookup(BA80,A:A,N:N)</f>
        <v>#NAME?</v>
      </c>
      <c r="BE80" s="75" t="e">
        <f aca="false">_xlfn.xlookup(BA80,A28:A1016,AA28:AA1016)</f>
        <v>#NAME?</v>
      </c>
      <c r="BG80" s="0"/>
      <c r="BH80" s="0"/>
      <c r="BI80" s="0"/>
    </row>
    <row r="81" customFormat="false" ht="16.4" hidden="false" customHeight="false" outlineLevel="0" collapsed="false">
      <c r="A81" s="241" t="s">
        <v>1037</v>
      </c>
      <c r="B81" s="241"/>
      <c r="C81" s="242" t="n">
        <v>45568</v>
      </c>
      <c r="D81" s="219" t="n">
        <v>217</v>
      </c>
      <c r="E81" s="241" t="str">
        <f aca="false">_xlfn.xlookup(D81,'PO Client'!$A:$A,'PO Client'!$C:$C,FALSE())</f>
        <v>Amstik</v>
      </c>
      <c r="F81" s="241" t="str">
        <f aca="false">_xlfn.xlookup(E81,Clients!B:B,Clients!C:C)</f>
        <v>Amstik</v>
      </c>
      <c r="G81" s="241"/>
      <c r="H81" s="243" t="n">
        <v>40109</v>
      </c>
      <c r="I81" s="243" t="n">
        <v>30016</v>
      </c>
      <c r="J81" s="244" t="str">
        <f aca="false">_xlfn.xlookup(I81,'Prix MP'!A:A,'Prix MP'!F:F,FALSE())</f>
        <v>B15-3</v>
      </c>
      <c r="K81" s="245" t="n">
        <v>10337.18</v>
      </c>
      <c r="L81" s="245" t="n">
        <v>9984.38</v>
      </c>
      <c r="M81" s="245" t="n">
        <v>280.8</v>
      </c>
      <c r="N81" s="245"/>
      <c r="O81" s="245"/>
      <c r="P81" s="246" t="n">
        <v>0</v>
      </c>
      <c r="Q81" s="219" t="n">
        <v>2</v>
      </c>
      <c r="R81" s="247" t="n">
        <v>0</v>
      </c>
      <c r="S81" s="272"/>
      <c r="T81" s="248" t="n">
        <f aca="false">_xlfn.xlookup(I81,'Prix MP'!A:A,'Prix MP'!U:U, FALSE())</f>
        <v>0.326284886247867</v>
      </c>
      <c r="U81" s="249" t="n">
        <f aca="false">M81*T81</f>
        <v>91.620796058401</v>
      </c>
      <c r="V81" s="249" t="n">
        <f aca="false">(K81-M81-L81)*T81</f>
        <v>23.492511809847</v>
      </c>
      <c r="W81" s="250" t="n">
        <f aca="false">(K81-M81-L81)/K81</f>
        <v>0.00696514910256006</v>
      </c>
      <c r="X81" s="249" t="n">
        <v>2.36955970588235</v>
      </c>
      <c r="Y81" s="249" t="n">
        <f aca="false">19.2*P81</f>
        <v>0</v>
      </c>
      <c r="Z81" s="249" t="n">
        <f aca="false">125000/52/40*Q81</f>
        <v>120.192307692308</v>
      </c>
      <c r="AA81" s="249" t="n">
        <f aca="false">(M81+N81)*T81+R81+V81+X81+Y81+Z81</f>
        <v>237.675175266438</v>
      </c>
      <c r="AB81" s="285" t="n">
        <f aca="false">_xlfn.xlookup(H81,'Prix vente'!A:A,'Prix vente'!X:X, "")</f>
        <v>0</v>
      </c>
      <c r="AC81" s="285" t="str">
        <f aca="false">_xlfn.xlookup(H81,'Prix vente'!A:A,'Prix vente'!Z:Z, "")</f>
        <v>CAD</v>
      </c>
      <c r="AD81" s="249" t="n">
        <f aca="false">IF(AC81="CAD",(M81+N81)*AB81,(M81+N81)*AB81*S81)</f>
        <v>0</v>
      </c>
      <c r="AE81" s="249" t="n">
        <f aca="false">AD81-AA81</f>
        <v>-237.675175266438</v>
      </c>
      <c r="AF81" s="273"/>
      <c r="AG81" s="252" t="n">
        <f aca="false">((M81+N81)*T81+V81)</f>
        <v>115.113307868248</v>
      </c>
      <c r="AH81" s="273"/>
      <c r="AI81" s="273" t="str">
        <f aca="false">IF(AD81=0,"S","")</f>
        <v>S</v>
      </c>
      <c r="AK81" s="15" t="e">
        <v>#NAME?</v>
      </c>
      <c r="AL81" s="15" t="e">
        <f aca="false">_xlfn.xlookup(AK81,A:A,F:F)</f>
        <v>#NAME?</v>
      </c>
      <c r="AM81" s="15" t="e">
        <f aca="false">_xlfn.xlookup(AK81,A:A,J:J)</f>
        <v>#NAME?</v>
      </c>
      <c r="AN81" s="15" t="e">
        <f aca="false">_xlfn.xlookup(AK81,A:A,M:M)+_xlfn.xlookup(AK81,A:A,N:N)</f>
        <v>#NAME?</v>
      </c>
      <c r="AO81" s="223" t="e">
        <f aca="false">_xlfn.xlookup(AK81,A:A,AG:AG)</f>
        <v>#NAME?</v>
      </c>
      <c r="AP81" s="223" t="e">
        <f aca="false">_xlfn.xlookup(AK81,A:A,AD:AD)</f>
        <v>#NAME?</v>
      </c>
      <c r="AQ81" s="223" t="e">
        <f aca="false">_xlfn.xlookup(AK81,A:A,AE:AE)</f>
        <v>#NAME?</v>
      </c>
      <c r="AX81" s="288"/>
      <c r="AY81" s="288"/>
      <c r="AZ81" s="288"/>
      <c r="BA81" s="15" t="e">
        <v>#NAME?</v>
      </c>
      <c r="BB81" s="257" t="e">
        <f aca="false">_xlfn.xlookup(BA81,A:A,F:F)</f>
        <v>#NAME?</v>
      </c>
      <c r="BC81" s="15" t="e">
        <f aca="false">_xlfn.xlookup(BA81,A:A,J:J)</f>
        <v>#NAME?</v>
      </c>
      <c r="BD81" s="75" t="e">
        <f aca="false">_xlfn.xlookup(BA81,A:A,M:M)+_xlfn.xlookup(BA81,A:A,N:N)</f>
        <v>#NAME?</v>
      </c>
      <c r="BE81" s="75" t="e">
        <f aca="false">_xlfn.xlookup(BA81,A29:A1017,AA29:AA1017)</f>
        <v>#NAME?</v>
      </c>
      <c r="BG81" s="0"/>
      <c r="BH81" s="0"/>
      <c r="BI81" s="0"/>
    </row>
    <row r="82" customFormat="false" ht="16.4" hidden="false" customHeight="false" outlineLevel="0" collapsed="false">
      <c r="A82" s="241" t="s">
        <v>1040</v>
      </c>
      <c r="B82" s="241"/>
      <c r="C82" s="242" t="n">
        <v>45568</v>
      </c>
      <c r="D82" s="219" t="n">
        <v>217</v>
      </c>
      <c r="E82" s="241" t="str">
        <f aca="false">_xlfn.xlookup(D82,'PO Client'!$A:$A,'PO Client'!$C:$C,FALSE())</f>
        <v>Amstik</v>
      </c>
      <c r="F82" s="241" t="str">
        <f aca="false">_xlfn.xlookup(E82,Clients!B:B,Clients!C:C)</f>
        <v>Amstik</v>
      </c>
      <c r="G82" s="241"/>
      <c r="H82" s="243" t="n">
        <v>40110</v>
      </c>
      <c r="I82" s="243" t="n">
        <v>30017</v>
      </c>
      <c r="J82" s="244" t="str">
        <f aca="false">_xlfn.xlookup(I82,'Prix MP'!A:A,'Prix MP'!F:F,FALSE())</f>
        <v>B25-3</v>
      </c>
      <c r="K82" s="245" t="n">
        <v>552.9</v>
      </c>
      <c r="L82" s="245" t="n">
        <v>285</v>
      </c>
      <c r="M82" s="245" t="n">
        <v>249.84</v>
      </c>
      <c r="N82" s="245"/>
      <c r="O82" s="245"/>
      <c r="P82" s="246" t="n">
        <v>0</v>
      </c>
      <c r="Q82" s="219" t="n">
        <v>0.5</v>
      </c>
      <c r="R82" s="247" t="n">
        <v>0</v>
      </c>
      <c r="S82" s="272"/>
      <c r="T82" s="248" t="n">
        <f aca="false">_xlfn.xlookup(I82,'Prix MP'!A:A,'Prix MP'!U:U, FALSE())</f>
        <v>0.326284886247867</v>
      </c>
      <c r="U82" s="249" t="n">
        <f aca="false">M82*T82</f>
        <v>81.519015980167</v>
      </c>
      <c r="V82" s="249" t="n">
        <f aca="false">(K82-M82-L82)*T82</f>
        <v>5.89270504563646</v>
      </c>
      <c r="W82" s="250" t="n">
        <f aca="false">(K82-M82-L82)/K82</f>
        <v>0.0326641345632121</v>
      </c>
      <c r="X82" s="249" t="n">
        <v>2.10830055882353</v>
      </c>
      <c r="Y82" s="249" t="n">
        <f aca="false">19.2*P82</f>
        <v>0</v>
      </c>
      <c r="Z82" s="249" t="n">
        <f aca="false">125000/52/40*Q82</f>
        <v>30.0480769230769</v>
      </c>
      <c r="AA82" s="249" t="n">
        <f aca="false">(M82+N82)*T82+R82+V82+X82+Y82+Z82</f>
        <v>119.568098507704</v>
      </c>
      <c r="AB82" s="285" t="n">
        <f aca="false">_xlfn.xlookup(H82,'Prix vente'!A:A,'Prix vente'!X:X, "")</f>
        <v>0</v>
      </c>
      <c r="AC82" s="285" t="str">
        <f aca="false">_xlfn.xlookup(H82,'Prix vente'!A:A,'Prix vente'!Z:Z, "")</f>
        <v>CAD</v>
      </c>
      <c r="AD82" s="249" t="n">
        <f aca="false">IF(AC82="CAD",(M82+N82)*AB82,(M82+N82)*AB82*S82)</f>
        <v>0</v>
      </c>
      <c r="AE82" s="249" t="n">
        <f aca="false">AD82-AA82</f>
        <v>-119.568098507704</v>
      </c>
      <c r="AF82" s="273"/>
      <c r="AG82" s="252" t="n">
        <f aca="false">((M82+N82)*T82+V82)</f>
        <v>87.4117210258035</v>
      </c>
      <c r="AH82" s="273"/>
      <c r="AI82" s="273" t="str">
        <f aca="false">IF(AD82=0,"S","")</f>
        <v>S</v>
      </c>
      <c r="AK82" s="15" t="e">
        <v>#NAME?</v>
      </c>
      <c r="AL82" s="15" t="e">
        <f aca="false">_xlfn.xlookup(AK82,A:A,F:F)</f>
        <v>#NAME?</v>
      </c>
      <c r="AM82" s="15" t="e">
        <f aca="false">_xlfn.xlookup(AK82,A:A,J:J)</f>
        <v>#NAME?</v>
      </c>
      <c r="AN82" s="15" t="e">
        <f aca="false">_xlfn.xlookup(AK82,A:A,M:M)+_xlfn.xlookup(AK82,A:A,N:N)</f>
        <v>#NAME?</v>
      </c>
      <c r="AO82" s="223" t="e">
        <f aca="false">_xlfn.xlookup(AK82,A:A,AG:AG)</f>
        <v>#NAME?</v>
      </c>
      <c r="AP82" s="223" t="e">
        <f aca="false">_xlfn.xlookup(AK82,A:A,AD:AD)</f>
        <v>#NAME?</v>
      </c>
      <c r="AQ82" s="223" t="e">
        <f aca="false">_xlfn.xlookup(AK82,A:A,AE:AE)</f>
        <v>#NAME?</v>
      </c>
      <c r="AX82" s="288"/>
      <c r="AY82" s="288"/>
      <c r="AZ82" s="288"/>
      <c r="BA82" s="15" t="e">
        <v>#NAME?</v>
      </c>
      <c r="BB82" s="257" t="e">
        <f aca="false">_xlfn.xlookup(BA82,A:A,F:F)</f>
        <v>#NAME?</v>
      </c>
      <c r="BC82" s="15" t="e">
        <f aca="false">_xlfn.xlookup(BA82,A:A,J:J)</f>
        <v>#NAME?</v>
      </c>
      <c r="BD82" s="75" t="e">
        <f aca="false">_xlfn.xlookup(BA82,A:A,M:M)+_xlfn.xlookup(BA82,A:A,N:N)</f>
        <v>#NAME?</v>
      </c>
      <c r="BE82" s="75" t="e">
        <f aca="false">_xlfn.xlookup(BA82,A30:A1018,AA30:AA1018)</f>
        <v>#NAME?</v>
      </c>
      <c r="BG82" s="0"/>
      <c r="BH82" s="0"/>
      <c r="BI82" s="0"/>
    </row>
    <row r="83" customFormat="false" ht="16.4" hidden="false" customHeight="false" outlineLevel="0" collapsed="false">
      <c r="A83" s="241" t="s">
        <v>1042</v>
      </c>
      <c r="B83" s="241"/>
      <c r="C83" s="242" t="n">
        <v>45568</v>
      </c>
      <c r="D83" s="219" t="n">
        <v>220</v>
      </c>
      <c r="E83" s="241" t="str">
        <f aca="false">_xlfn.xlookup(D83,'PO Client'!$A:$A,'PO Client'!$C:$C,FALSE())</f>
        <v>Damaflex Imprimerie Multiservices Inc.</v>
      </c>
      <c r="F83" s="241" t="str">
        <f aca="false">_xlfn.xlookup(E83,Clients!B:B,Clients!C:C)</f>
        <v>Damaflex</v>
      </c>
      <c r="G83" s="241"/>
      <c r="H83" s="243" t="n">
        <v>40114</v>
      </c>
      <c r="I83" s="243" t="n">
        <v>30013</v>
      </c>
      <c r="J83" s="244" t="str">
        <f aca="false">_xlfn.xlookup(I83,'Prix MP'!A:A,'Prix MP'!F:F,FALSE())</f>
        <v>D11-1</v>
      </c>
      <c r="K83" s="245" t="n">
        <v>507.6</v>
      </c>
      <c r="L83" s="245" t="n">
        <v>225.6</v>
      </c>
      <c r="M83" s="245" t="n">
        <v>270.72</v>
      </c>
      <c r="N83" s="245"/>
      <c r="O83" s="245"/>
      <c r="P83" s="246" t="n">
        <v>0</v>
      </c>
      <c r="Q83" s="219" t="n">
        <v>0.75</v>
      </c>
      <c r="R83" s="247" t="n">
        <v>0</v>
      </c>
      <c r="S83" s="272"/>
      <c r="T83" s="248" t="n">
        <f aca="false">_xlfn.xlookup(I83,'Prix MP'!A:A,'Prix MP'!U:U, FALSE())</f>
        <v>0.358173933722525</v>
      </c>
      <c r="U83" s="249" t="n">
        <f aca="false">M83*T83</f>
        <v>96.964847337362</v>
      </c>
      <c r="V83" s="249" t="n">
        <f aca="false">(K83-M83-L83)*T83</f>
        <v>4.04020197239008</v>
      </c>
      <c r="W83" s="250" t="n">
        <f aca="false">(K83-M83-L83)/K83</f>
        <v>0.0222222222222222</v>
      </c>
      <c r="X83" s="249" t="n">
        <v>2.28449858823529</v>
      </c>
      <c r="Y83" s="249" t="n">
        <f aca="false">19.2*P83</f>
        <v>0</v>
      </c>
      <c r="Z83" s="249" t="n">
        <f aca="false">125000/52/40*Q83</f>
        <v>45.0721153846154</v>
      </c>
      <c r="AA83" s="249" t="n">
        <f aca="false">(M83+N83)*T83+R83+V83+X83+Y83+Z83</f>
        <v>148.361663282603</v>
      </c>
      <c r="AB83" s="285" t="n">
        <f aca="false">_xlfn.xlookup(H83,'Prix vente'!A:A,'Prix vente'!X:X, "")</f>
        <v>0</v>
      </c>
      <c r="AC83" s="285" t="str">
        <f aca="false">_xlfn.xlookup(H83,'Prix vente'!A:A,'Prix vente'!Z:Z, "")</f>
        <v>CAD</v>
      </c>
      <c r="AD83" s="249" t="n">
        <f aca="false">IF(AC83="CAD",(M83+N83)*AB83,(M83+N83)*AB83*S83)</f>
        <v>0</v>
      </c>
      <c r="AE83" s="249" t="n">
        <f aca="false">AD83-AA83</f>
        <v>-148.361663282603</v>
      </c>
      <c r="AF83" s="273"/>
      <c r="AG83" s="252" t="n">
        <f aca="false">((M83+N83)*T83+V83)</f>
        <v>101.005049309752</v>
      </c>
      <c r="AH83" s="273"/>
      <c r="AI83" s="273" t="str">
        <f aca="false">IF(AD83=0,"S","")</f>
        <v>S</v>
      </c>
      <c r="AK83" s="15" t="e">
        <v>#NAME?</v>
      </c>
      <c r="AL83" s="15" t="e">
        <f aca="false">_xlfn.xlookup(AK83,A:A,F:F)</f>
        <v>#NAME?</v>
      </c>
      <c r="AM83" s="15" t="e">
        <f aca="false">_xlfn.xlookup(AK83,A:A,J:J)</f>
        <v>#NAME?</v>
      </c>
      <c r="AN83" s="15" t="e">
        <f aca="false">_xlfn.xlookup(AK83,A:A,M:M)+_xlfn.xlookup(AK83,A:A,N:N)</f>
        <v>#NAME?</v>
      </c>
      <c r="AO83" s="223" t="e">
        <f aca="false">_xlfn.xlookup(AK83,A:A,AG:AG)</f>
        <v>#NAME?</v>
      </c>
      <c r="AP83" s="223" t="e">
        <f aca="false">_xlfn.xlookup(AK83,A:A,AD:AD)</f>
        <v>#NAME?</v>
      </c>
      <c r="AQ83" s="223" t="e">
        <f aca="false">_xlfn.xlookup(AK83,A:A,AE:AE)</f>
        <v>#NAME?</v>
      </c>
      <c r="AX83" s="288"/>
      <c r="AY83" s="288"/>
      <c r="AZ83" s="288"/>
      <c r="BA83" s="15" t="e">
        <v>#NAME?</v>
      </c>
      <c r="BB83" s="257" t="e">
        <f aca="false">_xlfn.xlookup(BA83,A:A,F:F)</f>
        <v>#NAME?</v>
      </c>
      <c r="BC83" s="15" t="e">
        <f aca="false">_xlfn.xlookup(BA83,A:A,J:J)</f>
        <v>#NAME?</v>
      </c>
      <c r="BD83" s="75" t="e">
        <f aca="false">_xlfn.xlookup(BA83,A:A,M:M)+_xlfn.xlookup(BA83,A:A,N:N)</f>
        <v>#NAME?</v>
      </c>
      <c r="BE83" s="75" t="e">
        <f aca="false">_xlfn.xlookup(BA83,A31:A1019,AA31:AA1019)</f>
        <v>#NAME?</v>
      </c>
      <c r="BG83" s="0"/>
      <c r="BH83" s="0"/>
      <c r="BI83" s="0"/>
    </row>
    <row r="84" customFormat="false" ht="16.4" hidden="false" customHeight="false" outlineLevel="0" collapsed="false">
      <c r="A84" s="241" t="s">
        <v>1044</v>
      </c>
      <c r="B84" s="241"/>
      <c r="C84" s="242" t="n">
        <v>45572</v>
      </c>
      <c r="D84" s="219" t="n">
        <v>221</v>
      </c>
      <c r="E84" s="241" t="str">
        <f aca="false">_xlfn.xlookup(D84,'PO Client'!$A:$A,'PO Client'!$C:$C,FALSE())</f>
        <v>Imprimerie Ste-Julie</v>
      </c>
      <c r="F84" s="241" t="str">
        <f aca="false">_xlfn.xlookup(E84,Clients!B:B,Clients!C:C)</f>
        <v>Imprimerie Ste-Julie</v>
      </c>
      <c r="G84" s="241"/>
      <c r="H84" s="243" t="n">
        <v>40067</v>
      </c>
      <c r="I84" s="243" t="n">
        <v>30015</v>
      </c>
      <c r="J84" s="244" t="str">
        <f aca="false">_xlfn.xlookup(I84,'Prix MP'!A:A,'Prix MP'!F:F,FALSE())</f>
        <v>S15-3</v>
      </c>
      <c r="K84" s="245" t="n">
        <v>14372.30016</v>
      </c>
      <c r="L84" s="245" t="n">
        <v>10770.91</v>
      </c>
      <c r="M84" s="245" t="n">
        <v>3456</v>
      </c>
      <c r="N84" s="245"/>
      <c r="O84" s="245"/>
      <c r="P84" s="246" t="n">
        <v>1</v>
      </c>
      <c r="Q84" s="219" t="n">
        <v>2</v>
      </c>
      <c r="R84" s="247" t="n">
        <v>-23.5</v>
      </c>
      <c r="S84" s="272" t="n">
        <v>1.3577</v>
      </c>
      <c r="T84" s="248" t="n">
        <f aca="false">_xlfn.xlookup(I84,'Prix MP'!A:A,'Prix MP'!U:U, FALSE())</f>
        <v>0.268854241086576</v>
      </c>
      <c r="U84" s="249" t="n">
        <f aca="false">M84*T84</f>
        <v>929.160257195208</v>
      </c>
      <c r="V84" s="249" t="n">
        <f aca="false">(K84-M84-L84)*T84</f>
        <v>39.0887611282561</v>
      </c>
      <c r="W84" s="250" t="n">
        <f aca="false">(K84-M84-L84)/K84</f>
        <v>0.0101159980226854</v>
      </c>
      <c r="X84" s="249" t="n">
        <v>14.5819058823529</v>
      </c>
      <c r="Y84" s="249" t="n">
        <f aca="false">19.2*P84</f>
        <v>19.2</v>
      </c>
      <c r="Z84" s="249" t="n">
        <f aca="false">125000/52/40*Q84</f>
        <v>120.192307692308</v>
      </c>
      <c r="AA84" s="249" t="n">
        <f aca="false">(M84+N84)*T84+R84+V84+X84+Y84+Z84</f>
        <v>1098.72323189812</v>
      </c>
      <c r="AB84" s="285" t="n">
        <f aca="false">_xlfn.xlookup(H84,'Prix vente'!A:A,'Prix vente'!X:X, "")</f>
        <v>0.28</v>
      </c>
      <c r="AC84" s="285" t="str">
        <f aca="false">_xlfn.xlookup(H84,'Prix vente'!A:A,'Prix vente'!Z:Z, "")</f>
        <v>USD</v>
      </c>
      <c r="AD84" s="249" t="n">
        <f aca="false">IF(AC84="CAD",(M84+N84)*AB84,(M84+N84)*AB84*S84)</f>
        <v>1313.819136</v>
      </c>
      <c r="AE84" s="249" t="n">
        <f aca="false">AD84-AA84</f>
        <v>215.095904101875</v>
      </c>
      <c r="AF84" s="273" t="n">
        <f aca="false">1-AA84/AD84</f>
        <v>0.163718047795184</v>
      </c>
      <c r="AG84" s="252" t="n">
        <f aca="false">((M84+N84)*T84+V84)</f>
        <v>968.249018323464</v>
      </c>
      <c r="AH84" s="273" t="n">
        <f aca="false">AG84/AD84</f>
        <v>0.736972838796789</v>
      </c>
      <c r="AI84" s="273" t="str">
        <f aca="false">IF(AD84=0,"S","")</f>
        <v/>
      </c>
      <c r="AK84" s="15" t="e">
        <v>#NAME?</v>
      </c>
      <c r="AL84" s="15" t="e">
        <f aca="false">_xlfn.xlookup(AK84,A:A,F:F)</f>
        <v>#NAME?</v>
      </c>
      <c r="AM84" s="15" t="e">
        <f aca="false">_xlfn.xlookup(AK84,A:A,J:J)</f>
        <v>#NAME?</v>
      </c>
      <c r="AN84" s="15" t="e">
        <f aca="false">_xlfn.xlookup(AK84,A:A,M:M)+_xlfn.xlookup(AK84,A:A,N:N)</f>
        <v>#NAME?</v>
      </c>
      <c r="AO84" s="223" t="e">
        <f aca="false">_xlfn.xlookup(AK84,A:A,AG:AG)</f>
        <v>#NAME?</v>
      </c>
      <c r="AP84" s="223" t="e">
        <f aca="false">_xlfn.xlookup(AK84,A:A,AD:AD)</f>
        <v>#NAME?</v>
      </c>
      <c r="AQ84" s="223" t="e">
        <f aca="false">_xlfn.xlookup(AK84,A:A,AE:AE)</f>
        <v>#NAME?</v>
      </c>
      <c r="AX84" s="288"/>
      <c r="AY84" s="288"/>
      <c r="AZ84" s="288"/>
      <c r="BA84" s="15" t="e">
        <v>#NAME?</v>
      </c>
      <c r="BB84" s="257" t="e">
        <f aca="false">_xlfn.xlookup(BA84,A:A,F:F)</f>
        <v>#NAME?</v>
      </c>
      <c r="BC84" s="15" t="e">
        <f aca="false">_xlfn.xlookup(BA84,A:A,J:J)</f>
        <v>#NAME?</v>
      </c>
      <c r="BD84" s="75" t="e">
        <f aca="false">_xlfn.xlookup(BA84,A:A,M:M)+_xlfn.xlookup(BA84,A:A,N:N)</f>
        <v>#NAME?</v>
      </c>
      <c r="BE84" s="75" t="e">
        <f aca="false">_xlfn.xlookup(BA84,A32:A1020,AA32:AA1020)</f>
        <v>#NAME?</v>
      </c>
      <c r="BG84" s="0"/>
      <c r="BH84" s="0"/>
      <c r="BI84" s="0"/>
    </row>
    <row r="85" customFormat="false" ht="16.4" hidden="false" customHeight="false" outlineLevel="0" collapsed="false">
      <c r="A85" s="241" t="s">
        <v>1047</v>
      </c>
      <c r="B85" s="241"/>
      <c r="C85" s="242" t="n">
        <v>45575</v>
      </c>
      <c r="D85" s="219" t="n">
        <v>223</v>
      </c>
      <c r="E85" s="241" t="str">
        <f aca="false">_xlfn.xlookup(D85,'PO Client'!$A:$A,'PO Client'!$C:$C,FALSE())</f>
        <v>Étiquettes Rive-Sud</v>
      </c>
      <c r="F85" s="241" t="str">
        <f aca="false">_xlfn.xlookup(E85,Clients!B:B,Clients!C:C)</f>
        <v>Étiquettes Rive-Sud</v>
      </c>
      <c r="G85" s="241"/>
      <c r="H85" s="243" t="n">
        <v>40120</v>
      </c>
      <c r="I85" s="243" t="n">
        <v>30012</v>
      </c>
      <c r="J85" s="244" t="str">
        <f aca="false">_xlfn.xlookup(I85,'Prix MP'!A:A,'Prix MP'!F:F,FALSE())</f>
        <v>D21-1</v>
      </c>
      <c r="K85" s="245" t="n">
        <v>14230.61568</v>
      </c>
      <c r="L85" s="245" t="n">
        <v>4847.112</v>
      </c>
      <c r="M85" s="245" t="n">
        <v>9135</v>
      </c>
      <c r="N85" s="245"/>
      <c r="O85" s="245"/>
      <c r="P85" s="246" t="n">
        <v>3</v>
      </c>
      <c r="Q85" s="219" t="n">
        <v>4</v>
      </c>
      <c r="R85" s="247" t="n">
        <v>153.6</v>
      </c>
      <c r="S85" s="272"/>
      <c r="T85" s="248" t="n">
        <f aca="false">_xlfn.xlookup(I85,'Prix MP'!A:A,'Prix MP'!U:U, FALSE())</f>
        <v>0.327974576595346</v>
      </c>
      <c r="U85" s="249" t="n">
        <f aca="false">M85*T85</f>
        <v>2996.04775719849</v>
      </c>
      <c r="V85" s="249" t="n">
        <f aca="false">(K85-M85-L85)*T85</f>
        <v>81.502889230385</v>
      </c>
      <c r="W85" s="250" t="n">
        <f aca="false">(K85-M85-L85)/K85</f>
        <v>0.0174626091792537</v>
      </c>
      <c r="X85" s="249" t="n">
        <v>38.2775029411765</v>
      </c>
      <c r="Y85" s="249" t="n">
        <f aca="false">19.2*P85</f>
        <v>57.6</v>
      </c>
      <c r="Z85" s="249" t="n">
        <f aca="false">125000/52/40*Q85</f>
        <v>240.384615384615</v>
      </c>
      <c r="AA85" s="249" t="n">
        <f aca="false">(M85+N85)*T85+R85+V85+X85+Y85+Z85</f>
        <v>3567.41276475466</v>
      </c>
      <c r="AB85" s="285" t="n">
        <f aca="false">_xlfn.xlookup(H85,'Prix vente'!A:A,'Prix vente'!X:X, "")</f>
        <v>0.385</v>
      </c>
      <c r="AC85" s="285" t="str">
        <f aca="false">_xlfn.xlookup(H85,'Prix vente'!A:A,'Prix vente'!Z:Z, "")</f>
        <v>CAD</v>
      </c>
      <c r="AD85" s="249" t="n">
        <f aca="false">IF(AC85="CAD",(M85+N85)*AB85,(M85+N85)*AB85*S85)</f>
        <v>3516.975</v>
      </c>
      <c r="AE85" s="249" t="n">
        <f aca="false">AD85-AA85</f>
        <v>-50.4377647546639</v>
      </c>
      <c r="AF85" s="273" t="n">
        <f aca="false">1-AA85/AD85</f>
        <v>-0.0143412349404428</v>
      </c>
      <c r="AG85" s="252" t="n">
        <f aca="false">((M85+N85)*T85+V85)</f>
        <v>3077.55064642887</v>
      </c>
      <c r="AH85" s="273" t="n">
        <f aca="false">AG85/AD85</f>
        <v>0.875056162306776</v>
      </c>
      <c r="AI85" s="273" t="str">
        <f aca="false">IF(AD85=0,"S","")</f>
        <v/>
      </c>
      <c r="AK85" s="15" t="e">
        <v>#NAME?</v>
      </c>
      <c r="AL85" s="15" t="e">
        <f aca="false">_xlfn.xlookup(AK85,A:A,F:F)</f>
        <v>#NAME?</v>
      </c>
      <c r="AM85" s="15" t="e">
        <f aca="false">_xlfn.xlookup(AK85,A:A,J:J)</f>
        <v>#NAME?</v>
      </c>
      <c r="AN85" s="15" t="e">
        <f aca="false">_xlfn.xlookup(AK85,A:A,M:M)+_xlfn.xlookup(AK85,A:A,N:N)</f>
        <v>#NAME?</v>
      </c>
      <c r="AO85" s="223" t="e">
        <f aca="false">_xlfn.xlookup(AK85,A:A,AG:AG)</f>
        <v>#NAME?</v>
      </c>
      <c r="AP85" s="223" t="e">
        <f aca="false">_xlfn.xlookup(AK85,A:A,AD:AD)</f>
        <v>#NAME?</v>
      </c>
      <c r="AQ85" s="223" t="e">
        <f aca="false">_xlfn.xlookup(AK85,A:A,AE:AE)</f>
        <v>#NAME?</v>
      </c>
      <c r="AX85" s="288"/>
      <c r="AY85" s="288"/>
      <c r="AZ85" s="288"/>
      <c r="BA85" s="15" t="e">
        <v>#NAME?</v>
      </c>
      <c r="BB85" s="257" t="e">
        <f aca="false">_xlfn.xlookup(BA85,A:A,F:F)</f>
        <v>#NAME?</v>
      </c>
      <c r="BC85" s="15" t="e">
        <f aca="false">_xlfn.xlookup(BA85,A:A,J:J)</f>
        <v>#NAME?</v>
      </c>
      <c r="BD85" s="75" t="e">
        <f aca="false">_xlfn.xlookup(BA85,A:A,M:M)+_xlfn.xlookup(BA85,A:A,N:N)</f>
        <v>#NAME?</v>
      </c>
      <c r="BE85" s="75" t="e">
        <f aca="false">_xlfn.xlookup(BA85,A33:A1021,AA33:AA1021)</f>
        <v>#NAME?</v>
      </c>
      <c r="BG85" s="0"/>
      <c r="BH85" s="0"/>
      <c r="BI85" s="0"/>
    </row>
    <row r="86" customFormat="false" ht="16.4" hidden="false" customHeight="false" outlineLevel="0" collapsed="false">
      <c r="A86" s="241" t="s">
        <v>1050</v>
      </c>
      <c r="B86" s="241"/>
      <c r="C86" s="242" t="n">
        <v>45575</v>
      </c>
      <c r="D86" s="219" t="n">
        <v>224</v>
      </c>
      <c r="E86" s="241" t="str">
        <f aca="false">_xlfn.xlookup(D86,'PO Client'!$A:$A,'PO Client'!$C:$C,FALSE())</f>
        <v>Étiquettes Rive-Sud</v>
      </c>
      <c r="F86" s="241" t="str">
        <f aca="false">_xlfn.xlookup(E86,Clients!B:B,Clients!C:C)</f>
        <v>Étiquettes Rive-Sud</v>
      </c>
      <c r="G86" s="241"/>
      <c r="H86" s="243" t="n">
        <v>40121</v>
      </c>
      <c r="I86" s="243" t="n">
        <v>30016</v>
      </c>
      <c r="J86" s="244" t="str">
        <f aca="false">_xlfn.xlookup(I86,'Prix MP'!A:A,'Prix MP'!F:F,FALSE())</f>
        <v>B15-3</v>
      </c>
      <c r="K86" s="245" t="n">
        <v>9984.384</v>
      </c>
      <c r="L86" s="245" t="n">
        <v>4843.296</v>
      </c>
      <c r="M86" s="245" t="n">
        <v>4933.2</v>
      </c>
      <c r="N86" s="245"/>
      <c r="O86" s="245"/>
      <c r="P86" s="246" t="n">
        <v>1</v>
      </c>
      <c r="Q86" s="219" t="n">
        <v>2.5</v>
      </c>
      <c r="R86" s="247" t="n">
        <v>64</v>
      </c>
      <c r="S86" s="272"/>
      <c r="T86" s="248" t="n">
        <f aca="false">_xlfn.xlookup(I86,'Prix MP'!A:A,'Prix MP'!U:U, FALSE())</f>
        <v>0.326284886247867</v>
      </c>
      <c r="U86" s="249" t="n">
        <f aca="false">M86*T86</f>
        <v>1609.62860083798</v>
      </c>
      <c r="V86" s="249" t="n">
        <f aca="false">(K86-M86-L86)*T86</f>
        <v>67.8307124322962</v>
      </c>
      <c r="W86" s="250" t="n">
        <f aca="false">(K86-M86-L86)/K86</f>
        <v>0.0208213145648243</v>
      </c>
      <c r="X86" s="249" t="n">
        <v>26.85501</v>
      </c>
      <c r="Y86" s="249" t="n">
        <f aca="false">19.2*P86</f>
        <v>19.2</v>
      </c>
      <c r="Z86" s="249" t="n">
        <f aca="false">125000/52/40*Q86</f>
        <v>150.240384615385</v>
      </c>
      <c r="AA86" s="249" t="n">
        <f aca="false">(M86+N86)*T86+R86+V86+X86+Y86+Z86</f>
        <v>1937.75470788566</v>
      </c>
      <c r="AB86" s="285" t="n">
        <f aca="false">_xlfn.xlookup(H86,'Prix vente'!A:A,'Prix vente'!X:X, "")</f>
        <v>0.466</v>
      </c>
      <c r="AC86" s="285" t="str">
        <f aca="false">_xlfn.xlookup(H86,'Prix vente'!A:A,'Prix vente'!Z:Z, "")</f>
        <v>CAD</v>
      </c>
      <c r="AD86" s="249" t="n">
        <f aca="false">IF(AC86="CAD",(M86+N86)*AB86,(M86+N86)*AB86*S86)</f>
        <v>2298.8712</v>
      </c>
      <c r="AE86" s="249" t="n">
        <f aca="false">AD86-AA86</f>
        <v>361.116492114343</v>
      </c>
      <c r="AF86" s="273" t="n">
        <f aca="false">1-AA86/AD86</f>
        <v>0.157084264709716</v>
      </c>
      <c r="AG86" s="252" t="n">
        <f aca="false">((M86+N86)*T86+V86)</f>
        <v>1677.45931327027</v>
      </c>
      <c r="AH86" s="273" t="n">
        <f aca="false">AG86/AD86</f>
        <v>0.729688254509549</v>
      </c>
      <c r="AI86" s="273" t="str">
        <f aca="false">IF(AD86=0,"S","")</f>
        <v/>
      </c>
      <c r="AK86" s="15" t="e">
        <v>#NAME?</v>
      </c>
      <c r="AL86" s="15" t="e">
        <f aca="false">_xlfn.xlookup(AK86,A:A,F:F)</f>
        <v>#NAME?</v>
      </c>
      <c r="AM86" s="15" t="e">
        <f aca="false">_xlfn.xlookup(AK86,A:A,J:J)</f>
        <v>#NAME?</v>
      </c>
      <c r="AN86" s="15" t="e">
        <f aca="false">_xlfn.xlookup(AK86,A:A,M:M)+_xlfn.xlookup(AK86,A:A,N:N)</f>
        <v>#NAME?</v>
      </c>
      <c r="AO86" s="223" t="e">
        <f aca="false">_xlfn.xlookup(AK86,A:A,AG:AG)</f>
        <v>#NAME?</v>
      </c>
      <c r="AP86" s="223" t="e">
        <f aca="false">_xlfn.xlookup(AK86,A:A,AD:AD)</f>
        <v>#NAME?</v>
      </c>
      <c r="AQ86" s="223" t="e">
        <f aca="false">_xlfn.xlookup(AK86,A:A,AE:AE)</f>
        <v>#NAME?</v>
      </c>
      <c r="AX86" s="288"/>
      <c r="AY86" s="288"/>
      <c r="AZ86" s="288"/>
      <c r="BA86" s="15" t="e">
        <v>#NAME?</v>
      </c>
      <c r="BB86" s="257" t="e">
        <f aca="false">_xlfn.xlookup(BA86,A:A,F:F)</f>
        <v>#NAME?</v>
      </c>
      <c r="BC86" s="15" t="e">
        <f aca="false">_xlfn.xlookup(BA86,A:A,J:J)</f>
        <v>#NAME?</v>
      </c>
      <c r="BD86" s="75" t="e">
        <f aca="false">_xlfn.xlookup(BA86,A:A,M:M)+_xlfn.xlookup(BA86,A:A,N:N)</f>
        <v>#NAME?</v>
      </c>
      <c r="BE86" s="75" t="e">
        <f aca="false">_xlfn.xlookup(BA86,A34:A1022,AA34:AA1022)</f>
        <v>#NAME?</v>
      </c>
      <c r="BG86" s="0"/>
      <c r="BH86" s="0"/>
      <c r="BI86" s="0"/>
    </row>
    <row r="87" customFormat="false" ht="16.4" hidden="false" customHeight="false" outlineLevel="0" collapsed="false">
      <c r="A87" s="241" t="s">
        <v>1053</v>
      </c>
      <c r="B87" s="241"/>
      <c r="C87" s="242" t="n">
        <v>45575</v>
      </c>
      <c r="D87" s="219" t="n">
        <v>225</v>
      </c>
      <c r="E87" s="241" t="str">
        <f aca="false">_xlfn.xlookup(D87,'PO Client'!$A:$A,'PO Client'!$C:$C,FALSE())</f>
        <v>Imprimerie Ste-Julie</v>
      </c>
      <c r="F87" s="241" t="str">
        <f aca="false">_xlfn.xlookup(E87,Clients!B:B,Clients!C:C)</f>
        <v>Imprimerie Ste-Julie</v>
      </c>
      <c r="G87" s="241"/>
      <c r="H87" s="243" t="n">
        <v>40067</v>
      </c>
      <c r="I87" s="243" t="n">
        <v>30015</v>
      </c>
      <c r="J87" s="244" t="str">
        <f aca="false">_xlfn.xlookup(I87,'Prix MP'!A:A,'Prix MP'!F:F,FALSE())</f>
        <v>S15-3</v>
      </c>
      <c r="K87" s="245" t="n">
        <v>10770.912</v>
      </c>
      <c r="L87" s="245" t="n">
        <v>7228.8</v>
      </c>
      <c r="M87" s="245" t="n">
        <v>3492</v>
      </c>
      <c r="N87" s="245"/>
      <c r="O87" s="245"/>
      <c r="P87" s="246" t="n">
        <v>1</v>
      </c>
      <c r="Q87" s="219" t="n">
        <v>1.8</v>
      </c>
      <c r="R87" s="247" t="n">
        <f aca="false">118.8/2-(50*1.376)</f>
        <v>-9.4</v>
      </c>
      <c r="S87" s="290" t="n">
        <v>1.376</v>
      </c>
      <c r="T87" s="248" t="n">
        <f aca="false">_xlfn.xlookup(I87,'Prix MP'!A:A,'Prix MP'!U:U, FALSE())</f>
        <v>0.268854241086576</v>
      </c>
      <c r="U87" s="249" t="n">
        <f aca="false">M87*T87</f>
        <v>938.839009874325</v>
      </c>
      <c r="V87" s="249" t="n">
        <f aca="false">(K87-M87-L87)*T87</f>
        <v>13.4728237293308</v>
      </c>
      <c r="W87" s="250" t="n">
        <f aca="false">(K87-M87-L87)/K87</f>
        <v>0.00465253081633208</v>
      </c>
      <c r="X87" s="249" t="n">
        <v>14.5819058823529</v>
      </c>
      <c r="Y87" s="249" t="n">
        <f aca="false">19.2*P87</f>
        <v>19.2</v>
      </c>
      <c r="Z87" s="249" t="n">
        <f aca="false">125000/52/40*Q87</f>
        <v>108.173076923077</v>
      </c>
      <c r="AA87" s="249" t="n">
        <f aca="false">(M87+N87)*T87+R87+V87+X87+Y87+Z87</f>
        <v>1084.86681640909</v>
      </c>
      <c r="AB87" s="285" t="n">
        <f aca="false">_xlfn.xlookup(H87,'Prix vente'!A:A,'Prix vente'!X:X, "")</f>
        <v>0.28</v>
      </c>
      <c r="AC87" s="285" t="str">
        <f aca="false">_xlfn.xlookup(H87,'Prix vente'!A:A,'Prix vente'!Z:Z, "")</f>
        <v>USD</v>
      </c>
      <c r="AD87" s="249" t="n">
        <f aca="false">IF(AC87="CAD",(M87+N87)*AB87,(M87+N87)*AB87*S87)</f>
        <v>1345.39776</v>
      </c>
      <c r="AE87" s="249" t="n">
        <f aca="false">AD87-AA87</f>
        <v>260.530943590915</v>
      </c>
      <c r="AF87" s="273" t="n">
        <f aca="false">1-AA87/AD87</f>
        <v>0.193646036389205</v>
      </c>
      <c r="AG87" s="252" t="n">
        <f aca="false">((M87+N87)*T87+V87)</f>
        <v>952.311833603655</v>
      </c>
      <c r="AH87" s="273" t="n">
        <f aca="false">AG87/AD87</f>
        <v>0.707829210005267</v>
      </c>
      <c r="AI87" s="273" t="str">
        <f aca="false">IF(AD87=0,"S","")</f>
        <v/>
      </c>
      <c r="AK87" s="15" t="e">
        <v>#NAME?</v>
      </c>
      <c r="AL87" s="15" t="e">
        <f aca="false">_xlfn.xlookup(AK87,A:A,F:F)</f>
        <v>#NAME?</v>
      </c>
      <c r="AM87" s="15" t="e">
        <f aca="false">_xlfn.xlookup(AK87,A:A,J:J)</f>
        <v>#NAME?</v>
      </c>
      <c r="AN87" s="15" t="e">
        <f aca="false">_xlfn.xlookup(AK87,A:A,M:M)+_xlfn.xlookup(AK87,A:A,N:N)</f>
        <v>#NAME?</v>
      </c>
      <c r="AO87" s="223" t="e">
        <f aca="false">_xlfn.xlookup(AK87,A:A,AG:AG)</f>
        <v>#NAME?</v>
      </c>
      <c r="AP87" s="223" t="e">
        <f aca="false">_xlfn.xlookup(AK87,A:A,AD:AD)</f>
        <v>#NAME?</v>
      </c>
      <c r="AQ87" s="223" t="e">
        <f aca="false">_xlfn.xlookup(AK87,A:A,AE:AE)</f>
        <v>#NAME?</v>
      </c>
      <c r="AX87" s="288"/>
      <c r="AY87" s="288"/>
      <c r="AZ87" s="288"/>
      <c r="BA87" s="15" t="e">
        <v>#NAME?</v>
      </c>
      <c r="BB87" s="257" t="e">
        <f aca="false">_xlfn.xlookup(BA87,A:A,F:F)</f>
        <v>#NAME?</v>
      </c>
      <c r="BC87" s="15" t="e">
        <f aca="false">_xlfn.xlookup(BA87,A:A,J:J)</f>
        <v>#NAME?</v>
      </c>
      <c r="BD87" s="75" t="e">
        <f aca="false">_xlfn.xlookup(BA87,A:A,M:M)+_xlfn.xlookup(BA87,A:A,N:N)</f>
        <v>#NAME?</v>
      </c>
      <c r="BE87" s="75" t="e">
        <f aca="false">_xlfn.xlookup(BA87,A35:A1023,AA35:AA1023)</f>
        <v>#NAME?</v>
      </c>
      <c r="BG87" s="0"/>
      <c r="BH87" s="0"/>
      <c r="BI87" s="0"/>
    </row>
    <row r="88" customFormat="false" ht="16.4" hidden="false" customHeight="false" outlineLevel="0" collapsed="false">
      <c r="A88" s="241" t="s">
        <v>1056</v>
      </c>
      <c r="B88" s="241"/>
      <c r="C88" s="242" t="n">
        <v>45575</v>
      </c>
      <c r="D88" s="219" t="n">
        <v>208</v>
      </c>
      <c r="E88" s="241" t="s">
        <v>293</v>
      </c>
      <c r="F88" s="241" t="str">
        <f aca="false">_xlfn.xlookup(E88,Clients!B:B,Clients!C:C)</f>
        <v>Alpha</v>
      </c>
      <c r="G88" s="241" t="s">
        <v>1442</v>
      </c>
      <c r="H88" s="243" t="n">
        <v>40093</v>
      </c>
      <c r="I88" s="243" t="n">
        <v>30012</v>
      </c>
      <c r="J88" s="244" t="str">
        <f aca="false">_xlfn.xlookup(I88,'Prix MP'!A:A,'Prix MP'!F:F,FALSE())</f>
        <v>D21-1</v>
      </c>
      <c r="K88" s="245"/>
      <c r="L88" s="245"/>
      <c r="M88" s="245"/>
      <c r="N88" s="245"/>
      <c r="O88" s="245"/>
      <c r="P88" s="246"/>
      <c r="Q88" s="219"/>
      <c r="R88" s="247" t="n">
        <v>0</v>
      </c>
      <c r="S88" s="272"/>
      <c r="T88" s="248" t="n">
        <f aca="false">_xlfn.xlookup(I88,'Prix MP'!A:A,'Prix MP'!U:U, FALSE())</f>
        <v>0.327974576595346</v>
      </c>
      <c r="U88" s="249" t="n">
        <f aca="false">M88*T88</f>
        <v>0</v>
      </c>
      <c r="V88" s="249" t="n">
        <f aca="false">(K88-M88-L88)*T88</f>
        <v>0</v>
      </c>
      <c r="W88" s="250" t="e">
        <f aca="false">(K88-M88-L88)/K88</f>
        <v>#DIV/0!</v>
      </c>
      <c r="X88" s="249" t="n">
        <f aca="false">20.6577/85*O88</f>
        <v>0</v>
      </c>
      <c r="Y88" s="249" t="n">
        <f aca="false">19.2*P88</f>
        <v>0</v>
      </c>
      <c r="Z88" s="249" t="n">
        <f aca="false">125000/52/40*Q88</f>
        <v>0</v>
      </c>
      <c r="AA88" s="249" t="n">
        <f aca="false">(M88+N88)*T88+R88+V88+X88+Y88+Z88</f>
        <v>0</v>
      </c>
      <c r="AB88" s="285" t="n">
        <f aca="false">_xlfn.xlookup(H88,'Prix vente'!A:A,'Prix vente'!X:X, "")</f>
        <v>0</v>
      </c>
      <c r="AC88" s="285" t="str">
        <f aca="false">_xlfn.xlookup(H88,'Prix vente'!A:A,'Prix vente'!Z:Z, "")</f>
        <v>CAD</v>
      </c>
      <c r="AD88" s="249" t="n">
        <f aca="false">IF(AC88="CAD",(M88+N88)*AB88,(M88+N88)*AB88*S88)</f>
        <v>0</v>
      </c>
      <c r="AE88" s="249" t="n">
        <f aca="false">AD88-AA88</f>
        <v>0</v>
      </c>
      <c r="AF88" s="273"/>
      <c r="AG88" s="252" t="n">
        <f aca="false">((M88+N88)*T88+V88)</f>
        <v>0</v>
      </c>
      <c r="AH88" s="273"/>
      <c r="AI88" s="273" t="str">
        <f aca="false">IF(AD88=0,"S","")</f>
        <v>S</v>
      </c>
      <c r="AK88" s="15" t="e">
        <v>#NAME?</v>
      </c>
      <c r="AL88" s="15" t="e">
        <f aca="false">_xlfn.xlookup(AK88,A:A,F:F)</f>
        <v>#NAME?</v>
      </c>
      <c r="AM88" s="15" t="e">
        <f aca="false">_xlfn.xlookup(AK88,A:A,J:J)</f>
        <v>#NAME?</v>
      </c>
      <c r="AN88" s="15" t="e">
        <f aca="false">_xlfn.xlookup(AK88,A:A,M:M)+_xlfn.xlookup(AK88,A:A,N:N)</f>
        <v>#NAME?</v>
      </c>
      <c r="AO88" s="223" t="e">
        <f aca="false">_xlfn.xlookup(AK88,A:A,AG:AG)</f>
        <v>#NAME?</v>
      </c>
      <c r="AP88" s="223" t="e">
        <f aca="false">_xlfn.xlookup(AK88,A:A,AD:AD)</f>
        <v>#NAME?</v>
      </c>
      <c r="AQ88" s="223" t="e">
        <f aca="false">_xlfn.xlookup(AK88,A:A,AE:AE)</f>
        <v>#NAME?</v>
      </c>
      <c r="AX88" s="288"/>
      <c r="AY88" s="288"/>
      <c r="AZ88" s="288"/>
      <c r="BA88" s="15" t="e">
        <v>#NAME?</v>
      </c>
      <c r="BB88" s="257" t="e">
        <f aca="false">_xlfn.xlookup(BA88,A:A,F:F)</f>
        <v>#NAME?</v>
      </c>
      <c r="BC88" s="15" t="e">
        <f aca="false">_xlfn.xlookup(BA88,A:A,J:J)</f>
        <v>#NAME?</v>
      </c>
      <c r="BD88" s="75" t="e">
        <f aca="false">_xlfn.xlookup(BA88,A:A,M:M)+_xlfn.xlookup(BA88,A:A,N:N)</f>
        <v>#NAME?</v>
      </c>
      <c r="BE88" s="75" t="e">
        <f aca="false">_xlfn.xlookup(BA88,A36:A1024,AA36:AA1024)</f>
        <v>#NAME?</v>
      </c>
      <c r="BG88" s="0"/>
      <c r="BH88" s="0"/>
      <c r="BI88" s="0"/>
    </row>
    <row r="89" customFormat="false" ht="16.4" hidden="false" customHeight="false" outlineLevel="0" collapsed="false">
      <c r="A89" s="241" t="s">
        <v>1058</v>
      </c>
      <c r="B89" s="241"/>
      <c r="C89" s="242" t="n">
        <v>45576</v>
      </c>
      <c r="D89" s="219" t="n">
        <v>226</v>
      </c>
      <c r="E89" s="241" t="str">
        <f aca="false">_xlfn.xlookup(D89,'PO Client'!$A:$A,'PO Client'!$C:$C,FALSE())</f>
        <v>Emballages Mijo</v>
      </c>
      <c r="F89" s="241" t="str">
        <f aca="false">_xlfn.xlookup(E89,Clients!B:B,Clients!C:C)</f>
        <v>Mijo</v>
      </c>
      <c r="G89" s="241"/>
      <c r="H89" s="243" t="n">
        <v>40126</v>
      </c>
      <c r="I89" s="243" t="n">
        <v>30015</v>
      </c>
      <c r="J89" s="244" t="str">
        <f aca="false">_xlfn.xlookup(I89,'Prix MP'!A:A,'Prix MP'!F:F,FALSE())</f>
        <v>S15-3</v>
      </c>
      <c r="K89" s="245" t="n">
        <v>21458.69</v>
      </c>
      <c r="L89" s="245" t="n">
        <v>0</v>
      </c>
      <c r="M89" s="245" t="n">
        <v>21276</v>
      </c>
      <c r="N89" s="245" t="n">
        <v>0</v>
      </c>
      <c r="O89" s="245" t="n">
        <v>180</v>
      </c>
      <c r="P89" s="246" t="n">
        <v>5</v>
      </c>
      <c r="Q89" s="219" t="n">
        <v>4.75</v>
      </c>
      <c r="R89" s="247" t="n">
        <f aca="false">243.2</f>
        <v>243.2</v>
      </c>
      <c r="S89" s="272"/>
      <c r="T89" s="248" t="n">
        <f aca="false">_xlfn.xlookup(I89,'Prix MP'!A:A,'Prix MP'!U:U, FALSE())</f>
        <v>0.268854241086576</v>
      </c>
      <c r="U89" s="249" t="n">
        <f aca="false">M89*T89</f>
        <v>5720.142833358</v>
      </c>
      <c r="V89" s="249" t="n">
        <f aca="false">(K89-M89-L89)*T89</f>
        <v>49.1169813041063</v>
      </c>
      <c r="W89" s="250" t="n">
        <f aca="false">(K89-M89-L89)/K89</f>
        <v>0.0085135672308048</v>
      </c>
      <c r="X89" s="249" t="n">
        <f aca="false">20.6577/85*O89</f>
        <v>43.7457176470588</v>
      </c>
      <c r="Y89" s="249" t="n">
        <f aca="false">19.2*P89</f>
        <v>96</v>
      </c>
      <c r="Z89" s="249" t="n">
        <f aca="false">125000/52/40*Q89</f>
        <v>285.456730769231</v>
      </c>
      <c r="AA89" s="249" t="n">
        <f aca="false">(M89+N89)*T89+R89+V89+X89+Y89+Z89</f>
        <v>6437.6622630784</v>
      </c>
      <c r="AB89" s="285" t="n">
        <f aca="false">_xlfn.xlookup(H89,'Prix vente'!A:A,'Prix vente'!X:X, "")</f>
        <v>0.347</v>
      </c>
      <c r="AC89" s="285" t="str">
        <f aca="false">_xlfn.xlookup(H89,'Prix vente'!A:A,'Prix vente'!Z:Z, "")</f>
        <v>CAD</v>
      </c>
      <c r="AD89" s="249" t="n">
        <f aca="false">IF(AC89="CAD",(M89+N89)*AB89,(M89+N89)*AB89*S89)</f>
        <v>7382.772</v>
      </c>
      <c r="AE89" s="249" t="n">
        <f aca="false">AD89-AA89</f>
        <v>945.109736921604</v>
      </c>
      <c r="AF89" s="273" t="n">
        <f aca="false">1-AA89/AD89</f>
        <v>0.12801556609382</v>
      </c>
      <c r="AG89" s="252" t="n">
        <f aca="false">((M89+N89)*T89+V89)</f>
        <v>5769.25981466211</v>
      </c>
      <c r="AH89" s="273" t="n">
        <f aca="false">AG89/AD89</f>
        <v>0.781449002442728</v>
      </c>
      <c r="AI89" s="273" t="str">
        <f aca="false">IF(AD89=0,"S","")</f>
        <v/>
      </c>
      <c r="AK89" s="15" t="e">
        <v>#NAME?</v>
      </c>
      <c r="AL89" s="15" t="e">
        <f aca="false">_xlfn.xlookup(AK89,A:A,F:F)</f>
        <v>#NAME?</v>
      </c>
      <c r="AM89" s="15" t="e">
        <f aca="false">_xlfn.xlookup(AK89,A:A,J:J)</f>
        <v>#NAME?</v>
      </c>
      <c r="AN89" s="15" t="e">
        <f aca="false">_xlfn.xlookup(AK89,A:A,M:M)+_xlfn.xlookup(AK89,A:A,N:N)</f>
        <v>#NAME?</v>
      </c>
      <c r="AO89" s="223" t="e">
        <f aca="false">_xlfn.xlookup(AK89,A:A,AG:AG)</f>
        <v>#NAME?</v>
      </c>
      <c r="AP89" s="223" t="e">
        <f aca="false">_xlfn.xlookup(AK89,A:A,AD:AD)</f>
        <v>#NAME?</v>
      </c>
      <c r="AQ89" s="223" t="e">
        <f aca="false">_xlfn.xlookup(AK89,A:A,AE:AE)</f>
        <v>#NAME?</v>
      </c>
      <c r="AX89" s="288"/>
      <c r="AY89" s="288"/>
      <c r="AZ89" s="288"/>
      <c r="BA89" s="15" t="e">
        <v>#NAME?</v>
      </c>
      <c r="BB89" s="257" t="e">
        <f aca="false">_xlfn.xlookup(BA89,A:A,F:F)</f>
        <v>#NAME?</v>
      </c>
      <c r="BC89" s="15" t="e">
        <f aca="false">_xlfn.xlookup(BA89,A:A,J:J)</f>
        <v>#NAME?</v>
      </c>
      <c r="BD89" s="75" t="e">
        <f aca="false">_xlfn.xlookup(BA89,A:A,M:M)+_xlfn.xlookup(BA89,A:A,N:N)</f>
        <v>#NAME?</v>
      </c>
      <c r="BE89" s="75" t="e">
        <f aca="false">_xlfn.xlookup(BA89,A37:A1025,AA37:AA1025)</f>
        <v>#NAME?</v>
      </c>
      <c r="BG89" s="0"/>
      <c r="BH89" s="0"/>
      <c r="BI89" s="0"/>
    </row>
    <row r="90" customFormat="false" ht="16.4" hidden="false" customHeight="false" outlineLevel="0" collapsed="false">
      <c r="A90" s="241" t="s">
        <v>1448</v>
      </c>
      <c r="B90" s="241"/>
      <c r="C90" s="242" t="n">
        <v>45576</v>
      </c>
      <c r="D90" s="219" t="n">
        <v>226</v>
      </c>
      <c r="E90" s="241" t="str">
        <f aca="false">_xlfn.xlookup(D90,'PO Client'!$A:$A,'PO Client'!$C:$C,FALSE())</f>
        <v>Emballages Mijo</v>
      </c>
      <c r="F90" s="241" t="str">
        <f aca="false">_xlfn.xlookup(E90,Clients!B:B,Clients!C:C)</f>
        <v>Mijo</v>
      </c>
      <c r="G90" s="241"/>
      <c r="H90" s="243" t="n">
        <v>40126</v>
      </c>
      <c r="I90" s="243" t="n">
        <v>30015</v>
      </c>
      <c r="J90" s="244" t="str">
        <f aca="false">_xlfn.xlookup(I90,'Prix MP'!A:A,'Prix MP'!F:F,FALSE())</f>
        <v>S15-3</v>
      </c>
      <c r="K90" s="245" t="n">
        <v>0</v>
      </c>
      <c r="L90" s="245" t="n">
        <v>0</v>
      </c>
      <c r="M90" s="245" t="n">
        <v>0</v>
      </c>
      <c r="N90" s="245" t="n">
        <v>1440</v>
      </c>
      <c r="O90" s="245" t="n">
        <v>0</v>
      </c>
      <c r="P90" s="246" t="n">
        <v>0</v>
      </c>
      <c r="Q90" s="219" t="n">
        <v>0</v>
      </c>
      <c r="R90" s="247" t="n">
        <v>0</v>
      </c>
      <c r="S90" s="272"/>
      <c r="T90" s="248" t="n">
        <f aca="false">_xlfn.xlookup(I90,'Prix MP'!A:A,'Prix MP'!U:U, FALSE())</f>
        <v>0.268854241086576</v>
      </c>
      <c r="U90" s="249" t="n">
        <f aca="false">M90*T90</f>
        <v>0</v>
      </c>
      <c r="V90" s="249" t="n">
        <f aca="false">(K90-M90-L90)*T90</f>
        <v>0</v>
      </c>
      <c r="W90" s="250" t="n">
        <v>0</v>
      </c>
      <c r="X90" s="249" t="n">
        <f aca="false">20.6577/85*O90</f>
        <v>0</v>
      </c>
      <c r="Y90" s="249" t="n">
        <f aca="false">19.2*P90</f>
        <v>0</v>
      </c>
      <c r="Z90" s="249" t="n">
        <f aca="false">125000/52/40*Q90</f>
        <v>0</v>
      </c>
      <c r="AA90" s="249" t="n">
        <f aca="false">(M90+N90)*T90+R90+V90+X90+Y90+Z90</f>
        <v>387.15010716467</v>
      </c>
      <c r="AB90" s="285" t="n">
        <v>0</v>
      </c>
      <c r="AC90" s="285" t="str">
        <f aca="false">_xlfn.xlookup(H90,'Prix vente'!A:A,'Prix vente'!Z:Z, "")</f>
        <v>CAD</v>
      </c>
      <c r="AD90" s="249" t="n">
        <f aca="false">IF(AC90="CAD",(M90+N90)*AB90,(M90+N90)*AB90*S90)</f>
        <v>0</v>
      </c>
      <c r="AE90" s="249" t="n">
        <f aca="false">AD90-AA90</f>
        <v>-387.15010716467</v>
      </c>
      <c r="AF90" s="273"/>
      <c r="AG90" s="252" t="n">
        <f aca="false">((M90+N90)*T90+V90)</f>
        <v>387.15010716467</v>
      </c>
      <c r="AH90" s="273"/>
      <c r="AI90" s="273" t="str">
        <f aca="false">IF(AD90=0,"S","")</f>
        <v>S</v>
      </c>
      <c r="AK90" s="15" t="e">
        <v>#NAME?</v>
      </c>
      <c r="AL90" s="15" t="e">
        <f aca="false">_xlfn.xlookup(AK90,A:A,F:F)</f>
        <v>#NAME?</v>
      </c>
      <c r="AM90" s="15" t="e">
        <f aca="false">_xlfn.xlookup(AK90,A:A,J:J)</f>
        <v>#NAME?</v>
      </c>
      <c r="AN90" s="15" t="e">
        <f aca="false">_xlfn.xlookup(AK90,A:A,M:M)+_xlfn.xlookup(AK90,A:A,N:N)</f>
        <v>#NAME?</v>
      </c>
      <c r="AO90" s="223" t="e">
        <f aca="false">_xlfn.xlookup(AK90,A:A,AG:AG)</f>
        <v>#NAME?</v>
      </c>
      <c r="AP90" s="223" t="e">
        <f aca="false">_xlfn.xlookup(AK90,A:A,AD:AD)</f>
        <v>#NAME?</v>
      </c>
      <c r="AQ90" s="223" t="e">
        <f aca="false">_xlfn.xlookup(AK90,A:A,AE:AE)</f>
        <v>#NAME?</v>
      </c>
      <c r="AX90" s="288"/>
      <c r="AY90" s="288"/>
      <c r="AZ90" s="288"/>
      <c r="BA90" s="15" t="e">
        <v>#NAME?</v>
      </c>
      <c r="BB90" s="257" t="e">
        <f aca="false">_xlfn.xlookup(BA90,A:A,F:F)</f>
        <v>#NAME?</v>
      </c>
      <c r="BC90" s="291" t="e">
        <f aca="false">_xlfn.xlookup(BA90,A:A,J:J)</f>
        <v>#NAME?</v>
      </c>
      <c r="BD90" s="75" t="e">
        <f aca="false">_xlfn.xlookup(BA90,A:A,M:M)+_xlfn.xlookup(BA90,A:A,N:N)</f>
        <v>#NAME?</v>
      </c>
      <c r="BE90" s="75" t="e">
        <f aca="false">_xlfn.xlookup(BA90,A38:A1026,AA38:AA1026)</f>
        <v>#NAME?</v>
      </c>
      <c r="BG90" s="0"/>
      <c r="BH90" s="0"/>
      <c r="BI90" s="0"/>
    </row>
    <row r="91" customFormat="false" ht="16.4" hidden="false" customHeight="false" outlineLevel="0" collapsed="false">
      <c r="A91" s="241" t="s">
        <v>1060</v>
      </c>
      <c r="B91" s="241"/>
      <c r="C91" s="242" t="n">
        <v>45576</v>
      </c>
      <c r="D91" s="219" t="n">
        <v>227</v>
      </c>
      <c r="E91" s="241" t="str">
        <f aca="false">_xlfn.xlookup(D91,'PO Client'!$A:$A,'PO Client'!$C:$C,FALSE())</f>
        <v>Imprimerie Ste-Julie</v>
      </c>
      <c r="F91" s="241" t="str">
        <f aca="false">_xlfn.xlookup(E91,Clients!B:B,Clients!C:C)</f>
        <v>Imprimerie Ste-Julie</v>
      </c>
      <c r="G91" s="241"/>
      <c r="H91" s="243" t="n">
        <v>40127</v>
      </c>
      <c r="I91" s="243" t="n">
        <v>30011</v>
      </c>
      <c r="J91" s="244" t="str">
        <f aca="false">_xlfn.xlookup(I91,'Prix MP'!A:A,'Prix MP'!F:F,FALSE())</f>
        <v>S21-1</v>
      </c>
      <c r="K91" s="245" t="n">
        <v>7115.30784</v>
      </c>
      <c r="L91" s="245" t="n">
        <v>3542.112</v>
      </c>
      <c r="M91" s="245" t="n">
        <v>3486</v>
      </c>
      <c r="N91" s="245"/>
      <c r="O91" s="245" t="n">
        <v>60</v>
      </c>
      <c r="P91" s="246" t="n">
        <v>1</v>
      </c>
      <c r="Q91" s="219" t="n">
        <v>2.5</v>
      </c>
      <c r="R91" s="247" t="n">
        <f aca="false">118.8/2-(50*1.376)</f>
        <v>-9.4</v>
      </c>
      <c r="S91" s="272" t="n">
        <v>1.376</v>
      </c>
      <c r="T91" s="248" t="n">
        <f aca="false">_xlfn.xlookup(I91,'Prix MP'!A:A,'Prix MP'!U:U, FALSE())</f>
        <v>0.28357864079936</v>
      </c>
      <c r="U91" s="249" t="n">
        <f aca="false">M91*T91</f>
        <v>988.555141826569</v>
      </c>
      <c r="V91" s="249" t="n">
        <f aca="false">(K91-M91-L91)*T91</f>
        <v>24.7268777905583</v>
      </c>
      <c r="W91" s="250" t="n">
        <f aca="false">(K91-M91-L91)/K91</f>
        <v>0.0122546827151753</v>
      </c>
      <c r="X91" s="249" t="n">
        <f aca="false">20.6577/85*O91</f>
        <v>14.5819058823529</v>
      </c>
      <c r="Y91" s="249" t="n">
        <f aca="false">19.2*P91</f>
        <v>19.2</v>
      </c>
      <c r="Z91" s="249" t="n">
        <f aca="false">125000/52/40*Q91</f>
        <v>150.240384615385</v>
      </c>
      <c r="AA91" s="249" t="n">
        <f aca="false">(M91+N91)*T91+R91+V91+X91+Y91+Z91</f>
        <v>1187.90431011486</v>
      </c>
      <c r="AB91" s="285" t="n">
        <f aca="false">_xlfn.xlookup(H91,'Prix vente'!A:A,'Prix vente'!X:X, "")</f>
        <v>0.27</v>
      </c>
      <c r="AC91" s="285" t="str">
        <f aca="false">_xlfn.xlookup(H91,'Prix vente'!A:A,'Prix vente'!Z:Z, "")</f>
        <v>USD</v>
      </c>
      <c r="AD91" s="249" t="n">
        <f aca="false">IF(AC91="CAD",(M91+N91)*AB91,(M91+N91)*AB91*S91)</f>
        <v>1295.11872</v>
      </c>
      <c r="AE91" s="249" t="n">
        <f aca="false">AD91-AA91</f>
        <v>107.214409885135</v>
      </c>
      <c r="AF91" s="273" t="n">
        <f aca="false">1-AA91/AD91</f>
        <v>0.0827834608746412</v>
      </c>
      <c r="AG91" s="252" t="n">
        <f aca="false">((M91+N91)*T91+V91)</f>
        <v>1013.28201961713</v>
      </c>
      <c r="AH91" s="273" t="n">
        <f aca="false">AG91/AD91</f>
        <v>0.782385432292359</v>
      </c>
      <c r="AI91" s="273" t="str">
        <f aca="false">IF(AD91=0,"S","")</f>
        <v/>
      </c>
      <c r="AK91" s="15" t="e">
        <v>#NAME?</v>
      </c>
      <c r="AL91" s="15" t="e">
        <f aca="false">_xlfn.xlookup(AK91,A:A,F:F)</f>
        <v>#NAME?</v>
      </c>
      <c r="AM91" s="15" t="e">
        <f aca="false">_xlfn.xlookup(AK91,A:A,J:J)</f>
        <v>#NAME?</v>
      </c>
      <c r="AN91" s="15" t="e">
        <f aca="false">_xlfn.xlookup(AK91,A:A,M:M)+_xlfn.xlookup(AK91,A:A,N:N)</f>
        <v>#NAME?</v>
      </c>
      <c r="AO91" s="223" t="e">
        <f aca="false">_xlfn.xlookup(AK91,A:A,AG:AG)</f>
        <v>#NAME?</v>
      </c>
      <c r="AP91" s="223" t="e">
        <f aca="false">_xlfn.xlookup(AK91,A:A,AD:AD)</f>
        <v>#NAME?</v>
      </c>
      <c r="AQ91" s="223" t="e">
        <f aca="false">_xlfn.xlookup(AK91,A:A,AE:AE)</f>
        <v>#NAME?</v>
      </c>
      <c r="AX91" s="288"/>
      <c r="AY91" s="288"/>
      <c r="AZ91" s="288"/>
      <c r="BA91" s="15" t="e">
        <v>#NAME?</v>
      </c>
      <c r="BB91" s="257" t="e">
        <f aca="false">_xlfn.xlookup(BA91,A:A,F:F)</f>
        <v>#NAME?</v>
      </c>
      <c r="BC91" s="15" t="e">
        <f aca="false">_xlfn.xlookup(BA91,A:A,J:J)</f>
        <v>#NAME?</v>
      </c>
      <c r="BD91" s="75" t="e">
        <f aca="false">_xlfn.xlookup(BA91,A:A,M:M)+_xlfn.xlookup(BA91,A:A,N:N)</f>
        <v>#NAME?</v>
      </c>
      <c r="BE91" s="75" t="e">
        <f aca="false">_xlfn.xlookup(BA91,A39:A1027,AA39:AA1027)</f>
        <v>#NAME?</v>
      </c>
      <c r="BG91" s="0"/>
      <c r="BH91" s="0"/>
      <c r="BI91" s="0"/>
    </row>
    <row r="92" customFormat="false" ht="16.4" hidden="false" customHeight="false" outlineLevel="0" collapsed="false">
      <c r="A92" s="241" t="s">
        <v>1063</v>
      </c>
      <c r="B92" s="1" t="s">
        <v>889</v>
      </c>
      <c r="C92" s="292" t="n">
        <f aca="false">'Liste WO'!C85</f>
        <v>45581</v>
      </c>
      <c r="D92" s="241" t="n">
        <f aca="false">'Liste WO'!D85</f>
        <v>228</v>
      </c>
      <c r="E92" s="241" t="str">
        <f aca="false">'Liste WO'!E85</f>
        <v>Lelys</v>
      </c>
      <c r="F92" s="241" t="str">
        <f aca="false">_xlfn.xlookup(E92,Clients!B:B,Clients!C:C)</f>
        <v>Lelys</v>
      </c>
      <c r="G92" s="241" t="str">
        <f aca="false">_xlfn.xlookup(D92,'PO Client'!$A:$A,'PO Client'!$F:$F,FALSE())</f>
        <v>Échantillons S21, S15 et B15</v>
      </c>
      <c r="H92" s="251" t="n">
        <f aca="false">'Liste WO'!I85</f>
        <v>40128</v>
      </c>
      <c r="I92" s="251" t="n">
        <f aca="false">'Liste WO'!J85</f>
        <v>30011</v>
      </c>
      <c r="J92" s="244" t="str">
        <f aca="false">'Liste WO'!L85</f>
        <v>S21-1</v>
      </c>
      <c r="K92" s="245" t="n">
        <v>378</v>
      </c>
      <c r="L92" s="245" t="n">
        <v>0</v>
      </c>
      <c r="M92" s="245" t="n">
        <v>343.2</v>
      </c>
      <c r="N92" s="245"/>
      <c r="O92" s="245" t="n">
        <v>13</v>
      </c>
      <c r="P92" s="246" t="n">
        <v>1</v>
      </c>
      <c r="Q92" s="219" t="n">
        <v>0.5</v>
      </c>
      <c r="R92" s="247" t="n">
        <f aca="false">71.5/3</f>
        <v>23.8333333333333</v>
      </c>
      <c r="S92" s="272"/>
      <c r="T92" s="248" t="n">
        <f aca="false">_xlfn.xlookup(I92,'Prix MP'!A:A,'Prix MP'!U:U, FALSE())</f>
        <v>0.28357864079936</v>
      </c>
      <c r="U92" s="249" t="n">
        <f aca="false">M92*T92</f>
        <v>97.3241895223403</v>
      </c>
      <c r="V92" s="249" t="n">
        <f aca="false">(K92-M92-L92)*T92</f>
        <v>9.86853669981773</v>
      </c>
      <c r="W92" s="250" t="n">
        <f aca="false">(K92-M92-L92)/K92</f>
        <v>0.0920634920634921</v>
      </c>
      <c r="X92" s="249" t="n">
        <f aca="false">20.6577/85*O92</f>
        <v>3.15941294117647</v>
      </c>
      <c r="Y92" s="249" t="n">
        <f aca="false">19.2*P92</f>
        <v>19.2</v>
      </c>
      <c r="Z92" s="249" t="n">
        <f aca="false">125000/52/40*Q92</f>
        <v>30.0480769230769</v>
      </c>
      <c r="AA92" s="249" t="n">
        <f aca="false">(M92+N92)*T92+R92+V92+X92+Y92+Z92</f>
        <v>183.433549419745</v>
      </c>
      <c r="AB92" s="285" t="n">
        <f aca="false">_xlfn.xlookup(H92,'Prix vente'!A:A,'Prix vente'!X:X, "")</f>
        <v>0</v>
      </c>
      <c r="AC92" s="285" t="str">
        <f aca="false">_xlfn.xlookup(H92,'Prix vente'!A:A,'Prix vente'!Z:Z, "")</f>
        <v>CAD</v>
      </c>
      <c r="AD92" s="249" t="n">
        <f aca="false">IF(AC92="CAD",(M92+N92)*AB92,(M92+N92)*AB92*S92)</f>
        <v>0</v>
      </c>
      <c r="AE92" s="249" t="n">
        <f aca="false">AD92-AA92</f>
        <v>-183.433549419745</v>
      </c>
      <c r="AF92" s="273"/>
      <c r="AG92" s="252" t="n">
        <f aca="false">((M92+N92)*T92+V92)</f>
        <v>107.192726222158</v>
      </c>
      <c r="AH92" s="273"/>
      <c r="AI92" s="273" t="str">
        <f aca="false">IF(AD92=0,"S","")</f>
        <v>S</v>
      </c>
      <c r="AK92" s="15" t="e">
        <v>#NAME?</v>
      </c>
      <c r="AL92" s="15" t="e">
        <f aca="false">_xlfn.xlookup(AK92,A:A,F:F)</f>
        <v>#NAME?</v>
      </c>
      <c r="AM92" s="15" t="e">
        <f aca="false">_xlfn.xlookup(AK92,A:A,J:J)</f>
        <v>#NAME?</v>
      </c>
      <c r="AN92" s="15" t="e">
        <f aca="false">_xlfn.xlookup(AK92,A:A,M:M)+_xlfn.xlookup(AK92,A:A,N:N)</f>
        <v>#NAME?</v>
      </c>
      <c r="AO92" s="223" t="e">
        <f aca="false">_xlfn.xlookup(AK92,A:A,AG:AG)</f>
        <v>#NAME?</v>
      </c>
      <c r="AP92" s="223" t="e">
        <f aca="false">_xlfn.xlookup(AK92,A:A,AD:AD)</f>
        <v>#NAME?</v>
      </c>
      <c r="AQ92" s="223" t="e">
        <f aca="false">_xlfn.xlookup(AK92,A:A,AE:AE)</f>
        <v>#NAME?</v>
      </c>
      <c r="AX92" s="288"/>
      <c r="AY92" s="288"/>
      <c r="AZ92" s="288"/>
      <c r="BA92" s="15" t="e">
        <v>#NAME?</v>
      </c>
      <c r="BB92" s="257" t="e">
        <f aca="false">_xlfn.xlookup(BA92,A:A,F:F)</f>
        <v>#NAME?</v>
      </c>
      <c r="BC92" s="15" t="e">
        <f aca="false">_xlfn.xlookup(BA92,A:A,J:J)</f>
        <v>#NAME?</v>
      </c>
      <c r="BD92" s="75" t="e">
        <f aca="false">_xlfn.xlookup(BA92,A:A,M:M)+_xlfn.xlookup(BA92,A:A,N:N)</f>
        <v>#NAME?</v>
      </c>
      <c r="BE92" s="75" t="e">
        <f aca="false">_xlfn.xlookup(BA92,A40:A1028,AA40:AA1028)</f>
        <v>#NAME?</v>
      </c>
      <c r="BG92" s="0"/>
      <c r="BH92" s="0"/>
      <c r="BI92" s="0"/>
    </row>
    <row r="93" customFormat="false" ht="16.4" hidden="false" customHeight="false" outlineLevel="0" collapsed="false">
      <c r="A93" s="241" t="s">
        <v>1066</v>
      </c>
      <c r="B93" s="1" t="s">
        <v>889</v>
      </c>
      <c r="C93" s="292" t="n">
        <f aca="false">'Liste WO'!C86</f>
        <v>45581</v>
      </c>
      <c r="D93" s="241" t="n">
        <f aca="false">'Liste WO'!D86</f>
        <v>228</v>
      </c>
      <c r="E93" s="241" t="str">
        <f aca="false">'Liste WO'!E86</f>
        <v>Lelys</v>
      </c>
      <c r="F93" s="241" t="str">
        <f aca="false">_xlfn.xlookup(E93,Clients!B:B,Clients!C:C)</f>
        <v>Lelys</v>
      </c>
      <c r="G93" s="241" t="str">
        <f aca="false">_xlfn.xlookup(D93,'PO Client'!$A:$A,'PO Client'!$F:$F,FALSE())</f>
        <v>Échantillons S21, S15 et B15</v>
      </c>
      <c r="H93" s="251" t="n">
        <f aca="false">'Liste WO'!I86</f>
        <v>40129</v>
      </c>
      <c r="I93" s="251" t="n">
        <f aca="false">'Liste WO'!J86</f>
        <v>30015</v>
      </c>
      <c r="J93" s="244" t="str">
        <f aca="false">'Liste WO'!L86</f>
        <v>S15-3</v>
      </c>
      <c r="K93" s="245" t="n">
        <v>1714.71</v>
      </c>
      <c r="L93" s="245" t="n">
        <v>1325.85</v>
      </c>
      <c r="M93" s="245" t="n">
        <v>351</v>
      </c>
      <c r="N93" s="245"/>
      <c r="O93" s="245" t="n">
        <v>13</v>
      </c>
      <c r="P93" s="246" t="n">
        <v>1</v>
      </c>
      <c r="Q93" s="219" t="n">
        <v>0.75</v>
      </c>
      <c r="R93" s="247" t="n">
        <f aca="false">71.5/3</f>
        <v>23.8333333333333</v>
      </c>
      <c r="S93" s="272"/>
      <c r="T93" s="248" t="n">
        <f aca="false">_xlfn.xlookup(I93,'Prix MP'!A:A,'Prix MP'!U:U, FALSE())</f>
        <v>0.268854241086576</v>
      </c>
      <c r="U93" s="249" t="n">
        <f aca="false">M93*T93</f>
        <v>94.3678386213883</v>
      </c>
      <c r="V93" s="249" t="n">
        <f aca="false">(K93-M93-L93)*T93</f>
        <v>10.1788215675378</v>
      </c>
      <c r="W93" s="250" t="n">
        <f aca="false">(K93-M93-L93)/K93</f>
        <v>0.0220795353150096</v>
      </c>
      <c r="X93" s="249" t="n">
        <f aca="false">20.6577/85*O93</f>
        <v>3.15941294117647</v>
      </c>
      <c r="Y93" s="249" t="n">
        <f aca="false">19.2*P93</f>
        <v>19.2</v>
      </c>
      <c r="Z93" s="249" t="n">
        <f aca="false">125000/52/40*Q93</f>
        <v>45.0721153846154</v>
      </c>
      <c r="AA93" s="249" t="n">
        <f aca="false">(M93+N93)*T93+R93+V93+X93+Y93+Z93</f>
        <v>195.811521848051</v>
      </c>
      <c r="AB93" s="285" t="n">
        <f aca="false">_xlfn.xlookup(H93,'Prix vente'!A:A,'Prix vente'!X:X, "")</f>
        <v>0</v>
      </c>
      <c r="AC93" s="285" t="str">
        <f aca="false">_xlfn.xlookup(H93,'Prix vente'!A:A,'Prix vente'!Z:Z, "")</f>
        <v>CAD</v>
      </c>
      <c r="AD93" s="249" t="n">
        <f aca="false">IF(AC93="CAD",(M93+N93)*AB93,(M93+N93)*AB93*S93)</f>
        <v>0</v>
      </c>
      <c r="AE93" s="249" t="n">
        <f aca="false">AD93-AA93</f>
        <v>-195.811521848051</v>
      </c>
      <c r="AF93" s="273"/>
      <c r="AG93" s="252" t="n">
        <f aca="false">((M93+N93)*T93+V93)</f>
        <v>104.546660188926</v>
      </c>
      <c r="AH93" s="273"/>
      <c r="AI93" s="273" t="str">
        <f aca="false">IF(AD93=0,"S","")</f>
        <v>S</v>
      </c>
      <c r="AK93" s="15" t="e">
        <v>#NAME?</v>
      </c>
      <c r="AL93" s="15" t="e">
        <f aca="false">_xlfn.xlookup(AK93,A:A,F:F)</f>
        <v>#NAME?</v>
      </c>
      <c r="AM93" s="15" t="e">
        <f aca="false">_xlfn.xlookup(AK93,A:A,J:J)</f>
        <v>#NAME?</v>
      </c>
      <c r="AN93" s="15" t="e">
        <f aca="false">_xlfn.xlookup(AK93,A:A,M:M)+_xlfn.xlookup(AK93,A:A,N:N)</f>
        <v>#NAME?</v>
      </c>
      <c r="AO93" s="223" t="e">
        <f aca="false">_xlfn.xlookup(AK93,A:A,AG:AG)</f>
        <v>#NAME?</v>
      </c>
      <c r="AP93" s="223" t="e">
        <f aca="false">_xlfn.xlookup(AK93,A:A,AD:AD)</f>
        <v>#NAME?</v>
      </c>
      <c r="AQ93" s="223" t="e">
        <f aca="false">_xlfn.xlookup(AK93,A:A,AE:AE)</f>
        <v>#NAME?</v>
      </c>
      <c r="AX93" s="288"/>
      <c r="AY93" s="288"/>
      <c r="AZ93" s="288"/>
      <c r="BA93" s="15" t="e">
        <v>#NAME?</v>
      </c>
      <c r="BB93" s="257" t="e">
        <f aca="false">_xlfn.xlookup(BA93,A:A,F:F)</f>
        <v>#NAME?</v>
      </c>
      <c r="BC93" s="15" t="e">
        <f aca="false">_xlfn.xlookup(BA93,A:A,J:J)</f>
        <v>#NAME?</v>
      </c>
      <c r="BD93" s="75" t="e">
        <f aca="false">_xlfn.xlookup(BA93,A:A,M:M)+_xlfn.xlookup(BA93,A:A,N:N)</f>
        <v>#NAME?</v>
      </c>
      <c r="BE93" s="75" t="e">
        <f aca="false">_xlfn.xlookup(BA93,A41:A1029,AA41:AA1029)</f>
        <v>#NAME?</v>
      </c>
      <c r="BG93" s="0"/>
      <c r="BH93" s="0"/>
      <c r="BI93" s="0"/>
    </row>
    <row r="94" customFormat="false" ht="16.4" hidden="false" customHeight="false" outlineLevel="0" collapsed="false">
      <c r="A94" s="241" t="s">
        <v>1068</v>
      </c>
      <c r="B94" s="1" t="s">
        <v>889</v>
      </c>
      <c r="C94" s="292" t="n">
        <f aca="false">'Liste WO'!C87</f>
        <v>45581</v>
      </c>
      <c r="D94" s="241" t="n">
        <f aca="false">'Liste WO'!D87</f>
        <v>228</v>
      </c>
      <c r="E94" s="241" t="str">
        <f aca="false">'Liste WO'!E87</f>
        <v>Lelys</v>
      </c>
      <c r="F94" s="241" t="str">
        <f aca="false">_xlfn.xlookup(E94,Clients!B:B,Clients!C:C)</f>
        <v>Lelys</v>
      </c>
      <c r="G94" s="241" t="str">
        <f aca="false">_xlfn.xlookup(D94,'PO Client'!$A:$A,'PO Client'!$F:$F,FALSE())</f>
        <v>Échantillons S21, S15 et B15</v>
      </c>
      <c r="H94" s="251" t="n">
        <f aca="false">'Liste WO'!I87</f>
        <v>40130</v>
      </c>
      <c r="I94" s="251" t="n">
        <f aca="false">'Liste WO'!J87</f>
        <v>30016</v>
      </c>
      <c r="J94" s="244" t="str">
        <f aca="false">'Liste WO'!L87</f>
        <v>B15-3</v>
      </c>
      <c r="K94" s="245" t="n">
        <v>4843.296</v>
      </c>
      <c r="L94" s="245" t="n">
        <v>4298.688</v>
      </c>
      <c r="M94" s="245" t="n">
        <v>468</v>
      </c>
      <c r="N94" s="245"/>
      <c r="O94" s="245" t="n">
        <v>26</v>
      </c>
      <c r="P94" s="246" t="n">
        <v>1</v>
      </c>
      <c r="Q94" s="219" t="n">
        <v>0.75</v>
      </c>
      <c r="R94" s="247" t="n">
        <f aca="false">71.5/3</f>
        <v>23.8333333333333</v>
      </c>
      <c r="S94" s="272"/>
      <c r="T94" s="248" t="n">
        <f aca="false">_xlfn.xlookup(I94,'Prix MP'!A:A,'Prix MP'!U:U, FALSE())</f>
        <v>0.326284886247867</v>
      </c>
      <c r="U94" s="249" t="n">
        <f aca="false">M94*T94</f>
        <v>152.701326764002</v>
      </c>
      <c r="V94" s="249" t="n">
        <f aca="false">(K94-M94-L94)*T94</f>
        <v>24.9960325656766</v>
      </c>
      <c r="W94" s="250" t="n">
        <f aca="false">(K94-M94-L94)/K94</f>
        <v>0.015817327704109</v>
      </c>
      <c r="X94" s="249" t="n">
        <f aca="false">20.6577/85*O94</f>
        <v>6.31882588235294</v>
      </c>
      <c r="Y94" s="249" t="n">
        <f aca="false">19.2*P94</f>
        <v>19.2</v>
      </c>
      <c r="Z94" s="249" t="n">
        <f aca="false">125000/52/40*Q94</f>
        <v>45.0721153846154</v>
      </c>
      <c r="AA94" s="249" t="n">
        <f aca="false">(M94+N94)*T94+R94+V94+X94+Y94+Z94</f>
        <v>272.12163392998</v>
      </c>
      <c r="AB94" s="285" t="n">
        <f aca="false">_xlfn.xlookup(H94,'Prix vente'!A:A,'Prix vente'!X:X, "")</f>
        <v>0</v>
      </c>
      <c r="AC94" s="285" t="str">
        <f aca="false">_xlfn.xlookup(H94,'Prix vente'!A:A,'Prix vente'!Z:Z, "")</f>
        <v>CAD</v>
      </c>
      <c r="AD94" s="249" t="n">
        <f aca="false">IF(AC94="CAD",(M94+N94)*AB94,(M94+N94)*AB94*S94)</f>
        <v>0</v>
      </c>
      <c r="AE94" s="249" t="n">
        <f aca="false">AD94-AA94</f>
        <v>-272.12163392998</v>
      </c>
      <c r="AF94" s="273"/>
      <c r="AG94" s="252" t="n">
        <f aca="false">((M94+N94)*T94+V94)</f>
        <v>177.697359329678</v>
      </c>
      <c r="AH94" s="273"/>
      <c r="AI94" s="273" t="str">
        <f aca="false">IF(AD94=0,"S","")</f>
        <v>S</v>
      </c>
      <c r="AK94" s="15" t="e">
        <v>#NAME?</v>
      </c>
      <c r="AL94" s="15" t="e">
        <f aca="false">_xlfn.xlookup(AK94,A:A,F:F)</f>
        <v>#NAME?</v>
      </c>
      <c r="AM94" s="15" t="e">
        <f aca="false">_xlfn.xlookup(AK94,A:A,J:J)</f>
        <v>#NAME?</v>
      </c>
      <c r="AN94" s="15" t="e">
        <f aca="false">_xlfn.xlookup(AK94,A:A,M:M)+_xlfn.xlookup(AK94,A:A,N:N)</f>
        <v>#NAME?</v>
      </c>
      <c r="AO94" s="223" t="e">
        <f aca="false">_xlfn.xlookup(AK94,A:A,AG:AG)</f>
        <v>#NAME?</v>
      </c>
      <c r="AP94" s="223" t="e">
        <f aca="false">_xlfn.xlookup(AK94,A:A,AD:AD)</f>
        <v>#NAME?</v>
      </c>
      <c r="AQ94" s="223" t="e">
        <f aca="false">_xlfn.xlookup(AK94,A:A,AE:AE)</f>
        <v>#NAME?</v>
      </c>
      <c r="AX94" s="288"/>
      <c r="AY94" s="288"/>
      <c r="AZ94" s="288"/>
      <c r="BA94" s="15" t="e">
        <v>#NAME?</v>
      </c>
      <c r="BB94" s="257" t="e">
        <f aca="false">_xlfn.xlookup(BA94,A:A,F:F)</f>
        <v>#NAME?</v>
      </c>
      <c r="BC94" s="291" t="e">
        <f aca="false">_xlfn.xlookup(BA94,A:A,J:J)</f>
        <v>#NAME?</v>
      </c>
      <c r="BD94" s="75" t="e">
        <f aca="false">_xlfn.xlookup(BA94,A:A,M:M)+_xlfn.xlookup(BA94,A:A,N:N)</f>
        <v>#NAME?</v>
      </c>
      <c r="BE94" s="75" t="e">
        <f aca="false">_xlfn.xlookup(BA94,A42:A1030,AA42:AA1030)</f>
        <v>#NAME?</v>
      </c>
      <c r="BG94" s="0"/>
      <c r="BH94" s="0"/>
      <c r="BI94" s="0"/>
    </row>
    <row r="95" customFormat="false" ht="16.4" hidden="false" customHeight="false" outlineLevel="0" collapsed="false">
      <c r="A95" s="241" t="s">
        <v>1071</v>
      </c>
      <c r="B95" s="1" t="s">
        <v>889</v>
      </c>
      <c r="C95" s="292" t="n">
        <f aca="false">'Liste WO'!C88</f>
        <v>45586</v>
      </c>
      <c r="D95" s="241" t="n">
        <f aca="false">'Liste WO'!D88</f>
        <v>229</v>
      </c>
      <c r="E95" s="241" t="str">
        <f aca="false">'Liste WO'!E88</f>
        <v>Crucial Solutions LLC</v>
      </c>
      <c r="F95" s="241" t="str">
        <f aca="false">_xlfn.xlookup(E95,Clients!B:B,Clients!C:C)</f>
        <v>Crucial</v>
      </c>
      <c r="G95" s="241" t="str">
        <f aca="false">_xlfn.xlookup(D95,'PO Client'!$A:$A,'PO Client'!$F:$F,FALSE())</f>
        <v>Samples Cust 1</v>
      </c>
      <c r="H95" s="251" t="n">
        <f aca="false">'Liste WO'!I88</f>
        <v>40132</v>
      </c>
      <c r="I95" s="251" t="n">
        <f aca="false">'Liste WO'!J88</f>
        <v>30023</v>
      </c>
      <c r="J95" s="244" t="str">
        <f aca="false">'Liste WO'!L88</f>
        <v>T11-1</v>
      </c>
      <c r="K95" s="245" t="n">
        <v>5235.472176</v>
      </c>
      <c r="L95" s="245" t="n">
        <v>3455.68176</v>
      </c>
      <c r="M95" s="245" t="n">
        <v>1756.8</v>
      </c>
      <c r="N95" s="245"/>
      <c r="O95" s="245" t="n">
        <v>30.5</v>
      </c>
      <c r="P95" s="246" t="n">
        <v>1</v>
      </c>
      <c r="Q95" s="219" t="n">
        <v>0.5</v>
      </c>
      <c r="R95" s="247" t="n">
        <f aca="false">525/4</f>
        <v>131.25</v>
      </c>
      <c r="S95" s="272" t="n">
        <v>1.3895</v>
      </c>
      <c r="T95" s="248" t="n">
        <f aca="false">_xlfn.xlookup(I95,'Prix MP'!A:A,'Prix MP'!U:U, FALSE())</f>
        <v>0.2951148717267</v>
      </c>
      <c r="U95" s="249" t="n">
        <f aca="false">M95*T95</f>
        <v>518.457806649467</v>
      </c>
      <c r="V95" s="249" t="n">
        <f aca="false">(K95-M95-L95)*T95</f>
        <v>6.78481366878337</v>
      </c>
      <c r="W95" s="250" t="n">
        <f aca="false">(K95-M95-L95)/K95</f>
        <v>0.00439127842286897</v>
      </c>
      <c r="X95" s="249" t="n">
        <f aca="false">20.6577/85*O95</f>
        <v>7.41246882352941</v>
      </c>
      <c r="Y95" s="249" t="n">
        <f aca="false">19.2*P95</f>
        <v>19.2</v>
      </c>
      <c r="Z95" s="249" t="n">
        <f aca="false">125000/52/40*Q95</f>
        <v>30.0480769230769</v>
      </c>
      <c r="AA95" s="249" t="n">
        <f aca="false">(M95+N95)*T95+R95+V95+X95+Y95+Z95</f>
        <v>713.153166064857</v>
      </c>
      <c r="AB95" s="285" t="n">
        <f aca="false">_xlfn.xlookup(H95,'Prix vente'!A:A,'Prix vente'!X:X, "")</f>
        <v>0.025</v>
      </c>
      <c r="AC95" s="285" t="str">
        <f aca="false">_xlfn.xlookup(H95,'Prix vente'!A:A,'Prix vente'!Z:Z, "")</f>
        <v>USD</v>
      </c>
      <c r="AD95" s="249" t="n">
        <v>0</v>
      </c>
      <c r="AE95" s="249" t="n">
        <f aca="false">AD95-AA95</f>
        <v>-713.153166064857</v>
      </c>
      <c r="AF95" s="273"/>
      <c r="AG95" s="252" t="n">
        <f aca="false">((M95+N95)*T95+V95)</f>
        <v>525.24262031825</v>
      </c>
      <c r="AH95" s="273"/>
      <c r="AI95" s="273" t="s">
        <v>1449</v>
      </c>
      <c r="AK95" s="15" t="e">
        <v>#NAME?</v>
      </c>
      <c r="AL95" s="15" t="e">
        <f aca="false">_xlfn.xlookup(AK95,A:A,F:F)</f>
        <v>#NAME?</v>
      </c>
      <c r="AM95" s="15" t="e">
        <f aca="false">_xlfn.xlookup(AK95,A:A,J:J)</f>
        <v>#NAME?</v>
      </c>
      <c r="AN95" s="15" t="e">
        <f aca="false">_xlfn.xlookup(AK95,A:A,M:M)+_xlfn.xlookup(AK95,A:A,N:N)</f>
        <v>#NAME?</v>
      </c>
      <c r="AO95" s="223" t="e">
        <f aca="false">_xlfn.xlookup(AK95,A:A,AG:AG)</f>
        <v>#NAME?</v>
      </c>
      <c r="AP95" s="223" t="e">
        <f aca="false">_xlfn.xlookup(AK95,A:A,AD:AD)</f>
        <v>#NAME?</v>
      </c>
      <c r="AQ95" s="223" t="e">
        <f aca="false">_xlfn.xlookup(AK95,A:A,AE:AE)</f>
        <v>#NAME?</v>
      </c>
      <c r="AX95" s="288"/>
      <c r="AY95" s="288"/>
      <c r="AZ95" s="288"/>
      <c r="BA95" s="15" t="e">
        <v>#NAME?</v>
      </c>
      <c r="BB95" s="257" t="e">
        <f aca="false">_xlfn.xlookup(BA95,A:A,F:F)</f>
        <v>#NAME?</v>
      </c>
      <c r="BC95" s="15" t="e">
        <f aca="false">_xlfn.xlookup(BA95,A:A,J:J)</f>
        <v>#NAME?</v>
      </c>
      <c r="BD95" s="75" t="e">
        <f aca="false">_xlfn.xlookup(BA95,A:A,M:M)+_xlfn.xlookup(BA95,A:A,N:N)</f>
        <v>#NAME?</v>
      </c>
      <c r="BE95" s="75" t="e">
        <f aca="false">_xlfn.xlookup(BA95,A43:A1031,AA43:AA1031)</f>
        <v>#NAME?</v>
      </c>
      <c r="BG95" s="0"/>
      <c r="BH95" s="0"/>
      <c r="BI95" s="0"/>
    </row>
    <row r="96" customFormat="false" ht="16.4" hidden="false" customHeight="false" outlineLevel="0" collapsed="false">
      <c r="A96" s="241" t="s">
        <v>1076</v>
      </c>
      <c r="B96" s="1" t="s">
        <v>889</v>
      </c>
      <c r="C96" s="292" t="n">
        <f aca="false">'Liste WO'!C89</f>
        <v>45586</v>
      </c>
      <c r="D96" s="241" t="n">
        <f aca="false">'Liste WO'!D89</f>
        <v>229</v>
      </c>
      <c r="E96" s="241" t="str">
        <f aca="false">'Liste WO'!E89</f>
        <v>Crucial Solutions LLC</v>
      </c>
      <c r="F96" s="241" t="str">
        <f aca="false">_xlfn.xlookup(E96,Clients!B:B,Clients!C:C)</f>
        <v>Crucial</v>
      </c>
      <c r="G96" s="241" t="str">
        <f aca="false">_xlfn.xlookup(D96,'PO Client'!$A:$A,'PO Client'!$F:$F,FALSE())</f>
        <v>Samples Cust 1</v>
      </c>
      <c r="H96" s="251" t="n">
        <f aca="false">'Liste WO'!I89</f>
        <v>40134</v>
      </c>
      <c r="I96" s="251" t="n">
        <f aca="false">'Liste WO'!J89</f>
        <v>30025</v>
      </c>
      <c r="J96" s="244" t="str">
        <f aca="false">'Liste WO'!L89</f>
        <v>D11-1</v>
      </c>
      <c r="K96" s="245" t="n">
        <v>7589.013168</v>
      </c>
      <c r="L96" s="245" t="n">
        <v>5391.0096</v>
      </c>
      <c r="M96" s="245" t="n">
        <v>2040</v>
      </c>
      <c r="N96" s="245"/>
      <c r="O96" s="245" t="n">
        <v>34</v>
      </c>
      <c r="P96" s="246" t="n">
        <v>1</v>
      </c>
      <c r="Q96" s="219" t="n">
        <v>1.75</v>
      </c>
      <c r="R96" s="247" t="n">
        <f aca="false">525/4</f>
        <v>131.25</v>
      </c>
      <c r="S96" s="272" t="n">
        <v>1.3895</v>
      </c>
      <c r="T96" s="248" t="n">
        <f aca="false">_xlfn.xlookup(I96,'Prix MP'!A:A,'Prix MP'!U:U, FALSE())</f>
        <v>0.369342532440358</v>
      </c>
      <c r="U96" s="249" t="n">
        <f aca="false">M96*T96</f>
        <v>753.458766178331</v>
      </c>
      <c r="V96" s="249" t="n">
        <f aca="false">(K96-M96-L96)*T96</f>
        <v>58.357437939732</v>
      </c>
      <c r="W96" s="250" t="n">
        <f aca="false">(K96-M96-L96)/K96</f>
        <v>0.0208200413548155</v>
      </c>
      <c r="X96" s="249" t="n">
        <f aca="false">20.6577/85*O96</f>
        <v>8.26308</v>
      </c>
      <c r="Y96" s="249" t="n">
        <f aca="false">19.2*P96</f>
        <v>19.2</v>
      </c>
      <c r="Z96" s="249" t="n">
        <f aca="false">125000/52/40*Q96</f>
        <v>105.168269230769</v>
      </c>
      <c r="AA96" s="249" t="n">
        <f aca="false">(M96+N96)*T96+R96+V96+X96+Y96+Z96</f>
        <v>1075.69755334883</v>
      </c>
      <c r="AB96" s="285" t="n">
        <f aca="false">_xlfn.xlookup(H96,'Prix vente'!A:A,'Prix vente'!X:X, "")</f>
        <v>0.025</v>
      </c>
      <c r="AC96" s="285" t="str">
        <f aca="false">_xlfn.xlookup(H96,'Prix vente'!A:A,'Prix vente'!Z:Z, "")</f>
        <v>USD</v>
      </c>
      <c r="AD96" s="249" t="n">
        <v>0</v>
      </c>
      <c r="AE96" s="249" t="n">
        <f aca="false">AD96-AA96</f>
        <v>-1075.69755334883</v>
      </c>
      <c r="AF96" s="273"/>
      <c r="AG96" s="252" t="n">
        <f aca="false">((M96+N96)*T96+V96)</f>
        <v>811.816204118063</v>
      </c>
      <c r="AH96" s="273"/>
      <c r="AI96" s="273" t="s">
        <v>1449</v>
      </c>
      <c r="AK96" s="15" t="e">
        <v>#NAME?</v>
      </c>
      <c r="AL96" s="15" t="e">
        <f aca="false">_xlfn.xlookup(AK96,A:A,F:F)</f>
        <v>#NAME?</v>
      </c>
      <c r="AM96" s="15" t="e">
        <f aca="false">_xlfn.xlookup(AK96,A:A,J:J)</f>
        <v>#NAME?</v>
      </c>
      <c r="AN96" s="15" t="e">
        <f aca="false">_xlfn.xlookup(AK96,A:A,M:M)+_xlfn.xlookup(AK96,A:A,N:N)</f>
        <v>#NAME?</v>
      </c>
      <c r="AO96" s="223" t="e">
        <f aca="false">_xlfn.xlookup(AK96,A:A,AG:AG)</f>
        <v>#NAME?</v>
      </c>
      <c r="AP96" s="223" t="e">
        <f aca="false">_xlfn.xlookup(AK96,A:A,AD:AD)</f>
        <v>#NAME?</v>
      </c>
      <c r="AQ96" s="223" t="e">
        <f aca="false">_xlfn.xlookup(AK96,A:A,AE:AE)</f>
        <v>#NAME?</v>
      </c>
      <c r="AX96" s="288"/>
      <c r="AY96" s="288"/>
      <c r="AZ96" s="288"/>
      <c r="BA96" s="15" t="e">
        <v>#NAME?</v>
      </c>
      <c r="BB96" s="257" t="e">
        <f aca="false">_xlfn.xlookup(BA96,A:A,F:F)</f>
        <v>#NAME?</v>
      </c>
      <c r="BC96" s="15" t="e">
        <f aca="false">_xlfn.xlookup(BA96,A:A,J:J)</f>
        <v>#NAME?</v>
      </c>
      <c r="BD96" s="75" t="e">
        <f aca="false">_xlfn.xlookup(BA96,A:A,M:M)+_xlfn.xlookup(BA96,A:A,N:N)</f>
        <v>#NAME?</v>
      </c>
      <c r="BE96" s="75" t="e">
        <f aca="false">_xlfn.xlookup(BA96,A44:A1032,AA44:AA1032)</f>
        <v>#NAME?</v>
      </c>
    </row>
    <row r="97" customFormat="false" ht="16.4" hidden="false" customHeight="false" outlineLevel="0" collapsed="false">
      <c r="A97" s="241" t="s">
        <v>1080</v>
      </c>
      <c r="B97" s="1" t="s">
        <v>889</v>
      </c>
      <c r="C97" s="292" t="n">
        <f aca="false">'Liste WO'!C90</f>
        <v>45580</v>
      </c>
      <c r="D97" s="241" t="n">
        <f aca="false">'Liste WO'!D90</f>
        <v>230</v>
      </c>
      <c r="E97" s="241" t="str">
        <f aca="false">'Liste WO'!E90</f>
        <v>Digi America Inc.</v>
      </c>
      <c r="F97" s="241" t="str">
        <f aca="false">_xlfn.xlookup(E97,Clients!B:B,Clients!C:C)</f>
        <v>Digi</v>
      </c>
      <c r="G97" s="241" t="n">
        <f aca="false">_xlfn.xlookup(D97,'PO Client'!$A:$A,'PO Client'!$F:$F,FALSE())</f>
        <v>50008700</v>
      </c>
      <c r="H97" s="251" t="n">
        <f aca="false">'Liste WO'!I90</f>
        <v>40103</v>
      </c>
      <c r="I97" s="251" t="n">
        <f aca="false">'Liste WO'!J90</f>
        <v>30019</v>
      </c>
      <c r="J97" s="244" t="str">
        <f aca="false">'Liste WO'!L90</f>
        <v>D16-1</v>
      </c>
      <c r="K97" s="245" t="n">
        <v>43328.718576</v>
      </c>
      <c r="L97" s="245" t="n">
        <v>0</v>
      </c>
      <c r="M97" s="245" t="n">
        <v>42768</v>
      </c>
      <c r="N97" s="245"/>
      <c r="O97" s="245" t="n">
        <v>720</v>
      </c>
      <c r="P97" s="246" t="n">
        <v>6</v>
      </c>
      <c r="Q97" s="219" t="n">
        <v>11.5</v>
      </c>
      <c r="R97" s="247" t="n">
        <f aca="false">(725+140)-715*1.3802</f>
        <v>-121.843</v>
      </c>
      <c r="S97" s="272" t="n">
        <v>1.3802</v>
      </c>
      <c r="T97" s="248" t="n">
        <f aca="false">_xlfn.xlookup(I97,'Prix MP'!A:A,'Prix MP'!U:U, FALSE())</f>
        <v>0.378144584023772</v>
      </c>
      <c r="U97" s="249" t="n">
        <f aca="false">M97*T97</f>
        <v>16172.4875695287</v>
      </c>
      <c r="V97" s="249" t="n">
        <f aca="false">(K97-M97-L97)*T97</f>
        <v>212.032692675922</v>
      </c>
      <c r="W97" s="250" t="n">
        <f aca="false">(K97-M97-L97)/K97</f>
        <v>0.0129410375941878</v>
      </c>
      <c r="X97" s="249" t="n">
        <f aca="false">20.6577/85*O97</f>
        <v>174.982870588235</v>
      </c>
      <c r="Y97" s="249" t="n">
        <f aca="false">19.2*P97</f>
        <v>115.2</v>
      </c>
      <c r="Z97" s="249" t="n">
        <f aca="false">125000/52/40*Q97</f>
        <v>691.105769230769</v>
      </c>
      <c r="AA97" s="249" t="n">
        <f aca="false">(M97+N97)*T97+R97+V97+X97+Y97+Z97</f>
        <v>17243.9659020236</v>
      </c>
      <c r="AB97" s="285" t="n">
        <f aca="false">_xlfn.xlookup(H97,'Prix vente'!A:A,'Prix vente'!X:X, "")</f>
        <v>0.31</v>
      </c>
      <c r="AC97" s="285" t="str">
        <f aca="false">_xlfn.xlookup(H97,'Prix vente'!A:A,'Prix vente'!Z:Z, "")</f>
        <v>USD</v>
      </c>
      <c r="AD97" s="249" t="n">
        <f aca="false">IF(AC97="CAD",(M97+N97)*AB97,(M97+N97)*AB97*S97)</f>
        <v>18298.802016</v>
      </c>
      <c r="AE97" s="249" t="n">
        <f aca="false">AD97-AA97</f>
        <v>1054.83611397638</v>
      </c>
      <c r="AF97" s="273" t="n">
        <f aca="false">1-AA97/AD97</f>
        <v>0.0576450913592083</v>
      </c>
      <c r="AG97" s="252" t="n">
        <f aca="false">((M97+N97)*T97+V97)</f>
        <v>16384.5202622046</v>
      </c>
      <c r="AH97" s="273" t="n">
        <f aca="false">AG97/AD97</f>
        <v>0.895387591377753</v>
      </c>
      <c r="AI97" s="273" t="str">
        <f aca="false">IF(AD97=0,"S","")</f>
        <v/>
      </c>
      <c r="AK97" s="15" t="e">
        <v>#NAME?</v>
      </c>
      <c r="AL97" s="15" t="e">
        <f aca="false">_xlfn.xlookup(AK97,A:A,F:F)</f>
        <v>#NAME?</v>
      </c>
      <c r="AM97" s="15" t="e">
        <f aca="false">_xlfn.xlookup(AK97,A:A,J:J)</f>
        <v>#NAME?</v>
      </c>
      <c r="AN97" s="15" t="e">
        <f aca="false">_xlfn.xlookup(AK97,A:A,M:M)+_xlfn.xlookup(AK97,A:A,N:N)</f>
        <v>#NAME?</v>
      </c>
      <c r="AO97" s="223" t="e">
        <f aca="false">_xlfn.xlookup(AK97,A:A,AG:AG)</f>
        <v>#NAME?</v>
      </c>
      <c r="AP97" s="223" t="e">
        <f aca="false">_xlfn.xlookup(AK97,A:A,AD:AD)</f>
        <v>#NAME?</v>
      </c>
      <c r="AQ97" s="223" t="e">
        <f aca="false">_xlfn.xlookup(AK97,A:A,AE:AE)</f>
        <v>#NAME?</v>
      </c>
      <c r="AX97" s="288"/>
      <c r="AY97" s="288"/>
      <c r="AZ97" s="288"/>
      <c r="BA97" s="15" t="e">
        <v>#NAME?</v>
      </c>
      <c r="BB97" s="257" t="e">
        <f aca="false">_xlfn.xlookup(BA97,A:A,F:F)</f>
        <v>#NAME?</v>
      </c>
      <c r="BC97" s="15" t="e">
        <f aca="false">_xlfn.xlookup(BA97,A:A,J:J)</f>
        <v>#NAME?</v>
      </c>
      <c r="BD97" s="75" t="e">
        <f aca="false">_xlfn.xlookup(BA97,A:A,M:M)+_xlfn.xlookup(BA97,A:A,N:N)</f>
        <v>#NAME?</v>
      </c>
      <c r="BE97" s="75" t="e">
        <f aca="false">_xlfn.xlookup(BA97,A45:A1033,AA45:AA1033)</f>
        <v>#NAME?</v>
      </c>
    </row>
    <row r="98" customFormat="false" ht="16.4" hidden="false" customHeight="false" outlineLevel="0" collapsed="false">
      <c r="A98" s="241" t="s">
        <v>1082</v>
      </c>
      <c r="B98" s="1" t="s">
        <v>889</v>
      </c>
      <c r="C98" s="292" t="n">
        <f aca="false">'Liste WO'!C91</f>
        <v>45582</v>
      </c>
      <c r="D98" s="241" t="n">
        <f aca="false">'Liste WO'!D91</f>
        <v>232</v>
      </c>
      <c r="E98" s="241" t="str">
        <f aca="false">'Liste WO'!E91</f>
        <v>Étiquettes Luso-Flex</v>
      </c>
      <c r="F98" s="241" t="str">
        <f aca="false">_xlfn.xlookup(E98,Clients!B:B,Clients!C:C)</f>
        <v>Luso-Flex</v>
      </c>
      <c r="G98" s="241" t="n">
        <f aca="false">_xlfn.xlookup(D98,'PO Client'!$A:$A,'PO Client'!$F:$F,FALSE())</f>
        <v>1931</v>
      </c>
      <c r="H98" s="251" t="n">
        <f aca="false">'Liste WO'!I91</f>
        <v>40137</v>
      </c>
      <c r="I98" s="251" t="n">
        <f aca="false">'Liste WO'!J91</f>
        <v>30023</v>
      </c>
      <c r="J98" s="244" t="str">
        <f aca="false">'Liste WO'!L91</f>
        <v>T11-1</v>
      </c>
      <c r="K98" s="245" t="n">
        <v>28459.341504</v>
      </c>
      <c r="L98" s="245" t="n">
        <v>4657.95</v>
      </c>
      <c r="M98" s="245" t="n">
        <v>22906.17</v>
      </c>
      <c r="N98" s="245"/>
      <c r="O98" s="245" t="n">
        <v>231.75</v>
      </c>
      <c r="P98" s="246" t="n">
        <v>6</v>
      </c>
      <c r="Q98" s="219" t="n">
        <v>15</v>
      </c>
      <c r="R98" s="247" t="n">
        <v>64</v>
      </c>
      <c r="S98" s="272"/>
      <c r="T98" s="248" t="n">
        <f aca="false">_xlfn.xlookup(I98,'Prix MP'!A:A,'Prix MP'!U:U, FALSE())</f>
        <v>0.2951148717267</v>
      </c>
      <c r="U98" s="249" t="n">
        <f aca="false">M98*T98</f>
        <v>6759.95142129999</v>
      </c>
      <c r="V98" s="249" t="n">
        <f aca="false">(K98-M98-L98)*T98</f>
        <v>264.193179319944</v>
      </c>
      <c r="W98" s="250" t="n">
        <f aca="false">(K98-M98-L98)/K98</f>
        <v>0.0314561566322319</v>
      </c>
      <c r="X98" s="249" t="n">
        <f aca="false">20.6577/85*O98</f>
        <v>56.3226114705882</v>
      </c>
      <c r="Y98" s="249" t="n">
        <f aca="false">19.2*P98</f>
        <v>115.2</v>
      </c>
      <c r="Z98" s="249" t="n">
        <f aca="false">125000/52/40*Q98</f>
        <v>901.442307692308</v>
      </c>
      <c r="AA98" s="249" t="n">
        <f aca="false">(M98+N98)*T98+R98+V98+X98+Y98+Z98</f>
        <v>8161.10951978283</v>
      </c>
      <c r="AB98" s="285" t="n">
        <f aca="false">_xlfn.xlookup(H98,'Prix vente'!A:A,'Prix vente'!X:X, "")</f>
        <v>0.438</v>
      </c>
      <c r="AC98" s="285" t="str">
        <f aca="false">_xlfn.xlookup(H98,'Prix vente'!A:A,'Prix vente'!Z:Z, "")</f>
        <v>CAD</v>
      </c>
      <c r="AD98" s="249" t="n">
        <f aca="false">IF(AC98="CAD",(M98+N98)*AB98,(M98+N98)*AB98*S98)</f>
        <v>10032.90246</v>
      </c>
      <c r="AE98" s="249" t="n">
        <f aca="false">AD98-AA98</f>
        <v>1871.79294021717</v>
      </c>
      <c r="AF98" s="273" t="n">
        <f aca="false">1-AA98/AD98</f>
        <v>0.186565447803344</v>
      </c>
      <c r="AG98" s="252" t="n">
        <f aca="false">((M98+N98)*T98+V98)</f>
        <v>7024.14460061993</v>
      </c>
      <c r="AH98" s="273" t="n">
        <f aca="false">AG98/AD98</f>
        <v>0.70011092289837</v>
      </c>
      <c r="AI98" s="273" t="str">
        <f aca="false">IF(AD98=0,"S","")</f>
        <v/>
      </c>
      <c r="AK98" s="15" t="e">
        <v>#NAME?</v>
      </c>
      <c r="AL98" s="15" t="e">
        <f aca="false">_xlfn.xlookup(AK98,A:A,F:F)</f>
        <v>#NAME?</v>
      </c>
      <c r="AM98" s="15" t="e">
        <f aca="false">_xlfn.xlookup(AK98,A:A,J:J)</f>
        <v>#NAME?</v>
      </c>
      <c r="AN98" s="15" t="e">
        <f aca="false">_xlfn.xlookup(AK98,A:A,M:M)+_xlfn.xlookup(AK98,A:A,N:N)</f>
        <v>#NAME?</v>
      </c>
      <c r="AO98" s="223" t="e">
        <f aca="false">_xlfn.xlookup(AK98,A:A,AG:AG)</f>
        <v>#NAME?</v>
      </c>
      <c r="AP98" s="223" t="e">
        <f aca="false">_xlfn.xlookup(AK98,A:A,AD:AD)</f>
        <v>#NAME?</v>
      </c>
      <c r="AQ98" s="223" t="e">
        <f aca="false">_xlfn.xlookup(AK98,A:A,AE:AE)</f>
        <v>#NAME?</v>
      </c>
      <c r="AX98" s="288"/>
      <c r="AY98" s="288"/>
      <c r="AZ98" s="288"/>
      <c r="BA98" s="15" t="e">
        <v>#NAME?</v>
      </c>
      <c r="BB98" s="257" t="e">
        <f aca="false">_xlfn.xlookup(BA98,A:A,F:F)</f>
        <v>#NAME?</v>
      </c>
      <c r="BC98" s="291" t="e">
        <f aca="false">_xlfn.xlookup(BA98,A:A,J:J)</f>
        <v>#NAME?</v>
      </c>
      <c r="BD98" s="75" t="e">
        <f aca="false">_xlfn.xlookup(BA98,A:A,M:M)+_xlfn.xlookup(BA98,A:A,N:N)</f>
        <v>#NAME?</v>
      </c>
      <c r="BE98" s="75" t="e">
        <f aca="false">_xlfn.xlookup(BA98,A46:A1034,AA46:AA1034)</f>
        <v>#NAME?</v>
      </c>
    </row>
    <row r="99" customFormat="false" ht="16.4" hidden="false" customHeight="false" outlineLevel="0" collapsed="false">
      <c r="A99" s="241" t="s">
        <v>1084</v>
      </c>
      <c r="B99" s="1" t="s">
        <v>889</v>
      </c>
      <c r="C99" s="292" t="n">
        <f aca="false">'Liste WO'!C92</f>
        <v>45586</v>
      </c>
      <c r="D99" s="241" t="n">
        <f aca="false">'Liste WO'!D92</f>
        <v>229</v>
      </c>
      <c r="E99" s="241" t="str">
        <f aca="false">'Liste WO'!E92</f>
        <v>Crucial Solutions LLC</v>
      </c>
      <c r="F99" s="241" t="str">
        <f aca="false">_xlfn.xlookup(E99,Clients!B:B,Clients!C:C)</f>
        <v>Crucial</v>
      </c>
      <c r="G99" s="241" t="str">
        <f aca="false">_xlfn.xlookup(D99,'PO Client'!$A:$A,'PO Client'!$F:$F,FALSE())</f>
        <v>Samples Cust 1</v>
      </c>
      <c r="H99" s="251" t="n">
        <f aca="false">'Liste WO'!I92</f>
        <v>40139</v>
      </c>
      <c r="I99" s="251" t="n">
        <f aca="false">'Liste WO'!J92</f>
        <v>30025</v>
      </c>
      <c r="J99" s="244" t="str">
        <f aca="false">'Liste WO'!L92</f>
        <v>D11-1</v>
      </c>
      <c r="K99" s="245" t="n">
        <v>5008.5096</v>
      </c>
      <c r="L99" s="245" t="n">
        <v>3019.2</v>
      </c>
      <c r="M99" s="245" t="n">
        <v>1865.7</v>
      </c>
      <c r="N99" s="245"/>
      <c r="O99" s="245" t="n">
        <v>30.5</v>
      </c>
      <c r="P99" s="246" t="n">
        <v>1</v>
      </c>
      <c r="Q99" s="219" t="n">
        <v>2.25</v>
      </c>
      <c r="R99" s="247" t="n">
        <f aca="false">525/4</f>
        <v>131.25</v>
      </c>
      <c r="S99" s="272" t="n">
        <v>1.3895</v>
      </c>
      <c r="T99" s="248" t="n">
        <f aca="false">_xlfn.xlookup(I99,'Prix MP'!A:A,'Prix MP'!U:U, FALSE())</f>
        <v>0.369342532440358</v>
      </c>
      <c r="U99" s="249" t="n">
        <f aca="false">M99*T99</f>
        <v>689.082362773976</v>
      </c>
      <c r="V99" s="249" t="n">
        <f aca="false">(K99-M99-L99)*T99</f>
        <v>45.65428269794</v>
      </c>
      <c r="W99" s="250" t="n">
        <f aca="false">(K99-M99-L99)/K99</f>
        <v>0.0246799167560746</v>
      </c>
      <c r="X99" s="249" t="n">
        <f aca="false">20.6577/85*O99</f>
        <v>7.41246882352941</v>
      </c>
      <c r="Y99" s="249" t="n">
        <f aca="false">19.2*P99</f>
        <v>19.2</v>
      </c>
      <c r="Z99" s="249" t="n">
        <f aca="false">125000/52/40*Q99</f>
        <v>135.216346153846</v>
      </c>
      <c r="AA99" s="249" t="n">
        <f aca="false">(M99+N99)*T99+R99+V99+X99+Y99+Z99</f>
        <v>1027.81546044929</v>
      </c>
      <c r="AB99" s="285" t="n">
        <f aca="false">_xlfn.xlookup(H99,'Prix vente'!A:A,'Prix vente'!X:X, "")</f>
        <v>0.025</v>
      </c>
      <c r="AC99" s="285" t="str">
        <f aca="false">_xlfn.xlookup(H99,'Prix vente'!A:A,'Prix vente'!Z:Z, "")</f>
        <v>USD</v>
      </c>
      <c r="AD99" s="249" t="n">
        <v>0</v>
      </c>
      <c r="AE99" s="249" t="n">
        <f aca="false">AD99-AA99</f>
        <v>-1027.81546044929</v>
      </c>
      <c r="AF99" s="273"/>
      <c r="AG99" s="252" t="n">
        <f aca="false">((M99+N99)*T99+V99)</f>
        <v>734.736645471916</v>
      </c>
      <c r="AH99" s="273"/>
      <c r="AI99" s="273" t="s">
        <v>1449</v>
      </c>
      <c r="AK99" s="15" t="e">
        <v>#NAME?</v>
      </c>
      <c r="AL99" s="15" t="e">
        <f aca="false">_xlfn.xlookup(AK99,A:A,F:F)</f>
        <v>#NAME?</v>
      </c>
      <c r="AM99" s="15" t="e">
        <f aca="false">_xlfn.xlookup(AK99,A:A,J:J)</f>
        <v>#NAME?</v>
      </c>
      <c r="AN99" s="15" t="e">
        <f aca="false">_xlfn.xlookup(AK99,A:A,M:M)+_xlfn.xlookup(AK99,A:A,N:N)</f>
        <v>#NAME?</v>
      </c>
      <c r="AO99" s="223" t="e">
        <f aca="false">_xlfn.xlookup(AK99,A:A,AG:AG)</f>
        <v>#NAME?</v>
      </c>
      <c r="AP99" s="223" t="e">
        <f aca="false">_xlfn.xlookup(AK99,A:A,AD:AD)</f>
        <v>#NAME?</v>
      </c>
      <c r="AQ99" s="223" t="e">
        <f aca="false">_xlfn.xlookup(AK99,A:A,AE:AE)</f>
        <v>#NAME?</v>
      </c>
      <c r="AX99" s="288"/>
      <c r="AY99" s="288"/>
      <c r="AZ99" s="288"/>
      <c r="BA99" s="15" t="e">
        <v>#NAME?</v>
      </c>
      <c r="BB99" s="257" t="e">
        <f aca="false">_xlfn.xlookup(BA99,A:A,F:F)</f>
        <v>#NAME?</v>
      </c>
      <c r="BC99" s="15" t="e">
        <f aca="false">_xlfn.xlookup(BA99,A:A,J:J)</f>
        <v>#NAME?</v>
      </c>
      <c r="BD99" s="75" t="e">
        <f aca="false">_xlfn.xlookup(BA99,A:A,M:M)+_xlfn.xlookup(BA99,A:A,N:N)</f>
        <v>#NAME?</v>
      </c>
      <c r="BE99" s="75" t="e">
        <f aca="false">_xlfn.xlookup(BA99,A47:A1035,AA47:AA1035)</f>
        <v>#NAME?</v>
      </c>
    </row>
    <row r="100" customFormat="false" ht="16.4" hidden="false" customHeight="false" outlineLevel="0" collapsed="false">
      <c r="A100" s="241" t="s">
        <v>1087</v>
      </c>
      <c r="B100" s="1" t="s">
        <v>889</v>
      </c>
      <c r="C100" s="292" t="n">
        <f aca="false">'Liste WO'!C93</f>
        <v>45586</v>
      </c>
      <c r="D100" s="241" t="n">
        <f aca="false">'Liste WO'!D93</f>
        <v>233</v>
      </c>
      <c r="E100" s="241" t="str">
        <f aca="false">'Liste WO'!E93</f>
        <v>Crucial Solutions LLC</v>
      </c>
      <c r="F100" s="241" t="str">
        <f aca="false">_xlfn.xlookup(E100,Clients!B:B,Clients!C:C)</f>
        <v>Crucial</v>
      </c>
      <c r="G100" s="241" t="str">
        <f aca="false">_xlfn.xlookup(D100,'PO Client'!$A:$A,'PO Client'!$F:$F,FALSE())</f>
        <v>Samples Cust 2</v>
      </c>
      <c r="H100" s="251" t="n">
        <f aca="false">'Liste WO'!I93</f>
        <v>40140</v>
      </c>
      <c r="I100" s="251" t="n">
        <f aca="false">'Liste WO'!J93</f>
        <v>30011</v>
      </c>
      <c r="J100" s="244" t="str">
        <f aca="false">'Liste WO'!L93</f>
        <v>S21-1</v>
      </c>
      <c r="K100" s="245" t="n">
        <v>2820</v>
      </c>
      <c r="L100" s="245" t="n">
        <v>2004.75</v>
      </c>
      <c r="M100" s="245" t="n">
        <v>772.2</v>
      </c>
      <c r="N100" s="245"/>
      <c r="O100" s="245" t="n">
        <v>13</v>
      </c>
      <c r="P100" s="246" t="n">
        <v>1</v>
      </c>
      <c r="Q100" s="219" t="n">
        <v>1</v>
      </c>
      <c r="R100" s="247" t="n">
        <f aca="false">525/4</f>
        <v>131.25</v>
      </c>
      <c r="S100" s="272" t="n">
        <v>1.3895</v>
      </c>
      <c r="T100" s="248" t="n">
        <f aca="false">_xlfn.xlookup(I100,'Prix MP'!A:A,'Prix MP'!U:U, FALSE())</f>
        <v>0.28357864079936</v>
      </c>
      <c r="U100" s="249" t="n">
        <f aca="false">M100*T100</f>
        <v>218.979426425266</v>
      </c>
      <c r="V100" s="249" t="n">
        <f aca="false">(K100-M100-L100)*T100</f>
        <v>12.2080604864125</v>
      </c>
      <c r="W100" s="250" t="n">
        <f aca="false">(K100-M100-L100)/K100</f>
        <v>0.0152659574468086</v>
      </c>
      <c r="X100" s="249" t="n">
        <f aca="false">20.6577/85*O100</f>
        <v>3.15941294117647</v>
      </c>
      <c r="Y100" s="249" t="n">
        <f aca="false">19.2*P100</f>
        <v>19.2</v>
      </c>
      <c r="Z100" s="249" t="n">
        <f aca="false">125000/52/40*Q100</f>
        <v>60.0961538461539</v>
      </c>
      <c r="AA100" s="249" t="n">
        <f aca="false">(M100+N100)*T100+R100+V100+X100+Y100+Z100</f>
        <v>444.893053699009</v>
      </c>
      <c r="AB100" s="285" t="n">
        <f aca="false">_xlfn.xlookup(H100,'Prix vente'!A:A,'Prix vente'!X:X, "")</f>
        <v>0.025</v>
      </c>
      <c r="AC100" s="285" t="str">
        <f aca="false">_xlfn.xlookup(H100,'Prix vente'!A:A,'Prix vente'!Z:Z, "")</f>
        <v>USD</v>
      </c>
      <c r="AD100" s="249" t="n">
        <v>0</v>
      </c>
      <c r="AE100" s="249" t="n">
        <f aca="false">AD100-AA100</f>
        <v>-444.893053699009</v>
      </c>
      <c r="AF100" s="273"/>
      <c r="AG100" s="252" t="n">
        <f aca="false">((M100+N100)*T100+V100)</f>
        <v>231.187486911678</v>
      </c>
      <c r="AH100" s="273"/>
      <c r="AI100" s="273" t="s">
        <v>1449</v>
      </c>
      <c r="AK100" s="15" t="e">
        <v>#NAME?</v>
      </c>
      <c r="AL100" s="15" t="e">
        <f aca="false">_xlfn.xlookup(AK100,A:A,F:F)</f>
        <v>#NAME?</v>
      </c>
      <c r="AM100" s="15" t="e">
        <f aca="false">_xlfn.xlookup(AK100,A:A,J:J)</f>
        <v>#NAME?</v>
      </c>
      <c r="AN100" s="15" t="e">
        <f aca="false">_xlfn.xlookup(AK100,A:A,M:M)+_xlfn.xlookup(AK100,A:A,N:N)</f>
        <v>#NAME?</v>
      </c>
      <c r="AO100" s="223" t="e">
        <f aca="false">_xlfn.xlookup(AK100,A:A,AG:AG)</f>
        <v>#NAME?</v>
      </c>
      <c r="AP100" s="223" t="e">
        <f aca="false">_xlfn.xlookup(AK100,A:A,AD:AD)</f>
        <v>#NAME?</v>
      </c>
      <c r="AQ100" s="223" t="e">
        <f aca="false">_xlfn.xlookup(AK100,A:A,AE:AE)</f>
        <v>#NAME?</v>
      </c>
      <c r="AX100" s="288"/>
      <c r="AY100" s="288"/>
      <c r="AZ100" s="288"/>
      <c r="BA100" s="15" t="e">
        <v>#NAME?</v>
      </c>
      <c r="BB100" s="257" t="e">
        <f aca="false">_xlfn.xlookup(BA100,A:A,F:F)</f>
        <v>#NAME?</v>
      </c>
      <c r="BC100" s="15" t="e">
        <f aca="false">_xlfn.xlookup(BA100,A:A,J:J)</f>
        <v>#NAME?</v>
      </c>
      <c r="BD100" s="75" t="e">
        <f aca="false">_xlfn.xlookup(BA100,A:A,M:M)+_xlfn.xlookup(BA100,A:A,N:N)</f>
        <v>#NAME?</v>
      </c>
      <c r="BE100" s="75" t="e">
        <f aca="false">_xlfn.xlookup(BA100,A48:A1036,AA48:AA1036)</f>
        <v>#NAME?</v>
      </c>
    </row>
    <row r="101" customFormat="false" ht="16.4" hidden="false" customHeight="false" outlineLevel="0" collapsed="false">
      <c r="A101" s="241" t="s">
        <v>1090</v>
      </c>
      <c r="B101" s="1" t="s">
        <v>889</v>
      </c>
      <c r="C101" s="292" t="n">
        <f aca="false">'Liste WO'!C94</f>
        <v>45586</v>
      </c>
      <c r="D101" s="241" t="n">
        <f aca="false">'Liste WO'!D94</f>
        <v>234</v>
      </c>
      <c r="E101" s="241" t="str">
        <f aca="false">'Liste WO'!E94</f>
        <v>IMS</v>
      </c>
      <c r="F101" s="241" t="str">
        <f aca="false">_xlfn.xlookup(E101,Clients!B:B,Clients!C:C)</f>
        <v>IMS</v>
      </c>
      <c r="G101" s="241" t="str">
        <f aca="false">_xlfn.xlookup(D101,'PO Client'!$A:$A,'PO Client'!$F:$F,FALSE())</f>
        <v>Échantillons T11 et D21</v>
      </c>
      <c r="H101" s="251" t="n">
        <f aca="false">'Liste WO'!I94</f>
        <v>40141</v>
      </c>
      <c r="I101" s="251" t="n">
        <f aca="false">'Liste WO'!J94</f>
        <v>30025</v>
      </c>
      <c r="J101" s="244" t="str">
        <f aca="false">'Liste WO'!L94</f>
        <v>D11-1</v>
      </c>
      <c r="K101" s="245" t="n">
        <v>1560</v>
      </c>
      <c r="L101" s="245" t="n">
        <v>1177.5</v>
      </c>
      <c r="M101" s="245" t="n">
        <v>382.5</v>
      </c>
      <c r="N101" s="245"/>
      <c r="O101" s="245" t="n">
        <v>12.75</v>
      </c>
      <c r="P101" s="246" t="n">
        <v>1</v>
      </c>
      <c r="Q101" s="219" t="n">
        <v>1.25</v>
      </c>
      <c r="R101" s="247" t="n">
        <f aca="false">68.62/2</f>
        <v>34.31</v>
      </c>
      <c r="S101" s="272"/>
      <c r="T101" s="248" t="n">
        <f aca="false">_xlfn.xlookup(I101,'Prix MP'!A:A,'Prix MP'!U:U, FALSE())</f>
        <v>0.369342532440358</v>
      </c>
      <c r="U101" s="249" t="n">
        <f aca="false">M101*T101</f>
        <v>141.273518658437</v>
      </c>
      <c r="V101" s="249" t="n">
        <f aca="false">(K101-M101-L101)*T101</f>
        <v>0</v>
      </c>
      <c r="W101" s="250" t="n">
        <f aca="false">(K101-M101-L101)/K101</f>
        <v>0</v>
      </c>
      <c r="X101" s="249" t="n">
        <f aca="false">20.6577/85*O101</f>
        <v>3.098655</v>
      </c>
      <c r="Y101" s="249" t="n">
        <f aca="false">19.2*P101</f>
        <v>19.2</v>
      </c>
      <c r="Z101" s="249" t="n">
        <f aca="false">125000/52/40*Q101</f>
        <v>75.1201923076923</v>
      </c>
      <c r="AA101" s="249" t="n">
        <f aca="false">(M101+N101)*T101+R101+V101+X101+Y101+Z101</f>
        <v>273.002365966129</v>
      </c>
      <c r="AB101" s="285" t="n">
        <f aca="false">_xlfn.xlookup(H101,'Prix vente'!A:A,'Prix vente'!X:X, "")</f>
        <v>0</v>
      </c>
      <c r="AC101" s="285" t="str">
        <f aca="false">_xlfn.xlookup(H101,'Prix vente'!A:A,'Prix vente'!Z:Z, "")</f>
        <v>CAD</v>
      </c>
      <c r="AD101" s="249" t="n">
        <f aca="false">IF(AC101="CAD",(M101+N101)*AB101,(M101+N101)*AB101*S101)</f>
        <v>0</v>
      </c>
      <c r="AE101" s="249" t="n">
        <f aca="false">AD101-AA101</f>
        <v>-273.002365966129</v>
      </c>
      <c r="AF101" s="273"/>
      <c r="AG101" s="252" t="n">
        <f aca="false">((M101+N101)*T101+V101)</f>
        <v>141.273518658437</v>
      </c>
      <c r="AH101" s="273"/>
      <c r="AI101" s="273" t="str">
        <f aca="false">IF(AD101=0,"S","")</f>
        <v>S</v>
      </c>
      <c r="AK101" s="15" t="e">
        <v>#NAME?</v>
      </c>
      <c r="AL101" s="15" t="e">
        <f aca="false">_xlfn.xlookup(AK101,A:A,F:F)</f>
        <v>#NAME?</v>
      </c>
      <c r="AM101" s="15" t="e">
        <f aca="false">_xlfn.xlookup(AK101,A:A,J:J)</f>
        <v>#NAME?</v>
      </c>
      <c r="AN101" s="15" t="e">
        <f aca="false">_xlfn.xlookup(AK101,A:A,M:M)+_xlfn.xlookup(AK101,A:A,N:N)</f>
        <v>#NAME?</v>
      </c>
      <c r="AO101" s="223" t="e">
        <f aca="false">_xlfn.xlookup(AK101,A:A,AG:AG)</f>
        <v>#NAME?</v>
      </c>
      <c r="AP101" s="223" t="e">
        <f aca="false">_xlfn.xlookup(AK101,A:A,AD:AD)</f>
        <v>#NAME?</v>
      </c>
      <c r="AQ101" s="223" t="e">
        <f aca="false">_xlfn.xlookup(AK101,A:A,AE:AE)</f>
        <v>#NAME?</v>
      </c>
      <c r="AX101" s="288"/>
      <c r="AY101" s="288"/>
      <c r="AZ101" s="288"/>
      <c r="BA101" s="15" t="e">
        <v>#NAME?</v>
      </c>
      <c r="BB101" s="257" t="e">
        <f aca="false">_xlfn.xlookup(BA101,A:A,F:F)</f>
        <v>#NAME?</v>
      </c>
      <c r="BC101" s="15" t="e">
        <f aca="false">_xlfn.xlookup(BA101,A:A,J:J)</f>
        <v>#NAME?</v>
      </c>
      <c r="BD101" s="75" t="e">
        <f aca="false">_xlfn.xlookup(BA101,A:A,M:M)+_xlfn.xlookup(BA101,A:A,N:N)</f>
        <v>#NAME?</v>
      </c>
      <c r="BE101" s="75" t="e">
        <f aca="false">_xlfn.xlookup(BA101,A49:A1037,AA49:AA1037)</f>
        <v>#NAME?</v>
      </c>
    </row>
    <row r="102" customFormat="false" ht="16.4" hidden="false" customHeight="false" outlineLevel="0" collapsed="false">
      <c r="A102" s="241" t="s">
        <v>1092</v>
      </c>
      <c r="B102" s="1" t="s">
        <v>889</v>
      </c>
      <c r="C102" s="292" t="n">
        <f aca="false">'Liste WO'!C95</f>
        <v>45586</v>
      </c>
      <c r="D102" s="241" t="n">
        <f aca="false">'Liste WO'!D95</f>
        <v>234</v>
      </c>
      <c r="E102" s="241" t="s">
        <v>250</v>
      </c>
      <c r="F102" s="241" t="str">
        <f aca="false">_xlfn.xlookup(E102,Clients!B:B,Clients!C:C)</f>
        <v>IMS</v>
      </c>
      <c r="G102" s="241" t="str">
        <f aca="false">_xlfn.xlookup(D102,'PO Client'!$A:$A,'PO Client'!$F:$F,FALSE())</f>
        <v>Échantillons T11 et D21</v>
      </c>
      <c r="H102" s="251" t="n">
        <f aca="false">'Liste WO'!I95</f>
        <v>40142</v>
      </c>
      <c r="I102" s="251" t="n">
        <f aca="false">'Liste WO'!J95</f>
        <v>30023</v>
      </c>
      <c r="J102" s="244" t="str">
        <f aca="false">'Liste WO'!L95</f>
        <v>T11-1</v>
      </c>
      <c r="K102" s="245" t="n">
        <f aca="false">1756.48176/2</f>
        <v>878.24088</v>
      </c>
      <c r="L102" s="245" t="n">
        <f aca="false">1111.104/2</f>
        <v>555.552</v>
      </c>
      <c r="M102" s="245" t="n">
        <f aca="false">615.6/2</f>
        <v>307.8</v>
      </c>
      <c r="N102" s="245"/>
      <c r="O102" s="245" t="n">
        <f aca="false">21.375/2</f>
        <v>10.6875</v>
      </c>
      <c r="P102" s="246" t="n">
        <v>0</v>
      </c>
      <c r="Q102" s="219" t="n">
        <f aca="false">1.25/2</f>
        <v>0.625</v>
      </c>
      <c r="R102" s="247" t="n">
        <f aca="false">68.62/2</f>
        <v>34.31</v>
      </c>
      <c r="S102" s="272"/>
      <c r="T102" s="248" t="n">
        <f aca="false">_xlfn.xlookup(I102,'Prix MP'!A:A,'Prix MP'!U:U, FALSE())</f>
        <v>0.2951148717267</v>
      </c>
      <c r="U102" s="249" t="n">
        <f aca="false">M102*T102</f>
        <v>90.8363575174783</v>
      </c>
      <c r="V102" s="249" t="n">
        <f aca="false">(K102-M102-L102)*T102</f>
        <v>4.39392991135419</v>
      </c>
      <c r="W102" s="250" t="n">
        <f aca="false">(K102-M102-L102)/K102</f>
        <v>0.0169530710071249</v>
      </c>
      <c r="X102" s="249" t="n">
        <f aca="false">20.6577/85*O102</f>
        <v>2.59740198529412</v>
      </c>
      <c r="Y102" s="249" t="n">
        <f aca="false">19.2*P102</f>
        <v>0</v>
      </c>
      <c r="Z102" s="249" t="n">
        <f aca="false">125000/52/40*Q102</f>
        <v>37.5600961538462</v>
      </c>
      <c r="AA102" s="249" t="n">
        <f aca="false">(M102+N102)*T102+R102+V102+X102+Y102+Z102</f>
        <v>169.697785567973</v>
      </c>
      <c r="AB102" s="285" t="n">
        <f aca="false">_xlfn.xlookup(H102,'Prix vente'!A:A,'Prix vente'!X:X, "")</f>
        <v>0</v>
      </c>
      <c r="AC102" s="285" t="str">
        <f aca="false">_xlfn.xlookup(H102,'Prix vente'!A:A,'Prix vente'!Z:Z, "")</f>
        <v>CAD</v>
      </c>
      <c r="AD102" s="249" t="n">
        <f aca="false">IF(AC102="CAD",(M102+N102)*AB102,(M102+N102)*AB102*S102)</f>
        <v>0</v>
      </c>
      <c r="AE102" s="249" t="n">
        <f aca="false">AD102-AA102</f>
        <v>-169.697785567973</v>
      </c>
      <c r="AF102" s="273"/>
      <c r="AG102" s="252" t="n">
        <f aca="false">((M102+N102)*T102+V102)</f>
        <v>95.2302874288325</v>
      </c>
      <c r="AH102" s="273"/>
      <c r="AI102" s="273" t="str">
        <f aca="false">IF(AD102=0,"S","")</f>
        <v>S</v>
      </c>
      <c r="AK102" s="15" t="e">
        <v>#NAME?</v>
      </c>
      <c r="AL102" s="15" t="e">
        <f aca="false">_xlfn.xlookup(AK102,A:A,F:F)</f>
        <v>#NAME?</v>
      </c>
      <c r="AM102" s="15" t="e">
        <f aca="false">_xlfn.xlookup(AK102,A:A,J:J)</f>
        <v>#NAME?</v>
      </c>
      <c r="AN102" s="15" t="e">
        <f aca="false">_xlfn.xlookup(AK102,A:A,M:M)+_xlfn.xlookup(AK102,A:A,N:N)</f>
        <v>#NAME?</v>
      </c>
      <c r="AO102" s="223" t="e">
        <f aca="false">_xlfn.xlookup(AK102,A:A,AG:AG)</f>
        <v>#NAME?</v>
      </c>
      <c r="AP102" s="223" t="e">
        <f aca="false">_xlfn.xlookup(AK102,A:A,AD:AD)</f>
        <v>#NAME?</v>
      </c>
      <c r="AQ102" s="223" t="e">
        <f aca="false">_xlfn.xlookup(AK102,A:A,AE:AE)</f>
        <v>#NAME?</v>
      </c>
      <c r="AX102" s="288"/>
      <c r="AY102" s="288"/>
      <c r="AZ102" s="288"/>
      <c r="BA102" s="15" t="e">
        <v>#NAME?</v>
      </c>
      <c r="BB102" s="257" t="e">
        <f aca="false">_xlfn.xlookup(BA102,A:A,F:F)</f>
        <v>#NAME?</v>
      </c>
      <c r="BC102" s="291" t="e">
        <f aca="false">_xlfn.xlookup(BA102,A:A,J:J)</f>
        <v>#NAME?</v>
      </c>
      <c r="BD102" s="75" t="e">
        <f aca="false">_xlfn.xlookup(BA102,A:A,M:M)+_xlfn.xlookup(BA102,A:A,N:N)</f>
        <v>#NAME?</v>
      </c>
      <c r="BE102" s="75" t="e">
        <f aca="false">_xlfn.xlookup(BA102,A50:A1038,AA50:AA1038)</f>
        <v>#NAME?</v>
      </c>
    </row>
    <row r="103" customFormat="false" ht="16.4" hidden="false" customHeight="false" outlineLevel="0" collapsed="false">
      <c r="A103" s="241" t="s">
        <v>1450</v>
      </c>
      <c r="B103" s="1" t="s">
        <v>889</v>
      </c>
      <c r="C103" s="292" t="n">
        <v>45586</v>
      </c>
      <c r="D103" s="241" t="n">
        <v>234</v>
      </c>
      <c r="E103" s="241" t="s">
        <v>212</v>
      </c>
      <c r="F103" s="241" t="str">
        <f aca="false">_xlfn.xlookup(E103,Clients!B:B,Clients!C:C)</f>
        <v>Amstik</v>
      </c>
      <c r="G103" s="241" t="str">
        <f aca="false">_xlfn.xlookup(D103,'PO Client'!$A:$A,'PO Client'!$F:$F,FALSE())</f>
        <v>Échantillons T11 et D21</v>
      </c>
      <c r="H103" s="251" t="n">
        <v>40142</v>
      </c>
      <c r="I103" s="251" t="n">
        <v>30023</v>
      </c>
      <c r="J103" s="244" t="s">
        <v>332</v>
      </c>
      <c r="K103" s="245" t="n">
        <f aca="false">1756.48176/2</f>
        <v>878.24088</v>
      </c>
      <c r="L103" s="245" t="n">
        <f aca="false">1111.104/2</f>
        <v>555.552</v>
      </c>
      <c r="M103" s="245" t="n">
        <f aca="false">615.6/2</f>
        <v>307.8</v>
      </c>
      <c r="N103" s="245"/>
      <c r="O103" s="245" t="n">
        <f aca="false">21.375/2</f>
        <v>10.6875</v>
      </c>
      <c r="P103" s="246" t="n">
        <v>0</v>
      </c>
      <c r="Q103" s="219" t="n">
        <f aca="false">1.25/2</f>
        <v>0.625</v>
      </c>
      <c r="R103" s="247" t="n">
        <v>0</v>
      </c>
      <c r="S103" s="272"/>
      <c r="T103" s="248" t="n">
        <f aca="false">_xlfn.xlookup(I103,'Prix MP'!A:A,'Prix MP'!U:U, FALSE())</f>
        <v>0.2951148717267</v>
      </c>
      <c r="U103" s="249" t="n">
        <f aca="false">M103*T103</f>
        <v>90.8363575174783</v>
      </c>
      <c r="V103" s="249" t="n">
        <f aca="false">(K103-M103-L103)*T103</f>
        <v>4.39392991135419</v>
      </c>
      <c r="W103" s="250" t="n">
        <f aca="false">(K103-M103-L103)/K103</f>
        <v>0.0169530710071249</v>
      </c>
      <c r="X103" s="249" t="n">
        <f aca="false">20.6577/85*O103</f>
        <v>2.59740198529412</v>
      </c>
      <c r="Y103" s="249" t="n">
        <f aca="false">19.2*P103</f>
        <v>0</v>
      </c>
      <c r="Z103" s="249" t="n">
        <f aca="false">125000/52/40*Q103</f>
        <v>37.5600961538462</v>
      </c>
      <c r="AA103" s="249" t="n">
        <f aca="false">(M103+N103)*T103+R103+V103+X103+Y103+Z103</f>
        <v>135.387785567973</v>
      </c>
      <c r="AB103" s="285" t="n">
        <f aca="false">_xlfn.xlookup(H103,'Prix vente'!A:A,'Prix vente'!X:X, "")</f>
        <v>0</v>
      </c>
      <c r="AC103" s="285" t="str">
        <f aca="false">_xlfn.xlookup(H103,'Prix vente'!A:A,'Prix vente'!Z:Z, "")</f>
        <v>CAD</v>
      </c>
      <c r="AD103" s="249" t="n">
        <f aca="false">IF(AC103="CAD",(M103+N103)*AB103,(M103+N103)*AB103*S103)</f>
        <v>0</v>
      </c>
      <c r="AE103" s="249" t="n">
        <f aca="false">AD103-AA103</f>
        <v>-135.387785567973</v>
      </c>
      <c r="AF103" s="273"/>
      <c r="AG103" s="252" t="n">
        <f aca="false">((M103+N103)*T103+V103)</f>
        <v>95.2302874288325</v>
      </c>
      <c r="AH103" s="273"/>
      <c r="AI103" s="273" t="str">
        <f aca="false">IF(AD103=0,"S","")</f>
        <v>S</v>
      </c>
      <c r="AK103" s="15" t="e">
        <v>#NAME?</v>
      </c>
      <c r="AL103" s="15" t="e">
        <f aca="false">_xlfn.xlookup(AK103,A:A,F:F)</f>
        <v>#NAME?</v>
      </c>
      <c r="AM103" s="15" t="e">
        <f aca="false">_xlfn.xlookup(AK103,A:A,J:J)</f>
        <v>#NAME?</v>
      </c>
      <c r="AN103" s="15" t="e">
        <f aca="false">_xlfn.xlookup(AK103,A:A,M:M)+_xlfn.xlookup(AK103,A:A,N:N)</f>
        <v>#NAME?</v>
      </c>
      <c r="AO103" s="223" t="e">
        <f aca="false">_xlfn.xlookup(AK103,A:A,AG:AG)</f>
        <v>#NAME?</v>
      </c>
      <c r="AP103" s="223" t="e">
        <f aca="false">_xlfn.xlookup(AK103,A:A,AD:AD)</f>
        <v>#NAME?</v>
      </c>
      <c r="AQ103" s="223" t="e">
        <f aca="false">_xlfn.xlookup(AK103,A:A,AE:AE)</f>
        <v>#NAME?</v>
      </c>
      <c r="AX103" s="288"/>
      <c r="AY103" s="288"/>
      <c r="AZ103" s="288"/>
      <c r="BA103" s="15" t="e">
        <v>#NAME?</v>
      </c>
      <c r="BB103" s="257" t="e">
        <f aca="false">_xlfn.xlookup(BA103,A:A,F:F)</f>
        <v>#NAME?</v>
      </c>
      <c r="BC103" s="15" t="e">
        <f aca="false">_xlfn.xlookup(BA103,A:A,J:J)</f>
        <v>#NAME?</v>
      </c>
      <c r="BD103" s="75" t="e">
        <f aca="false">_xlfn.xlookup(BA103,A:A,M:M)+_xlfn.xlookup(BA103,A:A,N:N)</f>
        <v>#NAME?</v>
      </c>
      <c r="BE103" s="75" t="e">
        <f aca="false">_xlfn.xlookup(BA103,A51:A1039,AA51:AA1039)</f>
        <v>#NAME?</v>
      </c>
    </row>
    <row r="104" customFormat="false" ht="16.4" hidden="false" customHeight="false" outlineLevel="0" collapsed="false">
      <c r="A104" s="241" t="s">
        <v>1096</v>
      </c>
      <c r="B104" s="1" t="s">
        <v>889</v>
      </c>
      <c r="C104" s="292" t="n">
        <f aca="false">'Liste WO'!C96</f>
        <v>45587</v>
      </c>
      <c r="D104" s="241" t="n">
        <f aca="false">'Liste WO'!D96</f>
        <v>236</v>
      </c>
      <c r="E104" s="241" t="str">
        <f aca="false">'Liste WO'!E96</f>
        <v>Damaflex Imprimerie Multiservices Inc.</v>
      </c>
      <c r="F104" s="241" t="str">
        <f aca="false">_xlfn.xlookup(E104,Clients!B:B,Clients!C:C)</f>
        <v>Damaflex</v>
      </c>
      <c r="G104" s="241" t="str">
        <f aca="false">_xlfn.xlookup(D104,'PO Client'!$A:$A,'PO Client'!$F:$F,FALSE())</f>
        <v>179960-1</v>
      </c>
      <c r="H104" s="251" t="n">
        <f aca="false">'Liste WO'!I96</f>
        <v>40144</v>
      </c>
      <c r="I104" s="251" t="n">
        <f aca="false">'Liste WO'!J96</f>
        <v>30025</v>
      </c>
      <c r="J104" s="244" t="str">
        <f aca="false">'Liste WO'!L96</f>
        <v>D11-1</v>
      </c>
      <c r="K104" s="245" t="n">
        <v>7589.013168</v>
      </c>
      <c r="L104" s="245" t="n">
        <v>0</v>
      </c>
      <c r="M104" s="245" t="n">
        <v>7380</v>
      </c>
      <c r="N104" s="245"/>
      <c r="O104" s="245" t="n">
        <v>120</v>
      </c>
      <c r="P104" s="246" t="n">
        <v>1</v>
      </c>
      <c r="Q104" s="219" t="n">
        <v>5.5</v>
      </c>
      <c r="R104" s="247" t="n">
        <v>122.55</v>
      </c>
      <c r="S104" s="272"/>
      <c r="T104" s="248" t="n">
        <f aca="false">_xlfn.xlookup(I104,'Prix MP'!A:A,'Prix MP'!U:U, FALSE())</f>
        <v>0.369342532440358</v>
      </c>
      <c r="U104" s="249" t="n">
        <f aca="false">M104*T104</f>
        <v>2725.74788940984</v>
      </c>
      <c r="V104" s="249" t="n">
        <f aca="false">(K104-M104-L104)*T104</f>
        <v>77.1974527825019</v>
      </c>
      <c r="W104" s="250" t="n">
        <f aca="false">(K104-M104-L104)/K104</f>
        <v>0.0275415476786006</v>
      </c>
      <c r="X104" s="249" t="n">
        <f aca="false">20.6577/85*O104</f>
        <v>29.1638117647059</v>
      </c>
      <c r="Y104" s="249" t="n">
        <f aca="false">19.2*P104</f>
        <v>19.2</v>
      </c>
      <c r="Z104" s="249" t="n">
        <f aca="false">125000/52/40*Q104</f>
        <v>330.528846153846</v>
      </c>
      <c r="AA104" s="249" t="n">
        <f aca="false">(M104+N104)*T104+R104+V104+X104+Y104+Z104</f>
        <v>3304.3880001109</v>
      </c>
      <c r="AB104" s="285" t="n">
        <f aca="false">_xlfn.xlookup(H104,'Prix vente'!A:A,'Prix vente'!X:X, "")</f>
        <v>0.431</v>
      </c>
      <c r="AC104" s="285" t="str">
        <f aca="false">_xlfn.xlookup(H104,'Prix vente'!A:A,'Prix vente'!Z:Z, "")</f>
        <v>CAD</v>
      </c>
      <c r="AD104" s="249" t="n">
        <f aca="false">IF(AC104="CAD",(M104+N104)*AB104,(M104+N104)*AB104*S104)</f>
        <v>3180.78</v>
      </c>
      <c r="AE104" s="249" t="n">
        <f aca="false">AD104-AA104</f>
        <v>-123.608000110898</v>
      </c>
      <c r="AF104" s="273" t="n">
        <f aca="false">1-AA104/AD104</f>
        <v>-0.038860908365526</v>
      </c>
      <c r="AG104" s="252" t="n">
        <f aca="false">((M104+N104)*T104+V104)</f>
        <v>2802.94534219235</v>
      </c>
      <c r="AH104" s="273" t="n">
        <f aca="false">AG104/AD104</f>
        <v>0.881213206255178</v>
      </c>
      <c r="AI104" s="273" t="str">
        <f aca="false">IF(AD104=0,"S","")</f>
        <v/>
      </c>
      <c r="AK104" s="15" t="e">
        <v>#NAME?</v>
      </c>
      <c r="AL104" s="15" t="e">
        <f aca="false">_xlfn.xlookup(AK104,A:A,F:F)</f>
        <v>#NAME?</v>
      </c>
      <c r="AM104" s="15" t="e">
        <f aca="false">_xlfn.xlookup(AK104,A:A,J:J)</f>
        <v>#NAME?</v>
      </c>
      <c r="AN104" s="15" t="e">
        <f aca="false">_xlfn.xlookup(AK104,A:A,M:M)+_xlfn.xlookup(AK104,A:A,N:N)</f>
        <v>#NAME?</v>
      </c>
      <c r="AO104" s="223" t="e">
        <f aca="false">_xlfn.xlookup(AK104,A:A,AG:AG)</f>
        <v>#NAME?</v>
      </c>
      <c r="AP104" s="223" t="e">
        <f aca="false">_xlfn.xlookup(AK104,A:A,AD:AD)</f>
        <v>#NAME?</v>
      </c>
      <c r="AQ104" s="223" t="e">
        <f aca="false">_xlfn.xlookup(AK104,A:A,AE:AE)</f>
        <v>#NAME?</v>
      </c>
      <c r="AX104" s="288"/>
      <c r="AY104" s="288"/>
      <c r="AZ104" s="288"/>
      <c r="BA104" s="15" t="e">
        <v>#NAME?</v>
      </c>
      <c r="BB104" s="257" t="e">
        <f aca="false">_xlfn.xlookup(BA104,A:A,F:F)</f>
        <v>#NAME?</v>
      </c>
      <c r="BC104" s="15" t="e">
        <f aca="false">_xlfn.xlookup(BA104,A:A,J:J)</f>
        <v>#NAME?</v>
      </c>
      <c r="BD104" s="75" t="e">
        <f aca="false">_xlfn.xlookup(BA104,A:A,M:M)+_xlfn.xlookup(BA104,A:A,N:N)</f>
        <v>#NAME?</v>
      </c>
      <c r="BE104" s="75" t="e">
        <f aca="false">_xlfn.xlookup(BA104,A52:A1040,AA52:AA1040)</f>
        <v>#NAME?</v>
      </c>
    </row>
    <row r="105" customFormat="false" ht="16.4" hidden="false" customHeight="false" outlineLevel="0" collapsed="false">
      <c r="A105" s="241" t="s">
        <v>1098</v>
      </c>
      <c r="B105" s="1" t="s">
        <v>889</v>
      </c>
      <c r="C105" s="292" t="n">
        <f aca="false">'Liste WO'!C97</f>
        <v>45587</v>
      </c>
      <c r="D105" s="241" t="n">
        <f aca="false">'Liste WO'!D97</f>
        <v>238</v>
      </c>
      <c r="E105" s="241" t="str">
        <f aca="false">'Liste WO'!E97</f>
        <v>Digi America Inc.</v>
      </c>
      <c r="F105" s="241" t="str">
        <f aca="false">_xlfn.xlookup(E105,Clients!B:B,Clients!C:C)</f>
        <v>Digi</v>
      </c>
      <c r="G105" s="241" t="n">
        <f aca="false">_xlfn.xlookup(D105,'PO Client'!$A:$A,'PO Client'!$F:$F,FALSE())</f>
        <v>50008739</v>
      </c>
      <c r="H105" s="251" t="n">
        <f aca="false">'Liste WO'!I97</f>
        <v>40103</v>
      </c>
      <c r="I105" s="251" t="n">
        <f aca="false">'Liste WO'!J97</f>
        <v>30019</v>
      </c>
      <c r="J105" s="244" t="str">
        <f aca="false">'Liste WO'!L97</f>
        <v>D16-1</v>
      </c>
      <c r="K105" s="245" t="n">
        <v>42569.744976</v>
      </c>
      <c r="L105" s="245" t="n">
        <v>0</v>
      </c>
      <c r="M105" s="245" t="n">
        <v>41817.6</v>
      </c>
      <c r="N105" s="245"/>
      <c r="O105" s="245" t="n">
        <v>720</v>
      </c>
      <c r="P105" s="246" t="n">
        <v>6</v>
      </c>
      <c r="Q105" s="219" t="n">
        <v>10.25</v>
      </c>
      <c r="R105" s="247" t="n">
        <v>-96.11</v>
      </c>
      <c r="S105" s="272" t="n">
        <v>1.3895</v>
      </c>
      <c r="T105" s="248" t="n">
        <f aca="false">_xlfn.xlookup(I105,'Prix MP'!A:A,'Prix MP'!U:U, FALSE())</f>
        <v>0.378144584023772</v>
      </c>
      <c r="U105" s="249" t="n">
        <f aca="false">M105*T105</f>
        <v>15813.0989568725</v>
      </c>
      <c r="V105" s="249" t="n">
        <f aca="false">(K105-M105-L105)*T105</f>
        <v>284.419549075094</v>
      </c>
      <c r="W105" s="250" t="n">
        <f aca="false">(K105-M105-L105)/K105</f>
        <v>0.0176685337538211</v>
      </c>
      <c r="X105" s="249" t="n">
        <f aca="false">20.6577/85*O105</f>
        <v>174.982870588235</v>
      </c>
      <c r="Y105" s="249" t="n">
        <f aca="false">19.2*P105</f>
        <v>115.2</v>
      </c>
      <c r="Z105" s="249" t="n">
        <f aca="false">125000/52/40*Q105</f>
        <v>615.985576923077</v>
      </c>
      <c r="AA105" s="249" t="n">
        <f aca="false">(M105+N105)*T105+R105+V105+X105+Y105+Z105</f>
        <v>16907.5769534589</v>
      </c>
      <c r="AB105" s="285" t="n">
        <f aca="false">_xlfn.xlookup(H105,'Prix vente'!A:A,'Prix vente'!X:X, "")</f>
        <v>0.31</v>
      </c>
      <c r="AC105" s="285" t="str">
        <f aca="false">_xlfn.xlookup(H105,'Prix vente'!A:A,'Prix vente'!Z:Z, "")</f>
        <v>USD</v>
      </c>
      <c r="AD105" s="249" t="n">
        <f aca="false">IF(AC105="CAD",(M105+N105)*AB105,(M105+N105)*AB105*S105)</f>
        <v>18012.722112</v>
      </c>
      <c r="AE105" s="249" t="n">
        <f aca="false">AD105-AA105</f>
        <v>1105.14515854109</v>
      </c>
      <c r="AF105" s="273" t="n">
        <f aca="false">1-AA105/AD105</f>
        <v>0.06135358951687</v>
      </c>
      <c r="AG105" s="252" t="n">
        <f aca="false">((M105+N105)*T105+V105)</f>
        <v>16097.5185059476</v>
      </c>
      <c r="AH105" s="273" t="n">
        <f aca="false">AG105/AD105</f>
        <v>0.893674948508948</v>
      </c>
      <c r="AI105" s="273" t="str">
        <f aca="false">IF(AD105=0,"S","")</f>
        <v/>
      </c>
      <c r="AK105" s="15" t="e">
        <v>#NAME?</v>
      </c>
      <c r="AL105" s="15" t="e">
        <f aca="false">_xlfn.xlookup(AK105,A:A,F:F)</f>
        <v>#NAME?</v>
      </c>
      <c r="AM105" s="15" t="e">
        <f aca="false">_xlfn.xlookup(AK105,A:A,J:J)</f>
        <v>#NAME?</v>
      </c>
      <c r="AN105" s="15" t="e">
        <f aca="false">_xlfn.xlookup(AK105,A:A,M:M)+_xlfn.xlookup(AK105,A:A,N:N)</f>
        <v>#NAME?</v>
      </c>
      <c r="AO105" s="223" t="e">
        <f aca="false">_xlfn.xlookup(AK105,A:A,AG:AG)</f>
        <v>#NAME?</v>
      </c>
      <c r="AP105" s="223" t="e">
        <f aca="false">_xlfn.xlookup(AK105,A:A,AD:AD)</f>
        <v>#NAME?</v>
      </c>
      <c r="AQ105" s="223" t="e">
        <f aca="false">_xlfn.xlookup(AK105,A:A,AE:AE)</f>
        <v>#NAME?</v>
      </c>
      <c r="AX105" s="288"/>
      <c r="AY105" s="288"/>
      <c r="AZ105" s="288"/>
      <c r="BA105" s="15" t="e">
        <v>#NAME?</v>
      </c>
      <c r="BB105" s="257" t="e">
        <f aca="false">_xlfn.xlookup(BA105,A:A,F:F)</f>
        <v>#NAME?</v>
      </c>
      <c r="BC105" s="15" t="e">
        <f aca="false">_xlfn.xlookup(BA105,A:A,J:J)</f>
        <v>#NAME?</v>
      </c>
      <c r="BD105" s="75" t="e">
        <f aca="false">_xlfn.xlookup(BA105,A:A,M:M)+_xlfn.xlookup(BA105,A:A,N:N)</f>
        <v>#NAME?</v>
      </c>
      <c r="BE105" s="75" t="e">
        <f aca="false">_xlfn.xlookup(BA105,A53:A1041,AA53:AA1041)</f>
        <v>#NAME?</v>
      </c>
    </row>
    <row r="106" customFormat="false" ht="16.4" hidden="false" customHeight="false" outlineLevel="0" collapsed="false">
      <c r="A106" s="241" t="s">
        <v>1099</v>
      </c>
      <c r="B106" s="1" t="s">
        <v>889</v>
      </c>
      <c r="C106" s="292" t="n">
        <f aca="false">'Liste WO'!C98</f>
        <v>45590</v>
      </c>
      <c r="D106" s="241" t="n">
        <f aca="false">'Liste WO'!D98</f>
        <v>239</v>
      </c>
      <c r="E106" s="241" t="str">
        <f aca="false">'Liste WO'!E98</f>
        <v>Amstik</v>
      </c>
      <c r="F106" s="241" t="str">
        <f aca="false">_xlfn.xlookup(E106,Clients!B:B,Clients!C:C)</f>
        <v>Amstik</v>
      </c>
      <c r="G106" s="241" t="str">
        <f aca="false">_xlfn.xlookup(D106,'PO Client'!$A:$A,'PO Client'!$F:$F,FALSE())</f>
        <v>Échantillon D11</v>
      </c>
      <c r="H106" s="251" t="n">
        <f aca="false">'Liste WO'!I98</f>
        <v>40149</v>
      </c>
      <c r="I106" s="251" t="n">
        <f aca="false">'Liste WO'!J98</f>
        <v>30013</v>
      </c>
      <c r="J106" s="244" t="str">
        <f aca="false">'Liste WO'!L98</f>
        <v>D11-1</v>
      </c>
      <c r="K106" s="245"/>
      <c r="L106" s="245"/>
      <c r="M106" s="245"/>
      <c r="N106" s="245" t="n">
        <f aca="false">9.4*2*12</f>
        <v>225.6</v>
      </c>
      <c r="O106" s="245" t="n">
        <v>9.4</v>
      </c>
      <c r="P106" s="246" t="n">
        <v>0</v>
      </c>
      <c r="Q106" s="219" t="n">
        <v>0</v>
      </c>
      <c r="R106" s="247" t="n">
        <v>0</v>
      </c>
      <c r="S106" s="272"/>
      <c r="T106" s="248" t="n">
        <f aca="false">_xlfn.xlookup(I106,'Prix MP'!A:A,'Prix MP'!U:U, FALSE())</f>
        <v>0.358173933722525</v>
      </c>
      <c r="U106" s="249" t="n">
        <f aca="false">(M106+N106)*T106</f>
        <v>80.8040394478016</v>
      </c>
      <c r="V106" s="249" t="n">
        <f aca="false">(K106-M106-L106)*T106</f>
        <v>0</v>
      </c>
      <c r="W106" s="250" t="n">
        <v>0</v>
      </c>
      <c r="X106" s="249" t="n">
        <f aca="false">20.6577/85*O106</f>
        <v>2.28449858823529</v>
      </c>
      <c r="Y106" s="249" t="n">
        <f aca="false">19.2*P106</f>
        <v>0</v>
      </c>
      <c r="Z106" s="249" t="n">
        <f aca="false">125000/52/40*Q106</f>
        <v>0</v>
      </c>
      <c r="AA106" s="249" t="n">
        <f aca="false">(M106+N106)*T106+R106+V106+X106+Y106+Z106</f>
        <v>83.0885380360369</v>
      </c>
      <c r="AB106" s="285" t="n">
        <f aca="false">_xlfn.xlookup(H106,'Prix vente'!A:A,'Prix vente'!X:X, "")</f>
        <v>0</v>
      </c>
      <c r="AC106" s="285" t="str">
        <f aca="false">_xlfn.xlookup(H106,'Prix vente'!A:A,'Prix vente'!Z:Z, "")</f>
        <v>CAD</v>
      </c>
      <c r="AD106" s="249" t="n">
        <f aca="false">IF(AC106="CAD",(M106+N106)*AB106,(M106+N106)*AB106*S106)</f>
        <v>0</v>
      </c>
      <c r="AE106" s="249" t="n">
        <f aca="false">AD106-AA106</f>
        <v>-83.0885380360369</v>
      </c>
      <c r="AF106" s="273"/>
      <c r="AG106" s="252" t="n">
        <f aca="false">((M106+N106)*T106+V106)</f>
        <v>80.8040394478016</v>
      </c>
      <c r="AH106" s="273"/>
      <c r="AI106" s="273" t="str">
        <f aca="false">IF(AD106=0,"S","")</f>
        <v>S</v>
      </c>
      <c r="AK106" s="15" t="e">
        <v>#NAME?</v>
      </c>
      <c r="AL106" s="15" t="e">
        <f aca="false">_xlfn.xlookup(AK106,A:A,F:F)</f>
        <v>#NAME?</v>
      </c>
      <c r="AM106" s="15" t="e">
        <f aca="false">_xlfn.xlookup(AK106,A:A,J:J)</f>
        <v>#NAME?</v>
      </c>
      <c r="AN106" s="15" t="e">
        <f aca="false">_xlfn.xlookup(AK106,A:A,M:M)+_xlfn.xlookup(AK106,A:A,N:N)</f>
        <v>#NAME?</v>
      </c>
      <c r="AO106" s="223" t="e">
        <f aca="false">_xlfn.xlookup(AK106,A:A,AG:AG)</f>
        <v>#NAME?</v>
      </c>
      <c r="AP106" s="223" t="e">
        <f aca="false">_xlfn.xlookup(AK106,A:A,AD:AD)</f>
        <v>#NAME?</v>
      </c>
      <c r="AQ106" s="223" t="e">
        <f aca="false">_xlfn.xlookup(AK106,A:A,AE:AE)</f>
        <v>#NAME?</v>
      </c>
      <c r="AX106" s="288"/>
      <c r="AY106" s="288"/>
      <c r="AZ106" s="288"/>
      <c r="BA106" s="15" t="e">
        <v>#NAME?</v>
      </c>
      <c r="BB106" s="257" t="e">
        <f aca="false">_xlfn.xlookup(BA106,A:A,F:F)</f>
        <v>#NAME?</v>
      </c>
      <c r="BC106" s="291" t="e">
        <f aca="false">_xlfn.xlookup(BA106,A:A,J:J)</f>
        <v>#NAME?</v>
      </c>
      <c r="BD106" s="75" t="e">
        <f aca="false">_xlfn.xlookup(BA106,A:A,M:M)+_xlfn.xlookup(BA106,A:A,N:N)</f>
        <v>#NAME?</v>
      </c>
      <c r="BE106" s="75" t="e">
        <f aca="false">_xlfn.xlookup(BA106,A54:A1042,AA54:AA1042)</f>
        <v>#NAME?</v>
      </c>
    </row>
    <row r="107" customFormat="false" ht="16.4" hidden="false" customHeight="false" outlineLevel="0" collapsed="false">
      <c r="A107" s="241" t="s">
        <v>1102</v>
      </c>
      <c r="B107" s="1" t="s">
        <v>889</v>
      </c>
      <c r="C107" s="292" t="n">
        <f aca="false">'Liste WO'!C99</f>
        <v>45593</v>
      </c>
      <c r="D107" s="241" t="n">
        <f aca="false">'Liste WO'!D99</f>
        <v>240</v>
      </c>
      <c r="E107" s="241" t="str">
        <f aca="false">'Liste WO'!E99</f>
        <v>Imprimerie Ste-Julie</v>
      </c>
      <c r="F107" s="241" t="str">
        <f aca="false">_xlfn.xlookup(E107,Clients!B:B,Clients!C:C)</f>
        <v>Imprimerie Ste-Julie</v>
      </c>
      <c r="G107" s="241" t="n">
        <f aca="false">_xlfn.xlookup(D107,'PO Client'!$A:$A,'PO Client'!$F:$F,FALSE())</f>
        <v>104997</v>
      </c>
      <c r="H107" s="251" t="n">
        <f aca="false">'Liste WO'!I99</f>
        <v>40117</v>
      </c>
      <c r="I107" s="251" t="n">
        <f aca="false">'Liste WO'!J99</f>
        <v>30015</v>
      </c>
      <c r="J107" s="244" t="str">
        <f aca="false">'Liste WO'!L99</f>
        <v>S15-3</v>
      </c>
      <c r="K107" s="245" t="n">
        <v>3036.096</v>
      </c>
      <c r="L107" s="245" t="n">
        <v>0</v>
      </c>
      <c r="M107" s="245" t="n">
        <v>2988</v>
      </c>
      <c r="N107" s="245"/>
      <c r="O107" s="245" t="n">
        <v>60</v>
      </c>
      <c r="P107" s="246" t="n">
        <v>1</v>
      </c>
      <c r="Q107" s="219" t="n">
        <v>1.5</v>
      </c>
      <c r="R107" s="247" t="n">
        <v>-10.65</v>
      </c>
      <c r="S107" s="272" t="n">
        <v>1.3911</v>
      </c>
      <c r="T107" s="248" t="n">
        <f aca="false">_xlfn.xlookup(I107,'Prix MP'!A:A,'Prix MP'!U:U, FALSE())</f>
        <v>0.268854241086576</v>
      </c>
      <c r="U107" s="249" t="n">
        <f aca="false">(M107+N107)*T107</f>
        <v>803.33647236669</v>
      </c>
      <c r="V107" s="249" t="n">
        <f aca="false">(K107-M107-L107)*T107</f>
        <v>12.9308135793</v>
      </c>
      <c r="W107" s="250" t="n">
        <f aca="false">(K107-M107-L107)/K107</f>
        <v>0.015841396319484</v>
      </c>
      <c r="X107" s="249" t="n">
        <f aca="false">20.6577/85*O107</f>
        <v>14.5819058823529</v>
      </c>
      <c r="Y107" s="249" t="n">
        <f aca="false">19.2*P107</f>
        <v>19.2</v>
      </c>
      <c r="Z107" s="249" t="n">
        <f aca="false">125000/52/40*Q107</f>
        <v>90.1442307692308</v>
      </c>
      <c r="AA107" s="249" t="n">
        <f aca="false">(M107+N107)*T107+R107+V107+X107+Y107+Z107</f>
        <v>929.543422597574</v>
      </c>
      <c r="AB107" s="285" t="n">
        <f aca="false">_xlfn.xlookup(H107,'Prix vente'!A:A,'Prix vente'!X:X, "")</f>
        <v>0.28</v>
      </c>
      <c r="AC107" s="285" t="str">
        <f aca="false">_xlfn.xlookup(H107,'Prix vente'!A:A,'Prix vente'!Z:Z, "")</f>
        <v>USD</v>
      </c>
      <c r="AD107" s="249" t="n">
        <f aca="false">IF(AC107="CAD",(M107+N107)*AB107,(M107+N107)*AB107*S107)</f>
        <v>1163.849904</v>
      </c>
      <c r="AE107" s="249" t="n">
        <f aca="false">AD107-AA107</f>
        <v>234.306481402426</v>
      </c>
      <c r="AF107" s="273"/>
      <c r="AG107" s="252" t="n">
        <f aca="false">((M107+N107)*T107+V107)</f>
        <v>816.26728594599</v>
      </c>
      <c r="AH107" s="273"/>
      <c r="AI107" s="273" t="str">
        <f aca="false">IF(AD107=0,"S","")</f>
        <v/>
      </c>
      <c r="AK107" s="15" t="e">
        <v>#NAME?</v>
      </c>
      <c r="AL107" s="15" t="e">
        <f aca="false">_xlfn.xlookup(AK107,A:A,F:F)</f>
        <v>#NAME?</v>
      </c>
      <c r="AM107" s="15" t="e">
        <f aca="false">_xlfn.xlookup(AK107,A:A,J:J)</f>
        <v>#NAME?</v>
      </c>
      <c r="AN107" s="15" t="e">
        <f aca="false">_xlfn.xlookup(AK107,A:A,M:M)+_xlfn.xlookup(AK107,A:A,N:N)</f>
        <v>#NAME?</v>
      </c>
      <c r="AO107" s="223" t="e">
        <f aca="false">_xlfn.xlookup(AK107,A:A,AG:AG)</f>
        <v>#NAME?</v>
      </c>
      <c r="AP107" s="223" t="e">
        <f aca="false">_xlfn.xlookup(AK107,A:A,AD:AD)</f>
        <v>#NAME?</v>
      </c>
      <c r="AQ107" s="223" t="e">
        <f aca="false">_xlfn.xlookup(AK107,A:A,AE:AE)</f>
        <v>#NAME?</v>
      </c>
      <c r="AX107" s="288"/>
      <c r="AY107" s="288"/>
      <c r="AZ107" s="288"/>
      <c r="BA107" s="15" t="e">
        <v>#NAME?</v>
      </c>
      <c r="BB107" s="257" t="e">
        <f aca="false">_xlfn.xlookup(BA107,A:A,F:F)</f>
        <v>#NAME?</v>
      </c>
      <c r="BC107" s="15" t="e">
        <f aca="false">_xlfn.xlookup(BA107,A:A,J:J)</f>
        <v>#NAME?</v>
      </c>
      <c r="BD107" s="75" t="e">
        <f aca="false">_xlfn.xlookup(BA107,A:A,M:M)+_xlfn.xlookup(BA107,A:A,N:N)</f>
        <v>#NAME?</v>
      </c>
      <c r="BE107" s="75" t="e">
        <f aca="false">_xlfn.xlookup(BA107,A55:A1043,AA55:AA1043)</f>
        <v>#NAME?</v>
      </c>
    </row>
    <row r="108" customFormat="false" ht="16.4" hidden="false" customHeight="false" outlineLevel="0" collapsed="false">
      <c r="A108" s="241" t="s">
        <v>1105</v>
      </c>
      <c r="B108" s="1" t="s">
        <v>889</v>
      </c>
      <c r="C108" s="292" t="n">
        <f aca="false">'Liste WO'!C100</f>
        <v>45594</v>
      </c>
      <c r="D108" s="241" t="n">
        <f aca="false">'Liste WO'!D100</f>
        <v>222</v>
      </c>
      <c r="E108" s="241" t="str">
        <f aca="false">'Liste WO'!E100</f>
        <v>Imprimerie Ste-Julie</v>
      </c>
      <c r="F108" s="241" t="str">
        <f aca="false">_xlfn.xlookup(E108,Clients!B:B,Clients!C:C)</f>
        <v>Imprimerie Ste-Julie</v>
      </c>
      <c r="G108" s="241" t="n">
        <f aca="false">_xlfn.xlookup(D108,'PO Client'!$A:$A,'PO Client'!$F:$F,FALSE())</f>
        <v>104106</v>
      </c>
      <c r="H108" s="251" t="n">
        <f aca="false">'Liste WO'!I100</f>
        <v>40150</v>
      </c>
      <c r="I108" s="251" t="n">
        <f aca="false">'Liste WO'!J100</f>
        <v>30027</v>
      </c>
      <c r="J108" s="244" t="str">
        <f aca="false">'Liste WO'!L100</f>
        <v>B25-3</v>
      </c>
      <c r="K108" s="245" t="n">
        <v>17889.369168</v>
      </c>
      <c r="L108" s="245" t="n">
        <v>7083.7536</v>
      </c>
      <c r="M108" s="245" t="n">
        <v>10728</v>
      </c>
      <c r="N108" s="245"/>
      <c r="O108" s="245" t="n">
        <v>180</v>
      </c>
      <c r="P108" s="246" t="n">
        <v>2</v>
      </c>
      <c r="Q108" s="219" t="n">
        <v>2.5</v>
      </c>
      <c r="R108" s="247" t="n">
        <f aca="false">-45.05/2</f>
        <v>-22.525</v>
      </c>
      <c r="S108" s="272" t="n">
        <v>1.3911</v>
      </c>
      <c r="T108" s="248" t="n">
        <f aca="false">_xlfn.xlookup(I108,'Prix MP'!A:A,'Prix MP'!U:U, FALSE())</f>
        <v>0.307208514182256</v>
      </c>
      <c r="U108" s="249" t="n">
        <f aca="false">(M108+N108)*T108</f>
        <v>3295.73294014724</v>
      </c>
      <c r="V108" s="249" t="n">
        <f aca="false">(K108-M108-L108)*T108</f>
        <v>23.8441633226933</v>
      </c>
      <c r="W108" s="250" t="n">
        <f aca="false">IFERROR((K108-M108-L108)/K108,"")</f>
        <v>0.00433864197619899</v>
      </c>
      <c r="X108" s="249" t="n">
        <f aca="false">20.6577/85*O108</f>
        <v>43.7457176470588</v>
      </c>
      <c r="Y108" s="249" t="n">
        <f aca="false">19.2*P108</f>
        <v>38.4</v>
      </c>
      <c r="Z108" s="249" t="n">
        <f aca="false">125000/52/40*Q108</f>
        <v>150.240384615385</v>
      </c>
      <c r="AA108" s="249" t="n">
        <f aca="false">(M108+N108)*T108+R108+V108+X108+Y108+Z108</f>
        <v>3529.43820573238</v>
      </c>
      <c r="AB108" s="285" t="n">
        <f aca="false">_xlfn.xlookup(H108,'Prix vente'!A:A,'Prix vente'!X:X, "")</f>
        <v>0.33</v>
      </c>
      <c r="AC108" s="285" t="str">
        <f aca="false">_xlfn.xlookup(H108,'Prix vente'!A:A,'Prix vente'!Z:Z, "")</f>
        <v>USD</v>
      </c>
      <c r="AD108" s="249" t="n">
        <f aca="false">IF(AC108="CAD",(M108+N108)*AB108,(M108+N108)*AB108*S108)</f>
        <v>4924.827864</v>
      </c>
      <c r="AE108" s="249" t="n">
        <f aca="false">AD108-AA108</f>
        <v>1395.38965826762</v>
      </c>
      <c r="AF108" s="273"/>
      <c r="AG108" s="252" t="n">
        <f aca="false">((M108+N108)*T108+V108)</f>
        <v>3319.57710346993</v>
      </c>
      <c r="AH108" s="273"/>
      <c r="AI108" s="273" t="str">
        <f aca="false">IF(AD108=0,"S","")</f>
        <v/>
      </c>
      <c r="AK108" s="15" t="e">
        <v>#NAME?</v>
      </c>
      <c r="AL108" s="15" t="e">
        <f aca="false">_xlfn.xlookup(AK108,A:A,F:F)</f>
        <v>#NAME?</v>
      </c>
      <c r="AM108" s="15" t="e">
        <f aca="false">_xlfn.xlookup(AK108,A:A,J:J)</f>
        <v>#NAME?</v>
      </c>
      <c r="AN108" s="15" t="e">
        <f aca="false">_xlfn.xlookup(AK108,A:A,M:M)+_xlfn.xlookup(AK108,A:A,N:N)</f>
        <v>#NAME?</v>
      </c>
      <c r="AO108" s="223" t="e">
        <f aca="false">_xlfn.xlookup(AK108,A:A,AG:AG)</f>
        <v>#NAME?</v>
      </c>
      <c r="AP108" s="223" t="e">
        <f aca="false">_xlfn.xlookup(AK108,A:A,AD:AD)</f>
        <v>#NAME?</v>
      </c>
      <c r="AQ108" s="223" t="e">
        <f aca="false">_xlfn.xlookup(AK108,A:A,AE:AE)</f>
        <v>#NAME?</v>
      </c>
      <c r="AX108" s="288"/>
      <c r="AY108" s="288"/>
      <c r="AZ108" s="288"/>
      <c r="BA108" s="15" t="e">
        <v>#NAME?</v>
      </c>
      <c r="BB108" s="257" t="e">
        <f aca="false">_xlfn.xlookup(BA108,A:A,F:F)</f>
        <v>#NAME?</v>
      </c>
      <c r="BC108" s="15" t="e">
        <f aca="false">_xlfn.xlookup(BA108,A:A,J:J)</f>
        <v>#NAME?</v>
      </c>
      <c r="BD108" s="75" t="e">
        <f aca="false">_xlfn.xlookup(BA108,A:A,M:M)+_xlfn.xlookup(BA108,A:A,N:N)</f>
        <v>#NAME?</v>
      </c>
      <c r="BE108" s="75" t="e">
        <f aca="false">_xlfn.xlookup(BA108,A56:A1044,AA56:AA1044)</f>
        <v>#NAME?</v>
      </c>
    </row>
    <row r="109" customFormat="false" ht="16.4" hidden="false" customHeight="false" outlineLevel="0" collapsed="false">
      <c r="A109" s="241" t="s">
        <v>1108</v>
      </c>
      <c r="B109" s="1" t="s">
        <v>889</v>
      </c>
      <c r="C109" s="292" t="n">
        <f aca="false">'Liste WO'!C101</f>
        <v>45594</v>
      </c>
      <c r="D109" s="241" t="n">
        <f aca="false">'Liste WO'!D101</f>
        <v>241</v>
      </c>
      <c r="E109" s="241" t="str">
        <f aca="false">'Liste WO'!E101</f>
        <v>Digi America Inc.</v>
      </c>
      <c r="F109" s="241" t="str">
        <f aca="false">_xlfn.xlookup(E109,Clients!B:B,Clients!C:C)</f>
        <v>Digi</v>
      </c>
      <c r="G109" s="241" t="n">
        <f aca="false">_xlfn.xlookup(D109,'PO Client'!$A:$A,'PO Client'!$F:$F,FALSE())</f>
        <v>50008774</v>
      </c>
      <c r="H109" s="251" t="n">
        <f aca="false">'Liste WO'!I101</f>
        <v>40103</v>
      </c>
      <c r="I109" s="251" t="n">
        <f aca="false">'Liste WO'!J101</f>
        <v>30019</v>
      </c>
      <c r="J109" s="244" t="str">
        <f aca="false">'Liste WO'!L101</f>
        <v>D16-1</v>
      </c>
      <c r="K109" s="245" t="n">
        <v>49710.772224</v>
      </c>
      <c r="L109" s="245" t="n">
        <v>7424.5332</v>
      </c>
      <c r="M109" s="245" t="n">
        <v>41378.4</v>
      </c>
      <c r="N109" s="245"/>
      <c r="O109" s="245" t="n">
        <v>710</v>
      </c>
      <c r="P109" s="246" t="n">
        <v>6</v>
      </c>
      <c r="Q109" s="219" t="n">
        <v>14</v>
      </c>
      <c r="R109" s="247" t="n">
        <v>-95.95</v>
      </c>
      <c r="S109" s="272" t="n">
        <v>1.3911</v>
      </c>
      <c r="T109" s="248" t="n">
        <f aca="false">_xlfn.xlookup(I109,'Prix MP'!A:A,'Prix MP'!U:U, FALSE())</f>
        <v>0.378144584023772</v>
      </c>
      <c r="U109" s="249" t="n">
        <f aca="false">(M109+N109)*T109</f>
        <v>15647.0178555693</v>
      </c>
      <c r="V109" s="249" t="n">
        <f aca="false">(K109-M109-L109)*T109</f>
        <v>343.29441009103</v>
      </c>
      <c r="W109" s="250" t="n">
        <f aca="false">IFERROR((K109-M109-L109)/K109,"")</f>
        <v>0.0182624204651101</v>
      </c>
      <c r="X109" s="249" t="n">
        <f aca="false">20.6577/85*O109</f>
        <v>172.552552941176</v>
      </c>
      <c r="Y109" s="249" t="n">
        <f aca="false">19.2*P109</f>
        <v>115.2</v>
      </c>
      <c r="Z109" s="249" t="n">
        <f aca="false">125000/52/40*Q109</f>
        <v>841.346153846154</v>
      </c>
      <c r="AA109" s="249" t="n">
        <f aca="false">(M109+N109)*T109+R109+V109+X109+Y109+Z109</f>
        <v>17023.4609724476</v>
      </c>
      <c r="AB109" s="285" t="n">
        <f aca="false">_xlfn.xlookup(H109,'Prix vente'!A:A,'Prix vente'!X:X, "")</f>
        <v>0.31</v>
      </c>
      <c r="AC109" s="285" t="str">
        <f aca="false">_xlfn.xlookup(H109,'Prix vente'!A:A,'Prix vente'!Z:Z, "")</f>
        <v>USD</v>
      </c>
      <c r="AD109" s="249" t="n">
        <f aca="false">IF(AC109="CAD",(M109+N109)*AB109,(M109+N109)*AB109*S109)</f>
        <v>17844.0625944</v>
      </c>
      <c r="AE109" s="249" t="n">
        <f aca="false">AD109-AA109</f>
        <v>820.601621952381</v>
      </c>
      <c r="AF109" s="273"/>
      <c r="AG109" s="252" t="n">
        <f aca="false">((M109+N109)*T109+V109)</f>
        <v>15990.3122656603</v>
      </c>
      <c r="AH109" s="273"/>
      <c r="AI109" s="273" t="str">
        <f aca="false">IFERROR(IF(AD109=0,"S",""),"S")</f>
        <v/>
      </c>
      <c r="AK109" s="15" t="e">
        <v>#NAME?</v>
      </c>
      <c r="AL109" s="15" t="e">
        <f aca="false">_xlfn.xlookup(AK109,A:A,F:F)</f>
        <v>#NAME?</v>
      </c>
      <c r="AM109" s="15" t="e">
        <f aca="false">_xlfn.xlookup(AK109,A:A,J:J)</f>
        <v>#NAME?</v>
      </c>
      <c r="AN109" s="15" t="e">
        <f aca="false">_xlfn.xlookup(AK109,A:A,M:M)+_xlfn.xlookup(AK109,A:A,N:N)</f>
        <v>#NAME?</v>
      </c>
      <c r="AO109" s="223" t="e">
        <f aca="false">_xlfn.xlookup(AK109,A:A,AG:AG)</f>
        <v>#NAME?</v>
      </c>
      <c r="AP109" s="223" t="e">
        <f aca="false">_xlfn.xlookup(AK109,A:A,AD:AD)</f>
        <v>#NAME?</v>
      </c>
      <c r="AQ109" s="223" t="e">
        <f aca="false">_xlfn.xlookup(AK109,A:A,AE:AE)</f>
        <v>#NAME?</v>
      </c>
      <c r="AX109" s="288"/>
      <c r="AY109" s="288"/>
      <c r="AZ109" s="288"/>
      <c r="BA109" s="15" t="e">
        <v>#NAME?</v>
      </c>
      <c r="BB109" s="257" t="e">
        <f aca="false">_xlfn.xlookup(BA109,A:A,F:F)</f>
        <v>#NAME?</v>
      </c>
      <c r="BC109" s="15" t="e">
        <f aca="false">_xlfn.xlookup(BA109,A:A,J:J)</f>
        <v>#NAME?</v>
      </c>
      <c r="BD109" s="75" t="e">
        <f aca="false">_xlfn.xlookup(BA109,A:A,M:M)+_xlfn.xlookup(BA109,A:A,N:N)</f>
        <v>#NAME?</v>
      </c>
      <c r="BE109" s="75" t="e">
        <f aca="false">_xlfn.xlookup(BA109,A57:A1045,AA57:AA1045)</f>
        <v>#NAME?</v>
      </c>
    </row>
    <row r="110" customFormat="false" ht="16.4" hidden="false" customHeight="false" outlineLevel="0" collapsed="false">
      <c r="A110" s="241" t="s">
        <v>1109</v>
      </c>
      <c r="B110" s="1" t="s">
        <v>889</v>
      </c>
      <c r="C110" s="292" t="n">
        <f aca="false">'Liste WO'!C102</f>
        <v>45595</v>
      </c>
      <c r="D110" s="241" t="n">
        <f aca="false">'Liste WO'!D102</f>
        <v>242</v>
      </c>
      <c r="E110" s="241" t="str">
        <f aca="false">'Liste WO'!E102</f>
        <v>Étiquettes Rive-Sud</v>
      </c>
      <c r="F110" s="241" t="str">
        <f aca="false">_xlfn.xlookup(E110,Clients!B:B,Clients!C:C)</f>
        <v>Étiquettes Rive-Sud</v>
      </c>
      <c r="G110" s="241" t="n">
        <f aca="false">_xlfn.xlookup(D110,'PO Client'!$A:$A,'PO Client'!$F:$F,FALSE())</f>
        <v>301024</v>
      </c>
      <c r="H110" s="251" t="n">
        <f aca="false">'Liste WO'!I102</f>
        <v>40155</v>
      </c>
      <c r="I110" s="251" t="n">
        <f aca="false">'Liste WO'!J102</f>
        <v>30027</v>
      </c>
      <c r="J110" s="244" t="str">
        <f aca="false">'Liste WO'!L102</f>
        <v>B25-3</v>
      </c>
      <c r="K110" s="245" t="n">
        <v>7083.7536</v>
      </c>
      <c r="L110" s="245" t="n">
        <v>3469.5936</v>
      </c>
      <c r="M110" s="245" t="n">
        <v>3575.88</v>
      </c>
      <c r="N110" s="245"/>
      <c r="O110" s="245" t="n">
        <v>60.2</v>
      </c>
      <c r="P110" s="246" t="n">
        <v>1</v>
      </c>
      <c r="Q110" s="219" t="n">
        <v>1</v>
      </c>
      <c r="R110" s="247" t="n">
        <v>59.35</v>
      </c>
      <c r="S110" s="272"/>
      <c r="T110" s="248" t="n">
        <f aca="false">_xlfn.xlookup(I110,'Prix MP'!A:A,'Prix MP'!U:U, 0)</f>
        <v>0.307208514182256</v>
      </c>
      <c r="U110" s="249" t="n">
        <f aca="false">(M110+N110)*T110</f>
        <v>1098.54078169405</v>
      </c>
      <c r="V110" s="249" t="n">
        <f aca="false">(K110-M110-L110)*T110</f>
        <v>11.7599419228967</v>
      </c>
      <c r="W110" s="250" t="n">
        <f aca="false">IFERROR((K110-M110-L110)/K110,"")</f>
        <v>0.0054039146703239</v>
      </c>
      <c r="X110" s="249" t="n">
        <f aca="false">20.6577/85*O110</f>
        <v>14.6305122352941</v>
      </c>
      <c r="Y110" s="249" t="n">
        <f aca="false">19.2*P110</f>
        <v>19.2</v>
      </c>
      <c r="Z110" s="249" t="n">
        <f aca="false">125000/52/40*Q110</f>
        <v>60.0961538461539</v>
      </c>
      <c r="AA110" s="249" t="n">
        <f aca="false">(M110+N110)*T110+R110+V110+X110+Y110+Z110</f>
        <v>1263.57738969839</v>
      </c>
      <c r="AB110" s="285" t="n">
        <f aca="false">_xlfn.xlookup(H110,'Prix vente'!A:A,'Prix vente'!X:X, "")</f>
        <v>0.466</v>
      </c>
      <c r="AC110" s="285" t="str">
        <f aca="false">_xlfn.xlookup(H110,'Prix vente'!A:A,'Prix vente'!Z:Z, "")</f>
        <v>CAD</v>
      </c>
      <c r="AD110" s="249" t="n">
        <f aca="false">IFERROR(IF(AC110="CAD",(M110+N110)*AB110,(M110+N110)*AB110*S110),0)</f>
        <v>1666.36008</v>
      </c>
      <c r="AE110" s="249" t="n">
        <f aca="false">AD110-AA110</f>
        <v>402.78269030161</v>
      </c>
      <c r="AF110" s="273" t="n">
        <f aca="false">IFERROR(1-AA110/AD110,"")</f>
        <v>0.241714077969037</v>
      </c>
      <c r="AG110" s="252" t="n">
        <f aca="false">((M110+N110)*T110+V110)</f>
        <v>1110.30072361694</v>
      </c>
      <c r="AH110" s="273" t="n">
        <f aca="false">IFERROR(AG110/AD110,"")</f>
        <v>0.666303001939978</v>
      </c>
      <c r="AI110" s="273" t="str">
        <f aca="false">IFERROR(IF(AD110=0,"S",""),"S")</f>
        <v/>
      </c>
      <c r="AK110" s="15" t="e">
        <v>#NAME?</v>
      </c>
      <c r="AL110" s="15" t="e">
        <f aca="false">_xlfn.xlookup(AK110,A:A,F:F)</f>
        <v>#NAME?</v>
      </c>
      <c r="AM110" s="15" t="e">
        <f aca="false">_xlfn.xlookup(AK110,A:A,J:J)</f>
        <v>#NAME?</v>
      </c>
      <c r="AN110" s="15" t="e">
        <f aca="false">_xlfn.xlookup(AK110,A:A,M:M)+_xlfn.xlookup(AK110,A:A,N:N)</f>
        <v>#NAME?</v>
      </c>
      <c r="AO110" s="223" t="e">
        <f aca="false">_xlfn.xlookup(AK110,A:A,AG:AG)</f>
        <v>#NAME?</v>
      </c>
      <c r="AP110" s="223" t="e">
        <f aca="false">_xlfn.xlookup(AK110,A:A,AD:AD)</f>
        <v>#NAME?</v>
      </c>
      <c r="AQ110" s="223" t="e">
        <f aca="false">_xlfn.xlookup(AK110,A:A,AE:AE)</f>
        <v>#NAME?</v>
      </c>
      <c r="AX110" s="288"/>
      <c r="AY110" s="288"/>
      <c r="AZ110" s="288"/>
      <c r="BA110" s="15" t="e">
        <v>#NAME?</v>
      </c>
      <c r="BB110" s="257" t="e">
        <f aca="false">_xlfn.xlookup(BA110,A:A,F:F)</f>
        <v>#NAME?</v>
      </c>
      <c r="BC110" s="291" t="e">
        <f aca="false">_xlfn.xlookup(BA110,A:A,J:J)</f>
        <v>#NAME?</v>
      </c>
      <c r="BD110" s="75" t="e">
        <f aca="false">_xlfn.xlookup(BA110,A:A,M:M)+_xlfn.xlookup(BA110,A:A,N:N)</f>
        <v>#NAME?</v>
      </c>
      <c r="BE110" s="75" t="e">
        <f aca="false">_xlfn.xlookup(BA110,A58:A1046,AA58:AA1046)</f>
        <v>#NAME?</v>
      </c>
    </row>
    <row r="111" customFormat="false" ht="16.4" hidden="false" customHeight="false" outlineLevel="0" collapsed="false">
      <c r="A111" s="241" t="s">
        <v>1110</v>
      </c>
      <c r="B111" s="1" t="s">
        <v>889</v>
      </c>
      <c r="C111" s="292" t="n">
        <f aca="false">'Liste WO'!C103</f>
        <v>45595</v>
      </c>
      <c r="D111" s="241" t="n">
        <f aca="false">'Liste WO'!D103</f>
        <v>243</v>
      </c>
      <c r="E111" s="241" t="str">
        <f aca="false">'Liste WO'!E103</f>
        <v>3G Print Group Inc.</v>
      </c>
      <c r="F111" s="241" t="str">
        <f aca="false">_xlfn.xlookup(E111,Clients!B:B,Clients!C:C)</f>
        <v>3G</v>
      </c>
      <c r="G111" s="241" t="n">
        <f aca="false">_xlfn.xlookup(D111,'PO Client'!$A:$A,'PO Client'!$F:$F,FALSE())</f>
        <v>2842</v>
      </c>
      <c r="H111" s="251" t="n">
        <f aca="false">'Liste WO'!I103</f>
        <v>40151</v>
      </c>
      <c r="I111" s="251" t="n">
        <f aca="false">'Liste WO'!J103</f>
        <v>30011</v>
      </c>
      <c r="J111" s="244" t="str">
        <f aca="false">'Liste WO'!L103</f>
        <v>S21-1</v>
      </c>
      <c r="K111" s="245" t="n">
        <v>3542.112</v>
      </c>
      <c r="L111" s="245" t="n">
        <v>745.68</v>
      </c>
      <c r="M111" s="245" t="n">
        <v>2695.92</v>
      </c>
      <c r="N111" s="245"/>
      <c r="O111" s="245" t="n">
        <v>47</v>
      </c>
      <c r="P111" s="246" t="n">
        <v>0.25</v>
      </c>
      <c r="Q111" s="219" t="n">
        <v>1.5</v>
      </c>
      <c r="R111" s="247" t="n">
        <f aca="false">120.03/4</f>
        <v>30.0075</v>
      </c>
      <c r="S111" s="272"/>
      <c r="T111" s="248" t="n">
        <f aca="false">_xlfn.xlookup(I111,'Prix MP'!A:A,'Prix MP'!U:U, 0)</f>
        <v>0.28357864079936</v>
      </c>
      <c r="U111" s="249" t="n">
        <f aca="false">(M111+N111)*T111</f>
        <v>764.50532930381</v>
      </c>
      <c r="V111" s="249" t="n">
        <f aca="false">(K111-M111-L111)*T111</f>
        <v>28.5030563440253</v>
      </c>
      <c r="W111" s="250" t="n">
        <f aca="false">IFERROR((K111-M111-L111)/K111,"")</f>
        <v>0.028376290755346</v>
      </c>
      <c r="X111" s="249" t="n">
        <f aca="false">20.6577/85*O111</f>
        <v>11.4224929411765</v>
      </c>
      <c r="Y111" s="249" t="n">
        <f aca="false">19.2*P111</f>
        <v>4.8</v>
      </c>
      <c r="Z111" s="249" t="n">
        <f aca="false">125000/52/40*Q111</f>
        <v>90.1442307692308</v>
      </c>
      <c r="AA111" s="249" t="n">
        <f aca="false">(M111+N111)*T111+R111+V111+X111+Y111+Z111</f>
        <v>929.382609358243</v>
      </c>
      <c r="AB111" s="285" t="n">
        <f aca="false">_xlfn.xlookup(H111,'Prix vente'!A:A,'Prix vente'!X:X, "")</f>
        <v>0</v>
      </c>
      <c r="AC111" s="285" t="str">
        <f aca="false">_xlfn.xlookup(H111,'Prix vente'!A:A,'Prix vente'!Z:Z, "")</f>
        <v>CAD</v>
      </c>
      <c r="AD111" s="249" t="n">
        <f aca="false">IFERROR(IF(AC111="CAD",(M111+N111)*AB111,(M111+N111)*AB111*S111),0)</f>
        <v>0</v>
      </c>
      <c r="AE111" s="249" t="n">
        <f aca="false">AD111-AA111</f>
        <v>-929.382609358243</v>
      </c>
      <c r="AF111" s="273" t="str">
        <f aca="false">IFERROR(1-AA111/AD111,"")</f>
        <v/>
      </c>
      <c r="AG111" s="252" t="n">
        <f aca="false">((M111+N111)*T111+V111)</f>
        <v>793.008385647836</v>
      </c>
      <c r="AH111" s="273" t="str">
        <f aca="false">IFERROR(AG111/AD111,"")</f>
        <v/>
      </c>
      <c r="AI111" s="273" t="str">
        <f aca="false">IFERROR(IF(AD111=0,"S",""),"S")</f>
        <v>S</v>
      </c>
      <c r="AK111" s="15" t="e">
        <v>#NAME?</v>
      </c>
      <c r="AL111" s="15" t="e">
        <f aca="false">_xlfn.xlookup(AK111,A:A,F:F)</f>
        <v>#NAME?</v>
      </c>
      <c r="AM111" s="15" t="e">
        <f aca="false">_xlfn.xlookup(AK111,A:A,J:J)</f>
        <v>#NAME?</v>
      </c>
      <c r="AN111" s="15" t="e">
        <f aca="false">_xlfn.xlookup(AK111,A:A,M:M)+_xlfn.xlookup(AK111,A:A,N:N)</f>
        <v>#NAME?</v>
      </c>
      <c r="AO111" s="223" t="e">
        <f aca="false">_xlfn.xlookup(AK111,A:A,AG:AG)</f>
        <v>#NAME?</v>
      </c>
      <c r="AP111" s="223" t="e">
        <f aca="false">_xlfn.xlookup(AK111,A:A,AD:AD)</f>
        <v>#NAME?</v>
      </c>
      <c r="AQ111" s="223" t="e">
        <f aca="false">_xlfn.xlookup(AK111,A:A,AE:AE)</f>
        <v>#NAME?</v>
      </c>
      <c r="AX111" s="288"/>
      <c r="AY111" s="288"/>
      <c r="AZ111" s="288"/>
      <c r="BA111" s="15" t="e">
        <v>#NAME?</v>
      </c>
      <c r="BB111" s="257" t="e">
        <f aca="false">_xlfn.xlookup(BA111,A:A,F:F)</f>
        <v>#NAME?</v>
      </c>
      <c r="BC111" s="15" t="e">
        <f aca="false">_xlfn.xlookup(BA111,A:A,J:J)</f>
        <v>#NAME?</v>
      </c>
      <c r="BD111" s="75" t="e">
        <f aca="false">_xlfn.xlookup(BA111,A:A,M:M)+_xlfn.xlookup(BA111,A:A,N:N)</f>
        <v>#NAME?</v>
      </c>
      <c r="BE111" s="75" t="e">
        <f aca="false">_xlfn.xlookup(BA111,A59:A1047,AA59:AA1047)</f>
        <v>#NAME?</v>
      </c>
    </row>
    <row r="112" customFormat="false" ht="16.4" hidden="false" customHeight="false" outlineLevel="0" collapsed="false">
      <c r="A112" s="241" t="s">
        <v>1113</v>
      </c>
      <c r="B112" s="1" t="s">
        <v>889</v>
      </c>
      <c r="C112" s="292" t="n">
        <f aca="false">'Liste WO'!C104</f>
        <v>45595</v>
      </c>
      <c r="D112" s="241" t="n">
        <f aca="false">'Liste WO'!D104</f>
        <v>243</v>
      </c>
      <c r="E112" s="241" t="str">
        <f aca="false">'Liste WO'!E104</f>
        <v>3G Print Group Inc.</v>
      </c>
      <c r="F112" s="241" t="str">
        <f aca="false">_xlfn.xlookup(E112,Clients!B:B,Clients!C:C)</f>
        <v>3G</v>
      </c>
      <c r="G112" s="241" t="n">
        <f aca="false">_xlfn.xlookup(D112,'PO Client'!$A:$A,'PO Client'!$F:$F,FALSE())</f>
        <v>2842</v>
      </c>
      <c r="H112" s="251" t="n">
        <f aca="false">'Liste WO'!I104</f>
        <v>40152</v>
      </c>
      <c r="I112" s="251" t="n">
        <f aca="false">'Liste WO'!J104</f>
        <v>30030</v>
      </c>
      <c r="J112" s="244" t="str">
        <f aca="false">'Liste WO'!L104</f>
        <v>S35-3</v>
      </c>
      <c r="K112" s="245" t="n">
        <v>14228.94792</v>
      </c>
      <c r="L112" s="245" t="n">
        <v>13023.00072</v>
      </c>
      <c r="M112" s="245" t="n">
        <v>1128</v>
      </c>
      <c r="N112" s="245"/>
      <c r="O112" s="245" t="n">
        <v>47</v>
      </c>
      <c r="P112" s="246" t="n">
        <v>0.25</v>
      </c>
      <c r="Q112" s="219" t="n">
        <v>0.5</v>
      </c>
      <c r="R112" s="247" t="n">
        <f aca="false">120.03/4</f>
        <v>30.0075</v>
      </c>
      <c r="S112" s="272"/>
      <c r="T112" s="248" t="n">
        <f aca="false">_xlfn.xlookup(I112,'Prix MP'!A:A,'Prix MP'!U:U, 0)</f>
        <v>0.27644690127903</v>
      </c>
      <c r="U112" s="249" t="n">
        <f aca="false">(M112+N112)*T112</f>
        <v>311.832104642746</v>
      </c>
      <c r="V112" s="249" t="n">
        <f aca="false">(K112-M112-L112)*T112</f>
        <v>21.548261903377</v>
      </c>
      <c r="W112" s="250" t="n">
        <f aca="false">IFERROR((K112-M112-L112)/K112,"")</f>
        <v>0.00547807191636699</v>
      </c>
      <c r="X112" s="249" t="n">
        <f aca="false">20.6577/85*O112</f>
        <v>11.4224929411765</v>
      </c>
      <c r="Y112" s="249" t="n">
        <f aca="false">19.2*P112</f>
        <v>4.8</v>
      </c>
      <c r="Z112" s="249" t="n">
        <f aca="false">125000/52/40*Q112</f>
        <v>30.0480769230769</v>
      </c>
      <c r="AA112" s="249" t="n">
        <f aca="false">(M112+N112)*T112+R112+V112+X112+Y112+Z112</f>
        <v>409.658436410376</v>
      </c>
      <c r="AB112" s="285" t="n">
        <f aca="false">_xlfn.xlookup(H112,'Prix vente'!A:A,'Prix vente'!X:X, "")</f>
        <v>0</v>
      </c>
      <c r="AC112" s="285" t="str">
        <f aca="false">_xlfn.xlookup(H112,'Prix vente'!A:A,'Prix vente'!Z:Z, "")</f>
        <v>CAD</v>
      </c>
      <c r="AD112" s="249" t="n">
        <f aca="false">IFERROR(IF(AC112="CAD",(M112+N112)*AB112,(M112+N112)*AB112*S112),0)</f>
        <v>0</v>
      </c>
      <c r="AE112" s="249" t="n">
        <f aca="false">AD112-AA112</f>
        <v>-409.658436410376</v>
      </c>
      <c r="AF112" s="273" t="str">
        <f aca="false">IFERROR(1-AA112/AD112,"")</f>
        <v/>
      </c>
      <c r="AG112" s="252" t="n">
        <f aca="false">((M112+N112)*T112+V112)</f>
        <v>333.380366546123</v>
      </c>
      <c r="AH112" s="273" t="str">
        <f aca="false">IFERROR(AG112/AD112,"")</f>
        <v/>
      </c>
      <c r="AI112" s="273" t="str">
        <f aca="false">IFERROR(IF(AD112=0,"S",""),"S")</f>
        <v>S</v>
      </c>
      <c r="AK112" s="15" t="e">
        <v>#NAME?</v>
      </c>
      <c r="AL112" s="15" t="e">
        <f aca="false">_xlfn.xlookup(AK112,A:A,F:F)</f>
        <v>#NAME?</v>
      </c>
      <c r="AM112" s="15" t="e">
        <f aca="false">_xlfn.xlookup(AK112,A:A,J:J)</f>
        <v>#NAME?</v>
      </c>
      <c r="AN112" s="15" t="e">
        <f aca="false">_xlfn.xlookup(AK112,A:A,M:M)+_xlfn.xlookup(AK112,A:A,N:N)</f>
        <v>#NAME?</v>
      </c>
      <c r="AO112" s="223" t="e">
        <f aca="false">_xlfn.xlookup(AK112,A:A,AG:AG)</f>
        <v>#NAME?</v>
      </c>
      <c r="AP112" s="223" t="e">
        <f aca="false">_xlfn.xlookup(AK112,A:A,AD:AD)</f>
        <v>#NAME?</v>
      </c>
      <c r="AQ112" s="223" t="e">
        <f aca="false">_xlfn.xlookup(AK112,A:A,AE:AE)</f>
        <v>#NAME?</v>
      </c>
      <c r="AX112" s="288"/>
      <c r="AY112" s="288"/>
      <c r="AZ112" s="288"/>
      <c r="BA112" s="15" t="e">
        <v>#NAME?</v>
      </c>
      <c r="BB112" s="257" t="e">
        <f aca="false">_xlfn.xlookup(BA112,A:A,F:F)</f>
        <v>#NAME?</v>
      </c>
      <c r="BC112" s="15" t="e">
        <f aca="false">_xlfn.xlookup(BA112,A:A,J:J)</f>
        <v>#NAME?</v>
      </c>
      <c r="BD112" s="75" t="e">
        <f aca="false">_xlfn.xlookup(BA112,A:A,M:M)+_xlfn.xlookup(BA112,A:A,N:N)</f>
        <v>#NAME?</v>
      </c>
      <c r="BE112" s="75" t="e">
        <f aca="false">_xlfn.xlookup(BA112,A60:A1048,AA60:AA1048)</f>
        <v>#NAME?</v>
      </c>
    </row>
    <row r="113" customFormat="false" ht="16.4" hidden="false" customHeight="false" outlineLevel="0" collapsed="false">
      <c r="A113" s="241" t="s">
        <v>1114</v>
      </c>
      <c r="B113" s="1" t="s">
        <v>889</v>
      </c>
      <c r="C113" s="292" t="n">
        <f aca="false">'Liste WO'!C105</f>
        <v>45595</v>
      </c>
      <c r="D113" s="241" t="n">
        <f aca="false">'Liste WO'!D105</f>
        <v>243</v>
      </c>
      <c r="E113" s="241" t="str">
        <f aca="false">'Liste WO'!E105</f>
        <v>3G Print Group Inc.</v>
      </c>
      <c r="F113" s="241" t="str">
        <f aca="false">_xlfn.xlookup(E113,Clients!B:B,Clients!C:C)</f>
        <v>3G</v>
      </c>
      <c r="G113" s="241" t="n">
        <f aca="false">_xlfn.xlookup(D113,'PO Client'!$A:$A,'PO Client'!$F:$F,FALSE())</f>
        <v>2842</v>
      </c>
      <c r="H113" s="251" t="n">
        <f aca="false">'Liste WO'!I105</f>
        <v>40153</v>
      </c>
      <c r="I113" s="251" t="n">
        <f aca="false">'Liste WO'!J105</f>
        <v>30016</v>
      </c>
      <c r="J113" s="244" t="str">
        <f aca="false">'Liste WO'!L105</f>
        <v>B15-3</v>
      </c>
      <c r="K113" s="245" t="n">
        <v>612</v>
      </c>
      <c r="L113" s="245" t="n">
        <v>139.2</v>
      </c>
      <c r="M113" s="245" t="n">
        <v>449.28</v>
      </c>
      <c r="N113" s="245"/>
      <c r="O113" s="245" t="n">
        <v>13</v>
      </c>
      <c r="P113" s="246" t="n">
        <v>0.25</v>
      </c>
      <c r="Q113" s="219" t="n">
        <v>2</v>
      </c>
      <c r="R113" s="247" t="n">
        <f aca="false">120.03/4</f>
        <v>30.0075</v>
      </c>
      <c r="S113" s="272"/>
      <c r="T113" s="248" t="n">
        <f aca="false">_xlfn.xlookup(I113,'Prix MP'!A:A,'Prix MP'!U:U, 0)</f>
        <v>0.326284886247867</v>
      </c>
      <c r="U113" s="249" t="n">
        <f aca="false">(M113+N113)*T113</f>
        <v>146.593273693442</v>
      </c>
      <c r="V113" s="249" t="n">
        <f aca="false">(K113-M113-L113)*T113</f>
        <v>7.67422052454982</v>
      </c>
      <c r="W113" s="250" t="n">
        <f aca="false">IFERROR((K113-M113-L113)/K113,"")</f>
        <v>0.0384313725490196</v>
      </c>
      <c r="X113" s="249" t="n">
        <f aca="false">20.6577/85*O113</f>
        <v>3.15941294117647</v>
      </c>
      <c r="Y113" s="249" t="n">
        <f aca="false">19.2*P113</f>
        <v>4.8</v>
      </c>
      <c r="Z113" s="249" t="n">
        <f aca="false">125000/52/40*Q113</f>
        <v>120.192307692308</v>
      </c>
      <c r="AA113" s="249" t="n">
        <f aca="false">(M113+N113)*T113+R113+V113+X113+Y113+Z113</f>
        <v>312.426714851476</v>
      </c>
      <c r="AB113" s="285" t="n">
        <f aca="false">_xlfn.xlookup(H113,'Prix vente'!A:A,'Prix vente'!X:X, "")</f>
        <v>0</v>
      </c>
      <c r="AC113" s="285" t="str">
        <f aca="false">_xlfn.xlookup(H113,'Prix vente'!A:A,'Prix vente'!Z:Z, "")</f>
        <v>CAD</v>
      </c>
      <c r="AD113" s="249" t="n">
        <f aca="false">IFERROR(IF(AC113="CAD",(M113+N113)*AB113,(M113+N113)*AB113*S113),0)</f>
        <v>0</v>
      </c>
      <c r="AE113" s="249" t="n">
        <f aca="false">AD113-AA113</f>
        <v>-312.426714851476</v>
      </c>
      <c r="AF113" s="273" t="str">
        <f aca="false">IFERROR(1-AA113/AD113,"")</f>
        <v/>
      </c>
      <c r="AG113" s="252" t="n">
        <f aca="false">((M113+N113)*T113+V113)</f>
        <v>154.267494217991</v>
      </c>
      <c r="AH113" s="273" t="str">
        <f aca="false">IFERROR(AG113/AD113,"")</f>
        <v/>
      </c>
      <c r="AI113" s="273" t="str">
        <f aca="false">IFERROR(IF(AD113=0,"S",""),"S")</f>
        <v>S</v>
      </c>
      <c r="AK113" s="15" t="e">
        <v>#NAME?</v>
      </c>
      <c r="AL113" s="15" t="e">
        <f aca="false">_xlfn.xlookup(AK113,A:A,F:F)</f>
        <v>#NAME?</v>
      </c>
      <c r="AM113" s="15" t="e">
        <f aca="false">_xlfn.xlookup(AK113,A:A,J:J)</f>
        <v>#NAME?</v>
      </c>
      <c r="AN113" s="15" t="e">
        <f aca="false">_xlfn.xlookup(AK113,A:A,M:M)+_xlfn.xlookup(AK113,A:A,N:N)</f>
        <v>#NAME?</v>
      </c>
      <c r="AO113" s="223" t="e">
        <f aca="false">_xlfn.xlookup(AK113,A:A,AG:AG)</f>
        <v>#NAME?</v>
      </c>
      <c r="AP113" s="223" t="e">
        <f aca="false">_xlfn.xlookup(AK113,A:A,AD:AD)</f>
        <v>#NAME?</v>
      </c>
      <c r="AQ113" s="223" t="e">
        <f aca="false">_xlfn.xlookup(AK113,A:A,AE:AE)</f>
        <v>#NAME?</v>
      </c>
      <c r="AX113" s="288"/>
      <c r="AY113" s="288"/>
      <c r="AZ113" s="288"/>
      <c r="BA113" s="15" t="e">
        <v>#NAME?</v>
      </c>
      <c r="BB113" s="257" t="e">
        <f aca="false">_xlfn.xlookup(BA113,A:A,F:F)</f>
        <v>#NAME?</v>
      </c>
      <c r="BC113" s="15" t="e">
        <f aca="false">_xlfn.xlookup(BA113,A:A,J:J)</f>
        <v>#NAME?</v>
      </c>
      <c r="BD113" s="75" t="e">
        <f aca="false">_xlfn.xlookup(BA113,A:A,M:M)+_xlfn.xlookup(BA113,A:A,N:N)</f>
        <v>#NAME?</v>
      </c>
      <c r="BE113" s="75" t="e">
        <f aca="false">_xlfn.xlookup(BA113,A61:A1049,AA61:AA1049)</f>
        <v>#NAME?</v>
      </c>
    </row>
    <row r="114" customFormat="false" ht="16.4" hidden="false" customHeight="false" outlineLevel="0" collapsed="false">
      <c r="A114" s="241" t="s">
        <v>1117</v>
      </c>
      <c r="B114" s="1" t="s">
        <v>889</v>
      </c>
      <c r="C114" s="292" t="n">
        <f aca="false">'Liste WO'!C106</f>
        <v>45595</v>
      </c>
      <c r="D114" s="241" t="n">
        <f aca="false">'Liste WO'!D106</f>
        <v>243</v>
      </c>
      <c r="E114" s="241" t="str">
        <f aca="false">'Liste WO'!E106</f>
        <v>3G Print Group Inc.</v>
      </c>
      <c r="F114" s="241" t="str">
        <f aca="false">_xlfn.xlookup(E114,Clients!B:B,Clients!C:C)</f>
        <v>3G</v>
      </c>
      <c r="G114" s="241" t="n">
        <f aca="false">_xlfn.xlookup(D114,'PO Client'!$A:$A,'PO Client'!$F:$F,FALSE())</f>
        <v>2842</v>
      </c>
      <c r="H114" s="251" t="n">
        <f aca="false">'Liste WO'!I106</f>
        <v>40154</v>
      </c>
      <c r="I114" s="251" t="n">
        <f aca="false">'Liste WO'!J106</f>
        <v>30027</v>
      </c>
      <c r="J114" s="244" t="str">
        <f aca="false">'Liste WO'!L106</f>
        <v>B25-3</v>
      </c>
      <c r="K114" s="245" t="n">
        <v>3469.5936</v>
      </c>
      <c r="L114" s="245" t="n">
        <v>3115.788</v>
      </c>
      <c r="M114" s="245" t="n">
        <v>312</v>
      </c>
      <c r="N114" s="245"/>
      <c r="O114" s="245" t="n">
        <v>13</v>
      </c>
      <c r="P114" s="246" t="n">
        <v>0.25</v>
      </c>
      <c r="Q114" s="219" t="n">
        <v>0.5</v>
      </c>
      <c r="R114" s="247" t="n">
        <f aca="false">120.03/4</f>
        <v>30.0075</v>
      </c>
      <c r="S114" s="272"/>
      <c r="T114" s="248" t="n">
        <f aca="false">_xlfn.xlookup(I114,'Prix MP'!A:A,'Prix MP'!U:U, 0)</f>
        <v>0.307208514182256</v>
      </c>
      <c r="U114" s="249" t="n">
        <f aca="false">(M114+N114)*T114</f>
        <v>95.8490564248639</v>
      </c>
      <c r="V114" s="249" t="n">
        <f aca="false">(K114-M114-L114)*T114</f>
        <v>12.8430362604978</v>
      </c>
      <c r="W114" s="250" t="n">
        <f aca="false">IFERROR((K114-M114-L114)/K114,"")</f>
        <v>0.0120491345153508</v>
      </c>
      <c r="X114" s="249" t="n">
        <f aca="false">20.6577/85*O114</f>
        <v>3.15941294117647</v>
      </c>
      <c r="Y114" s="249" t="n">
        <f aca="false">19.2*P114</f>
        <v>4.8</v>
      </c>
      <c r="Z114" s="249" t="n">
        <f aca="false">125000/52/40*Q114</f>
        <v>30.0480769230769</v>
      </c>
      <c r="AA114" s="249" t="n">
        <f aca="false">(M114+N114)*T114+R114+V114+X114+Y114+Z114</f>
        <v>176.707082549615</v>
      </c>
      <c r="AB114" s="285" t="n">
        <f aca="false">_xlfn.xlookup(H114,'Prix vente'!A:A,'Prix vente'!X:X, "")</f>
        <v>0</v>
      </c>
      <c r="AC114" s="285" t="str">
        <f aca="false">_xlfn.xlookup(H114,'Prix vente'!A:A,'Prix vente'!Z:Z, "")</f>
        <v>CAD</v>
      </c>
      <c r="AD114" s="249" t="n">
        <f aca="false">IFERROR(IF(AC114="CAD",(M114+N114)*AB114,(M114+N114)*AB114*S114),0)</f>
        <v>0</v>
      </c>
      <c r="AE114" s="249" t="n">
        <f aca="false">AD114-AA114</f>
        <v>-176.707082549615</v>
      </c>
      <c r="AF114" s="273" t="str">
        <f aca="false">IFERROR(1-AA114/AD114,"")</f>
        <v/>
      </c>
      <c r="AG114" s="252" t="n">
        <f aca="false">((M114+N114)*T114+V114)</f>
        <v>108.692092685362</v>
      </c>
      <c r="AH114" s="273" t="str">
        <f aca="false">IFERROR(AG114/AD114,"")</f>
        <v/>
      </c>
      <c r="AI114" s="273" t="str">
        <f aca="false">IFERROR(IF(AD114=0,"S",""),"S")</f>
        <v>S</v>
      </c>
      <c r="AK114" s="15" t="e">
        <v>#NAME?</v>
      </c>
      <c r="AL114" s="15" t="e">
        <f aca="false">_xlfn.xlookup(AK114,A:A,F:F)</f>
        <v>#NAME?</v>
      </c>
      <c r="AM114" s="15" t="e">
        <f aca="false">_xlfn.xlookup(AK114,A:A,J:J)</f>
        <v>#NAME?</v>
      </c>
      <c r="AN114" s="15" t="e">
        <f aca="false">_xlfn.xlookup(AK114,A:A,M:M)+_xlfn.xlookup(AK114,A:A,N:N)</f>
        <v>#NAME?</v>
      </c>
      <c r="AO114" s="223" t="e">
        <f aca="false">_xlfn.xlookup(AK114,A:A,AG:AG)</f>
        <v>#NAME?</v>
      </c>
      <c r="AP114" s="223" t="e">
        <f aca="false">_xlfn.xlookup(AK114,A:A,AD:AD)</f>
        <v>#NAME?</v>
      </c>
      <c r="AQ114" s="223" t="e">
        <f aca="false">_xlfn.xlookup(AK114,A:A,AE:AE)</f>
        <v>#NAME?</v>
      </c>
      <c r="AX114" s="288"/>
      <c r="AY114" s="288"/>
      <c r="AZ114" s="288"/>
      <c r="BA114" s="15" t="e">
        <v>#NAME?</v>
      </c>
      <c r="BB114" s="257" t="e">
        <f aca="false">_xlfn.xlookup(BA114,A:A,F:F)</f>
        <v>#NAME?</v>
      </c>
      <c r="BC114" s="15" t="e">
        <f aca="false">_xlfn.xlookup(BA114,A:A,J:J)</f>
        <v>#NAME?</v>
      </c>
      <c r="BD114" s="75" t="e">
        <f aca="false">_xlfn.xlookup(BA114,A:A,M:M)+_xlfn.xlookup(BA114,A:A,N:N)</f>
        <v>#NAME?</v>
      </c>
      <c r="BE114" s="75" t="e">
        <f aca="false">_xlfn.xlookup(BA114,A62:A1050,AA62:AA1050)</f>
        <v>#NAME?</v>
      </c>
    </row>
    <row r="115" customFormat="false" ht="16.4" hidden="false" customHeight="false" outlineLevel="0" collapsed="false">
      <c r="A115" s="241" t="s">
        <v>1118</v>
      </c>
      <c r="B115" s="1" t="s">
        <v>889</v>
      </c>
      <c r="C115" s="292" t="n">
        <f aca="false">'Liste WO'!C107</f>
        <v>45596</v>
      </c>
      <c r="D115" s="241" t="n">
        <f aca="false">'Liste WO'!D107</f>
        <v>244</v>
      </c>
      <c r="E115" s="241" t="str">
        <f aca="false">'Liste WO'!E107</f>
        <v>Imprimerie Ste-Julie</v>
      </c>
      <c r="F115" s="241" t="str">
        <f aca="false">_xlfn.xlookup(E115,Clients!B:B,Clients!C:C)</f>
        <v>Imprimerie Ste-Julie</v>
      </c>
      <c r="G115" s="241" t="n">
        <f aca="false">_xlfn.xlookup(D115,'PO Client'!$A:$A,'PO Client'!$F:$F,FALSE())</f>
        <v>105111</v>
      </c>
      <c r="H115" s="251" t="n">
        <f aca="false">'Liste WO'!I107</f>
        <v>40150</v>
      </c>
      <c r="I115" s="251" t="n">
        <f aca="false">'Liste WO'!J107</f>
        <v>30027</v>
      </c>
      <c r="J115" s="244" t="str">
        <f aca="false">'Liste WO'!L107</f>
        <v>B25-3</v>
      </c>
      <c r="K115" s="245" t="n">
        <v>14347.492368</v>
      </c>
      <c r="L115" s="245" t="n">
        <v>3541.8768</v>
      </c>
      <c r="M115" s="245" t="n">
        <v>10692</v>
      </c>
      <c r="N115" s="245"/>
      <c r="O115" s="245" t="n">
        <v>180</v>
      </c>
      <c r="P115" s="246" t="n">
        <v>2</v>
      </c>
      <c r="Q115" s="219" t="n">
        <v>1.5</v>
      </c>
      <c r="R115" s="247" t="n">
        <f aca="false">-45.05/2</f>
        <v>-22.525</v>
      </c>
      <c r="S115" s="272" t="n">
        <v>1.3935</v>
      </c>
      <c r="T115" s="248" t="n">
        <f aca="false">_xlfn.xlookup(I115,'Prix MP'!A:A,'Prix MP'!U:U, 0)</f>
        <v>0.307208514182256</v>
      </c>
      <c r="U115" s="249" t="n">
        <f aca="false">(M115+N115)*T115</f>
        <v>3284.67343363668</v>
      </c>
      <c r="V115" s="249" t="n">
        <f aca="false">(K115-M115-L115)*T115</f>
        <v>34.9036698332534</v>
      </c>
      <c r="W115" s="250" t="n">
        <f aca="false">IFERROR((K115-M115-L115)/K115,"")</f>
        <v>0.00791884498599937</v>
      </c>
      <c r="X115" s="249" t="n">
        <f aca="false">20.6577/85*O115</f>
        <v>43.7457176470588</v>
      </c>
      <c r="Y115" s="249" t="n">
        <f aca="false">19.2*P115</f>
        <v>38.4</v>
      </c>
      <c r="Z115" s="249" t="n">
        <f aca="false">125000/52/40*Q115</f>
        <v>90.1442307692308</v>
      </c>
      <c r="AA115" s="249" t="n">
        <f aca="false">(M115+N115)*T115+R115+V115+X115+Y115+Z115</f>
        <v>3469.34205188622</v>
      </c>
      <c r="AB115" s="285" t="n">
        <f aca="false">_xlfn.xlookup(H115,'Prix vente'!A:A,'Prix vente'!X:X, "")</f>
        <v>0.33</v>
      </c>
      <c r="AC115" s="285" t="str">
        <f aca="false">_xlfn.xlookup(H115,'Prix vente'!A:A,'Prix vente'!Z:Z, "")</f>
        <v>USD</v>
      </c>
      <c r="AD115" s="249" t="n">
        <f aca="false">IFERROR(IF(AC115="CAD",(M115+N115)*AB115,(M115+N115)*AB115*S115),0)</f>
        <v>4916.76966</v>
      </c>
      <c r="AE115" s="249" t="n">
        <f aca="false">AD115-AA115</f>
        <v>1447.42760811378</v>
      </c>
      <c r="AF115" s="273" t="n">
        <f aca="false">IFERROR(1-AA115/AD115,"")</f>
        <v>0.294385889151817</v>
      </c>
      <c r="AG115" s="252" t="n">
        <f aca="false">((M115+N115)*T115+V115)</f>
        <v>3319.57710346993</v>
      </c>
      <c r="AH115" s="273" t="n">
        <f aca="false">IFERROR(AG115/AD115,"")</f>
        <v>0.675154081444184</v>
      </c>
      <c r="AI115" s="273" t="str">
        <f aca="false">IFERROR(IF(AD115=0,"S",""),"S")</f>
        <v/>
      </c>
      <c r="AK115" s="15" t="e">
        <v>#NAME?</v>
      </c>
      <c r="AL115" s="15" t="e">
        <f aca="false">_xlfn.xlookup(AK115,A:A,F:F)</f>
        <v>#NAME?</v>
      </c>
      <c r="AM115" s="15" t="e">
        <f aca="false">_xlfn.xlookup(AK115,A:A,J:J)</f>
        <v>#NAME?</v>
      </c>
      <c r="AN115" s="15" t="e">
        <f aca="false">_xlfn.xlookup(AK115,A:A,M:M)+_xlfn.xlookup(AK115,A:A,N:N)</f>
        <v>#NAME?</v>
      </c>
      <c r="AO115" s="223" t="e">
        <f aca="false">_xlfn.xlookup(AK115,A:A,AG:AG)</f>
        <v>#NAME?</v>
      </c>
      <c r="AP115" s="223" t="e">
        <f aca="false">_xlfn.xlookup(AK115,A:A,AD:AD)</f>
        <v>#NAME?</v>
      </c>
      <c r="AQ115" s="223" t="e">
        <f aca="false">_xlfn.xlookup(AK115,A:A,AE:AE)</f>
        <v>#NAME?</v>
      </c>
      <c r="AX115" s="288"/>
      <c r="AY115" s="288"/>
      <c r="AZ115" s="288"/>
      <c r="BA115" s="15" t="e">
        <v>#NAME?</v>
      </c>
      <c r="BB115" s="257" t="e">
        <f aca="false">_xlfn.xlookup(BA115,A:A,F:F)</f>
        <v>#NAME?</v>
      </c>
      <c r="BC115" s="15" t="e">
        <f aca="false">_xlfn.xlookup(BA115,A:A,J:J)</f>
        <v>#NAME?</v>
      </c>
      <c r="BD115" s="75" t="e">
        <f aca="false">_xlfn.xlookup(BA115,A:A,M:M)+_xlfn.xlookup(BA115,A:A,N:N)</f>
        <v>#NAME?</v>
      </c>
      <c r="BE115" s="75" t="e">
        <f aca="false">_xlfn.xlookup(BA115,A63:A1051,AA63:AA1051)</f>
        <v>#NAME?</v>
      </c>
    </row>
    <row r="116" customFormat="false" ht="16.4" hidden="false" customHeight="false" outlineLevel="0" collapsed="false">
      <c r="A116" s="241" t="s">
        <v>1120</v>
      </c>
      <c r="B116" s="1" t="s">
        <v>889</v>
      </c>
      <c r="C116" s="292" t="n">
        <f aca="false">'Liste WO'!C108</f>
        <v>45600</v>
      </c>
      <c r="D116" s="241" t="n">
        <f aca="false">'Liste WO'!D108</f>
        <v>245</v>
      </c>
      <c r="E116" s="241" t="str">
        <f aca="false">'Liste WO'!E108</f>
        <v>Étiquettes Luso-Flex</v>
      </c>
      <c r="F116" s="241" t="str">
        <f aca="false">_xlfn.xlookup(E116,Clients!B:B,Clients!C:C)</f>
        <v>Luso-Flex</v>
      </c>
      <c r="G116" s="241" t="str">
        <f aca="false">_xlfn.xlookup(D116,'PO Client'!$A:$A,'PO Client'!$F:$F,FALSE())</f>
        <v>440-2</v>
      </c>
      <c r="H116" s="251" t="n">
        <f aca="false">'Liste WO'!I108</f>
        <v>40136</v>
      </c>
      <c r="I116" s="251" t="n">
        <f aca="false">'Liste WO'!J108</f>
        <v>30026</v>
      </c>
      <c r="J116" s="244" t="str">
        <f aca="false">'Liste WO'!L108</f>
        <v>D11-2</v>
      </c>
      <c r="K116" s="293"/>
      <c r="L116" s="293"/>
      <c r="M116" s="293"/>
      <c r="N116" s="293"/>
      <c r="O116" s="293"/>
      <c r="P116" s="294"/>
      <c r="Q116" s="295"/>
      <c r="R116" s="296"/>
      <c r="S116" s="290"/>
      <c r="T116" s="248" t="n">
        <f aca="false">_xlfn.xlookup(I116,'Prix MP'!A:A,'Prix MP'!U:U, 0)</f>
        <v>0.31697056471568</v>
      </c>
      <c r="U116" s="249" t="n">
        <f aca="false">(M116+N116)*T116</f>
        <v>0</v>
      </c>
      <c r="V116" s="249" t="n">
        <f aca="false">(K116-M116-L116)*T116</f>
        <v>0</v>
      </c>
      <c r="W116" s="250" t="str">
        <f aca="false">IFERROR((K116-M116-L116)/K116,"")</f>
        <v/>
      </c>
      <c r="X116" s="249" t="n">
        <f aca="false">20.6577/85*O116</f>
        <v>0</v>
      </c>
      <c r="Y116" s="249" t="n">
        <f aca="false">19.2*P116</f>
        <v>0</v>
      </c>
      <c r="Z116" s="249" t="n">
        <f aca="false">125000/52/40*Q116</f>
        <v>0</v>
      </c>
      <c r="AA116" s="249" t="n">
        <f aca="false">(M116+N116)*T116+R116+V116+X116+Y116+Z116</f>
        <v>0</v>
      </c>
      <c r="AB116" s="290"/>
      <c r="AC116" s="285" t="str">
        <f aca="false">_xlfn.xlookup(H116,'Prix vente'!A:A,'Prix vente'!Z:Z, "")</f>
        <v>CAD</v>
      </c>
      <c r="AD116" s="249" t="n">
        <f aca="false">IFERROR(IF(AC116="CAD",(M116+N116)*AB116,(M116+N116)*AB116*S116),0)</f>
        <v>0</v>
      </c>
      <c r="AE116" s="249" t="n">
        <f aca="false">AD116-AA116</f>
        <v>0</v>
      </c>
      <c r="AF116" s="273" t="str">
        <f aca="false">IFERROR(1-AA116/AD116,"")</f>
        <v/>
      </c>
      <c r="AG116" s="252" t="n">
        <f aca="false">((M116+N116)*T116+V116)</f>
        <v>0</v>
      </c>
      <c r="AH116" s="273" t="str">
        <f aca="false">IFERROR(AG116/AD116,"")</f>
        <v/>
      </c>
      <c r="AI116" s="273" t="str">
        <f aca="false">IFERROR(IF(AD116=0,"S",""),"S")</f>
        <v>S</v>
      </c>
      <c r="AK116" s="15" t="e">
        <v>#NAME?</v>
      </c>
      <c r="AL116" s="15" t="e">
        <f aca="false">_xlfn.xlookup(AK116,A:A,F:F)</f>
        <v>#NAME?</v>
      </c>
      <c r="AM116" s="15" t="e">
        <f aca="false">_xlfn.xlookup(AK116,A:A,J:J)</f>
        <v>#NAME?</v>
      </c>
      <c r="AN116" s="15" t="e">
        <f aca="false">_xlfn.xlookup(AK116,A:A,M:M)+_xlfn.xlookup(AK116,A:A,N:N)</f>
        <v>#NAME?</v>
      </c>
      <c r="AO116" s="223" t="e">
        <f aca="false">_xlfn.xlookup(AK116,A:A,AG:AG)</f>
        <v>#NAME?</v>
      </c>
      <c r="AP116" s="223" t="e">
        <f aca="false">_xlfn.xlookup(AK116,A:A,AD:AD)</f>
        <v>#NAME?</v>
      </c>
      <c r="AQ116" s="223" t="e">
        <f aca="false">_xlfn.xlookup(AK116,A:A,AE:AE)</f>
        <v>#NAME?</v>
      </c>
      <c r="AX116" s="288"/>
      <c r="AY116" s="288"/>
      <c r="AZ116" s="288"/>
      <c r="BA116" s="15" t="e">
        <v>#NAME?</v>
      </c>
      <c r="BB116" s="257" t="e">
        <f aca="false">_xlfn.xlookup(BA116,A:A,F:F)</f>
        <v>#NAME?</v>
      </c>
      <c r="BC116" s="15" t="e">
        <f aca="false">_xlfn.xlookup(BA116,A:A,J:J)</f>
        <v>#NAME?</v>
      </c>
      <c r="BD116" s="75" t="e">
        <f aca="false">_xlfn.xlookup(BA116,A:A,M:M)+_xlfn.xlookup(BA116,A:A,N:N)</f>
        <v>#NAME?</v>
      </c>
      <c r="BE116" s="75" t="e">
        <f aca="false">_xlfn.xlookup(BA116,A64:A1052,AA64:AA1052)</f>
        <v>#NAME?</v>
      </c>
    </row>
    <row r="117" customFormat="false" ht="16.4" hidden="false" customHeight="false" outlineLevel="0" collapsed="false">
      <c r="A117" s="241" t="s">
        <v>1122</v>
      </c>
      <c r="B117" s="1" t="s">
        <v>889</v>
      </c>
      <c r="C117" s="292" t="n">
        <f aca="false">'Liste WO'!C109</f>
        <v>45601</v>
      </c>
      <c r="D117" s="241" t="n">
        <f aca="false">'Liste WO'!D109</f>
        <v>246</v>
      </c>
      <c r="E117" s="241" t="str">
        <f aca="false">'Liste WO'!E109</f>
        <v>Étiquettes Luso-Flex</v>
      </c>
      <c r="F117" s="241" t="str">
        <f aca="false">_xlfn.xlookup(E117,Clients!B:B,Clients!C:C)</f>
        <v>Luso-Flex</v>
      </c>
      <c r="G117" s="241" t="n">
        <f aca="false">_xlfn.xlookup(D117,'PO Client'!$A:$A,'PO Client'!$F:$F,FALSE())</f>
        <v>1942</v>
      </c>
      <c r="H117" s="251" t="n">
        <f aca="false">'Liste WO'!I109</f>
        <v>40156</v>
      </c>
      <c r="I117" s="251" t="n">
        <f aca="false">'Liste WO'!J109</f>
        <v>30026</v>
      </c>
      <c r="J117" s="244" t="str">
        <f aca="false">'Liste WO'!L109</f>
        <v>D11-2</v>
      </c>
      <c r="K117" s="245" t="n">
        <v>13825.607664</v>
      </c>
      <c r="L117" s="245" t="n">
        <v>6505.488</v>
      </c>
      <c r="M117" s="245" t="n">
        <v>7224</v>
      </c>
      <c r="N117" s="245"/>
      <c r="O117" s="245" t="n">
        <v>60.2</v>
      </c>
      <c r="P117" s="246" t="n">
        <v>2</v>
      </c>
      <c r="Q117" s="219" t="n">
        <v>2</v>
      </c>
      <c r="R117" s="247" t="n">
        <v>0</v>
      </c>
      <c r="S117" s="272"/>
      <c r="T117" s="248" t="n">
        <f aca="false">_xlfn.xlookup(I117,'Prix MP'!A:A,'Prix MP'!U:U, 0)</f>
        <v>0.31697056471568</v>
      </c>
      <c r="U117" s="249" t="n">
        <f aca="false">(M117+N117)*T117</f>
        <v>2289.79535950607</v>
      </c>
      <c r="V117" s="249" t="n">
        <f aca="false">(K117-M117-L117)*T117</f>
        <v>30.4671041783619</v>
      </c>
      <c r="W117" s="250" t="n">
        <f aca="false">IFERROR((K117-M117-L117)/K117,"")</f>
        <v>0.00695229217666028</v>
      </c>
      <c r="X117" s="249" t="n">
        <f aca="false">20.6577/85*O117</f>
        <v>14.6305122352941</v>
      </c>
      <c r="Y117" s="249" t="n">
        <f aca="false">19.2*P117</f>
        <v>38.4</v>
      </c>
      <c r="Z117" s="249" t="n">
        <f aca="false">125000/52/40*Q117</f>
        <v>120.192307692308</v>
      </c>
      <c r="AA117" s="249" t="n">
        <f aca="false">(M117+N117)*T117+R117+V117+X117+Y117+Z117</f>
        <v>2493.48528361203</v>
      </c>
      <c r="AB117" s="285" t="n">
        <f aca="false">_xlfn.xlookup(H117,'Prix vente'!A:A,'Prix vente'!X:X, "")</f>
        <v>0.466</v>
      </c>
      <c r="AC117" s="285" t="str">
        <f aca="false">_xlfn.xlookup(H117,'Prix vente'!A:A,'Prix vente'!Z:Z, "")</f>
        <v>CAD</v>
      </c>
      <c r="AD117" s="249" t="n">
        <f aca="false">IFERROR(IF(AC117="CAD",(M117+N117)*AB117,(M117+N117)*AB117*S117),0)</f>
        <v>3366.384</v>
      </c>
      <c r="AE117" s="249" t="n">
        <f aca="false">AD117-AA117</f>
        <v>872.898716387965</v>
      </c>
      <c r="AF117" s="273" t="n">
        <f aca="false">IFERROR(1-AA117/AD117,"")</f>
        <v>0.259298617266469</v>
      </c>
      <c r="AG117" s="252" t="n">
        <f aca="false">((M117+N117)*T117+V117)</f>
        <v>2320.26246368443</v>
      </c>
      <c r="AH117" s="273" t="n">
        <f aca="false">IFERROR(AG117/AD117,"")</f>
        <v>0.689244739662627</v>
      </c>
      <c r="AI117" s="273" t="str">
        <f aca="false">IFERROR(IF(AD117=0,"S",""),"S")</f>
        <v/>
      </c>
      <c r="AK117" s="15" t="e">
        <v>#NAME?</v>
      </c>
      <c r="AL117" s="15" t="e">
        <f aca="false">_xlfn.xlookup(AK117,A:A,F:F)</f>
        <v>#NAME?</v>
      </c>
      <c r="AM117" s="15" t="e">
        <f aca="false">_xlfn.xlookup(AK117,A:A,J:J)</f>
        <v>#NAME?</v>
      </c>
      <c r="AN117" s="15" t="e">
        <f aca="false">_xlfn.xlookup(AK117,A:A,M:M)+_xlfn.xlookup(AK117,A:A,N:N)</f>
        <v>#NAME?</v>
      </c>
      <c r="AO117" s="223" t="e">
        <f aca="false">_xlfn.xlookup(AK117,A:A,AG:AG)</f>
        <v>#NAME?</v>
      </c>
      <c r="AP117" s="223" t="e">
        <f aca="false">_xlfn.xlookup(AK117,A:A,AD:AD)</f>
        <v>#NAME?</v>
      </c>
      <c r="AQ117" s="223" t="e">
        <f aca="false">_xlfn.xlookup(AK117,A:A,AE:AE)</f>
        <v>#NAME?</v>
      </c>
      <c r="AX117" s="288"/>
      <c r="AY117" s="288"/>
      <c r="AZ117" s="288"/>
      <c r="BA117" s="15" t="e">
        <v>#NAME?</v>
      </c>
      <c r="BB117" s="257" t="e">
        <f aca="false">_xlfn.xlookup(BA117,A:A,F:F)</f>
        <v>#NAME?</v>
      </c>
      <c r="BC117" s="15" t="e">
        <f aca="false">_xlfn.xlookup(BA117,A:A,J:J)</f>
        <v>#NAME?</v>
      </c>
      <c r="BD117" s="75" t="e">
        <f aca="false">_xlfn.xlookup(BA117,A:A,M:M)+_xlfn.xlookup(BA117,A:A,N:N)</f>
        <v>#NAME?</v>
      </c>
      <c r="BE117" s="75" t="e">
        <f aca="false">_xlfn.xlookup(BA117,A65:A1053,AA65:AA1053)</f>
        <v>#NAME?</v>
      </c>
    </row>
    <row r="118" customFormat="false" ht="16.4" hidden="false" customHeight="false" outlineLevel="0" collapsed="false">
      <c r="A118" s="241" t="s">
        <v>1124</v>
      </c>
      <c r="B118" s="1" t="s">
        <v>889</v>
      </c>
      <c r="C118" s="292" t="n">
        <f aca="false">'Liste WO'!C110</f>
        <v>45601</v>
      </c>
      <c r="D118" s="241" t="n">
        <f aca="false">'Liste WO'!D110</f>
        <v>247</v>
      </c>
      <c r="E118" s="241" t="str">
        <f aca="false">'Liste WO'!E110</f>
        <v>Étiquettes Luso-Flex</v>
      </c>
      <c r="F118" s="241" t="str">
        <f aca="false">_xlfn.xlookup(E118,Clients!B:B,Clients!C:C)</f>
        <v>Luso-Flex</v>
      </c>
      <c r="G118" s="241" t="n">
        <f aca="false">_xlfn.xlookup(D118,'PO Client'!$A:$A,'PO Client'!$F:$F,FALSE())</f>
        <v>1944</v>
      </c>
      <c r="H118" s="251" t="n">
        <f aca="false">'Liste WO'!I110</f>
        <v>40157</v>
      </c>
      <c r="I118" s="251" t="n">
        <f aca="false">'Liste WO'!J110</f>
        <v>30026</v>
      </c>
      <c r="J118" s="244" t="str">
        <f aca="false">'Liste WO'!L110</f>
        <v>D11-2</v>
      </c>
      <c r="K118" s="245" t="n">
        <v>6505.488</v>
      </c>
      <c r="L118" s="245" t="n">
        <v>2963.6112</v>
      </c>
      <c r="M118" s="245" t="n">
        <v>3295.575</v>
      </c>
      <c r="N118" s="245"/>
      <c r="O118" s="245" t="n">
        <v>60</v>
      </c>
      <c r="P118" s="246" t="n">
        <v>1</v>
      </c>
      <c r="Q118" s="219" t="n">
        <v>5.5</v>
      </c>
      <c r="R118" s="247" t="n">
        <v>0</v>
      </c>
      <c r="S118" s="272"/>
      <c r="T118" s="248" t="n">
        <f aca="false">_xlfn.xlookup(I118,'Prix MP'!A:A,'Prix MP'!U:U, 0)</f>
        <v>0.31697056471568</v>
      </c>
      <c r="U118" s="249" t="n">
        <f aca="false">(M118+N118)*T118</f>
        <v>1044.60026881288</v>
      </c>
      <c r="V118" s="249" t="n">
        <f aca="false">(K118-M118-L118)*T118</f>
        <v>78.0704206364888</v>
      </c>
      <c r="W118" s="250" t="n">
        <f aca="false">IFERROR((K118-M118-L118)/K118,"")</f>
        <v>0.037860618603862</v>
      </c>
      <c r="X118" s="249" t="n">
        <f aca="false">20.6577/85*O118</f>
        <v>14.5819058823529</v>
      </c>
      <c r="Y118" s="249" t="n">
        <f aca="false">19.2*P118</f>
        <v>19.2</v>
      </c>
      <c r="Z118" s="249" t="n">
        <f aca="false">125000/52/40*Q118</f>
        <v>330.528846153846</v>
      </c>
      <c r="AA118" s="249" t="n">
        <f aca="false">(M118+N118)*T118+R118+V118+X118+Y118+Z118</f>
        <v>1486.98144148556</v>
      </c>
      <c r="AB118" s="285" t="n">
        <f aca="false">_xlfn.xlookup(H118,'Prix vente'!A:A,'Prix vente'!X:X, "")</f>
        <v>0.466</v>
      </c>
      <c r="AC118" s="285" t="str">
        <f aca="false">_xlfn.xlookup(H118,'Prix vente'!A:A,'Prix vente'!Z:Z, "")</f>
        <v>CAD</v>
      </c>
      <c r="AD118" s="249" t="n">
        <f aca="false">IFERROR(IF(AC118="CAD",(M118+N118)*AB118,(M118+N118)*AB118*S118),0)</f>
        <v>1535.73795</v>
      </c>
      <c r="AE118" s="249" t="n">
        <f aca="false">AD118-AA118</f>
        <v>48.7565085144356</v>
      </c>
      <c r="AF118" s="273" t="n">
        <f aca="false">IFERROR(1-AA118/AD118,"")</f>
        <v>0.0317479349354072</v>
      </c>
      <c r="AG118" s="252" t="n">
        <f aca="false">((M118+N118)*T118+V118)</f>
        <v>1122.67068944936</v>
      </c>
      <c r="AH118" s="273" t="n">
        <f aca="false">IFERROR(AG118/AD118,"")</f>
        <v>0.731030114512287</v>
      </c>
      <c r="AI118" s="273" t="str">
        <f aca="false">IFERROR(IF(AD118=0,"S",""),"S")</f>
        <v/>
      </c>
      <c r="AK118" s="15" t="e">
        <v>#NAME?</v>
      </c>
      <c r="AL118" s="15" t="e">
        <f aca="false">_xlfn.xlookup(AK118,A:A,F:F)</f>
        <v>#NAME?</v>
      </c>
      <c r="AM118" s="15" t="e">
        <f aca="false">_xlfn.xlookup(AK118,A:A,J:J)</f>
        <v>#NAME?</v>
      </c>
      <c r="AN118" s="15" t="e">
        <f aca="false">_xlfn.xlookup(AK118,A:A,M:M)+_xlfn.xlookup(AK118,A:A,N:N)</f>
        <v>#NAME?</v>
      </c>
      <c r="AO118" s="223" t="e">
        <f aca="false">_xlfn.xlookup(AK118,A:A,AG:AG)</f>
        <v>#NAME?</v>
      </c>
      <c r="AP118" s="223" t="e">
        <f aca="false">_xlfn.xlookup(AK118,A:A,AD:AD)</f>
        <v>#NAME?</v>
      </c>
      <c r="AQ118" s="223" t="e">
        <f aca="false">_xlfn.xlookup(AK118,A:A,AE:AE)</f>
        <v>#NAME?</v>
      </c>
      <c r="AX118" s="288"/>
      <c r="AY118" s="288"/>
      <c r="AZ118" s="288"/>
      <c r="BA118" s="15" t="e">
        <v>#NAME?</v>
      </c>
      <c r="BB118" s="257" t="e">
        <f aca="false">_xlfn.xlookup(BA118,A:A,F:F)</f>
        <v>#NAME?</v>
      </c>
      <c r="BC118" s="15" t="e">
        <f aca="false">_xlfn.xlookup(BA118,A:A,J:J)</f>
        <v>#NAME?</v>
      </c>
      <c r="BD118" s="75" t="e">
        <f aca="false">_xlfn.xlookup(BA118,A:A,M:M)+_xlfn.xlookup(BA118,A:A,N:N)</f>
        <v>#NAME?</v>
      </c>
      <c r="BE118" s="75" t="e">
        <f aca="false">_xlfn.xlookup(BA118,A66:A1054,AA66:AA1054)</f>
        <v>#NAME?</v>
      </c>
    </row>
    <row r="119" customFormat="false" ht="16.4" hidden="false" customHeight="false" outlineLevel="0" collapsed="false">
      <c r="A119" s="241" t="s">
        <v>1126</v>
      </c>
      <c r="B119" s="1" t="s">
        <v>889</v>
      </c>
      <c r="C119" s="292" t="n">
        <f aca="false">'Liste WO'!C111</f>
        <v>45618</v>
      </c>
      <c r="D119" s="241" t="n">
        <f aca="false">'Liste WO'!D111</f>
        <v>248</v>
      </c>
      <c r="E119" s="241" t="str">
        <f aca="false">'Liste WO'!E111</f>
        <v>Imprimerie Bas St-Laurent</v>
      </c>
      <c r="F119" s="241" t="str">
        <f aca="false">_xlfn.xlookup(E119,Clients!B:B,Clients!C:C)</f>
        <v>Bas St-Laurent</v>
      </c>
      <c r="G119" s="241" t="str">
        <f aca="false">_xlfn.xlookup(D119,'PO Client'!$A:$A,'PO Client'!$F:$F,FALSE())</f>
        <v>Échantillon D11</v>
      </c>
      <c r="H119" s="251" t="n">
        <f aca="false">'Liste WO'!I111</f>
        <v>40160</v>
      </c>
      <c r="I119" s="251" t="n">
        <f aca="false">'Liste WO'!J111</f>
        <v>30026</v>
      </c>
      <c r="J119" s="244" t="str">
        <f aca="false">'Liste WO'!L111</f>
        <v>D11-2</v>
      </c>
      <c r="K119" s="245" t="n">
        <v>929.28</v>
      </c>
      <c r="L119" s="245" t="n">
        <v>654.72</v>
      </c>
      <c r="M119" s="245" t="n">
        <v>213.84</v>
      </c>
      <c r="N119" s="245"/>
      <c r="O119" s="245" t="n">
        <v>7.128</v>
      </c>
      <c r="P119" s="246" t="n">
        <v>0</v>
      </c>
      <c r="Q119" s="219" t="n">
        <v>1</v>
      </c>
      <c r="R119" s="247" t="n">
        <v>0</v>
      </c>
      <c r="S119" s="272"/>
      <c r="T119" s="248" t="n">
        <f aca="false">_xlfn.xlookup(I119,'Prix MP'!A:A,'Prix MP'!U:U, 0)</f>
        <v>0.31697056471568</v>
      </c>
      <c r="U119" s="249" t="n">
        <f aca="false">(M119+N119)*T119</f>
        <v>67.780985558801</v>
      </c>
      <c r="V119" s="249" t="n">
        <f aca="false">(K119-M119-L119)*T119</f>
        <v>19.2464526895361</v>
      </c>
      <c r="W119" s="250" t="n">
        <f aca="false">IFERROR((K119-M119-L119)/K119,"")</f>
        <v>0.0653409090909091</v>
      </c>
      <c r="X119" s="249" t="n">
        <f aca="false">20.6577/85*O119</f>
        <v>1.73233041882353</v>
      </c>
      <c r="Y119" s="249" t="n">
        <f aca="false">19.2*P119</f>
        <v>0</v>
      </c>
      <c r="Z119" s="249" t="n">
        <f aca="false">125000/52/40*Q119</f>
        <v>60.0961538461539</v>
      </c>
      <c r="AA119" s="249" t="n">
        <f aca="false">(M119+N119)*T119+R119+V119+X119+Y119+Z119</f>
        <v>148.855922513314</v>
      </c>
      <c r="AB119" s="285" t="n">
        <f aca="false">_xlfn.xlookup(H119,'Prix vente'!A:A,'Prix vente'!X:X, "")</f>
        <v>0</v>
      </c>
      <c r="AC119" s="285" t="str">
        <f aca="false">_xlfn.xlookup(H119,'Prix vente'!A:A,'Prix vente'!Z:Z, "")</f>
        <v>CAD</v>
      </c>
      <c r="AD119" s="249" t="n">
        <f aca="false">IFERROR(IF(AC119="CAD",(M119+N119)*AB119,(M119+N119)*AB119*S119),0)</f>
        <v>0</v>
      </c>
      <c r="AE119" s="249" t="n">
        <f aca="false">AD119-AA119</f>
        <v>-148.855922513314</v>
      </c>
      <c r="AF119" s="273" t="str">
        <f aca="false">IFERROR(1-AA119/AD119,"")</f>
        <v/>
      </c>
      <c r="AG119" s="252" t="n">
        <f aca="false">((M119+N119)*T119+V119)</f>
        <v>87.0274382483371</v>
      </c>
      <c r="AH119" s="273" t="str">
        <f aca="false">IFERROR(AG119/AD119,"")</f>
        <v/>
      </c>
      <c r="AI119" s="273" t="str">
        <f aca="false">IFERROR(IF(AD119=0,"S",""),"S")</f>
        <v>S</v>
      </c>
      <c r="AK119" s="15" t="e">
        <v>#NAME?</v>
      </c>
      <c r="AL119" s="15" t="e">
        <f aca="false">_xlfn.xlookup(AK119,A:A,F:F)</f>
        <v>#NAME?</v>
      </c>
      <c r="AM119" s="15" t="e">
        <f aca="false">_xlfn.xlookup(AK119,A:A,J:J)</f>
        <v>#NAME?</v>
      </c>
      <c r="AN119" s="15" t="e">
        <f aca="false">_xlfn.xlookup(AK119,A:A,M:M)+_xlfn.xlookup(AK119,A:A,N:N)</f>
        <v>#NAME?</v>
      </c>
      <c r="AO119" s="223" t="e">
        <f aca="false">_xlfn.xlookup(AK119,A:A,AG:AG)</f>
        <v>#NAME?</v>
      </c>
      <c r="AP119" s="223" t="e">
        <f aca="false">_xlfn.xlookup(AK119,A:A,AD:AD)</f>
        <v>#NAME?</v>
      </c>
      <c r="AQ119" s="223" t="e">
        <f aca="false">_xlfn.xlookup(AK119,A:A,AE:AE)</f>
        <v>#NAME?</v>
      </c>
      <c r="AX119" s="288"/>
      <c r="AY119" s="288"/>
      <c r="AZ119" s="288"/>
      <c r="BA119" s="15" t="e">
        <v>#NAME?</v>
      </c>
      <c r="BB119" s="257" t="e">
        <f aca="false">_xlfn.xlookup(BA119,A:A,F:F)</f>
        <v>#NAME?</v>
      </c>
      <c r="BC119" s="15" t="e">
        <f aca="false">_xlfn.xlookup(BA119,A:A,J:J)</f>
        <v>#NAME?</v>
      </c>
      <c r="BD119" s="75" t="e">
        <f aca="false">_xlfn.xlookup(BA119,A:A,M:M)+_xlfn.xlookup(BA119,A:A,N:N)</f>
        <v>#NAME?</v>
      </c>
      <c r="BE119" s="75" t="e">
        <f aca="false">_xlfn.xlookup(BA119,A67:A1055,AA67:AA1055)</f>
        <v>#NAME?</v>
      </c>
    </row>
    <row r="120" customFormat="false" ht="16.4" hidden="false" customHeight="false" outlineLevel="0" collapsed="false">
      <c r="A120" s="241" t="s">
        <v>1129</v>
      </c>
      <c r="B120" s="1" t="s">
        <v>889</v>
      </c>
      <c r="C120" s="292" t="n">
        <f aca="false">'Liste WO'!C112</f>
        <v>45601</v>
      </c>
      <c r="D120" s="241" t="n">
        <f aca="false">'Liste WO'!D112</f>
        <v>245</v>
      </c>
      <c r="E120" s="241" t="str">
        <f aca="false">'Liste WO'!E112</f>
        <v>Étiquettes Luso-Flex</v>
      </c>
      <c r="F120" s="241" t="str">
        <f aca="false">_xlfn.xlookup(E120,Clients!B:B,Clients!C:C)</f>
        <v>Luso-Flex</v>
      </c>
      <c r="G120" s="241" t="str">
        <f aca="false">_xlfn.xlookup(D120,'PO Client'!$A:$A,'PO Client'!$F:$F,FALSE())</f>
        <v>440-2</v>
      </c>
      <c r="H120" s="251" t="n">
        <f aca="false">'Liste WO'!I112</f>
        <v>0</v>
      </c>
      <c r="I120" s="251" t="n">
        <f aca="false">'Liste WO'!J112</f>
        <v>0</v>
      </c>
      <c r="J120" s="244" t="s">
        <v>1435</v>
      </c>
      <c r="K120" s="293"/>
      <c r="L120" s="293"/>
      <c r="M120" s="293"/>
      <c r="N120" s="293"/>
      <c r="O120" s="293"/>
      <c r="P120" s="294"/>
      <c r="Q120" s="295"/>
      <c r="R120" s="296"/>
      <c r="S120" s="290"/>
      <c r="T120" s="248" t="n">
        <f aca="false">_xlfn.xlookup(I120,'Prix MP'!A:A,'Prix MP'!U:U, 0)</f>
        <v>0</v>
      </c>
      <c r="U120" s="249" t="n">
        <f aca="false">(M120+N120)*T120</f>
        <v>0</v>
      </c>
      <c r="V120" s="249" t="n">
        <f aca="false">(K120-M120-L120)*T120</f>
        <v>0</v>
      </c>
      <c r="W120" s="250" t="str">
        <f aca="false">IFERROR((K120-M120-L120)/K120,"")</f>
        <v/>
      </c>
      <c r="X120" s="249" t="n">
        <f aca="false">20.6577/85*O120</f>
        <v>0</v>
      </c>
      <c r="Y120" s="249" t="n">
        <f aca="false">19.2*P120</f>
        <v>0</v>
      </c>
      <c r="Z120" s="249" t="n">
        <f aca="false">125000/52/40*Q120</f>
        <v>0</v>
      </c>
      <c r="AA120" s="249" t="n">
        <f aca="false">(M120+N120)*T120+R120+V120+X120+Y120+Z120</f>
        <v>0</v>
      </c>
      <c r="AB120" s="285" t="e">
        <f aca="false">_xlfn.xlookup(H120,'Prix vente'!A:A,'Prix vente'!X:X, "")</f>
        <v>#NAME?</v>
      </c>
      <c r="AC120" s="285" t="e">
        <f aca="false">_xlfn.xlookup(H120,'Prix vente'!A:A,'Prix vente'!Z:Z, "")</f>
        <v>#NAME?</v>
      </c>
      <c r="AD120" s="249" t="n">
        <f aca="false">IFERROR(IF(AC120="CAD",(M120+N120)*AB120,(M120+N120)*AB120*S120),0)</f>
        <v>0</v>
      </c>
      <c r="AE120" s="249" t="n">
        <f aca="false">AD120-AA120</f>
        <v>0</v>
      </c>
      <c r="AF120" s="273" t="str">
        <f aca="false">IFERROR(1-AA120/AD120,"")</f>
        <v/>
      </c>
      <c r="AG120" s="252" t="n">
        <f aca="false">((M120+N120)*T120+V120)</f>
        <v>0</v>
      </c>
      <c r="AH120" s="273" t="str">
        <f aca="false">IFERROR(AG120/AD120,"")</f>
        <v/>
      </c>
      <c r="AI120" s="273" t="str">
        <f aca="false">IFERROR(IF(AD120=0,"S",""),"S")</f>
        <v>S</v>
      </c>
      <c r="AK120" s="15" t="e">
        <v>#NAME?</v>
      </c>
      <c r="AL120" s="15" t="e">
        <f aca="false">_xlfn.xlookup(AK120,A:A,F:F)</f>
        <v>#NAME?</v>
      </c>
      <c r="AM120" s="15" t="e">
        <f aca="false">_xlfn.xlookup(AK120,A:A,J:J)</f>
        <v>#NAME?</v>
      </c>
      <c r="AN120" s="15" t="e">
        <f aca="false">_xlfn.xlookup(AK120,A:A,M:M)+_xlfn.xlookup(AK120,A:A,N:N)</f>
        <v>#NAME?</v>
      </c>
      <c r="AO120" s="223" t="e">
        <f aca="false">_xlfn.xlookup(AK120,A:A,AG:AG)</f>
        <v>#NAME?</v>
      </c>
      <c r="AP120" s="223" t="e">
        <f aca="false">_xlfn.xlookup(AK120,A:A,AD:AD)</f>
        <v>#NAME?</v>
      </c>
      <c r="AQ120" s="223" t="e">
        <f aca="false">_xlfn.xlookup(AK120,A:A,AE:AE)</f>
        <v>#NAME?</v>
      </c>
      <c r="AX120" s="288"/>
      <c r="AY120" s="288"/>
      <c r="AZ120" s="288"/>
      <c r="BA120" s="15" t="e">
        <v>#NAME?</v>
      </c>
      <c r="BB120" s="257" t="e">
        <f aca="false">_xlfn.xlookup(BA120,A:A,F:F)</f>
        <v>#NAME?</v>
      </c>
      <c r="BC120" s="15" t="e">
        <f aca="false">_xlfn.xlookup(BA120,A:A,J:J)</f>
        <v>#NAME?</v>
      </c>
      <c r="BD120" s="75" t="e">
        <f aca="false">_xlfn.xlookup(BA120,A:A,M:M)+_xlfn.xlookup(BA120,A:A,N:N)</f>
        <v>#NAME?</v>
      </c>
      <c r="BE120" s="75" t="e">
        <f aca="false">_xlfn.xlookup(BA120,A68:A1056,AA68:AA1056)</f>
        <v>#NAME?</v>
      </c>
    </row>
    <row r="121" customFormat="false" ht="16.4" hidden="false" customHeight="false" outlineLevel="0" collapsed="false">
      <c r="A121" s="241" t="s">
        <v>1133</v>
      </c>
      <c r="B121" s="1" t="s">
        <v>889</v>
      </c>
      <c r="C121" s="292" t="n">
        <f aca="false">'Liste WO'!C113</f>
        <v>45607</v>
      </c>
      <c r="D121" s="241" t="n">
        <f aca="false">'Liste WO'!D113</f>
        <v>0</v>
      </c>
      <c r="E121" s="241" t="s">
        <v>293</v>
      </c>
      <c r="F121" s="241" t="str">
        <f aca="false">_xlfn.xlookup(E121,Clients!B:B,Clients!C:C)</f>
        <v>Alpha</v>
      </c>
      <c r="G121" s="241" t="s">
        <v>1442</v>
      </c>
      <c r="H121" s="251" t="n">
        <f aca="false">'Liste WO'!I113</f>
        <v>40166</v>
      </c>
      <c r="I121" s="251" t="n">
        <f aca="false">'Liste WO'!J113</f>
        <v>30026</v>
      </c>
      <c r="J121" s="244" t="str">
        <f aca="false">'Liste WO'!L113</f>
        <v>D11-2</v>
      </c>
      <c r="K121" s="245" t="n">
        <v>13754.770128</v>
      </c>
      <c r="L121" s="245" t="n">
        <v>7797.8208</v>
      </c>
      <c r="M121" s="245" t="n">
        <v>5865.3</v>
      </c>
      <c r="N121" s="245"/>
      <c r="O121" s="245" t="n">
        <v>51.45</v>
      </c>
      <c r="P121" s="246" t="n">
        <v>1</v>
      </c>
      <c r="Q121" s="219" t="n">
        <v>0.75</v>
      </c>
      <c r="R121" s="247" t="n">
        <v>0</v>
      </c>
      <c r="S121" s="272"/>
      <c r="T121" s="248" t="n">
        <f aca="false">_xlfn.xlookup(I121,'Prix MP'!A:A,'Prix MP'!U:U, 0)</f>
        <v>0.31697056471568</v>
      </c>
      <c r="U121" s="249" t="n">
        <f aca="false">(M121+N121)*T121</f>
        <v>1859.12745322688</v>
      </c>
      <c r="V121" s="249" t="n">
        <f aca="false">(K121-M121-L121)*T121</f>
        <v>29.050139251973</v>
      </c>
      <c r="W121" s="250" t="n">
        <f aca="false">IFERROR((K121-M121-L121)/K121,"")</f>
        <v>0.00666309412277525</v>
      </c>
      <c r="X121" s="249" t="n">
        <f aca="false">20.6577/85*O121</f>
        <v>12.5039842941176</v>
      </c>
      <c r="Y121" s="249" t="n">
        <f aca="false">19.2*P121</f>
        <v>19.2</v>
      </c>
      <c r="Z121" s="249" t="n">
        <f aca="false">125000/52/40*Q121</f>
        <v>45.0721153846154</v>
      </c>
      <c r="AA121" s="249" t="n">
        <f aca="false">(M121+N121)*T121+R121+V121+X121+Y121+Z121</f>
        <v>1964.95369215758</v>
      </c>
      <c r="AB121" s="285" t="n">
        <f aca="false">_xlfn.xlookup(H121,'Prix vente'!A:A,'Prix vente'!X:X, "")</f>
        <v>0</v>
      </c>
      <c r="AC121" s="285" t="str">
        <f aca="false">_xlfn.xlookup(H121,'Prix vente'!A:A,'Prix vente'!Z:Z, "")</f>
        <v>CAD</v>
      </c>
      <c r="AD121" s="249" t="n">
        <f aca="false">IFERROR(IF(AC121="CAD",(M121+N121)*AB121,(M121+N121)*AB121*S121),0)</f>
        <v>0</v>
      </c>
      <c r="AE121" s="249" t="n">
        <f aca="false">AD121-AA121</f>
        <v>-1964.95369215758</v>
      </c>
      <c r="AF121" s="273" t="str">
        <f aca="false">IFERROR(1-AA121/AD121,"")</f>
        <v/>
      </c>
      <c r="AG121" s="252" t="n">
        <f aca="false">((M121+N121)*T121+V121)</f>
        <v>1888.17759247885</v>
      </c>
      <c r="AH121" s="273" t="str">
        <f aca="false">IFERROR(AG121/AD121,"")</f>
        <v/>
      </c>
      <c r="AI121" s="273" t="str">
        <f aca="false">IFERROR(IF(AD121=0,"S",""),"S")</f>
        <v>S</v>
      </c>
      <c r="AK121" s="15" t="e">
        <v>#NAME?</v>
      </c>
      <c r="AL121" s="15" t="e">
        <f aca="false">_xlfn.xlookup(AK121,A:A,F:F)</f>
        <v>#NAME?</v>
      </c>
      <c r="AM121" s="15" t="e">
        <f aca="false">_xlfn.xlookup(AK121,A:A,J:J)</f>
        <v>#NAME?</v>
      </c>
      <c r="AN121" s="15" t="e">
        <f aca="false">_xlfn.xlookup(AK121,A:A,M:M)+_xlfn.xlookup(AK121,A:A,N:N)</f>
        <v>#NAME?</v>
      </c>
      <c r="AO121" s="223" t="e">
        <f aca="false">_xlfn.xlookup(AK121,A:A,AG:AG)</f>
        <v>#NAME?</v>
      </c>
      <c r="AP121" s="223" t="e">
        <f aca="false">_xlfn.xlookup(AK121,A:A,AD:AD)</f>
        <v>#NAME?</v>
      </c>
      <c r="AQ121" s="223" t="e">
        <f aca="false">_xlfn.xlookup(AK121,A:A,AE:AE)</f>
        <v>#NAME?</v>
      </c>
      <c r="AX121" s="288"/>
      <c r="AY121" s="288"/>
      <c r="AZ121" s="288"/>
      <c r="BA121" s="15" t="e">
        <v>#NAME?</v>
      </c>
      <c r="BB121" s="257" t="e">
        <f aca="false">_xlfn.xlookup(BA121,A:A,F:F)</f>
        <v>#NAME?</v>
      </c>
      <c r="BC121" s="15" t="e">
        <f aca="false">_xlfn.xlookup(BA121,A:A,J:J)</f>
        <v>#NAME?</v>
      </c>
      <c r="BD121" s="75" t="e">
        <f aca="false">_xlfn.xlookup(BA121,A:A,M:M)+_xlfn.xlookup(BA121,A:A,N:N)</f>
        <v>#NAME?</v>
      </c>
      <c r="BE121" s="75" t="e">
        <f aca="false">_xlfn.xlookup(BA121,A69:A1057,AA69:AA1057)</f>
        <v>#NAME?</v>
      </c>
    </row>
    <row r="122" customFormat="false" ht="16.4" hidden="false" customHeight="false" outlineLevel="0" collapsed="false">
      <c r="A122" s="241" t="s">
        <v>1137</v>
      </c>
      <c r="B122" s="1" t="s">
        <v>889</v>
      </c>
      <c r="C122" s="292" t="n">
        <f aca="false">'Liste WO'!C114</f>
        <v>45608</v>
      </c>
      <c r="D122" s="241" t="n">
        <f aca="false">'Liste WO'!D114</f>
        <v>0</v>
      </c>
      <c r="E122" s="241" t="s">
        <v>293</v>
      </c>
      <c r="F122" s="241" t="str">
        <f aca="false">_xlfn.xlookup(E122,Clients!B:B,Clients!C:C)</f>
        <v>Alpha</v>
      </c>
      <c r="G122" s="241" t="s">
        <v>1442</v>
      </c>
      <c r="H122" s="251" t="n">
        <f aca="false">'Liste WO'!I114</f>
        <v>40167</v>
      </c>
      <c r="I122" s="251" t="n">
        <f aca="false">'Liste WO'!J114</f>
        <v>30012</v>
      </c>
      <c r="J122" s="244" t="str">
        <f aca="false">'Liste WO'!L114</f>
        <v>D21-1</v>
      </c>
      <c r="K122" s="245" t="n">
        <v>14013.75</v>
      </c>
      <c r="L122" s="245" t="n">
        <v>1983.744</v>
      </c>
      <c r="M122" s="245" t="n">
        <v>11715.435</v>
      </c>
      <c r="N122" s="245"/>
      <c r="O122" s="245" t="n">
        <v>154.275</v>
      </c>
      <c r="P122" s="246" t="n">
        <v>1</v>
      </c>
      <c r="Q122" s="219" t="n">
        <v>3</v>
      </c>
      <c r="R122" s="247" t="n">
        <v>0</v>
      </c>
      <c r="S122" s="272"/>
      <c r="T122" s="248" t="n">
        <f aca="false">_xlfn.xlookup(I122,'Prix MP'!A:A,'Prix MP'!U:U, 0)</f>
        <v>0.327974576595346</v>
      </c>
      <c r="U122" s="249" t="n">
        <f aca="false">(M122+N122)*T122</f>
        <v>3842.3648337553</v>
      </c>
      <c r="V122" s="249" t="n">
        <f aca="false">(K122-M122-L122)*T122</f>
        <v>103.171290534174</v>
      </c>
      <c r="W122" s="250" t="n">
        <f aca="false">IFERROR((K122-M122-L122)/K122,"")</f>
        <v>0.0224473106770135</v>
      </c>
      <c r="X122" s="249" t="n">
        <f aca="false">20.6577/85*O122</f>
        <v>37.4937255</v>
      </c>
      <c r="Y122" s="249" t="n">
        <f aca="false">19.2*P122</f>
        <v>19.2</v>
      </c>
      <c r="Z122" s="249" t="n">
        <f aca="false">125000/52/40*Q122</f>
        <v>180.288461538462</v>
      </c>
      <c r="AA122" s="249" t="n">
        <f aca="false">(M122+N122)*T122+R122+V122+X122+Y122+Z122</f>
        <v>4182.51831132794</v>
      </c>
      <c r="AB122" s="285" t="n">
        <f aca="false">_xlfn.xlookup(H122,'Prix vente'!A:A,'Prix vente'!X:X, "")</f>
        <v>0</v>
      </c>
      <c r="AC122" s="285" t="str">
        <f aca="false">_xlfn.xlookup(H122,'Prix vente'!A:A,'Prix vente'!Z:Z, "")</f>
        <v>CAD</v>
      </c>
      <c r="AD122" s="249" t="n">
        <f aca="false">IFERROR(IF(AC122="CAD",(M122+N122)*AB122,(M122+N122)*AB122*S122),0)</f>
        <v>0</v>
      </c>
      <c r="AE122" s="249" t="n">
        <f aca="false">AD122-AA122</f>
        <v>-4182.51831132794</v>
      </c>
      <c r="AF122" s="273" t="str">
        <f aca="false">IFERROR(1-AA122/AD122,"")</f>
        <v/>
      </c>
      <c r="AG122" s="252" t="n">
        <f aca="false">((M122+N122)*T122+V122)</f>
        <v>3945.53612428947</v>
      </c>
      <c r="AH122" s="273" t="str">
        <f aca="false">IFERROR(AG122/AD122,"")</f>
        <v/>
      </c>
      <c r="AI122" s="273" t="str">
        <f aca="false">IFERROR(IF(AD122=0,"S",""),"S")</f>
        <v>S</v>
      </c>
      <c r="AK122" s="15" t="e">
        <v>#NAME?</v>
      </c>
      <c r="AL122" s="15" t="e">
        <f aca="false">_xlfn.xlookup(AK122,A:A,F:F)</f>
        <v>#NAME?</v>
      </c>
      <c r="AM122" s="15" t="e">
        <f aca="false">_xlfn.xlookup(AK122,A:A,J:J)</f>
        <v>#NAME?</v>
      </c>
      <c r="AN122" s="15" t="e">
        <f aca="false">_xlfn.xlookup(AK122,A:A,M:M)+_xlfn.xlookup(AK122,A:A,N:N)</f>
        <v>#NAME?</v>
      </c>
      <c r="AO122" s="223" t="e">
        <f aca="false">_xlfn.xlookup(AK122,A:A,AG:AG)</f>
        <v>#NAME?</v>
      </c>
      <c r="AP122" s="223" t="e">
        <f aca="false">_xlfn.xlookup(AK122,A:A,AD:AD)</f>
        <v>#NAME?</v>
      </c>
      <c r="AQ122" s="223" t="e">
        <f aca="false">_xlfn.xlookup(AK122,A:A,AE:AE)</f>
        <v>#NAME?</v>
      </c>
      <c r="AX122" s="288"/>
      <c r="AY122" s="288"/>
      <c r="AZ122" s="288"/>
      <c r="BA122" s="15" t="e">
        <v>#NAME?</v>
      </c>
      <c r="BB122" s="257" t="e">
        <f aca="false">_xlfn.xlookup(BA122,A:A,F:F)</f>
        <v>#NAME?</v>
      </c>
      <c r="BC122" s="15" t="e">
        <f aca="false">_xlfn.xlookup(BA122,A:A,J:J)</f>
        <v>#NAME?</v>
      </c>
      <c r="BD122" s="75" t="e">
        <f aca="false">_xlfn.xlookup(BA122,A:A,M:M)+_xlfn.xlookup(BA122,A:A,N:N)</f>
        <v>#NAME?</v>
      </c>
      <c r="BE122" s="75" t="e">
        <f aca="false">_xlfn.xlookup(BA122,A70:A1058,AA70:AA1058)</f>
        <v>#NAME?</v>
      </c>
    </row>
    <row r="123" customFormat="false" ht="16.4" hidden="false" customHeight="false" outlineLevel="0" collapsed="false">
      <c r="A123" s="241" t="s">
        <v>1140</v>
      </c>
      <c r="B123" s="1" t="s">
        <v>889</v>
      </c>
      <c r="C123" s="292" t="n">
        <f aca="false">'Liste WO'!C115</f>
        <v>45608</v>
      </c>
      <c r="D123" s="241" t="n">
        <f aca="false">'Liste WO'!D115</f>
        <v>252</v>
      </c>
      <c r="E123" s="241" t="str">
        <f aca="false">'Liste WO'!E115</f>
        <v>Étiquettes Multi-Flex</v>
      </c>
      <c r="F123" s="241" t="str">
        <f aca="false">_xlfn.xlookup(E123,Clients!B:B,Clients!C:C)</f>
        <v>Multi-Flex</v>
      </c>
      <c r="G123" s="241" t="str">
        <f aca="false">_xlfn.xlookup(D123,'PO Client'!$A:$A,'PO Client'!$F:$F,FALSE())</f>
        <v>Échantillon D11</v>
      </c>
      <c r="H123" s="251" t="n">
        <f aca="false">'Liste WO'!I115</f>
        <v>40168</v>
      </c>
      <c r="I123" s="251" t="n">
        <f aca="false">'Liste WO'!J115</f>
        <v>30025</v>
      </c>
      <c r="J123" s="244" t="str">
        <f aca="false">'Liste WO'!L115</f>
        <v>D11-1</v>
      </c>
      <c r="K123" s="245" t="n">
        <v>382.5</v>
      </c>
      <c r="L123" s="245" t="n">
        <v>0</v>
      </c>
      <c r="M123" s="245" t="n">
        <v>293.88</v>
      </c>
      <c r="N123" s="245"/>
      <c r="O123" s="245" t="n">
        <v>9.875</v>
      </c>
      <c r="P123" s="246" t="n">
        <v>0</v>
      </c>
      <c r="Q123" s="219" t="n">
        <v>0.75</v>
      </c>
      <c r="R123" s="247" t="n">
        <v>0</v>
      </c>
      <c r="S123" s="272"/>
      <c r="T123" s="248" t="n">
        <f aca="false">_xlfn.xlookup(I123,'Prix MP'!A:A,'Prix MP'!U:U, 0)</f>
        <v>0.369342532440358</v>
      </c>
      <c r="U123" s="249" t="n">
        <f aca="false">(M123+N123)*T123</f>
        <v>108.542383433572</v>
      </c>
      <c r="V123" s="249" t="n">
        <f aca="false">(K123-M123-L123)*T123</f>
        <v>32.7311352248646</v>
      </c>
      <c r="W123" s="250" t="n">
        <f aca="false">IFERROR((K123-M123-L123)/K123,"")</f>
        <v>0.231686274509804</v>
      </c>
      <c r="X123" s="249" t="n">
        <f aca="false">20.6577/85*O123</f>
        <v>2.39993867647059</v>
      </c>
      <c r="Y123" s="249" t="n">
        <f aca="false">19.2*P123</f>
        <v>0</v>
      </c>
      <c r="Z123" s="249" t="n">
        <f aca="false">125000/52/40*Q123</f>
        <v>45.0721153846154</v>
      </c>
      <c r="AA123" s="249" t="n">
        <f aca="false">(M123+N123)*T123+R123+V123+X123+Y123+Z123</f>
        <v>188.745572719523</v>
      </c>
      <c r="AB123" s="285" t="n">
        <f aca="false">_xlfn.xlookup(H123,'Prix vente'!A:A,'Prix vente'!X:X, "")</f>
        <v>0</v>
      </c>
      <c r="AC123" s="285" t="str">
        <f aca="false">_xlfn.xlookup(H123,'Prix vente'!A:A,'Prix vente'!Z:Z, "")</f>
        <v>CAD</v>
      </c>
      <c r="AD123" s="249" t="n">
        <f aca="false">IFERROR(IF(AC123="CAD",(M123+N123)*AB123,(M123+N123)*AB123*S123),0)</f>
        <v>0</v>
      </c>
      <c r="AE123" s="249" t="n">
        <f aca="false">AD123-AA123</f>
        <v>-188.745572719523</v>
      </c>
      <c r="AF123" s="273" t="str">
        <f aca="false">IFERROR(1-AA123/AD123,"")</f>
        <v/>
      </c>
      <c r="AG123" s="252" t="n">
        <f aca="false">((M123+N123)*T123+V123)</f>
        <v>141.273518658437</v>
      </c>
      <c r="AH123" s="273" t="str">
        <f aca="false">IFERROR(AG123/AD123,"")</f>
        <v/>
      </c>
      <c r="AI123" s="273" t="str">
        <f aca="false">IFERROR(IF(AD123=0,"S",""),"S")</f>
        <v>S</v>
      </c>
      <c r="AK123" s="15" t="e">
        <v>#NAME?</v>
      </c>
      <c r="AL123" s="15" t="e">
        <f aca="false">_xlfn.xlookup(AK123,A:A,F:F)</f>
        <v>#NAME?</v>
      </c>
      <c r="AM123" s="15" t="e">
        <f aca="false">_xlfn.xlookup(AK123,A:A,J:J)</f>
        <v>#NAME?</v>
      </c>
      <c r="AN123" s="15" t="e">
        <f aca="false">_xlfn.xlookup(AK123,A:A,M:M)+_xlfn.xlookup(AK123,A:A,N:N)</f>
        <v>#NAME?</v>
      </c>
      <c r="AO123" s="223" t="e">
        <f aca="false">_xlfn.xlookup(AK123,A:A,AG:AG)</f>
        <v>#NAME?</v>
      </c>
      <c r="AP123" s="223" t="e">
        <f aca="false">_xlfn.xlookup(AK123,A:A,AD:AD)</f>
        <v>#NAME?</v>
      </c>
      <c r="AQ123" s="223" t="e">
        <f aca="false">_xlfn.xlookup(AK123,A:A,AE:AE)</f>
        <v>#NAME?</v>
      </c>
      <c r="AX123" s="288"/>
      <c r="AY123" s="288"/>
      <c r="AZ123" s="288"/>
      <c r="BA123" s="15" t="e">
        <v>#NAME?</v>
      </c>
      <c r="BB123" s="257" t="e">
        <f aca="false">_xlfn.xlookup(BA123,A:A,F:F)</f>
        <v>#NAME?</v>
      </c>
      <c r="BC123" s="15" t="e">
        <f aca="false">_xlfn.xlookup(BA123,A:A,J:J)</f>
        <v>#NAME?</v>
      </c>
      <c r="BD123" s="75" t="e">
        <f aca="false">_xlfn.xlookup(BA123,A:A,M:M)+_xlfn.xlookup(BA123,A:A,N:N)</f>
        <v>#NAME?</v>
      </c>
      <c r="BE123" s="75" t="e">
        <f aca="false">_xlfn.xlookup(BA123,A71:A1059,AA71:AA1059)</f>
        <v>#NAME?</v>
      </c>
    </row>
    <row r="124" customFormat="false" ht="16.4" hidden="false" customHeight="false" outlineLevel="0" collapsed="false">
      <c r="A124" s="241" t="s">
        <v>1143</v>
      </c>
      <c r="B124" s="1" t="s">
        <v>889</v>
      </c>
      <c r="C124" s="292" t="n">
        <f aca="false">'Liste WO'!C116</f>
        <v>45608</v>
      </c>
      <c r="D124" s="241" t="n">
        <f aca="false">'Liste WO'!D116</f>
        <v>251</v>
      </c>
      <c r="E124" s="241" t="str">
        <f aca="false">'Liste WO'!E116</f>
        <v>Digi America Inc.</v>
      </c>
      <c r="F124" s="241" t="str">
        <f aca="false">_xlfn.xlookup(E124,Clients!B:B,Clients!C:C)</f>
        <v>Digi</v>
      </c>
      <c r="G124" s="241" t="n">
        <f aca="false">_xlfn.xlookup(D124,'PO Client'!$A:$A,'PO Client'!$F:$F,FALSE())</f>
        <v>50008821</v>
      </c>
      <c r="H124" s="251" t="n">
        <f aca="false">'Liste WO'!I116</f>
        <v>40103</v>
      </c>
      <c r="I124" s="251" t="n">
        <f aca="false">'Liste WO'!J116</f>
        <v>30019</v>
      </c>
      <c r="J124" s="244" t="str">
        <f aca="false">'Liste WO'!L116</f>
        <v>D16-1</v>
      </c>
      <c r="K124" s="245" t="n">
        <v>24804.992772</v>
      </c>
      <c r="L124" s="245" t="n">
        <v>0</v>
      </c>
      <c r="M124" s="245" t="n">
        <v>24383.1</v>
      </c>
      <c r="N124" s="245"/>
      <c r="O124" s="245" t="n">
        <v>416.5</v>
      </c>
      <c r="P124" s="246" t="n">
        <v>3</v>
      </c>
      <c r="Q124" s="219" t="n">
        <v>6</v>
      </c>
      <c r="R124" s="247" t="n">
        <f aca="false">-94.91/3</f>
        <v>-31.6366666666667</v>
      </c>
      <c r="S124" s="272" t="n">
        <v>1.4079</v>
      </c>
      <c r="T124" s="248" t="n">
        <f aca="false">_xlfn.xlookup(I124,'Prix MP'!A:A,'Prix MP'!U:U, 0)</f>
        <v>0.378144584023772</v>
      </c>
      <c r="U124" s="249" t="n">
        <f aca="false">(M124+N124)*T124</f>
        <v>9220.33720671004</v>
      </c>
      <c r="V124" s="249" t="n">
        <f aca="false">(K124-M124-L124)*T124</f>
        <v>159.536466770579</v>
      </c>
      <c r="W124" s="250" t="n">
        <f aca="false">IFERROR((K124-M124-L124)/K124,"")</f>
        <v>0.0170083811705941</v>
      </c>
      <c r="X124" s="249" t="n">
        <f aca="false">20.6577/85*O124</f>
        <v>101.22273</v>
      </c>
      <c r="Y124" s="249" t="n">
        <f aca="false">19.2*P124</f>
        <v>57.6</v>
      </c>
      <c r="Z124" s="249" t="n">
        <f aca="false">125000/52/40*Q124</f>
        <v>360.576923076923</v>
      </c>
      <c r="AA124" s="249" t="n">
        <f aca="false">(M124+N124)*T124+R124+V124+X124+Y124+Z124</f>
        <v>9867.63665989088</v>
      </c>
      <c r="AB124" s="285" t="n">
        <f aca="false">_xlfn.xlookup(H124,'Prix vente'!A:A,'Prix vente'!X:X, "")</f>
        <v>0.31</v>
      </c>
      <c r="AC124" s="285" t="str">
        <f aca="false">_xlfn.xlookup(H124,'Prix vente'!A:A,'Prix vente'!Z:Z, "")</f>
        <v>USD</v>
      </c>
      <c r="AD124" s="249" t="n">
        <f aca="false">IFERROR(IF(AC124="CAD",(M124+N124)*AB124,(M124+N124)*AB124*S124),0)</f>
        <v>10641.9796119</v>
      </c>
      <c r="AE124" s="249" t="n">
        <f aca="false">AD124-AA124</f>
        <v>774.342952009123</v>
      </c>
      <c r="AF124" s="273" t="n">
        <f aca="false">IFERROR(1-AA124/AD124,"")</f>
        <v>0.0727630553946226</v>
      </c>
      <c r="AG124" s="252" t="n">
        <f aca="false">((M124+N124)*T124+V124)</f>
        <v>9379.87367348062</v>
      </c>
      <c r="AH124" s="273" t="n">
        <f aca="false">IFERROR(AG124/AD124,"")</f>
        <v>0.881403086225792</v>
      </c>
      <c r="AI124" s="273" t="str">
        <f aca="false">IFERROR(IF(AD124=0,"S",""),"S")</f>
        <v/>
      </c>
      <c r="AK124" s="15" t="e">
        <v>#NAME?</v>
      </c>
      <c r="AL124" s="15" t="e">
        <f aca="false">_xlfn.xlookup(AK124,A:A,F:F)</f>
        <v>#NAME?</v>
      </c>
      <c r="AM124" s="15" t="e">
        <f aca="false">_xlfn.xlookup(AK124,A:A,J:J)</f>
        <v>#NAME?</v>
      </c>
      <c r="AN124" s="15" t="e">
        <f aca="false">_xlfn.xlookup(AK124,A:A,M:M)+_xlfn.xlookup(AK124,A:A,N:N)</f>
        <v>#NAME?</v>
      </c>
      <c r="AO124" s="223" t="e">
        <f aca="false">_xlfn.xlookup(AK124,A:A,AG:AG)</f>
        <v>#NAME?</v>
      </c>
      <c r="AP124" s="223" t="e">
        <f aca="false">_xlfn.xlookup(AK124,A:A,AD:AD)</f>
        <v>#NAME?</v>
      </c>
      <c r="AQ124" s="223" t="e">
        <f aca="false">_xlfn.xlookup(AK124,A:A,AE:AE)</f>
        <v>#NAME?</v>
      </c>
      <c r="AX124" s="288"/>
      <c r="AY124" s="288"/>
      <c r="AZ124" s="288"/>
      <c r="BA124" s="15" t="e">
        <v>#NAME?</v>
      </c>
      <c r="BB124" s="257" t="e">
        <f aca="false">_xlfn.xlookup(BA124,A:A,F:F)</f>
        <v>#NAME?</v>
      </c>
      <c r="BC124" s="15" t="e">
        <f aca="false">_xlfn.xlookup(BA124,A:A,J:J)</f>
        <v>#NAME?</v>
      </c>
      <c r="BD124" s="75" t="e">
        <f aca="false">_xlfn.xlookup(BA124,A:A,M:M)+_xlfn.xlookup(BA124,A:A,N:N)</f>
        <v>#NAME?</v>
      </c>
      <c r="BE124" s="75" t="e">
        <f aca="false">_xlfn.xlookup(BA124,A72:A1060,AA72:AA1060)</f>
        <v>#NAME?</v>
      </c>
    </row>
    <row r="125" customFormat="false" ht="16.4" hidden="false" customHeight="false" outlineLevel="0" collapsed="false">
      <c r="A125" s="241" t="s">
        <v>1145</v>
      </c>
      <c r="B125" s="1" t="s">
        <v>889</v>
      </c>
      <c r="C125" s="292" t="n">
        <f aca="false">'Liste WO'!C117</f>
        <v>45608</v>
      </c>
      <c r="D125" s="241" t="n">
        <f aca="false">'Liste WO'!D117</f>
        <v>251</v>
      </c>
      <c r="E125" s="241" t="str">
        <f aca="false">'Liste WO'!E117</f>
        <v>Digi America Inc.</v>
      </c>
      <c r="F125" s="241" t="str">
        <f aca="false">_xlfn.xlookup(E125,Clients!B:B,Clients!C:C)</f>
        <v>Digi</v>
      </c>
      <c r="G125" s="241" t="n">
        <f aca="false">_xlfn.xlookup(D125,'PO Client'!$A:$A,'PO Client'!$F:$F,FALSE())</f>
        <v>50008821</v>
      </c>
      <c r="H125" s="251" t="n">
        <f aca="false">'Liste WO'!I117</f>
        <v>40103</v>
      </c>
      <c r="I125" s="251" t="n">
        <f aca="false">'Liste WO'!J117</f>
        <v>30019</v>
      </c>
      <c r="J125" s="244" t="str">
        <f aca="false">'Liste WO'!L117</f>
        <v>D16-1</v>
      </c>
      <c r="K125" s="245" t="n">
        <v>22767.039504</v>
      </c>
      <c r="L125" s="245" t="n">
        <v>0</v>
      </c>
      <c r="M125" s="245" t="n">
        <v>22320</v>
      </c>
      <c r="N125" s="245"/>
      <c r="O125" s="245" t="n">
        <v>360</v>
      </c>
      <c r="P125" s="246" t="n">
        <v>3</v>
      </c>
      <c r="Q125" s="219" t="n">
        <v>6</v>
      </c>
      <c r="R125" s="247" t="n">
        <f aca="false">-94.91/3</f>
        <v>-31.6366666666667</v>
      </c>
      <c r="S125" s="272" t="n">
        <v>1.4079</v>
      </c>
      <c r="T125" s="248" t="n">
        <f aca="false">_xlfn.xlookup(I125,'Prix MP'!A:A,'Prix MP'!U:U, 0)</f>
        <v>0.378144584023772</v>
      </c>
      <c r="U125" s="249" t="n">
        <f aca="false">(M125+N125)*T125</f>
        <v>8440.1871154106</v>
      </c>
      <c r="V125" s="249" t="n">
        <f aca="false">(K125-M125-L125)*T125</f>
        <v>169.045567282274</v>
      </c>
      <c r="W125" s="250" t="n">
        <f aca="false">IFERROR((K125-M125-L125)/K125,"")</f>
        <v>0.0196353813995649</v>
      </c>
      <c r="X125" s="249" t="n">
        <f aca="false">20.6577/85*O125</f>
        <v>87.4914352941176</v>
      </c>
      <c r="Y125" s="249" t="n">
        <f aca="false">19.2*P125</f>
        <v>57.6</v>
      </c>
      <c r="Z125" s="249" t="n">
        <f aca="false">125000/52/40*Q125</f>
        <v>360.576923076923</v>
      </c>
      <c r="AA125" s="249" t="n">
        <f aca="false">(M125+N125)*T125+R125+V125+X125+Y125+Z125</f>
        <v>9083.26437439725</v>
      </c>
      <c r="AB125" s="285" t="n">
        <f aca="false">_xlfn.xlookup(H125,'Prix vente'!A:A,'Prix vente'!X:X, "")</f>
        <v>0.31</v>
      </c>
      <c r="AC125" s="285" t="str">
        <f aca="false">_xlfn.xlookup(H125,'Prix vente'!A:A,'Prix vente'!Z:Z, "")</f>
        <v>USD</v>
      </c>
      <c r="AD125" s="249" t="n">
        <f aca="false">IFERROR(IF(AC125="CAD",(M125+N125)*AB125,(M125+N125)*AB125*S125),0)</f>
        <v>9741.54168</v>
      </c>
      <c r="AE125" s="249" t="n">
        <f aca="false">AD125-AA125</f>
        <v>658.277305602753</v>
      </c>
      <c r="AF125" s="273" t="n">
        <f aca="false">IFERROR(1-AA125/AD125,"")</f>
        <v>0.0675742430948314</v>
      </c>
      <c r="AG125" s="252" t="n">
        <f aca="false">((M125+N125)*T125+V125)</f>
        <v>8609.23268269287</v>
      </c>
      <c r="AH125" s="273" t="n">
        <f aca="false">IFERROR(AG125/AD125,"")</f>
        <v>0.883764907598576</v>
      </c>
      <c r="AI125" s="273" t="str">
        <f aca="false">IFERROR(IF(AD125=0,"S",""),"S")</f>
        <v/>
      </c>
      <c r="AK125" s="15" t="e">
        <v>#NAME?</v>
      </c>
      <c r="AL125" s="15" t="e">
        <f aca="false">_xlfn.xlookup(AK125,A:A,F:F)</f>
        <v>#NAME?</v>
      </c>
      <c r="AM125" s="15" t="e">
        <f aca="false">_xlfn.xlookup(AK125,A:A,J:J)</f>
        <v>#NAME?</v>
      </c>
      <c r="AN125" s="15" t="e">
        <f aca="false">_xlfn.xlookup(AK125,A:A,M:M)+_xlfn.xlookup(AK125,A:A,N:N)</f>
        <v>#NAME?</v>
      </c>
      <c r="AO125" s="223" t="e">
        <f aca="false">_xlfn.xlookup(AK125,A:A,AG:AG)</f>
        <v>#NAME?</v>
      </c>
      <c r="AP125" s="223" t="e">
        <f aca="false">_xlfn.xlookup(AK125,A:A,AD:AD)</f>
        <v>#NAME?</v>
      </c>
      <c r="AQ125" s="223" t="e">
        <f aca="false">_xlfn.xlookup(AK125,A:A,AE:AE)</f>
        <v>#NAME?</v>
      </c>
      <c r="AX125" s="288"/>
      <c r="AY125" s="288"/>
      <c r="AZ125" s="288"/>
      <c r="BA125" s="15" t="e">
        <v>#NAME?</v>
      </c>
      <c r="BB125" s="257" t="e">
        <f aca="false">_xlfn.xlookup(BA125,A:A,F:F)</f>
        <v>#NAME?</v>
      </c>
      <c r="BC125" s="15" t="e">
        <f aca="false">_xlfn.xlookup(BA125,A:A,J:J)</f>
        <v>#NAME?</v>
      </c>
      <c r="BD125" s="75" t="e">
        <f aca="false">_xlfn.xlookup(BA125,A:A,M:M)+_xlfn.xlookup(BA125,A:A,N:N)</f>
        <v>#NAME?</v>
      </c>
      <c r="BE125" s="75" t="e">
        <f aca="false">_xlfn.xlookup(BA125,A73:A1061,AA73:AA1061)</f>
        <v>#NAME?</v>
      </c>
    </row>
    <row r="126" customFormat="false" ht="16.4" hidden="false" customHeight="false" outlineLevel="0" collapsed="false">
      <c r="A126" s="241" t="s">
        <v>1147</v>
      </c>
      <c r="B126" s="1" t="s">
        <v>889</v>
      </c>
      <c r="C126" s="292" t="n">
        <f aca="false">'Liste WO'!C118</f>
        <v>45608</v>
      </c>
      <c r="D126" s="241" t="n">
        <f aca="false">'Liste WO'!D118</f>
        <v>253</v>
      </c>
      <c r="E126" s="241" t="str">
        <f aca="false">'Liste WO'!E118</f>
        <v>Digi America Inc.</v>
      </c>
      <c r="F126" s="241" t="str">
        <f aca="false">_xlfn.xlookup(E126,Clients!B:B,Clients!C:C)</f>
        <v>Digi</v>
      </c>
      <c r="G126" s="241" t="n">
        <f aca="false">_xlfn.xlookup(D126,'PO Client'!$A:$A,'PO Client'!$F:$F,FALSE())</f>
        <v>50008822</v>
      </c>
      <c r="H126" s="251" t="n">
        <f aca="false">'Liste WO'!I118</f>
        <v>40169</v>
      </c>
      <c r="I126" s="251" t="n">
        <f aca="false">'Liste WO'!J118</f>
        <v>30025</v>
      </c>
      <c r="J126" s="244" t="str">
        <f aca="false">'Liste WO'!L118</f>
        <v>D11-1</v>
      </c>
      <c r="K126" s="245" t="n">
        <v>22767.039504</v>
      </c>
      <c r="L126" s="245" t="n">
        <v>3758.7264</v>
      </c>
      <c r="M126" s="245" t="n">
        <v>18561.3</v>
      </c>
      <c r="N126" s="245"/>
      <c r="O126" s="245" t="n">
        <v>299.125</v>
      </c>
      <c r="P126" s="246" t="n">
        <v>3</v>
      </c>
      <c r="Q126" s="219" t="n">
        <v>7.5</v>
      </c>
      <c r="R126" s="247" t="n">
        <f aca="false">-94.91/3</f>
        <v>-31.6366666666667</v>
      </c>
      <c r="S126" s="272" t="n">
        <v>1.4079</v>
      </c>
      <c r="T126" s="248" t="n">
        <f aca="false">_xlfn.xlookup(I126,'Prix MP'!A:A,'Prix MP'!U:U, 0)</f>
        <v>0.369342532440358</v>
      </c>
      <c r="U126" s="249" t="n">
        <f aca="false">(M126+N126)*T126</f>
        <v>6855.47754738522</v>
      </c>
      <c r="V126" s="249" t="n">
        <f aca="false">(K126-M126-L126)*T126</f>
        <v>165.100951865384</v>
      </c>
      <c r="W126" s="250" t="n">
        <f aca="false">IFERROR((K126-M126-L126)/K126,"")</f>
        <v>0.0196342218285105</v>
      </c>
      <c r="X126" s="249" t="n">
        <f aca="false">20.6577/85*O126</f>
        <v>72.6968766176471</v>
      </c>
      <c r="Y126" s="249" t="n">
        <f aca="false">19.2*P126</f>
        <v>57.6</v>
      </c>
      <c r="Z126" s="249" t="n">
        <f aca="false">125000/52/40*Q126</f>
        <v>450.721153846154</v>
      </c>
      <c r="AA126" s="249" t="n">
        <f aca="false">(M126+N126)*T126+R126+V126+X126+Y126+Z126</f>
        <v>7569.95986304774</v>
      </c>
      <c r="AB126" s="285" t="n">
        <f aca="false">_xlfn.xlookup(H126,'Prix vente'!A:A,'Prix vente'!X:X, "")</f>
        <v>0.31</v>
      </c>
      <c r="AC126" s="285" t="str">
        <f aca="false">_xlfn.xlookup(H126,'Prix vente'!A:A,'Prix vente'!Z:Z, "")</f>
        <v>USD</v>
      </c>
      <c r="AD126" s="249" t="n">
        <f aca="false">IFERROR(IF(AC126="CAD",(M126+N126)*AB126,(M126+N126)*AB126*S126),0)</f>
        <v>8101.0608237</v>
      </c>
      <c r="AE126" s="249" t="n">
        <f aca="false">AD126-AA126</f>
        <v>531.100960652258</v>
      </c>
      <c r="AF126" s="273" t="n">
        <f aca="false">IFERROR(1-AA126/AD126,"")</f>
        <v>0.0655594337840916</v>
      </c>
      <c r="AG126" s="252" t="n">
        <f aca="false">((M126+N126)*T126+V126)</f>
        <v>7020.57849925061</v>
      </c>
      <c r="AH126" s="273" t="n">
        <f aca="false">IFERROR(AG126/AD126,"")</f>
        <v>0.866624588067726</v>
      </c>
      <c r="AI126" s="273" t="str">
        <f aca="false">IFERROR(IF(AD126=0,"S",""),"S")</f>
        <v/>
      </c>
      <c r="AK126" s="15" t="e">
        <v>#NAME?</v>
      </c>
      <c r="AL126" s="15" t="e">
        <f aca="false">_xlfn.xlookup(AK126,A:A,F:F)</f>
        <v>#NAME?</v>
      </c>
      <c r="AM126" s="15" t="e">
        <f aca="false">_xlfn.xlookup(AK126,A:A,J:J)</f>
        <v>#NAME?</v>
      </c>
      <c r="AN126" s="15" t="e">
        <f aca="false">_xlfn.xlookup(AK126,A:A,M:M)+_xlfn.xlookup(AK126,A:A,N:N)</f>
        <v>#NAME?</v>
      </c>
      <c r="AO126" s="223" t="e">
        <f aca="false">_xlfn.xlookup(AK126,A:A,AG:AG)</f>
        <v>#NAME?</v>
      </c>
      <c r="AP126" s="223" t="e">
        <f aca="false">_xlfn.xlookup(AK126,A:A,AD:AD)</f>
        <v>#NAME?</v>
      </c>
      <c r="AQ126" s="223" t="e">
        <f aca="false">_xlfn.xlookup(AK126,A:A,AE:AE)</f>
        <v>#NAME?</v>
      </c>
      <c r="AX126" s="288"/>
      <c r="AY126" s="288"/>
      <c r="AZ126" s="288"/>
      <c r="BA126" s="15" t="e">
        <v>#NAME?</v>
      </c>
      <c r="BB126" s="257" t="e">
        <f aca="false">_xlfn.xlookup(BA126,A:A,F:F)</f>
        <v>#NAME?</v>
      </c>
      <c r="BC126" s="15" t="e">
        <f aca="false">_xlfn.xlookup(BA126,A:A,J:J)</f>
        <v>#NAME?</v>
      </c>
      <c r="BD126" s="75" t="e">
        <f aca="false">_xlfn.xlookup(BA126,A:A,M:M)+_xlfn.xlookup(BA126,A:A,N:N)</f>
        <v>#NAME?</v>
      </c>
      <c r="BE126" s="75" t="e">
        <f aca="false">_xlfn.xlookup(BA126,A74:A1062,AA74:AA1062)</f>
        <v>#NAME?</v>
      </c>
    </row>
    <row r="127" customFormat="false" ht="16.4" hidden="false" customHeight="false" outlineLevel="0" collapsed="false">
      <c r="A127" s="241" t="s">
        <v>1149</v>
      </c>
      <c r="B127" s="1" t="s">
        <v>889</v>
      </c>
      <c r="C127" s="292" t="n">
        <f aca="false">'Liste WO'!C119</f>
        <v>45610</v>
      </c>
      <c r="D127" s="241" t="n">
        <f aca="false">'Liste WO'!D119</f>
        <v>254</v>
      </c>
      <c r="E127" s="241" t="str">
        <f aca="false">'Liste WO'!E119</f>
        <v>Emballages Mijo</v>
      </c>
      <c r="F127" s="241" t="str">
        <f aca="false">_xlfn.xlookup(E127,Clients!B:B,Clients!C:C)</f>
        <v>Mijo</v>
      </c>
      <c r="G127" s="241" t="n">
        <f aca="false">_xlfn.xlookup(D127,'PO Client'!$A:$A,'PO Client'!$F:$F,FALSE())</f>
        <v>14287</v>
      </c>
      <c r="H127" s="251" t="n">
        <f aca="false">'Liste WO'!I119</f>
        <v>40171</v>
      </c>
      <c r="I127" s="251" t="n">
        <f aca="false">'Liste WO'!J119</f>
        <v>30015</v>
      </c>
      <c r="J127" s="244" t="str">
        <f aca="false">'Liste WO'!L119</f>
        <v>S15-3</v>
      </c>
      <c r="K127" s="245" t="n">
        <v>14372.30016</v>
      </c>
      <c r="L127" s="245" t="n">
        <v>0</v>
      </c>
      <c r="M127" s="245" t="n">
        <v>14211.936</v>
      </c>
      <c r="N127" s="245"/>
      <c r="O127" s="245" t="n">
        <v>120.24</v>
      </c>
      <c r="P127" s="246" t="n">
        <v>1</v>
      </c>
      <c r="Q127" s="219" t="n">
        <v>1.25</v>
      </c>
      <c r="R127" s="247" t="n">
        <v>109.65</v>
      </c>
      <c r="S127" s="272"/>
      <c r="T127" s="248" t="n">
        <f aca="false">_xlfn.xlookup(I127,'Prix MP'!A:A,'Prix MP'!U:U, 0)</f>
        <v>0.268854241086576</v>
      </c>
      <c r="U127" s="249" t="n">
        <f aca="false">(M127+N127)*T127</f>
        <v>3820.93926765099</v>
      </c>
      <c r="V127" s="249" t="n">
        <f aca="false">(K127-M127-L127)*T127</f>
        <v>43.1145845342866</v>
      </c>
      <c r="W127" s="250" t="n">
        <f aca="false">IFERROR((K127-M127-L127)/K127,"")</f>
        <v>0.0111578632657781</v>
      </c>
      <c r="X127" s="249" t="n">
        <f aca="false">20.6577/85*O127</f>
        <v>29.2221393882353</v>
      </c>
      <c r="Y127" s="249" t="n">
        <f aca="false">19.2*P127</f>
        <v>19.2</v>
      </c>
      <c r="Z127" s="249" t="n">
        <f aca="false">125000/52/40*Q127</f>
        <v>75.1201923076923</v>
      </c>
      <c r="AA127" s="249" t="n">
        <f aca="false">(M127+N127)*T127+R127+V127+X127+Y127+Z127</f>
        <v>4097.24618388121</v>
      </c>
      <c r="AB127" s="285" t="n">
        <f aca="false">_xlfn.xlookup(H127,'Prix vente'!A:A,'Prix vente'!X:X, "")</f>
        <v>0.347</v>
      </c>
      <c r="AC127" s="285" t="str">
        <f aca="false">_xlfn.xlookup(H127,'Prix vente'!A:A,'Prix vente'!Z:Z, "")</f>
        <v>CAD</v>
      </c>
      <c r="AD127" s="249" t="n">
        <f aca="false">IFERROR(IF(AC127="CAD",(M127+N127)*AB127,(M127+N127)*AB127*S127),0)</f>
        <v>4931.541792</v>
      </c>
      <c r="AE127" s="249" t="n">
        <f aca="false">AD127-AA127</f>
        <v>834.295608118791</v>
      </c>
      <c r="AF127" s="273" t="n">
        <f aca="false">IFERROR(1-AA127/AD127,"")</f>
        <v>0.169175410714798</v>
      </c>
      <c r="AG127" s="252" t="n">
        <f aca="false">((M127+N127)*T127+V127)</f>
        <v>3864.05385218528</v>
      </c>
      <c r="AH127" s="273" t="n">
        <f aca="false">IFERROR(AG127/AD127,"")</f>
        <v>0.78353870151797</v>
      </c>
      <c r="AI127" s="273" t="str">
        <f aca="false">IFERROR(IF(AD127=0,"S",""),"S")</f>
        <v/>
      </c>
      <c r="AK127" s="15" t="e">
        <v>#NAME?</v>
      </c>
      <c r="AL127" s="15" t="e">
        <f aca="false">_xlfn.xlookup(AK127,A:A,F:F)</f>
        <v>#NAME?</v>
      </c>
      <c r="AM127" s="15" t="e">
        <f aca="false">_xlfn.xlookup(AK127,A:A,J:J)</f>
        <v>#NAME?</v>
      </c>
      <c r="AN127" s="15" t="e">
        <f aca="false">_xlfn.xlookup(AK127,A:A,M:M)+_xlfn.xlookup(AK127,A:A,N:N)</f>
        <v>#NAME?</v>
      </c>
      <c r="AO127" s="223" t="e">
        <f aca="false">_xlfn.xlookup(AK127,A:A,AG:AG)</f>
        <v>#NAME?</v>
      </c>
      <c r="AP127" s="223" t="e">
        <f aca="false">_xlfn.xlookup(AK127,A:A,AD:AD)</f>
        <v>#NAME?</v>
      </c>
      <c r="AQ127" s="223" t="e">
        <f aca="false">_xlfn.xlookup(AK127,A:A,AE:AE)</f>
        <v>#NAME?</v>
      </c>
      <c r="AX127" s="288"/>
      <c r="AY127" s="288"/>
      <c r="AZ127" s="288"/>
      <c r="BA127" s="15" t="e">
        <v>#NAME?</v>
      </c>
      <c r="BB127" s="257" t="e">
        <f aca="false">_xlfn.xlookup(BA127,A:A,F:F)</f>
        <v>#NAME?</v>
      </c>
      <c r="BC127" s="15" t="e">
        <f aca="false">_xlfn.xlookup(BA127,A:A,J:J)</f>
        <v>#NAME?</v>
      </c>
      <c r="BD127" s="75" t="e">
        <f aca="false">_xlfn.xlookup(BA127,A:A,M:M)+_xlfn.xlookup(BA127,A:A,N:N)</f>
        <v>#NAME?</v>
      </c>
      <c r="BE127" s="75" t="e">
        <f aca="false">_xlfn.xlookup(BA127,A75:A1063,AA75:AA1063)</f>
        <v>#NAME?</v>
      </c>
    </row>
    <row r="128" customFormat="false" ht="16.4" hidden="false" customHeight="false" outlineLevel="0" collapsed="false">
      <c r="A128" s="241" t="s">
        <v>1150</v>
      </c>
      <c r="B128" s="1" t="s">
        <v>889</v>
      </c>
      <c r="C128" s="292" t="n">
        <f aca="false">'Liste WO'!C120</f>
        <v>45614</v>
      </c>
      <c r="D128" s="241" t="n">
        <f aca="false">'Liste WO'!D120</f>
        <v>255</v>
      </c>
      <c r="E128" s="241" t="str">
        <f aca="false">'Liste WO'!E120</f>
        <v>Étiquettes iFlex Inc.</v>
      </c>
      <c r="F128" s="241" t="str">
        <f aca="false">_xlfn.xlookup(E128,Clients!B:B,Clients!C:C)</f>
        <v>iFlex</v>
      </c>
      <c r="G128" s="241" t="n">
        <f aca="false">_xlfn.xlookup(D128,'PO Client'!$A:$A,'PO Client'!$F:$F,FALSE())</f>
        <v>1003018</v>
      </c>
      <c r="H128" s="251" t="n">
        <f aca="false">'Liste WO'!I120</f>
        <v>40172</v>
      </c>
      <c r="I128" s="251" t="n">
        <f aca="false">'Liste WO'!J120</f>
        <v>30011</v>
      </c>
      <c r="J128" s="244" t="str">
        <f aca="false">'Liste WO'!L120</f>
        <v>S21-1</v>
      </c>
      <c r="K128" s="245" t="n">
        <v>7115.30784</v>
      </c>
      <c r="L128" s="245" t="n">
        <v>3505.968</v>
      </c>
      <c r="M128" s="245" t="n">
        <v>3513.3</v>
      </c>
      <c r="N128" s="245"/>
      <c r="O128" s="245" t="n">
        <v>59.75</v>
      </c>
      <c r="P128" s="246" t="n">
        <v>1</v>
      </c>
      <c r="Q128" s="219" t="n">
        <v>2</v>
      </c>
      <c r="R128" s="247" t="n">
        <v>65</v>
      </c>
      <c r="S128" s="272"/>
      <c r="T128" s="248" t="n">
        <f aca="false">_xlfn.xlookup(I128,'Prix MP'!A:A,'Prix MP'!U:U, 0)</f>
        <v>0.28357864079936</v>
      </c>
      <c r="U128" s="249" t="n">
        <f aca="false">(M128+N128)*T128</f>
        <v>996.296838720391</v>
      </c>
      <c r="V128" s="249" t="n">
        <f aca="false">(K128-M128-L128)*T128</f>
        <v>27.2348472897878</v>
      </c>
      <c r="W128" s="250" t="n">
        <f aca="false">IFERROR((K128-M128-L128)/K128,"")</f>
        <v>0.0134976366672562</v>
      </c>
      <c r="X128" s="249" t="n">
        <f aca="false">20.6577/85*O128</f>
        <v>14.5211479411765</v>
      </c>
      <c r="Y128" s="249" t="n">
        <f aca="false">19.2*P128</f>
        <v>19.2</v>
      </c>
      <c r="Z128" s="249" t="n">
        <f aca="false">125000/52/40*Q128</f>
        <v>120.192307692308</v>
      </c>
      <c r="AA128" s="249" t="n">
        <f aca="false">(M128+N128)*T128+R128+V128+X128+Y128+Z128</f>
        <v>1242.44514164366</v>
      </c>
      <c r="AB128" s="285" t="n">
        <f aca="false">_xlfn.xlookup(H128,'Prix vente'!A:A,'Prix vente'!X:X, "")</f>
        <v>0.322</v>
      </c>
      <c r="AC128" s="285" t="str">
        <f aca="false">_xlfn.xlookup(H128,'Prix vente'!A:A,'Prix vente'!Z:Z, "")</f>
        <v>CAD</v>
      </c>
      <c r="AD128" s="249" t="n">
        <f aca="false">IFERROR(IF(AC128="CAD",(M128+N128)*AB128,(M128+N128)*AB128*S128),0)</f>
        <v>1131.2826</v>
      </c>
      <c r="AE128" s="249" t="n">
        <f aca="false">AD128-AA128</f>
        <v>-111.162541643663</v>
      </c>
      <c r="AF128" s="273" t="n">
        <f aca="false">IFERROR(1-AA128/AD128,"")</f>
        <v>-0.0982623984879314</v>
      </c>
      <c r="AG128" s="252" t="n">
        <f aca="false">((M128+N128)*T128+V128)</f>
        <v>1023.53168601018</v>
      </c>
      <c r="AH128" s="273" t="n">
        <f aca="false">IFERROR(AG128/AD128,"")</f>
        <v>0.904753318057026</v>
      </c>
      <c r="AI128" s="273" t="str">
        <f aca="false">IFERROR(IF(AD128=0,"S",""),"S")</f>
        <v/>
      </c>
      <c r="AK128" s="15" t="e">
        <v>#NAME?</v>
      </c>
      <c r="AL128" s="15" t="e">
        <f aca="false">_xlfn.xlookup(AK128,A:A,F:F)</f>
        <v>#NAME?</v>
      </c>
      <c r="AM128" s="15" t="e">
        <f aca="false">_xlfn.xlookup(AK128,A:A,J:J)</f>
        <v>#NAME?</v>
      </c>
      <c r="AN128" s="15" t="e">
        <f aca="false">_xlfn.xlookup(AK128,A:A,M:M)+_xlfn.xlookup(AK128,A:A,N:N)</f>
        <v>#NAME?</v>
      </c>
      <c r="AO128" s="223" t="e">
        <f aca="false">_xlfn.xlookup(AK128,A:A,AG:AG)</f>
        <v>#NAME?</v>
      </c>
      <c r="AP128" s="223" t="e">
        <f aca="false">_xlfn.xlookup(AK128,A:A,AD:AD)</f>
        <v>#NAME?</v>
      </c>
      <c r="AQ128" s="223" t="e">
        <f aca="false">_xlfn.xlookup(AK128,A:A,AE:AE)</f>
        <v>#NAME?</v>
      </c>
      <c r="AX128" s="288"/>
      <c r="AY128" s="288"/>
      <c r="AZ128" s="288"/>
      <c r="BA128" s="15" t="e">
        <v>#NAME?</v>
      </c>
      <c r="BB128" s="257" t="e">
        <f aca="false">_xlfn.xlookup(BA128,A:A,F:F)</f>
        <v>#NAME?</v>
      </c>
      <c r="BC128" s="15" t="e">
        <f aca="false">_xlfn.xlookup(BA128,A:A,J:J)</f>
        <v>#NAME?</v>
      </c>
      <c r="BD128" s="75" t="e">
        <f aca="false">_xlfn.xlookup(BA128,A:A,M:M)+_xlfn.xlookup(BA128,A:A,N:N)</f>
        <v>#NAME?</v>
      </c>
      <c r="BE128" s="75" t="e">
        <f aca="false">_xlfn.xlookup(BA128,A76:A1064,AA76:AA1064)</f>
        <v>#NAME?</v>
      </c>
    </row>
    <row r="129" customFormat="false" ht="16.4" hidden="false" customHeight="false" outlineLevel="0" collapsed="false">
      <c r="A129" s="241" t="s">
        <v>1152</v>
      </c>
      <c r="B129" s="1" t="s">
        <v>889</v>
      </c>
      <c r="C129" s="292" t="n">
        <f aca="false">'Liste WO'!C121</f>
        <v>45614</v>
      </c>
      <c r="D129" s="241" t="n">
        <f aca="false">'Liste WO'!D121</f>
        <v>256</v>
      </c>
      <c r="E129" s="241" t="str">
        <f aca="false">'Liste WO'!E121</f>
        <v>Imprimerie Ste-Julie</v>
      </c>
      <c r="F129" s="241" t="str">
        <f aca="false">_xlfn.xlookup(E129,Clients!B:B,Clients!C:C)</f>
        <v>Imprimerie Ste-Julie</v>
      </c>
      <c r="G129" s="241" t="n">
        <f aca="false">_xlfn.xlookup(D129,'PO Client'!$A:$A,'PO Client'!$F:$F,FALSE())</f>
        <v>105646</v>
      </c>
      <c r="H129" s="251" t="n">
        <f aca="false">'Liste WO'!I121</f>
        <v>40048</v>
      </c>
      <c r="I129" s="251" t="n">
        <f aca="false">'Liste WO'!J121</f>
        <v>30011</v>
      </c>
      <c r="J129" s="244" t="str">
        <f aca="false">'Liste WO'!L121</f>
        <v>S21-1</v>
      </c>
      <c r="K129" s="245" t="n">
        <v>10620.288</v>
      </c>
      <c r="L129" s="245" t="n">
        <v>0</v>
      </c>
      <c r="M129" s="245" t="n">
        <v>10404</v>
      </c>
      <c r="N129" s="245"/>
      <c r="O129" s="245" t="n">
        <v>120</v>
      </c>
      <c r="P129" s="246" t="n">
        <v>3</v>
      </c>
      <c r="Q129" s="219" t="n">
        <v>2.75</v>
      </c>
      <c r="R129" s="247" t="n">
        <f aca="false">-45.63/4*3</f>
        <v>-34.2225</v>
      </c>
      <c r="S129" s="272" t="n">
        <v>1.3993</v>
      </c>
      <c r="T129" s="248" t="n">
        <f aca="false">_xlfn.xlookup(I129,'Prix MP'!A:A,'Prix MP'!U:U, 0)</f>
        <v>0.28357864079936</v>
      </c>
      <c r="U129" s="249" t="n">
        <f aca="false">(M129+N129)*T129</f>
        <v>2950.35217887654</v>
      </c>
      <c r="V129" s="249" t="n">
        <f aca="false">(K129-M129-L129)*T129</f>
        <v>61.3346570612121</v>
      </c>
      <c r="W129" s="250" t="n">
        <f aca="false">IFERROR((K129-M129-L129)/K129,"")</f>
        <v>0.0203655494088296</v>
      </c>
      <c r="X129" s="249" t="n">
        <f aca="false">20.6577/85*O129</f>
        <v>29.1638117647059</v>
      </c>
      <c r="Y129" s="249" t="n">
        <f aca="false">19.2*P129</f>
        <v>57.6</v>
      </c>
      <c r="Z129" s="249" t="n">
        <f aca="false">125000/52/40*Q129</f>
        <v>165.264423076923</v>
      </c>
      <c r="AA129" s="249" t="n">
        <f aca="false">(M129+N129)*T129+R129+V129+X129+Y129+Z129</f>
        <v>3229.49257077938</v>
      </c>
      <c r="AB129" s="285" t="n">
        <f aca="false">_xlfn.xlookup(H129,'Prix vente'!A:A,'Prix vente'!X:X, "")</f>
        <v>0.27</v>
      </c>
      <c r="AC129" s="285" t="str">
        <f aca="false">_xlfn.xlookup(H129,'Prix vente'!A:A,'Prix vente'!Z:Z, "")</f>
        <v>USD</v>
      </c>
      <c r="AD129" s="249" t="n">
        <f aca="false">IFERROR(IF(AC129="CAD",(M129+N129)*AB129,(M129+N129)*AB129*S129),0)</f>
        <v>3930.745644</v>
      </c>
      <c r="AE129" s="249" t="n">
        <f aca="false">AD129-AA129</f>
        <v>701.253073220619</v>
      </c>
      <c r="AF129" s="273" t="n">
        <f aca="false">IFERROR(1-AA129/AD129,"")</f>
        <v>0.178402048041707</v>
      </c>
      <c r="AG129" s="252" t="n">
        <f aca="false">((M129+N129)*T129+V129)</f>
        <v>3011.68683593775</v>
      </c>
      <c r="AH129" s="273" t="n">
        <f aca="false">IFERROR(AG129/AD129,"")</f>
        <v>0.766187158544556</v>
      </c>
      <c r="AI129" s="273" t="str">
        <f aca="false">IFERROR(IF(AD129=0,"S",""),"S")</f>
        <v/>
      </c>
      <c r="AK129" s="15" t="e">
        <v>#NAME?</v>
      </c>
      <c r="AL129" s="15" t="e">
        <f aca="false">_xlfn.xlookup(AK129,A:A,F:F)</f>
        <v>#NAME?</v>
      </c>
      <c r="AM129" s="15" t="e">
        <f aca="false">_xlfn.xlookup(AK129,A:A,J:J)</f>
        <v>#NAME?</v>
      </c>
      <c r="AN129" s="15" t="e">
        <f aca="false">_xlfn.xlookup(AK129,A:A,M:M)+_xlfn.xlookup(AK129,A:A,N:N)</f>
        <v>#NAME?</v>
      </c>
      <c r="AO129" s="223" t="e">
        <f aca="false">_xlfn.xlookup(AK129,A:A,AG:AG)</f>
        <v>#NAME?</v>
      </c>
      <c r="AP129" s="223" t="e">
        <f aca="false">_xlfn.xlookup(AK129,A:A,AD:AD)</f>
        <v>#NAME?</v>
      </c>
      <c r="AQ129" s="223" t="e">
        <f aca="false">_xlfn.xlookup(AK129,A:A,AE:AE)</f>
        <v>#NAME?</v>
      </c>
      <c r="AX129" s="288"/>
      <c r="AY129" s="288"/>
      <c r="AZ129" s="288"/>
      <c r="BA129" s="15" t="e">
        <v>#NAME?</v>
      </c>
      <c r="BB129" s="257" t="e">
        <f aca="false">_xlfn.xlookup(BA129,A:A,F:F)</f>
        <v>#NAME?</v>
      </c>
      <c r="BC129" s="15" t="e">
        <f aca="false">_xlfn.xlookup(BA129,A:A,J:J)</f>
        <v>#NAME?</v>
      </c>
      <c r="BD129" s="75" t="e">
        <f aca="false">_xlfn.xlookup(BA129,A:A,M:M)+_xlfn.xlookup(BA129,A:A,N:N)</f>
        <v>#NAME?</v>
      </c>
      <c r="BE129" s="75" t="e">
        <f aca="false">_xlfn.xlookup(BA129,A77:A1065,AA77:AA1065)</f>
        <v>#NAME?</v>
      </c>
    </row>
    <row r="130" customFormat="false" ht="16.4" hidden="false" customHeight="false" outlineLevel="0" collapsed="false">
      <c r="A130" s="241" t="s">
        <v>1155</v>
      </c>
      <c r="B130" s="1" t="s">
        <v>889</v>
      </c>
      <c r="C130" s="292" t="n">
        <f aca="false">'Liste WO'!C122</f>
        <v>45614</v>
      </c>
      <c r="D130" s="241" t="n">
        <f aca="false">'Liste WO'!D122</f>
        <v>257</v>
      </c>
      <c r="E130" s="241" t="str">
        <f aca="false">'Liste WO'!E122</f>
        <v>Imprimerie Ste-Julie</v>
      </c>
      <c r="F130" s="241" t="str">
        <f aca="false">_xlfn.xlookup(E130,Clients!B:B,Clients!C:C)</f>
        <v>Imprimerie Ste-Julie</v>
      </c>
      <c r="G130" s="241" t="n">
        <f aca="false">_xlfn.xlookup(D130,'PO Client'!$A:$A,'PO Client'!$F:$F,FALSE())</f>
        <v>105648</v>
      </c>
      <c r="H130" s="251" t="n">
        <f aca="false">'Liste WO'!I122</f>
        <v>40117</v>
      </c>
      <c r="I130" s="251" t="n">
        <f aca="false">'Liste WO'!J122</f>
        <v>30015</v>
      </c>
      <c r="J130" s="244" t="str">
        <f aca="false">'Liste WO'!L122</f>
        <v>S15-3</v>
      </c>
      <c r="K130" s="245" t="n">
        <v>7011.936</v>
      </c>
      <c r="L130" s="245" t="n">
        <v>3433.68</v>
      </c>
      <c r="M130" s="245" t="n">
        <v>3420</v>
      </c>
      <c r="N130" s="245"/>
      <c r="O130" s="245" t="n">
        <v>60</v>
      </c>
      <c r="P130" s="246" t="n">
        <v>1</v>
      </c>
      <c r="Q130" s="219" t="n">
        <v>2</v>
      </c>
      <c r="R130" s="247" t="n">
        <f aca="false">-45.63/4</f>
        <v>-11.4075</v>
      </c>
      <c r="S130" s="272" t="n">
        <v>1.3993</v>
      </c>
      <c r="T130" s="248" t="n">
        <f aca="false">_xlfn.xlookup(I130,'Prix MP'!A:A,'Prix MP'!U:U, 0)</f>
        <v>0.268854241086576</v>
      </c>
      <c r="U130" s="249" t="n">
        <f aca="false">(M130+N130)*T130</f>
        <v>919.481504516091</v>
      </c>
      <c r="V130" s="249" t="n">
        <f aca="false">(K130-M130-L130)*T130</f>
        <v>42.5477967773971</v>
      </c>
      <c r="W130" s="250" t="n">
        <f aca="false">IFERROR((K130-M130-L130)/K130,"")</f>
        <v>0.0225695157514272</v>
      </c>
      <c r="X130" s="249" t="n">
        <f aca="false">20.6577/85*O130</f>
        <v>14.5819058823529</v>
      </c>
      <c r="Y130" s="249" t="n">
        <f aca="false">19.2*P130</f>
        <v>19.2</v>
      </c>
      <c r="Z130" s="249" t="n">
        <f aca="false">125000/52/40*Q130</f>
        <v>120.192307692308</v>
      </c>
      <c r="AA130" s="249" t="n">
        <f aca="false">(M130+N130)*T130+R130+V130+X130+Y130+Z130</f>
        <v>1104.59601486815</v>
      </c>
      <c r="AB130" s="285" t="n">
        <f aca="false">_xlfn.xlookup(H130,'Prix vente'!A:A,'Prix vente'!X:X, "")</f>
        <v>0.28</v>
      </c>
      <c r="AC130" s="285" t="str">
        <f aca="false">_xlfn.xlookup(H130,'Prix vente'!A:A,'Prix vente'!Z:Z, "")</f>
        <v>USD</v>
      </c>
      <c r="AD130" s="249" t="n">
        <f aca="false">IFERROR(IF(AC130="CAD",(M130+N130)*AB130,(M130+N130)*AB130*S130),0)</f>
        <v>1339.96968</v>
      </c>
      <c r="AE130" s="249" t="n">
        <f aca="false">AD130-AA130</f>
        <v>235.373665131851</v>
      </c>
      <c r="AF130" s="273" t="n">
        <f aca="false">IFERROR(1-AA130/AD130,"")</f>
        <v>0.175655963448256</v>
      </c>
      <c r="AG130" s="252" t="n">
        <f aca="false">((M130+N130)*T130+V130)</f>
        <v>962.029301293488</v>
      </c>
      <c r="AH130" s="273" t="n">
        <f aca="false">IFERROR(AG130/AD130,"")</f>
        <v>0.717948559323737</v>
      </c>
      <c r="AI130" s="273" t="str">
        <f aca="false">IFERROR(IF(AD130=0,"S",""),"S")</f>
        <v/>
      </c>
      <c r="AK130" s="15" t="e">
        <v>#NAME?</v>
      </c>
      <c r="AL130" s="15" t="e">
        <f aca="false">_xlfn.xlookup(AK130,A:A,F:F)</f>
        <v>#NAME?</v>
      </c>
      <c r="AM130" s="15" t="e">
        <f aca="false">_xlfn.xlookup(AK130,A:A,J:J)</f>
        <v>#NAME?</v>
      </c>
      <c r="AN130" s="15" t="e">
        <f aca="false">_xlfn.xlookup(AK130,A:A,M:M)+_xlfn.xlookup(AK130,A:A,N:N)</f>
        <v>#NAME?</v>
      </c>
      <c r="AO130" s="223" t="e">
        <f aca="false">_xlfn.xlookup(AK130,A:A,AG:AG)</f>
        <v>#NAME?</v>
      </c>
      <c r="AP130" s="223" t="e">
        <f aca="false">_xlfn.xlookup(AK130,A:A,AD:AD)</f>
        <v>#NAME?</v>
      </c>
      <c r="AQ130" s="223" t="e">
        <f aca="false">_xlfn.xlookup(AK130,A:A,AE:AE)</f>
        <v>#NAME?</v>
      </c>
      <c r="AX130" s="288"/>
      <c r="AY130" s="288"/>
      <c r="AZ130" s="288"/>
      <c r="BA130" s="15" t="e">
        <v>#NAME?</v>
      </c>
      <c r="BB130" s="257" t="e">
        <f aca="false">_xlfn.xlookup(BA130,A:A,F:F)</f>
        <v>#NAME?</v>
      </c>
      <c r="BC130" s="15" t="e">
        <f aca="false">_xlfn.xlookup(BA130,A:A,J:J)</f>
        <v>#NAME?</v>
      </c>
      <c r="BD130" s="75" t="e">
        <f aca="false">_xlfn.xlookup(BA130,A:A,M:M)+_xlfn.xlookup(BA130,A:A,N:N)</f>
        <v>#NAME?</v>
      </c>
      <c r="BE130" s="75" t="e">
        <f aca="false">_xlfn.xlookup(BA130,A78:A1066,AA78:AA1066)</f>
        <v>#NAME?</v>
      </c>
    </row>
    <row r="131" customFormat="false" ht="16.4" hidden="false" customHeight="false" outlineLevel="0" collapsed="false">
      <c r="A131" s="241" t="s">
        <v>1158</v>
      </c>
      <c r="B131" s="1" t="s">
        <v>889</v>
      </c>
      <c r="C131" s="292" t="n">
        <f aca="false">'Liste WO'!C123</f>
        <v>45617</v>
      </c>
      <c r="D131" s="241" t="n">
        <f aca="false">'Liste WO'!D123</f>
        <v>259</v>
      </c>
      <c r="E131" s="241" t="str">
        <f aca="false">'Liste WO'!E123</f>
        <v>Imprimerie Ste-Julie</v>
      </c>
      <c r="F131" s="241" t="str">
        <f aca="false">_xlfn.xlookup(E131,Clients!B:B,Clients!C:C)</f>
        <v>Imprimerie Ste-Julie</v>
      </c>
      <c r="G131" s="241" t="n">
        <f aca="false">_xlfn.xlookup(D131,'PO Client'!$A:$A,'PO Client'!$F:$F,FALSE())</f>
        <v>105765</v>
      </c>
      <c r="H131" s="251" t="n">
        <f aca="false">'Liste WO'!I123</f>
        <v>40117</v>
      </c>
      <c r="I131" s="251" t="n">
        <f aca="false">'Liste WO'!J123</f>
        <v>30015</v>
      </c>
      <c r="J131" s="244" t="str">
        <f aca="false">'Liste WO'!L123</f>
        <v>S15-3</v>
      </c>
      <c r="K131" s="245" t="n">
        <v>3433.68</v>
      </c>
      <c r="L131" s="245" t="n">
        <v>0</v>
      </c>
      <c r="M131" s="245" t="n">
        <v>3398.4</v>
      </c>
      <c r="N131" s="245"/>
      <c r="O131" s="245" t="n">
        <v>60</v>
      </c>
      <c r="P131" s="246" t="n">
        <v>1</v>
      </c>
      <c r="Q131" s="219" t="n">
        <v>1.25</v>
      </c>
      <c r="R131" s="247" t="n">
        <v>-24.51</v>
      </c>
      <c r="S131" s="272" t="n">
        <v>1.398</v>
      </c>
      <c r="T131" s="248" t="n">
        <f aca="false">_xlfn.xlookup(I131,'Prix MP'!A:A,'Prix MP'!U:U, 0)</f>
        <v>0.268854241086576</v>
      </c>
      <c r="U131" s="249" t="n">
        <f aca="false">(M131+N131)*T131</f>
        <v>913.674252908621</v>
      </c>
      <c r="V131" s="249" t="n">
        <f aca="false">(K131-M131-L131)*T131</f>
        <v>9.48517762553423</v>
      </c>
      <c r="W131" s="250" t="n">
        <f aca="false">IFERROR((K131-M131-L131)/K131,"")</f>
        <v>0.0102746907108406</v>
      </c>
      <c r="X131" s="249" t="n">
        <f aca="false">20.6577/85*O131</f>
        <v>14.5819058823529</v>
      </c>
      <c r="Y131" s="249" t="n">
        <f aca="false">19.2*P131</f>
        <v>19.2</v>
      </c>
      <c r="Z131" s="249" t="n">
        <f aca="false">125000/52/40*Q131</f>
        <v>75.1201923076923</v>
      </c>
      <c r="AA131" s="249" t="n">
        <f aca="false">(M131+N131)*T131+R131+V131+X131+Y131+Z131</f>
        <v>1007.5515287242</v>
      </c>
      <c r="AB131" s="285" t="n">
        <f aca="false">_xlfn.xlookup(H131,'Prix vente'!A:A,'Prix vente'!X:X, "")</f>
        <v>0.28</v>
      </c>
      <c r="AC131" s="285" t="str">
        <f aca="false">_xlfn.xlookup(H131,'Prix vente'!A:A,'Prix vente'!Z:Z, "")</f>
        <v>USD</v>
      </c>
      <c r="AD131" s="249" t="n">
        <f aca="false">IFERROR(IF(AC131="CAD",(M131+N131)*AB131,(M131+N131)*AB131*S131),0)</f>
        <v>1330.269696</v>
      </c>
      <c r="AE131" s="249" t="n">
        <f aca="false">AD131-AA131</f>
        <v>322.7181672758</v>
      </c>
      <c r="AF131" s="273" t="n">
        <f aca="false">IFERROR(1-AA131/AD131,"")</f>
        <v>0.242596045182555</v>
      </c>
      <c r="AG131" s="252" t="n">
        <f aca="false">((M131+N131)*T131+V131)</f>
        <v>923.159430534156</v>
      </c>
      <c r="AH131" s="273" t="n">
        <f aca="false">IFERROR(AG131/AD131,"")</f>
        <v>0.693964113675604</v>
      </c>
      <c r="AI131" s="273" t="str">
        <f aca="false">IFERROR(IF(AD131=0,"S",""),"S")</f>
        <v/>
      </c>
      <c r="AK131" s="15" t="e">
        <v>#NAME?</v>
      </c>
      <c r="AL131" s="15" t="e">
        <f aca="false">_xlfn.xlookup(AK131,A:A,F:F)</f>
        <v>#NAME?</v>
      </c>
      <c r="AM131" s="15" t="e">
        <f aca="false">_xlfn.xlookup(AK131,A:A,J:J)</f>
        <v>#NAME?</v>
      </c>
      <c r="AN131" s="15" t="e">
        <f aca="false">_xlfn.xlookup(AK131,A:A,M:M)+_xlfn.xlookup(AK131,A:A,N:N)</f>
        <v>#NAME?</v>
      </c>
      <c r="AO131" s="223" t="e">
        <f aca="false">_xlfn.xlookup(AK131,A:A,AG:AG)</f>
        <v>#NAME?</v>
      </c>
      <c r="AP131" s="223" t="e">
        <f aca="false">_xlfn.xlookup(AK131,A:A,AD:AD)</f>
        <v>#NAME?</v>
      </c>
      <c r="AQ131" s="223" t="e">
        <f aca="false">_xlfn.xlookup(AK131,A:A,AE:AE)</f>
        <v>#NAME?</v>
      </c>
      <c r="AX131" s="288"/>
      <c r="AY131" s="288"/>
      <c r="AZ131" s="288"/>
      <c r="BA131" s="15" t="e">
        <v>#NAME?</v>
      </c>
      <c r="BB131" s="257" t="e">
        <f aca="false">_xlfn.xlookup(BA131,A:A,F:F)</f>
        <v>#NAME?</v>
      </c>
      <c r="BC131" s="15" t="e">
        <f aca="false">_xlfn.xlookup(BA131,A:A,J:J)</f>
        <v>#NAME?</v>
      </c>
      <c r="BD131" s="75" t="e">
        <f aca="false">_xlfn.xlookup(BA131,A:A,M:M)+_xlfn.xlookup(BA131,A:A,N:N)</f>
        <v>#NAME?</v>
      </c>
      <c r="BE131" s="75" t="e">
        <f aca="false">_xlfn.xlookup(BA131,A79:A1067,AA79:AA1067)</f>
        <v>#NAME?</v>
      </c>
    </row>
    <row r="132" customFormat="false" ht="16.4" hidden="false" customHeight="false" outlineLevel="0" collapsed="false">
      <c r="A132" s="241" t="s">
        <v>1161</v>
      </c>
      <c r="B132" s="1" t="s">
        <v>889</v>
      </c>
      <c r="C132" s="292" t="n">
        <f aca="false">'Liste WO'!C124</f>
        <v>45617</v>
      </c>
      <c r="D132" s="241" t="n">
        <f aca="false">'Liste WO'!D124</f>
        <v>251</v>
      </c>
      <c r="E132" s="241" t="str">
        <f aca="false">'Liste WO'!E124</f>
        <v>Digi America Inc.</v>
      </c>
      <c r="F132" s="241" t="str">
        <f aca="false">_xlfn.xlookup(E132,Clients!B:B,Clients!C:C)</f>
        <v>Digi</v>
      </c>
      <c r="G132" s="241" t="n">
        <f aca="false">_xlfn.xlookup(D132,'PO Client'!$A:$A,'PO Client'!$F:$F,FALSE())</f>
        <v>50008821</v>
      </c>
      <c r="H132" s="251" t="n">
        <f aca="false">'Liste WO'!I124</f>
        <v>40103</v>
      </c>
      <c r="I132" s="251" t="n">
        <f aca="false">'Liste WO'!J124</f>
        <v>30025</v>
      </c>
      <c r="J132" s="244" t="str">
        <f aca="false">'Liste WO'!L124</f>
        <v>D11-1</v>
      </c>
      <c r="K132" s="245" t="n">
        <v>45534.079008</v>
      </c>
      <c r="L132" s="245" t="n">
        <v>0</v>
      </c>
      <c r="M132" s="245" t="n">
        <v>44871.6</v>
      </c>
      <c r="N132" s="245"/>
      <c r="O132" s="245" t="n">
        <v>720</v>
      </c>
      <c r="P132" s="246" t="n">
        <v>6</v>
      </c>
      <c r="Q132" s="219" t="n">
        <v>12</v>
      </c>
      <c r="R132" s="247" t="n">
        <f aca="false">-156.72*2/8</f>
        <v>-39.18</v>
      </c>
      <c r="S132" s="272" t="n">
        <v>1.413</v>
      </c>
      <c r="T132" s="248" t="n">
        <f aca="false">_xlfn.xlookup(I132,'Prix MP'!A:A,'Prix MP'!U:U, 0)</f>
        <v>0.369342532440358</v>
      </c>
      <c r="U132" s="249" t="n">
        <f aca="false">(M132+N132)*T132</f>
        <v>16572.9903786508</v>
      </c>
      <c r="V132" s="249" t="n">
        <f aca="false">(K132-M132-L132)*T132</f>
        <v>244.681674503297</v>
      </c>
      <c r="W132" s="250" t="n">
        <f aca="false">IFERROR((K132-M132-L132)/K132,"")</f>
        <v>0.0145490810933852</v>
      </c>
      <c r="X132" s="249" t="n">
        <f aca="false">20.6577/85*O132</f>
        <v>174.982870588235</v>
      </c>
      <c r="Y132" s="249" t="n">
        <f aca="false">19.2*P132</f>
        <v>115.2</v>
      </c>
      <c r="Z132" s="249" t="n">
        <f aca="false">125000/52/40*Q132</f>
        <v>721.153846153846</v>
      </c>
      <c r="AA132" s="249" t="n">
        <f aca="false">(M132+N132)*T132+R132+V132+X132+Y132+Z132</f>
        <v>17789.8287698962</v>
      </c>
      <c r="AB132" s="285" t="n">
        <f aca="false">_xlfn.xlookup(H132,'Prix vente'!A:A,'Prix vente'!X:X, "")</f>
        <v>0.31</v>
      </c>
      <c r="AC132" s="285" t="str">
        <f aca="false">_xlfn.xlookup(H132,'Prix vente'!A:A,'Prix vente'!Z:Z, "")</f>
        <v>USD</v>
      </c>
      <c r="AD132" s="249" t="n">
        <f aca="false">IFERROR(IF(AC132="CAD",(M132+N132)*AB132,(M132+N132)*AB132*S132),0)</f>
        <v>19655.106948</v>
      </c>
      <c r="AE132" s="249" t="n">
        <f aca="false">AD132-AA132</f>
        <v>1865.27817810384</v>
      </c>
      <c r="AF132" s="273" t="n">
        <f aca="false">IFERROR(1-AA132/AD132,"")</f>
        <v>0.0949004339197271</v>
      </c>
      <c r="AG132" s="252" t="n">
        <f aca="false">((M132+N132)*T132+V132)</f>
        <v>16817.6720531541</v>
      </c>
      <c r="AH132" s="273" t="n">
        <f aca="false">IFERROR(AG132/AD132,"")</f>
        <v>0.855638796453629</v>
      </c>
      <c r="AI132" s="273" t="str">
        <f aca="false">IFERROR(IF(AD132=0,"S",""),"S")</f>
        <v/>
      </c>
      <c r="AK132" s="15" t="e">
        <v>#NAME?</v>
      </c>
      <c r="AL132" s="15" t="e">
        <f aca="false">_xlfn.xlookup(AK132,A:A,F:F)</f>
        <v>#NAME?</v>
      </c>
      <c r="AM132" s="15" t="e">
        <f aca="false">_xlfn.xlookup(AK132,A:A,J:J)</f>
        <v>#NAME?</v>
      </c>
      <c r="AN132" s="15" t="e">
        <f aca="false">_xlfn.xlookup(AK132,A:A,M:M)+_xlfn.xlookup(AK132,A:A,N:N)</f>
        <v>#NAME?</v>
      </c>
      <c r="AO132" s="223" t="e">
        <f aca="false">_xlfn.xlookup(AK132,A:A,AG:AG)</f>
        <v>#NAME?</v>
      </c>
      <c r="AP132" s="223" t="e">
        <f aca="false">_xlfn.xlookup(AK132,A:A,AD:AD)</f>
        <v>#NAME?</v>
      </c>
      <c r="AQ132" s="223" t="e">
        <f aca="false">_xlfn.xlookup(AK132,A:A,AE:AE)</f>
        <v>#NAME?</v>
      </c>
      <c r="AX132" s="288"/>
      <c r="AY132" s="288"/>
      <c r="AZ132" s="288"/>
      <c r="BA132" s="15" t="e">
        <v>#NAME?</v>
      </c>
      <c r="BB132" s="257" t="e">
        <f aca="false">_xlfn.xlookup(BA132,A:A,F:F)</f>
        <v>#NAME?</v>
      </c>
      <c r="BC132" s="15" t="e">
        <f aca="false">_xlfn.xlookup(BA132,A:A,J:J)</f>
        <v>#NAME?</v>
      </c>
      <c r="BD132" s="75" t="e">
        <f aca="false">_xlfn.xlookup(BA132,A:A,M:M)+_xlfn.xlookup(BA132,A:A,N:N)</f>
        <v>#NAME?</v>
      </c>
      <c r="BE132" s="75" t="e">
        <f aca="false">_xlfn.xlookup(BA132,A80:A1068,AA80:AA1068)</f>
        <v>#NAME?</v>
      </c>
    </row>
    <row r="133" customFormat="false" ht="16.4" hidden="false" customHeight="false" outlineLevel="0" collapsed="false">
      <c r="A133" s="241" t="s">
        <v>1164</v>
      </c>
      <c r="B133" s="1" t="s">
        <v>889</v>
      </c>
      <c r="C133" s="292" t="n">
        <f aca="false">'Liste WO'!C125</f>
        <v>45618</v>
      </c>
      <c r="D133" s="241" t="n">
        <f aca="false">'Liste WO'!D125</f>
        <v>260</v>
      </c>
      <c r="E133" s="241" t="str">
        <f aca="false">'Liste WO'!E125</f>
        <v>Imprimerie Ste-Julie</v>
      </c>
      <c r="F133" s="241" t="str">
        <f aca="false">_xlfn.xlookup(E133,Clients!B:B,Clients!C:C)</f>
        <v>Imprimerie Ste-Julie</v>
      </c>
      <c r="G133" s="241" t="n">
        <f aca="false">_xlfn.xlookup(D133,'PO Client'!$A:$A,'PO Client'!$F:$F,FALSE())</f>
        <v>105799</v>
      </c>
      <c r="H133" s="251" t="n">
        <f aca="false">'Liste WO'!I125</f>
        <v>40117</v>
      </c>
      <c r="I133" s="251" t="n">
        <f aca="false">'Liste WO'!J125</f>
        <v>30015</v>
      </c>
      <c r="J133" s="244" t="str">
        <f aca="false">'Liste WO'!L125</f>
        <v>S15-3</v>
      </c>
      <c r="K133" s="245" t="n">
        <v>14420.01024</v>
      </c>
      <c r="L133" s="245" t="n">
        <v>10698.624</v>
      </c>
      <c r="M133" s="245" t="n">
        <v>3576</v>
      </c>
      <c r="N133" s="245"/>
      <c r="O133" s="245" t="n">
        <v>60</v>
      </c>
      <c r="P133" s="246" t="n">
        <v>1</v>
      </c>
      <c r="Q133" s="219" t="n">
        <v>2.33</v>
      </c>
      <c r="R133" s="247" t="n">
        <f aca="false">-33.14/2</f>
        <v>-16.57</v>
      </c>
      <c r="S133" s="272" t="n">
        <v>1.398</v>
      </c>
      <c r="T133" s="248" t="n">
        <f aca="false">_xlfn.xlookup(I133,'Prix MP'!A:A,'Prix MP'!U:U, 0)</f>
        <v>0.268854241086576</v>
      </c>
      <c r="U133" s="249" t="n">
        <f aca="false">(M133+N133)*T133</f>
        <v>961.422766125597</v>
      </c>
      <c r="V133" s="249" t="n">
        <f aca="false">(K133-M133-L133)*T133</f>
        <v>39.0877072196308</v>
      </c>
      <c r="W133" s="250" t="n">
        <f aca="false">IFERROR((K133-M133-L133)/K133,"")</f>
        <v>0.0100822563632243</v>
      </c>
      <c r="X133" s="249" t="n">
        <f aca="false">20.6577/85*O133</f>
        <v>14.5819058823529</v>
      </c>
      <c r="Y133" s="249" t="n">
        <f aca="false">19.2*P133</f>
        <v>19.2</v>
      </c>
      <c r="Z133" s="249" t="n">
        <f aca="false">125000/52/40*Q133</f>
        <v>140.024038461538</v>
      </c>
      <c r="AA133" s="249" t="n">
        <f aca="false">(M133+N133)*T133+R133+V133+X133+Y133+Z133</f>
        <v>1157.74641768912</v>
      </c>
      <c r="AB133" s="285" t="n">
        <f aca="false">_xlfn.xlookup(H133,'Prix vente'!A:A,'Prix vente'!X:X, "")</f>
        <v>0.28</v>
      </c>
      <c r="AC133" s="285" t="str">
        <f aca="false">_xlfn.xlookup(H133,'Prix vente'!A:A,'Prix vente'!Z:Z, "")</f>
        <v>USD</v>
      </c>
      <c r="AD133" s="249" t="n">
        <f aca="false">IFERROR(IF(AC133="CAD",(M133+N133)*AB133,(M133+N133)*AB133*S133),0)</f>
        <v>1399.78944</v>
      </c>
      <c r="AE133" s="249" t="n">
        <f aca="false">AD133-AA133</f>
        <v>242.04302231088</v>
      </c>
      <c r="AF133" s="273" t="n">
        <f aca="false">IFERROR(1-AA133/AD133,"")</f>
        <v>0.172913879326651</v>
      </c>
      <c r="AG133" s="252" t="n">
        <f aca="false">((M133+N133)*T133+V133)</f>
        <v>1000.51047334523</v>
      </c>
      <c r="AH133" s="273" t="n">
        <f aca="false">IFERROR(AG133/AD133,"")</f>
        <v>0.714757837682522</v>
      </c>
      <c r="AI133" s="273" t="str">
        <f aca="false">IFERROR(IF(AD133=0,"S",""),"S")</f>
        <v/>
      </c>
      <c r="AK133" s="15" t="e">
        <v>#NAME?</v>
      </c>
      <c r="AL133" s="15" t="e">
        <f aca="false">_xlfn.xlookup(AK133,A:A,F:F)</f>
        <v>#NAME?</v>
      </c>
      <c r="AM133" s="15" t="e">
        <f aca="false">_xlfn.xlookup(AK133,A:A,J:J)</f>
        <v>#NAME?</v>
      </c>
      <c r="AN133" s="15" t="e">
        <f aca="false">_xlfn.xlookup(AK133,A:A,M:M)+_xlfn.xlookup(AK133,A:A,N:N)</f>
        <v>#NAME?</v>
      </c>
      <c r="AO133" s="223" t="e">
        <f aca="false">_xlfn.xlookup(AK133,A:A,AG:AG)</f>
        <v>#NAME?</v>
      </c>
      <c r="AP133" s="223" t="e">
        <f aca="false">_xlfn.xlookup(AK133,A:A,AD:AD)</f>
        <v>#NAME?</v>
      </c>
      <c r="AQ133" s="223" t="e">
        <f aca="false">_xlfn.xlookup(AK133,A:A,AE:AE)</f>
        <v>#NAME?</v>
      </c>
      <c r="AX133" s="288"/>
      <c r="AY133" s="288"/>
      <c r="AZ133" s="288"/>
      <c r="BA133" s="15" t="e">
        <v>#NAME?</v>
      </c>
      <c r="BB133" s="257" t="e">
        <f aca="false">_xlfn.xlookup(BA133,A:A,F:F)</f>
        <v>#NAME?</v>
      </c>
      <c r="BC133" s="15" t="e">
        <f aca="false">_xlfn.xlookup(BA133,A:A,J:J)</f>
        <v>#NAME?</v>
      </c>
      <c r="BD133" s="75" t="e">
        <f aca="false">_xlfn.xlookup(BA133,A:A,M:M)+_xlfn.xlookup(BA133,A:A,N:N)</f>
        <v>#NAME?</v>
      </c>
      <c r="BE133" s="75" t="e">
        <f aca="false">_xlfn.xlookup(BA133,A81:A1069,AA81:AA1069)</f>
        <v>#NAME?</v>
      </c>
    </row>
    <row r="134" customFormat="false" ht="16.4" hidden="false" customHeight="false" outlineLevel="0" collapsed="false">
      <c r="A134" s="241" t="s">
        <v>1167</v>
      </c>
      <c r="B134" s="1" t="s">
        <v>889</v>
      </c>
      <c r="C134" s="292" t="n">
        <f aca="false">'Liste WO'!C126</f>
        <v>45618</v>
      </c>
      <c r="D134" s="241" t="n">
        <f aca="false">'Liste WO'!D126</f>
        <v>248</v>
      </c>
      <c r="E134" s="241" t="str">
        <f aca="false">'Liste WO'!E126</f>
        <v>Imprimerie Bas St-Laurent</v>
      </c>
      <c r="F134" s="241" t="str">
        <f aca="false">_xlfn.xlookup(E134,Clients!B:B,Clients!C:C)</f>
        <v>Bas St-Laurent</v>
      </c>
      <c r="G134" s="241" t="str">
        <f aca="false">_xlfn.xlookup(D134,'PO Client'!$A:$A,'PO Client'!$F:$F,FALSE())</f>
        <v>Échantillon D11</v>
      </c>
      <c r="H134" s="251" t="n">
        <f aca="false">'Liste WO'!I126</f>
        <v>40176</v>
      </c>
      <c r="I134" s="251" t="n">
        <f aca="false">'Liste WO'!J126</f>
        <v>30023</v>
      </c>
      <c r="J134" s="244" t="str">
        <f aca="false">'Liste WO'!L126</f>
        <v>T11-1</v>
      </c>
      <c r="K134" s="245" t="n">
        <v>1111.104</v>
      </c>
      <c r="L134" s="245" t="n">
        <v>958.8</v>
      </c>
      <c r="M134" s="245" t="n">
        <v>126.9</v>
      </c>
      <c r="N134" s="245"/>
      <c r="O134" s="245" t="n">
        <v>4.5</v>
      </c>
      <c r="P134" s="246" t="n">
        <v>0</v>
      </c>
      <c r="Q134" s="219" t="n">
        <v>0.75</v>
      </c>
      <c r="R134" s="247" t="n">
        <v>0</v>
      </c>
      <c r="S134" s="272"/>
      <c r="T134" s="248" t="n">
        <f aca="false">_xlfn.xlookup(I134,'Prix MP'!A:A,'Prix MP'!U:U, 0)</f>
        <v>0.2951148717267</v>
      </c>
      <c r="U134" s="249" t="n">
        <f aca="false">(M134+N134)*T134</f>
        <v>37.4500772221183</v>
      </c>
      <c r="V134" s="249" t="n">
        <f aca="false">(K134-M134-L134)*T134</f>
        <v>7.49709820134509</v>
      </c>
      <c r="W134" s="250" t="n">
        <f aca="false">IFERROR((K134-M134-L134)/K134,"")</f>
        <v>0.0228637463279765</v>
      </c>
      <c r="X134" s="249" t="n">
        <f aca="false">20.6577/85*O134</f>
        <v>1.09364294117647</v>
      </c>
      <c r="Y134" s="249" t="n">
        <f aca="false">19.2*P134</f>
        <v>0</v>
      </c>
      <c r="Z134" s="249" t="n">
        <f aca="false">125000/52/40*Q134</f>
        <v>45.0721153846154</v>
      </c>
      <c r="AA134" s="249" t="n">
        <f aca="false">(M134+N134)*T134+R134+V134+X134+Y134+Z134</f>
        <v>91.1129337492552</v>
      </c>
      <c r="AB134" s="285" t="n">
        <f aca="false">_xlfn.xlookup(H134,'Prix vente'!A:A,'Prix vente'!X:X, "")</f>
        <v>0</v>
      </c>
      <c r="AC134" s="285" t="str">
        <f aca="false">_xlfn.xlookup(H134,'Prix vente'!A:A,'Prix vente'!Z:Z, "")</f>
        <v>CAD</v>
      </c>
      <c r="AD134" s="249" t="n">
        <f aca="false">IFERROR(IF(AC134="CAD",(M134+N134)*AB134,(M134+N134)*AB134*S134),0)</f>
        <v>0</v>
      </c>
      <c r="AE134" s="249" t="n">
        <f aca="false">AD134-AA134</f>
        <v>-91.1129337492552</v>
      </c>
      <c r="AF134" s="273" t="str">
        <f aca="false">IFERROR(1-AA134/AD134,"")</f>
        <v/>
      </c>
      <c r="AG134" s="252" t="n">
        <f aca="false">((M134+N134)*T134+V134)</f>
        <v>44.9471754234634</v>
      </c>
      <c r="AH134" s="273" t="str">
        <f aca="false">IFERROR(AG134/AD134,"")</f>
        <v/>
      </c>
      <c r="AI134" s="273" t="str">
        <f aca="false">IFERROR(IF(AD134=0,"S",""),"S")</f>
        <v>S</v>
      </c>
      <c r="AK134" s="15" t="e">
        <v>#NAME?</v>
      </c>
      <c r="AL134" s="15" t="e">
        <f aca="false">_xlfn.xlookup(AK134,A:A,F:F)</f>
        <v>#NAME?</v>
      </c>
      <c r="AM134" s="15" t="e">
        <f aca="false">_xlfn.xlookup(AK134,A:A,J:J)</f>
        <v>#NAME?</v>
      </c>
      <c r="AN134" s="15" t="e">
        <f aca="false">_xlfn.xlookup(AK134,A:A,M:M)+_xlfn.xlookup(AK134,A:A,N:N)</f>
        <v>#NAME?</v>
      </c>
      <c r="AO134" s="223" t="e">
        <f aca="false">_xlfn.xlookup(AK134,A:A,AG:AG)</f>
        <v>#NAME?</v>
      </c>
      <c r="AP134" s="223" t="e">
        <f aca="false">_xlfn.xlookup(AK134,A:A,AD:AD)</f>
        <v>#NAME?</v>
      </c>
      <c r="AQ134" s="223" t="e">
        <f aca="false">_xlfn.xlookup(AK134,A:A,AE:AE)</f>
        <v>#NAME?</v>
      </c>
      <c r="AX134" s="288"/>
      <c r="AY134" s="288"/>
      <c r="AZ134" s="288"/>
      <c r="BA134" s="15" t="e">
        <v>#NAME?</v>
      </c>
      <c r="BB134" s="257" t="e">
        <f aca="false">_xlfn.xlookup(BA134,A:A,F:F)</f>
        <v>#NAME?</v>
      </c>
      <c r="BC134" s="15" t="e">
        <f aca="false">_xlfn.xlookup(BA134,A:A,J:J)</f>
        <v>#NAME?</v>
      </c>
      <c r="BD134" s="75" t="e">
        <f aca="false">_xlfn.xlookup(BA134,A:A,M:M)+_xlfn.xlookup(BA134,A:A,N:N)</f>
        <v>#NAME?</v>
      </c>
      <c r="BE134" s="75" t="e">
        <f aca="false">_xlfn.xlookup(BA134,A82:A1070,AA82:AA1070)</f>
        <v>#NAME?</v>
      </c>
    </row>
    <row r="135" customFormat="false" ht="16.4" hidden="false" customHeight="false" outlineLevel="0" collapsed="false">
      <c r="A135" s="241" t="s">
        <v>1170</v>
      </c>
      <c r="B135" s="1" t="s">
        <v>889</v>
      </c>
      <c r="C135" s="292" t="n">
        <f aca="false">'Liste WO'!C127</f>
        <v>45621</v>
      </c>
      <c r="D135" s="241" t="n">
        <f aca="false">'Liste WO'!D127</f>
        <v>261</v>
      </c>
      <c r="E135" s="241" t="str">
        <f aca="false">'Liste WO'!E127</f>
        <v>Imprimerie Ste-Julie</v>
      </c>
      <c r="F135" s="241" t="str">
        <f aca="false">_xlfn.xlookup(E135,Clients!B:B,Clients!C:C)</f>
        <v>Imprimerie Ste-Julie</v>
      </c>
      <c r="G135" s="241" t="n">
        <f aca="false">_xlfn.xlookup(D135,'PO Client'!$A:$A,'PO Client'!$F:$F,FALSE())</f>
        <v>105844</v>
      </c>
      <c r="H135" s="251" t="n">
        <f aca="false">'Liste WO'!I127</f>
        <v>40117</v>
      </c>
      <c r="I135" s="251" t="n">
        <f aca="false">'Liste WO'!J127</f>
        <v>30015</v>
      </c>
      <c r="J135" s="244" t="str">
        <f aca="false">'Liste WO'!L127</f>
        <v>S15-3</v>
      </c>
      <c r="K135" s="245" t="n">
        <v>10698.624</v>
      </c>
      <c r="L135" s="245" t="n">
        <v>3614.4</v>
      </c>
      <c r="M135" s="245" t="n">
        <v>6912</v>
      </c>
      <c r="N135" s="245"/>
      <c r="O135" s="245" t="n">
        <v>60</v>
      </c>
      <c r="P135" s="246" t="n">
        <v>1</v>
      </c>
      <c r="Q135" s="219" t="n">
        <v>4</v>
      </c>
      <c r="R135" s="247" t="n">
        <f aca="false">-32.07/3*2</f>
        <v>-21.38</v>
      </c>
      <c r="S135" s="290" t="n">
        <v>1.4056</v>
      </c>
      <c r="T135" s="248" t="n">
        <f aca="false">_xlfn.xlookup(I135,'Prix MP'!A:A,'Prix MP'!U:U, 0)</f>
        <v>0.268854241086576</v>
      </c>
      <c r="U135" s="249" t="n">
        <f aca="false">(M135+N135)*T135</f>
        <v>1858.32051439042</v>
      </c>
      <c r="V135" s="249" t="n">
        <f aca="false">(K135-M135-L135)*T135</f>
        <v>46.3031528168945</v>
      </c>
      <c r="W135" s="250" t="n">
        <f aca="false">IFERROR((K135-M135-L135)/K135,"")</f>
        <v>0.0160977710778507</v>
      </c>
      <c r="X135" s="249" t="n">
        <f aca="false">20.6577/85*O135</f>
        <v>14.5819058823529</v>
      </c>
      <c r="Y135" s="249" t="n">
        <f aca="false">19.2*P135</f>
        <v>19.2</v>
      </c>
      <c r="Z135" s="249" t="n">
        <f aca="false">125000/52/40*Q135</f>
        <v>240.384615384615</v>
      </c>
      <c r="AA135" s="296" t="n">
        <f aca="false">(M135+N135)*T135+R135+V135+X135+Y135+Z135</f>
        <v>2157.41018847428</v>
      </c>
      <c r="AB135" s="285" t="n">
        <f aca="false">_xlfn.xlookup(H135,'Prix vente'!A:A,'Prix vente'!X:X, "")</f>
        <v>0.28</v>
      </c>
      <c r="AC135" s="285" t="str">
        <f aca="false">_xlfn.xlookup(H135,'Prix vente'!A:A,'Prix vente'!Z:Z, "")</f>
        <v>USD</v>
      </c>
      <c r="AD135" s="249" t="n">
        <f aca="false">IFERROR(IF(AC135="CAD",(M135+N135)*AB135,(M135+N135)*AB135*S135),0)</f>
        <v>2720.342016</v>
      </c>
      <c r="AE135" s="249" t="n">
        <f aca="false">AD135-AA135</f>
        <v>562.931827525722</v>
      </c>
      <c r="AF135" s="273" t="n">
        <f aca="false">IFERROR(1-AA135/AD135,"")</f>
        <v>0.206934210556898</v>
      </c>
      <c r="AG135" s="252" t="n">
        <f aca="false">((M135+N135)*T135+V135)</f>
        <v>1904.62366720731</v>
      </c>
      <c r="AH135" s="273" t="n">
        <f aca="false">IFERROR(AG135/AD135,"")</f>
        <v>0.700141252829626</v>
      </c>
      <c r="AI135" s="273" t="str">
        <f aca="false">IFERROR(IF(AD135=0,"S",""),"S")</f>
        <v/>
      </c>
      <c r="AK135" s="15" t="e">
        <v>#NAME?</v>
      </c>
      <c r="AL135" s="15" t="e">
        <f aca="false">_xlfn.xlookup(AK135,A:A,F:F)</f>
        <v>#NAME?</v>
      </c>
      <c r="AM135" s="15" t="e">
        <f aca="false">_xlfn.xlookup(AK135,A:A,J:J)</f>
        <v>#NAME?</v>
      </c>
      <c r="AN135" s="15" t="e">
        <f aca="false">_xlfn.xlookup(AK135,A:A,M:M)+_xlfn.xlookup(AK135,A:A,N:N)</f>
        <v>#NAME?</v>
      </c>
      <c r="AO135" s="223" t="e">
        <f aca="false">_xlfn.xlookup(AK135,A:A,AG:AG)</f>
        <v>#NAME?</v>
      </c>
      <c r="AP135" s="223" t="e">
        <f aca="false">_xlfn.xlookup(AK135,A:A,AD:AD)</f>
        <v>#NAME?</v>
      </c>
      <c r="AQ135" s="223" t="e">
        <f aca="false">_xlfn.xlookup(AK135,A:A,AE:AE)</f>
        <v>#NAME?</v>
      </c>
      <c r="AX135" s="288"/>
      <c r="AY135" s="288"/>
      <c r="AZ135" s="288"/>
      <c r="BA135" s="15" t="e">
        <v>#NAME?</v>
      </c>
      <c r="BB135" s="257" t="e">
        <f aca="false">_xlfn.xlookup(BA135,A:A,F:F)</f>
        <v>#NAME?</v>
      </c>
      <c r="BC135" s="15" t="e">
        <f aca="false">_xlfn.xlookup(BA135,A:A,J:J)</f>
        <v>#NAME?</v>
      </c>
      <c r="BD135" s="75" t="e">
        <f aca="false">_xlfn.xlookup(BA135,A:A,M:M)+_xlfn.xlookup(BA135,A:A,N:N)</f>
        <v>#NAME?</v>
      </c>
      <c r="BE135" s="75" t="e">
        <f aca="false">_xlfn.xlookup(BA135,A83:A1071,AA83:AA1071)</f>
        <v>#NAME?</v>
      </c>
    </row>
    <row r="136" customFormat="false" ht="16.4" hidden="false" customHeight="false" outlineLevel="0" collapsed="false">
      <c r="A136" s="241" t="s">
        <v>1173</v>
      </c>
      <c r="B136" s="1" t="s">
        <v>889</v>
      </c>
      <c r="C136" s="292" t="n">
        <f aca="false">'Liste WO'!C128</f>
        <v>45621</v>
      </c>
      <c r="D136" s="241" t="n">
        <f aca="false">'Liste WO'!D128</f>
        <v>262</v>
      </c>
      <c r="E136" s="241" t="str">
        <f aca="false">'Liste WO'!E128</f>
        <v>3G Print Group Inc.</v>
      </c>
      <c r="F136" s="241" t="str">
        <f aca="false">_xlfn.xlookup(E136,Clients!B:B,Clients!C:C)</f>
        <v>3G</v>
      </c>
      <c r="G136" s="241" t="n">
        <f aca="false">_xlfn.xlookup(D136,'PO Client'!$A:$A,'PO Client'!$F:$F,FALSE())</f>
        <v>2898</v>
      </c>
      <c r="H136" s="251" t="n">
        <f aca="false">'Liste WO'!I128</f>
        <v>40179</v>
      </c>
      <c r="I136" s="251" t="n">
        <f aca="false">'Liste WO'!J128</f>
        <v>30011</v>
      </c>
      <c r="J136" s="244" t="str">
        <f aca="false">'Liste WO'!L128</f>
        <v>S21-1</v>
      </c>
      <c r="K136" s="245" t="n">
        <v>7115.30784</v>
      </c>
      <c r="L136" s="245" t="n">
        <v>0</v>
      </c>
      <c r="M136" s="245" t="n">
        <v>6984</v>
      </c>
      <c r="N136" s="245"/>
      <c r="O136" s="245" t="n">
        <v>60</v>
      </c>
      <c r="P136" s="246" t="n">
        <v>2</v>
      </c>
      <c r="Q136" s="219" t="n">
        <v>1</v>
      </c>
      <c r="R136" s="247" t="n">
        <v>240.58</v>
      </c>
      <c r="S136" s="272"/>
      <c r="T136" s="248" t="n">
        <f aca="false">_xlfn.xlookup(I136,'Prix MP'!A:A,'Prix MP'!U:U, 0)</f>
        <v>0.28357864079936</v>
      </c>
      <c r="U136" s="249" t="n">
        <f aca="false">(M136+N136)*T136</f>
        <v>1980.51322734273</v>
      </c>
      <c r="V136" s="249" t="n">
        <f aca="false">(K136-M136-L136)*T136</f>
        <v>37.2360987934997</v>
      </c>
      <c r="W136" s="250" t="n">
        <f aca="false">IFERROR((K136-M136-L136)/K136,"")</f>
        <v>0.018454273933424</v>
      </c>
      <c r="X136" s="249" t="n">
        <f aca="false">20.6577/85*O136</f>
        <v>14.5819058823529</v>
      </c>
      <c r="Y136" s="249" t="n">
        <f aca="false">19.2*P136</f>
        <v>38.4</v>
      </c>
      <c r="Z136" s="249" t="n">
        <f aca="false">125000/52/40*Q136</f>
        <v>60.0961538461539</v>
      </c>
      <c r="AA136" s="249" t="n">
        <f aca="false">(M136+N136)*T136+R136+V136+X136+Y136+Z136</f>
        <v>2371.40738586474</v>
      </c>
      <c r="AB136" s="285" t="n">
        <f aca="false">_xlfn.xlookup(H136,'Prix vente'!A:A,'Prix vente'!X:X, "")</f>
        <v>0.331</v>
      </c>
      <c r="AC136" s="285" t="str">
        <f aca="false">_xlfn.xlookup(H136,'Prix vente'!A:A,'Prix vente'!Z:Z, "")</f>
        <v>CAD</v>
      </c>
      <c r="AD136" s="249" t="n">
        <f aca="false">IFERROR(IF(AC136="CAD",(M136+N136)*AB136,(M136+N136)*AB136*S136),0)</f>
        <v>2311.704</v>
      </c>
      <c r="AE136" s="249" t="n">
        <f aca="false">AD136-AA136</f>
        <v>-59.7033858647365</v>
      </c>
      <c r="AF136" s="273" t="n">
        <f aca="false">IFERROR(1-AA136/AD136,"")</f>
        <v>-0.0258265702982461</v>
      </c>
      <c r="AG136" s="252" t="n">
        <f aca="false">((M136+N136)*T136+V136)</f>
        <v>2017.74932613623</v>
      </c>
      <c r="AH136" s="273" t="n">
        <f aca="false">IFERROR(AG136/AD136,"")</f>
        <v>0.872840695061405</v>
      </c>
      <c r="AI136" s="273" t="str">
        <f aca="false">IFERROR(IF(AD136=0,"S",""),"S")</f>
        <v/>
      </c>
      <c r="AK136" s="15" t="e">
        <v>#NAME?</v>
      </c>
      <c r="AL136" s="15" t="e">
        <f aca="false">_xlfn.xlookup(AK136,A:A,F:F)</f>
        <v>#NAME?</v>
      </c>
      <c r="AM136" s="15" t="e">
        <f aca="false">_xlfn.xlookup(AK136,A:A,J:J)</f>
        <v>#NAME?</v>
      </c>
      <c r="AN136" s="15" t="e">
        <f aca="false">_xlfn.xlookup(AK136,A:A,M:M)+_xlfn.xlookup(AK136,A:A,N:N)</f>
        <v>#NAME?</v>
      </c>
      <c r="AO136" s="223" t="e">
        <f aca="false">_xlfn.xlookup(AK136,A:A,AG:AG)</f>
        <v>#NAME?</v>
      </c>
      <c r="AP136" s="223" t="e">
        <f aca="false">_xlfn.xlookup(AK136,A:A,AD:AD)</f>
        <v>#NAME?</v>
      </c>
      <c r="AQ136" s="223" t="e">
        <f aca="false">_xlfn.xlookup(AK136,A:A,AE:AE)</f>
        <v>#NAME?</v>
      </c>
      <c r="AX136" s="288"/>
      <c r="AY136" s="288"/>
      <c r="AZ136" s="288"/>
      <c r="BA136" s="15" t="e">
        <v>#NAME?</v>
      </c>
      <c r="BB136" s="257" t="e">
        <f aca="false">_xlfn.xlookup(BA136,A:A,F:F)</f>
        <v>#NAME?</v>
      </c>
      <c r="BC136" s="15" t="e">
        <f aca="false">_xlfn.xlookup(BA136,A:A,J:J)</f>
        <v>#NAME?</v>
      </c>
      <c r="BD136" s="75" t="e">
        <f aca="false">_xlfn.xlookup(BA136,A:A,M:M)+_xlfn.xlookup(BA136,A:A,N:N)</f>
        <v>#NAME?</v>
      </c>
      <c r="BE136" s="75" t="e">
        <f aca="false">_xlfn.xlookup(BA136,A84:A1072,AA84:AA1072)</f>
        <v>#NAME?</v>
      </c>
    </row>
    <row r="137" customFormat="false" ht="16.4" hidden="false" customHeight="false" outlineLevel="0" collapsed="false">
      <c r="A137" s="241" t="s">
        <v>1176</v>
      </c>
      <c r="B137" s="1" t="s">
        <v>889</v>
      </c>
      <c r="C137" s="292" t="n">
        <f aca="false">'Liste WO'!C129</f>
        <v>45622</v>
      </c>
      <c r="D137" s="241" t="n">
        <f aca="false">'Liste WO'!D129</f>
        <v>263</v>
      </c>
      <c r="E137" s="241" t="str">
        <f aca="false">'Liste WO'!E129</f>
        <v>Étiquettes Multi-Flex</v>
      </c>
      <c r="F137" s="241" t="str">
        <f aca="false">_xlfn.xlookup(E137,Clients!B:B,Clients!C:C)</f>
        <v>Multi-Flex</v>
      </c>
      <c r="G137" s="241" t="n">
        <f aca="false">_xlfn.xlookup(D137,'PO Client'!$A:$A,'PO Client'!$F:$F,FALSE())</f>
        <v>9869</v>
      </c>
      <c r="H137" s="251" t="n">
        <f aca="false">'Liste WO'!I129</f>
        <v>40180</v>
      </c>
      <c r="I137" s="251" t="n">
        <f aca="false">'Liste WO'!J129</f>
        <v>30025</v>
      </c>
      <c r="J137" s="244" t="str">
        <f aca="false">'Liste WO'!L129</f>
        <v>D11-1</v>
      </c>
      <c r="K137" s="245" t="n">
        <v>7589.013168</v>
      </c>
      <c r="L137" s="245" t="n">
        <v>5247.99</v>
      </c>
      <c r="M137" s="245" t="n">
        <v>2257.2</v>
      </c>
      <c r="N137" s="245"/>
      <c r="O137" s="245" t="n">
        <v>18</v>
      </c>
      <c r="P137" s="246" t="n">
        <v>1</v>
      </c>
      <c r="Q137" s="219" t="n">
        <v>1.75</v>
      </c>
      <c r="R137" s="247" t="n">
        <v>65</v>
      </c>
      <c r="S137" s="272"/>
      <c r="T137" s="248" t="n">
        <f aca="false">_xlfn.xlookup(I137,'Prix MP'!A:A,'Prix MP'!U:U, 0)</f>
        <v>0.369342532440358</v>
      </c>
      <c r="U137" s="249" t="n">
        <f aca="false">(M137+N137)*T137</f>
        <v>833.679964224377</v>
      </c>
      <c r="V137" s="249" t="n">
        <f aca="false">(K137-M137-L137)*T137</f>
        <v>30.9594611462932</v>
      </c>
      <c r="W137" s="250" t="n">
        <f aca="false">IFERROR((K137-M137-L137)/K137,"")</f>
        <v>0.0110453317373924</v>
      </c>
      <c r="X137" s="249" t="n">
        <f aca="false">20.6577/85*O137</f>
        <v>4.37457176470588</v>
      </c>
      <c r="Y137" s="249" t="n">
        <f aca="false">19.2*P137</f>
        <v>19.2</v>
      </c>
      <c r="Z137" s="249" t="n">
        <f aca="false">125000/52/40*Q137</f>
        <v>105.168269230769</v>
      </c>
      <c r="AA137" s="249" t="n">
        <f aca="false">(M137+N137)*T137+R137+V137+X137+Y137+Z137</f>
        <v>1058.38226636615</v>
      </c>
      <c r="AB137" s="285" t="n">
        <f aca="false">_xlfn.xlookup(H137,'Prix vente'!A:A,'Prix vente'!X:X, "")</f>
        <v>0.458</v>
      </c>
      <c r="AC137" s="285" t="str">
        <f aca="false">_xlfn.xlookup(H137,'Prix vente'!A:A,'Prix vente'!Z:Z, "")</f>
        <v>CAD</v>
      </c>
      <c r="AD137" s="249" t="n">
        <f aca="false">IFERROR(IF(AC137="CAD",(M137+N137)*AB137,(M137+N137)*AB137*S137),0)</f>
        <v>1033.7976</v>
      </c>
      <c r="AE137" s="249" t="n">
        <f aca="false">AD137-AA137</f>
        <v>-24.5846663661453</v>
      </c>
      <c r="AF137" s="273" t="n">
        <f aca="false">IFERROR(1-AA137/AD137,"")</f>
        <v>-0.0237809280715542</v>
      </c>
      <c r="AG137" s="252" t="n">
        <f aca="false">((M137+N137)*T137+V137)</f>
        <v>864.63942537067</v>
      </c>
      <c r="AH137" s="273" t="n">
        <f aca="false">IFERROR(AG137/AD137,"")</f>
        <v>0.836372057132528</v>
      </c>
      <c r="AI137" s="273" t="str">
        <f aca="false">IFERROR(IF(AD137=0,"S",""),"S")</f>
        <v/>
      </c>
      <c r="AK137" s="15" t="e">
        <v>#NAME?</v>
      </c>
      <c r="AL137" s="15" t="e">
        <f aca="false">_xlfn.xlookup(AK137,A:A,F:F)</f>
        <v>#NAME?</v>
      </c>
      <c r="AM137" s="15" t="e">
        <f aca="false">_xlfn.xlookup(AK137,A:A,J:J)</f>
        <v>#NAME?</v>
      </c>
      <c r="AN137" s="15" t="e">
        <f aca="false">_xlfn.xlookup(AK137,A:A,M:M)+_xlfn.xlookup(AK137,A:A,N:N)</f>
        <v>#NAME?</v>
      </c>
      <c r="AO137" s="223" t="e">
        <f aca="false">_xlfn.xlookup(AK137,A:A,AG:AG)</f>
        <v>#NAME?</v>
      </c>
      <c r="AP137" s="223" t="e">
        <f aca="false">_xlfn.xlookup(AK137,A:A,AD:AD)</f>
        <v>#NAME?</v>
      </c>
      <c r="AQ137" s="223" t="e">
        <f aca="false">_xlfn.xlookup(AK137,A:A,AE:AE)</f>
        <v>#NAME?</v>
      </c>
      <c r="AX137" s="288"/>
      <c r="AY137" s="288"/>
      <c r="AZ137" s="288"/>
      <c r="BA137" s="15" t="e">
        <v>#NAME?</v>
      </c>
      <c r="BB137" s="257" t="e">
        <f aca="false">_xlfn.xlookup(BA137,A:A,F:F)</f>
        <v>#NAME?</v>
      </c>
      <c r="BC137" s="15" t="e">
        <f aca="false">_xlfn.xlookup(BA137,A:A,J:J)</f>
        <v>#NAME?</v>
      </c>
      <c r="BD137" s="75" t="e">
        <f aca="false">_xlfn.xlookup(BA137,A:A,M:M)+_xlfn.xlookup(BA137,A:A,N:N)</f>
        <v>#NAME?</v>
      </c>
      <c r="BE137" s="75" t="e">
        <f aca="false">_xlfn.xlookup(BA137,A85:A1073,AA85:AA1073)</f>
        <v>#NAME?</v>
      </c>
    </row>
    <row r="138" customFormat="false" ht="16.4" hidden="false" customHeight="false" outlineLevel="0" collapsed="false">
      <c r="A138" s="241" t="s">
        <v>1178</v>
      </c>
      <c r="B138" s="1" t="s">
        <v>889</v>
      </c>
      <c r="C138" s="292" t="n">
        <f aca="false">'Liste WO'!C130</f>
        <v>45623</v>
      </c>
      <c r="D138" s="241" t="n">
        <f aca="false">'Liste WO'!D130</f>
        <v>265</v>
      </c>
      <c r="E138" s="241" t="str">
        <f aca="false">'Liste WO'!E130</f>
        <v>Étiquettes Multi-Flex</v>
      </c>
      <c r="F138" s="241" t="str">
        <f aca="false">_xlfn.xlookup(E138,Clients!B:B,Clients!C:C)</f>
        <v>Multi-Flex</v>
      </c>
      <c r="G138" s="241" t="n">
        <f aca="false">_xlfn.xlookup(D138,'PO Client'!$A:$A,'PO Client'!$F:$F,FALSE())</f>
        <v>9875</v>
      </c>
      <c r="H138" s="251" t="n">
        <f aca="false">'Liste WO'!I130</f>
        <v>40096</v>
      </c>
      <c r="I138" s="251" t="n">
        <f aca="false">'Liste WO'!J130</f>
        <v>30027</v>
      </c>
      <c r="J138" s="244" t="str">
        <f aca="false">'Liste WO'!L130</f>
        <v>B25-3</v>
      </c>
      <c r="K138" s="245" t="n">
        <v>14395.19928</v>
      </c>
      <c r="L138" s="245" t="n">
        <v>0</v>
      </c>
      <c r="M138" s="245" t="n">
        <v>14284.8</v>
      </c>
      <c r="N138" s="245"/>
      <c r="O138" s="245" t="n">
        <v>240</v>
      </c>
      <c r="P138" s="246" t="n">
        <v>3</v>
      </c>
      <c r="Q138" s="219" t="n">
        <v>2.25</v>
      </c>
      <c r="R138" s="247" t="n">
        <v>148.2</v>
      </c>
      <c r="S138" s="272"/>
      <c r="T138" s="248" t="n">
        <f aca="false">_xlfn.xlookup(I138,'Prix MP'!A:A,'Prix MP'!U:U, 0)</f>
        <v>0.307208514182256</v>
      </c>
      <c r="U138" s="249" t="n">
        <f aca="false">(M138+N138)*T138</f>
        <v>4388.41218339069</v>
      </c>
      <c r="V138" s="249" t="n">
        <f aca="false">(K138-M138-L138)*T138</f>
        <v>33.9155987755918</v>
      </c>
      <c r="W138" s="250" t="n">
        <f aca="false">IFERROR((K138-M138-L138)/K138,"")</f>
        <v>0.00766917344127266</v>
      </c>
      <c r="X138" s="249" t="n">
        <f aca="false">20.6577/85*O138</f>
        <v>58.3276235294118</v>
      </c>
      <c r="Y138" s="249" t="n">
        <f aca="false">19.2*P138</f>
        <v>57.6</v>
      </c>
      <c r="Z138" s="249" t="n">
        <f aca="false">125000/52/40*Q138</f>
        <v>135.216346153846</v>
      </c>
      <c r="AA138" s="249" t="n">
        <f aca="false">(M138+N138)*T138+R138+V138+X138+Y138+Z138</f>
        <v>4821.67175184954</v>
      </c>
      <c r="AB138" s="285" t="n">
        <f aca="false">_xlfn.xlookup(H138,'Prix vente'!A:A,'Prix vente'!X:X, "")</f>
        <v>0.452</v>
      </c>
      <c r="AC138" s="285" t="str">
        <f aca="false">_xlfn.xlookup(H138,'Prix vente'!A:A,'Prix vente'!Z:Z, "")</f>
        <v>CAD</v>
      </c>
      <c r="AD138" s="249" t="n">
        <f aca="false">IFERROR(IF(AC138="CAD",(M138+N138)*AB138,(M138+N138)*AB138*S138),0)</f>
        <v>6456.7296</v>
      </c>
      <c r="AE138" s="249" t="n">
        <f aca="false">AD138-AA138</f>
        <v>1635.05784815046</v>
      </c>
      <c r="AF138" s="273" t="n">
        <f aca="false">IFERROR(1-AA138/AD138,"")</f>
        <v>0.253233130306473</v>
      </c>
      <c r="AG138" s="252" t="n">
        <f aca="false">((M138+N138)*T138+V138)</f>
        <v>4422.32778216628</v>
      </c>
      <c r="AH138" s="273" t="n">
        <f aca="false">IFERROR(AG138/AD138,"")</f>
        <v>0.684917606301227</v>
      </c>
      <c r="AI138" s="273" t="str">
        <f aca="false">IFERROR(IF(AD138=0,"S",""),"S")</f>
        <v/>
      </c>
      <c r="AK138" s="15" t="e">
        <v>#NAME?</v>
      </c>
      <c r="AL138" s="15" t="e">
        <f aca="false">_xlfn.xlookup(AK138,A:A,F:F)</f>
        <v>#NAME?</v>
      </c>
      <c r="AM138" s="15" t="e">
        <f aca="false">_xlfn.xlookup(AK138,A:A,J:J)</f>
        <v>#NAME?</v>
      </c>
      <c r="AN138" s="15" t="e">
        <f aca="false">_xlfn.xlookup(AK138,A:A,M:M)+_xlfn.xlookup(AK138,A:A,N:N)</f>
        <v>#NAME?</v>
      </c>
      <c r="AO138" s="223" t="e">
        <f aca="false">_xlfn.xlookup(AK138,A:A,AG:AG)</f>
        <v>#NAME?</v>
      </c>
      <c r="AP138" s="223" t="e">
        <f aca="false">_xlfn.xlookup(AK138,A:A,AD:AD)</f>
        <v>#NAME?</v>
      </c>
      <c r="AQ138" s="223" t="e">
        <f aca="false">_xlfn.xlookup(AK138,A:A,AE:AE)</f>
        <v>#NAME?</v>
      </c>
      <c r="AX138" s="288"/>
      <c r="AY138" s="288"/>
      <c r="AZ138" s="288"/>
      <c r="BA138" s="15" t="e">
        <v>#NAME?</v>
      </c>
      <c r="BB138" s="257" t="e">
        <f aca="false">_xlfn.xlookup(BA138,A:A,F:F)</f>
        <v>#NAME?</v>
      </c>
      <c r="BC138" s="15" t="e">
        <f aca="false">_xlfn.xlookup(BA138,A:A,J:J)</f>
        <v>#NAME?</v>
      </c>
      <c r="BD138" s="75" t="e">
        <f aca="false">_xlfn.xlookup(BA138,A:A,M:M)+_xlfn.xlookup(BA138,A:A,N:N)</f>
        <v>#NAME?</v>
      </c>
      <c r="BE138" s="75" t="e">
        <f aca="false">_xlfn.xlookup(BA138,A86:A1074,AA86:AA1074)</f>
        <v>#NAME?</v>
      </c>
    </row>
    <row r="139" customFormat="false" ht="16.4" hidden="false" customHeight="false" outlineLevel="0" collapsed="false">
      <c r="A139" s="241" t="s">
        <v>1180</v>
      </c>
      <c r="B139" s="1" t="s">
        <v>889</v>
      </c>
      <c r="C139" s="292" t="n">
        <f aca="false">'Liste WO'!C131</f>
        <v>45623</v>
      </c>
      <c r="D139" s="241" t="n">
        <f aca="false">'Liste WO'!D131</f>
        <v>266</v>
      </c>
      <c r="E139" s="241" t="str">
        <f aca="false">'Liste WO'!E131</f>
        <v>Étiquettes Luso-Flex</v>
      </c>
      <c r="F139" s="241" t="str">
        <f aca="false">_xlfn.xlookup(E139,Clients!B:B,Clients!C:C)</f>
        <v>Luso-Flex</v>
      </c>
      <c r="G139" s="241" t="n">
        <f aca="false">_xlfn.xlookup(D139,'PO Client'!$A:$A,'PO Client'!$F:$F,FALSE())</f>
        <v>1954</v>
      </c>
      <c r="H139" s="251" t="n">
        <f aca="false">'Liste WO'!I131</f>
        <v>40183</v>
      </c>
      <c r="I139" s="251" t="n">
        <f aca="false">'Liste WO'!J131</f>
        <v>30011</v>
      </c>
      <c r="J139" s="244" t="str">
        <f aca="false">'Liste WO'!L131</f>
        <v>S21-1</v>
      </c>
      <c r="K139" s="245" t="n">
        <v>7115.30784</v>
      </c>
      <c r="L139" s="245" t="n">
        <v>3433.68</v>
      </c>
      <c r="M139" s="245" t="n">
        <v>3564</v>
      </c>
      <c r="N139" s="245"/>
      <c r="O139" s="245" t="n">
        <v>60</v>
      </c>
      <c r="P139" s="246" t="n">
        <v>1</v>
      </c>
      <c r="Q139" s="219" t="n">
        <v>1.75</v>
      </c>
      <c r="R139" s="247" t="n">
        <v>0</v>
      </c>
      <c r="S139" s="272"/>
      <c r="T139" s="248" t="n">
        <f aca="false">_xlfn.xlookup(I139,'Prix MP'!A:A,'Prix MP'!U:U, 0)</f>
        <v>0.28357864079936</v>
      </c>
      <c r="U139" s="249" t="n">
        <f aca="false">(M139+N139)*T139</f>
        <v>1010.67427580892</v>
      </c>
      <c r="V139" s="249" t="n">
        <f aca="false">(K139-M139-L139)*T139</f>
        <v>33.3567429873644</v>
      </c>
      <c r="W139" s="250" t="n">
        <f aca="false">IFERROR((K139-M139-L139)/K139,"")</f>
        <v>0.0165316585937059</v>
      </c>
      <c r="X139" s="249" t="n">
        <f aca="false">20.6577/85*O139</f>
        <v>14.5819058823529</v>
      </c>
      <c r="Y139" s="249" t="n">
        <f aca="false">19.2*P139</f>
        <v>19.2</v>
      </c>
      <c r="Z139" s="249" t="n">
        <f aca="false">125000/52/40*Q139</f>
        <v>105.168269230769</v>
      </c>
      <c r="AA139" s="249" t="n">
        <f aca="false">(M139+N139)*T139+R139+V139+X139+Y139+Z139</f>
        <v>1182.98119390941</v>
      </c>
      <c r="AB139" s="285" t="n">
        <f aca="false">_xlfn.xlookup(H139,'Prix vente'!A:A,'Prix vente'!X:X, "")</f>
        <v>0.37</v>
      </c>
      <c r="AC139" s="285" t="str">
        <f aca="false">_xlfn.xlookup(H139,'Prix vente'!A:A,'Prix vente'!Z:Z, "")</f>
        <v>CAD</v>
      </c>
      <c r="AD139" s="249" t="n">
        <f aca="false">IFERROR(IF(AC139="CAD",(M139+N139)*AB139,(M139+N139)*AB139*S139),0)</f>
        <v>1318.68</v>
      </c>
      <c r="AE139" s="249" t="n">
        <f aca="false">AD139-AA139</f>
        <v>135.698806090595</v>
      </c>
      <c r="AF139" s="273" t="n">
        <f aca="false">IFERROR(1-AA139/AD139,"")</f>
        <v>0.102905030857065</v>
      </c>
      <c r="AG139" s="252" t="n">
        <f aca="false">((M139+N139)*T139+V139)</f>
        <v>1044.03101879628</v>
      </c>
      <c r="AH139" s="273" t="n">
        <f aca="false">IFERROR(AG139/AD139,"")</f>
        <v>0.791724314311496</v>
      </c>
      <c r="AI139" s="273" t="str">
        <f aca="false">IFERROR(IF(AD139=0,"S",""),"S")</f>
        <v/>
      </c>
      <c r="AK139" s="15" t="e">
        <v>#NAME?</v>
      </c>
      <c r="AL139" s="15" t="e">
        <f aca="false">_xlfn.xlookup(AK139,A:A,F:F)</f>
        <v>#NAME?</v>
      </c>
      <c r="AM139" s="15" t="e">
        <f aca="false">_xlfn.xlookup(AK139,A:A,J:J)</f>
        <v>#NAME?</v>
      </c>
      <c r="AN139" s="15" t="e">
        <f aca="false">_xlfn.xlookup(AK139,A:A,M:M)+_xlfn.xlookup(AK139,A:A,N:N)</f>
        <v>#NAME?</v>
      </c>
      <c r="AO139" s="223" t="e">
        <f aca="false">_xlfn.xlookup(AK139,A:A,AG:AG)</f>
        <v>#NAME?</v>
      </c>
      <c r="AP139" s="223" t="e">
        <f aca="false">_xlfn.xlookup(AK139,A:A,AD:AD)</f>
        <v>#NAME?</v>
      </c>
      <c r="AQ139" s="223" t="e">
        <f aca="false">_xlfn.xlookup(AK139,A:A,AE:AE)</f>
        <v>#NAME?</v>
      </c>
      <c r="AX139" s="288"/>
      <c r="AY139" s="288"/>
      <c r="AZ139" s="288"/>
      <c r="BA139" s="15" t="e">
        <v>#NAME?</v>
      </c>
      <c r="BB139" s="257" t="e">
        <f aca="false">_xlfn.xlookup(BA139,A:A,F:F)</f>
        <v>#NAME?</v>
      </c>
      <c r="BC139" s="15" t="e">
        <f aca="false">_xlfn.xlookup(BA139,A:A,J:J)</f>
        <v>#NAME?</v>
      </c>
      <c r="BD139" s="75" t="e">
        <f aca="false">_xlfn.xlookup(BA139,A:A,M:M)+_xlfn.xlookup(BA139,A:A,N:N)</f>
        <v>#NAME?</v>
      </c>
      <c r="BE139" s="75" t="e">
        <f aca="false">_xlfn.xlookup(BA139,A87:A1075,AA87:AA1075)</f>
        <v>#NAME?</v>
      </c>
    </row>
    <row r="140" customFormat="false" ht="16.4" hidden="false" customHeight="false" outlineLevel="0" collapsed="false">
      <c r="A140" s="241" t="s">
        <v>1182</v>
      </c>
      <c r="B140" s="1" t="s">
        <v>889</v>
      </c>
      <c r="C140" s="292" t="n">
        <f aca="false">'Liste WO'!C132</f>
        <v>45623</v>
      </c>
      <c r="D140" s="241" t="n">
        <f aca="false">'Liste WO'!D132</f>
        <v>267</v>
      </c>
      <c r="E140" s="241" t="str">
        <f aca="false">'Liste WO'!E132</f>
        <v>3G Print Group Inc.</v>
      </c>
      <c r="F140" s="241" t="str">
        <f aca="false">_xlfn.xlookup(E140,Clients!B:B,Clients!C:C)</f>
        <v>3G</v>
      </c>
      <c r="G140" s="241" t="n">
        <f aca="false">_xlfn.xlookup(D140,'PO Client'!$A:$A,'PO Client'!$F:$F,FALSE())</f>
        <v>2905</v>
      </c>
      <c r="H140" s="251" t="n">
        <f aca="false">'Liste WO'!I132</f>
        <v>40186</v>
      </c>
      <c r="I140" s="251" t="n">
        <f aca="false">'Liste WO'!J132</f>
        <v>30027</v>
      </c>
      <c r="J140" s="244" t="str">
        <f aca="false">'Liste WO'!L132</f>
        <v>B25-3</v>
      </c>
      <c r="K140" s="245" t="n">
        <v>7228.32</v>
      </c>
      <c r="L140" s="245" t="n">
        <v>0</v>
      </c>
      <c r="M140" s="245" t="n">
        <v>7200</v>
      </c>
      <c r="N140" s="245"/>
      <c r="O140" s="245" t="n">
        <v>60</v>
      </c>
      <c r="P140" s="246" t="n">
        <v>2</v>
      </c>
      <c r="Q140" s="219" t="n">
        <v>1</v>
      </c>
      <c r="R140" s="247" t="n">
        <f aca="false">438/7*2</f>
        <v>125.142857142857</v>
      </c>
      <c r="S140" s="272"/>
      <c r="T140" s="248" t="n">
        <f aca="false">_xlfn.xlookup(I140,'Prix MP'!A:A,'Prix MP'!U:U, 0)</f>
        <v>0.307208514182256</v>
      </c>
      <c r="U140" s="249" t="n">
        <f aca="false">(M140+N140)*T140</f>
        <v>2211.90130211224</v>
      </c>
      <c r="V140" s="249" t="n">
        <f aca="false">(K140-M140-L140)*T140</f>
        <v>8.7001451216414</v>
      </c>
      <c r="W140" s="250" t="n">
        <f aca="false">IFERROR((K140-M140-L140)/K140,"")</f>
        <v>0.00391792283684172</v>
      </c>
      <c r="X140" s="249" t="n">
        <f aca="false">20.6577/85*O140</f>
        <v>14.5819058823529</v>
      </c>
      <c r="Y140" s="249" t="n">
        <f aca="false">19.2*P140</f>
        <v>38.4</v>
      </c>
      <c r="Z140" s="249" t="n">
        <f aca="false">125000/52/40*Q140</f>
        <v>60.0961538461539</v>
      </c>
      <c r="AA140" s="296" t="n">
        <f aca="false">(M140+N140)*T140+R140+V140+X140+Y140+Z140</f>
        <v>2458.82236410525</v>
      </c>
      <c r="AB140" s="285" t="n">
        <f aca="false">_xlfn.xlookup(H140,'Prix vente'!A:A,'Prix vente'!X:X, "")</f>
        <v>0.452</v>
      </c>
      <c r="AC140" s="285" t="str">
        <f aca="false">_xlfn.xlookup(H140,'Prix vente'!A:A,'Prix vente'!Z:Z, "")</f>
        <v>CAD</v>
      </c>
      <c r="AD140" s="249" t="n">
        <f aca="false">IFERROR(IF(AC140="CAD",(M140+N140)*AB140,(M140+N140)*AB140*S140),0)</f>
        <v>3254.4</v>
      </c>
      <c r="AE140" s="249" t="n">
        <f aca="false">AD140-AA140</f>
        <v>795.577635894751</v>
      </c>
      <c r="AF140" s="273" t="n">
        <f aca="false">IFERROR(1-AA140/AD140,"")</f>
        <v>0.244462154589095</v>
      </c>
      <c r="AG140" s="252" t="n">
        <f aca="false">((M140+N140)*T140+V140)</f>
        <v>2220.60144723388</v>
      </c>
      <c r="AH140" s="273" t="n">
        <f aca="false">IFERROR(AG140/AD140,"")</f>
        <v>0.682338202812772</v>
      </c>
      <c r="AI140" s="273" t="str">
        <f aca="false">IFERROR(IF(AD140=0,"S",""),"S")</f>
        <v/>
      </c>
      <c r="AK140" s="15" t="e">
        <v>#NAME?</v>
      </c>
      <c r="AL140" s="15" t="e">
        <f aca="false">_xlfn.xlookup(AK140,A:A,F:F)</f>
        <v>#NAME?</v>
      </c>
      <c r="AM140" s="15" t="e">
        <f aca="false">_xlfn.xlookup(AK140,A:A,J:J)</f>
        <v>#NAME?</v>
      </c>
      <c r="AN140" s="15" t="e">
        <f aca="false">_xlfn.xlookup(AK140,A:A,M:M)+_xlfn.xlookup(AK140,A:A,N:N)</f>
        <v>#NAME?</v>
      </c>
      <c r="AO140" s="223" t="e">
        <f aca="false">_xlfn.xlookup(AK140,A:A,AG:AG)</f>
        <v>#NAME?</v>
      </c>
      <c r="AP140" s="223" t="e">
        <f aca="false">_xlfn.xlookup(AK140,A:A,AD:AD)</f>
        <v>#NAME?</v>
      </c>
      <c r="AQ140" s="223" t="e">
        <f aca="false">_xlfn.xlookup(AK140,A:A,AE:AE)</f>
        <v>#NAME?</v>
      </c>
      <c r="AX140" s="288"/>
      <c r="AY140" s="288"/>
      <c r="AZ140" s="288"/>
      <c r="BA140" s="15" t="e">
        <v>#NAME?</v>
      </c>
      <c r="BB140" s="257" t="e">
        <f aca="false">_xlfn.xlookup(BA140,A:A,F:F)</f>
        <v>#NAME?</v>
      </c>
      <c r="BC140" s="15" t="e">
        <f aca="false">_xlfn.xlookup(BA140,A:A,J:J)</f>
        <v>#NAME?</v>
      </c>
      <c r="BD140" s="75" t="e">
        <f aca="false">_xlfn.xlookup(BA140,A:A,M:M)+_xlfn.xlookup(BA140,A:A,N:N)</f>
        <v>#NAME?</v>
      </c>
      <c r="BE140" s="75" t="e">
        <f aca="false">_xlfn.xlookup(BA140,A88:A1076,AA88:AA1076)</f>
        <v>#NAME?</v>
      </c>
    </row>
    <row r="141" customFormat="false" ht="16.4" hidden="false" customHeight="false" outlineLevel="0" collapsed="false">
      <c r="A141" s="241" t="s">
        <v>1185</v>
      </c>
      <c r="B141" s="1" t="s">
        <v>889</v>
      </c>
      <c r="C141" s="292" t="n">
        <f aca="false">'Liste WO'!C133</f>
        <v>45623</v>
      </c>
      <c r="D141" s="241" t="n">
        <f aca="false">'Liste WO'!D133</f>
        <v>267</v>
      </c>
      <c r="E141" s="241" t="str">
        <f aca="false">'Liste WO'!E133</f>
        <v>3G Print Group Inc.</v>
      </c>
      <c r="F141" s="241" t="str">
        <f aca="false">_xlfn.xlookup(E141,Clients!B:B,Clients!C:C)</f>
        <v>3G</v>
      </c>
      <c r="G141" s="241" t="n">
        <f aca="false">_xlfn.xlookup(D141,'PO Client'!$A:$A,'PO Client'!$F:$F,FALSE())</f>
        <v>2905</v>
      </c>
      <c r="H141" s="251" t="n">
        <f aca="false">'Liste WO'!I133</f>
        <v>40189</v>
      </c>
      <c r="I141" s="251" t="n">
        <v>30028</v>
      </c>
      <c r="J141" s="244" t="str">
        <f aca="false">'Liste WO'!L133</f>
        <v>B15-3</v>
      </c>
      <c r="K141" s="245" t="n">
        <v>14228.94792</v>
      </c>
      <c r="L141" s="245" t="n">
        <v>0</v>
      </c>
      <c r="M141" s="245" t="n">
        <v>13824</v>
      </c>
      <c r="N141" s="245"/>
      <c r="O141" s="245" t="n">
        <v>120</v>
      </c>
      <c r="P141" s="246" t="n">
        <v>3</v>
      </c>
      <c r="Q141" s="219" t="n">
        <v>2</v>
      </c>
      <c r="R141" s="247" t="n">
        <f aca="false">438/7*3</f>
        <v>187.714285714286</v>
      </c>
      <c r="S141" s="272"/>
      <c r="T141" s="248" t="n">
        <f aca="false">_xlfn.xlookup(I141,'Prix MP'!A:A,'Prix MP'!U:U, 0)</f>
        <v>0.307208514182256</v>
      </c>
      <c r="U141" s="249" t="n">
        <f aca="false">(M141+N141)*T141</f>
        <v>4246.85050005551</v>
      </c>
      <c r="V141" s="249" t="n">
        <f aca="false">(K141-M141-L141)*T141</f>
        <v>124.403448824395</v>
      </c>
      <c r="W141" s="250" t="n">
        <f aca="false">IFERROR((K141-M141-L141)/K141,"")</f>
        <v>0.0284594421370262</v>
      </c>
      <c r="X141" s="249" t="n">
        <f aca="false">20.6577/85*O141</f>
        <v>29.1638117647059</v>
      </c>
      <c r="Y141" s="249" t="n">
        <f aca="false">19.2*P141</f>
        <v>57.6</v>
      </c>
      <c r="Z141" s="249" t="n">
        <f aca="false">125000/52/40*Q141</f>
        <v>120.192307692308</v>
      </c>
      <c r="AA141" s="296" t="n">
        <f aca="false">(M141+N141)*T141+R141+V141+X141+Y141+Z141</f>
        <v>4765.9243540512</v>
      </c>
      <c r="AB141" s="285" t="n">
        <f aca="false">_xlfn.xlookup(H141,'Prix vente'!A:A,'Prix vente'!X:X, "")</f>
        <v>0.452</v>
      </c>
      <c r="AC141" s="285" t="str">
        <f aca="false">_xlfn.xlookup(H141,'Prix vente'!A:A,'Prix vente'!Z:Z, "")</f>
        <v>CAD</v>
      </c>
      <c r="AD141" s="249" t="n">
        <f aca="false">IFERROR(IF(AC141="CAD",(M141+N141)*AB141,(M141+N141)*AB141*S141),0)</f>
        <v>6248.448</v>
      </c>
      <c r="AE141" s="249" t="n">
        <f aca="false">AD141-AA141</f>
        <v>1482.5236459488</v>
      </c>
      <c r="AF141" s="273" t="n">
        <f aca="false">IFERROR(1-AA141/AD141,"")</f>
        <v>0.237262700425578</v>
      </c>
      <c r="AG141" s="252" t="n">
        <f aca="false">((M141+N141)*T141+V141)</f>
        <v>4371.2539488799</v>
      </c>
      <c r="AH141" s="273" t="n">
        <f aca="false">IFERROR(AG141/AD141,"")</f>
        <v>0.699574350123407</v>
      </c>
      <c r="AI141" s="273" t="str">
        <f aca="false">IFERROR(IF(AD141=0,"S",""),"S")</f>
        <v/>
      </c>
      <c r="AK141" s="15" t="e">
        <v>#NAME?</v>
      </c>
      <c r="AL141" s="15" t="e">
        <f aca="false">_xlfn.xlookup(AK141,A:A,F:F)</f>
        <v>#NAME?</v>
      </c>
      <c r="AM141" s="15" t="e">
        <f aca="false">_xlfn.xlookup(AK141,A:A,J:J)</f>
        <v>#NAME?</v>
      </c>
      <c r="AN141" s="15" t="e">
        <f aca="false">_xlfn.xlookup(AK141,A:A,M:M)+_xlfn.xlookup(AK141,A:A,N:N)</f>
        <v>#NAME?</v>
      </c>
      <c r="AO141" s="223" t="e">
        <f aca="false">_xlfn.xlookup(AK141,A:A,AG:AG)</f>
        <v>#NAME?</v>
      </c>
      <c r="AP141" s="223" t="e">
        <f aca="false">_xlfn.xlookup(AK141,A:A,AD:AD)</f>
        <v>#NAME?</v>
      </c>
      <c r="AQ141" s="223" t="e">
        <f aca="false">_xlfn.xlookup(AK141,A:A,AE:AE)</f>
        <v>#NAME?</v>
      </c>
      <c r="AX141" s="288"/>
      <c r="AY141" s="288"/>
      <c r="AZ141" s="288"/>
      <c r="BA141" s="15" t="e">
        <v>#NAME?</v>
      </c>
      <c r="BB141" s="257" t="e">
        <f aca="false">_xlfn.xlookup(BA141,A:A,F:F)</f>
        <v>#NAME?</v>
      </c>
      <c r="BC141" s="15" t="e">
        <f aca="false">_xlfn.xlookup(BA141,A:A,J:J)</f>
        <v>#NAME?</v>
      </c>
      <c r="BD141" s="75" t="e">
        <f aca="false">_xlfn.xlookup(BA141,A:A,M:M)+_xlfn.xlookup(BA141,A:A,N:N)</f>
        <v>#NAME?</v>
      </c>
      <c r="BE141" s="75" t="e">
        <f aca="false">_xlfn.xlookup(BA141,A89:A1077,AA89:AA1077)</f>
        <v>#NAME?</v>
      </c>
    </row>
    <row r="142" customFormat="false" ht="16.4" hidden="false" customHeight="false" outlineLevel="0" collapsed="false">
      <c r="A142" s="241" t="s">
        <v>1188</v>
      </c>
      <c r="B142" s="1" t="s">
        <v>889</v>
      </c>
      <c r="C142" s="292" t="n">
        <f aca="false">'Liste WO'!C134</f>
        <v>45623</v>
      </c>
      <c r="D142" s="241" t="n">
        <f aca="false">'Liste WO'!D134</f>
        <v>267</v>
      </c>
      <c r="E142" s="241" t="str">
        <f aca="false">'Liste WO'!E134</f>
        <v>3G Print Group Inc.</v>
      </c>
      <c r="F142" s="241" t="str">
        <f aca="false">_xlfn.xlookup(E142,Clients!B:B,Clients!C:C)</f>
        <v>3G</v>
      </c>
      <c r="G142" s="241" t="n">
        <f aca="false">_xlfn.xlookup(D142,'PO Client'!$A:$A,'PO Client'!$F:$F,FALSE())</f>
        <v>2905</v>
      </c>
      <c r="H142" s="251" t="n">
        <f aca="false">'Liste WO'!I134</f>
        <v>40189</v>
      </c>
      <c r="I142" s="251" t="n">
        <v>30016</v>
      </c>
      <c r="J142" s="244" t="str">
        <f aca="false">'Liste WO'!L134</f>
        <v>B15-3</v>
      </c>
      <c r="K142" s="245" t="n">
        <v>14182.18272</v>
      </c>
      <c r="L142" s="245" t="n">
        <v>6831.216</v>
      </c>
      <c r="M142" s="245" t="n">
        <v>7179.3</v>
      </c>
      <c r="N142" s="245"/>
      <c r="O142" s="245" t="n">
        <v>60</v>
      </c>
      <c r="P142" s="246" t="n">
        <v>2</v>
      </c>
      <c r="Q142" s="219" t="n">
        <v>1</v>
      </c>
      <c r="R142" s="247" t="n">
        <f aca="false">438/7*2</f>
        <v>125.142857142857</v>
      </c>
      <c r="S142" s="272"/>
      <c r="T142" s="248" t="n">
        <f aca="false">_xlfn.xlookup(I142,'Prix MP'!A:A,'Prix MP'!U:U, 0)</f>
        <v>0.326284886247867</v>
      </c>
      <c r="U142" s="249" t="n">
        <f aca="false">(M142+N142)*T142</f>
        <v>2342.49708383931</v>
      </c>
      <c r="V142" s="249" t="n">
        <f aca="false">(K142-M142-L142)*T142</f>
        <v>56.0122562077447</v>
      </c>
      <c r="W142" s="250" t="n">
        <f aca="false">IFERROR((K142-M142-L142)/K142,"")</f>
        <v>0.0121043934766059</v>
      </c>
      <c r="X142" s="249" t="n">
        <f aca="false">20.6577/85*O142</f>
        <v>14.5819058823529</v>
      </c>
      <c r="Y142" s="249" t="n">
        <f aca="false">19.2*P142</f>
        <v>38.4</v>
      </c>
      <c r="Z142" s="249" t="n">
        <f aca="false">125000/52/40*Q142</f>
        <v>60.0961538461539</v>
      </c>
      <c r="AA142" s="296" t="n">
        <f aca="false">(M142+N142)*T142+R142+V142+X142+Y142+Z142</f>
        <v>2636.73025691842</v>
      </c>
      <c r="AB142" s="285" t="n">
        <f aca="false">_xlfn.xlookup(H142,'Prix vente'!A:A,'Prix vente'!X:X, "")</f>
        <v>0.452</v>
      </c>
      <c r="AC142" s="285" t="str">
        <f aca="false">_xlfn.xlookup(H142,'Prix vente'!A:A,'Prix vente'!Z:Z, "")</f>
        <v>CAD</v>
      </c>
      <c r="AD142" s="249" t="n">
        <f aca="false">IFERROR(IF(AC142="CAD",(M142+N142)*AB142,(M142+N142)*AB142*S142),0)</f>
        <v>3245.0436</v>
      </c>
      <c r="AE142" s="249" t="n">
        <f aca="false">AD142-AA142</f>
        <v>608.313343081582</v>
      </c>
      <c r="AF142" s="273" t="n">
        <f aca="false">IFERROR(1-AA142/AD142,"")</f>
        <v>0.187459220295709</v>
      </c>
      <c r="AG142" s="252" t="n">
        <f aca="false">((M142+N142)*T142+V142)</f>
        <v>2398.50934004705</v>
      </c>
      <c r="AH142" s="273" t="n">
        <f aca="false">IFERROR(AG142/AD142,"")</f>
        <v>0.739130081348384</v>
      </c>
      <c r="AI142" s="273" t="str">
        <f aca="false">IFERROR(IF(AD142=0,"S",""),"S")</f>
        <v/>
      </c>
      <c r="AK142" s="15" t="e">
        <v>#NAME?</v>
      </c>
      <c r="AL142" s="15" t="e">
        <f aca="false">_xlfn.xlookup(AK142,A:A,F:F)</f>
        <v>#NAME?</v>
      </c>
      <c r="AM142" s="15" t="e">
        <f aca="false">_xlfn.xlookup(AK142,A:A,J:J)</f>
        <v>#NAME?</v>
      </c>
      <c r="AN142" s="15" t="e">
        <f aca="false">_xlfn.xlookup(AK142,A:A,M:M)+_xlfn.xlookup(AK142,A:A,N:N)</f>
        <v>#NAME?</v>
      </c>
      <c r="AO142" s="223" t="e">
        <f aca="false">_xlfn.xlookup(AK142,A:A,AG:AG)</f>
        <v>#NAME?</v>
      </c>
      <c r="AP142" s="223" t="e">
        <f aca="false">_xlfn.xlookup(AK142,A:A,AD:AD)</f>
        <v>#NAME?</v>
      </c>
      <c r="AQ142" s="223" t="e">
        <f aca="false">_xlfn.xlookup(AK142,A:A,AE:AE)</f>
        <v>#NAME?</v>
      </c>
      <c r="AX142" s="288"/>
      <c r="AY142" s="288"/>
      <c r="AZ142" s="288"/>
      <c r="BA142" s="15" t="e">
        <v>#NAME?</v>
      </c>
      <c r="BB142" s="257" t="e">
        <f aca="false">_xlfn.xlookup(BA142,A:A,F:F)</f>
        <v>#NAME?</v>
      </c>
      <c r="BC142" s="15" t="e">
        <f aca="false">_xlfn.xlookup(BA142,A:A,J:J)</f>
        <v>#NAME?</v>
      </c>
      <c r="BD142" s="75" t="e">
        <f aca="false">_xlfn.xlookup(BA142,A:A,M:M)+_xlfn.xlookup(BA142,A:A,N:N)</f>
        <v>#NAME?</v>
      </c>
      <c r="BE142" s="75" t="e">
        <f aca="false">_xlfn.xlookup(BA142,A90:A1078,AA90:AA1078)</f>
        <v>#NAME?</v>
      </c>
    </row>
    <row r="143" customFormat="false" ht="16.4" hidden="false" customHeight="false" outlineLevel="0" collapsed="false">
      <c r="A143" s="241" t="s">
        <v>1190</v>
      </c>
      <c r="B143" s="1" t="s">
        <v>889</v>
      </c>
      <c r="C143" s="292" t="n">
        <f aca="false">'Liste WO'!C135</f>
        <v>45623</v>
      </c>
      <c r="D143" s="241" t="n">
        <f aca="false">'Liste WO'!D135</f>
        <v>0</v>
      </c>
      <c r="E143" s="241" t="str">
        <f aca="false">'Liste WO'!E135</f>
        <v>3G Print Group Inc.</v>
      </c>
      <c r="F143" s="241" t="str">
        <f aca="false">_xlfn.xlookup(E143,Clients!B:B,Clients!C:C)</f>
        <v>3G</v>
      </c>
      <c r="G143" s="241" t="e">
        <f aca="false">_xlfn.xlookup(D143,'PO Client'!$A:$A,'PO Client'!$F:$F,FALSE())</f>
        <v>#NAME?</v>
      </c>
      <c r="H143" s="251" t="n">
        <f aca="false">'Liste WO'!I135</f>
        <v>0</v>
      </c>
      <c r="I143" s="251" t="n">
        <v>30015</v>
      </c>
      <c r="J143" s="244" t="str">
        <f aca="false">'Liste WO'!L135</f>
        <v>S15-3</v>
      </c>
      <c r="K143" s="245" t="n">
        <v>465.75</v>
      </c>
      <c r="L143" s="245" t="n">
        <v>0</v>
      </c>
      <c r="M143" s="245" t="n">
        <v>316.8</v>
      </c>
      <c r="N143" s="245"/>
      <c r="O143" s="245" t="n">
        <v>12</v>
      </c>
      <c r="P143" s="246" t="n">
        <v>0</v>
      </c>
      <c r="Q143" s="219" t="n">
        <v>0.75</v>
      </c>
      <c r="R143" s="247" t="n">
        <v>0</v>
      </c>
      <c r="S143" s="272"/>
      <c r="T143" s="248" t="n">
        <f aca="false">_xlfn.xlookup(I143,'Prix MP'!A:A,'Prix MP'!U:U, 0)</f>
        <v>0.268854241086576</v>
      </c>
      <c r="U143" s="249" t="n">
        <f aca="false">(M143+N143)*T143</f>
        <v>85.1730235762274</v>
      </c>
      <c r="V143" s="249" t="n">
        <f aca="false">(K143-M143-L143)*T143</f>
        <v>40.0458392098456</v>
      </c>
      <c r="W143" s="250" t="n">
        <f aca="false">IFERROR((K143-M143-L143)/K143,"")</f>
        <v>0.319806763285024</v>
      </c>
      <c r="X143" s="249" t="n">
        <f aca="false">20.6577/85*O143</f>
        <v>2.91638117647059</v>
      </c>
      <c r="Y143" s="249" t="n">
        <f aca="false">19.2*P143</f>
        <v>0</v>
      </c>
      <c r="Z143" s="249" t="n">
        <f aca="false">125000/52/40*Q143</f>
        <v>45.0721153846154</v>
      </c>
      <c r="AA143" s="249" t="n">
        <f aca="false">(M143+N143)*T143+R143+V143+X143+Y143+Z143</f>
        <v>173.207359347159</v>
      </c>
      <c r="AB143" s="285" t="e">
        <f aca="false">_xlfn.xlookup(H143,'Prix vente'!A:A,'Prix vente'!X:X, "")</f>
        <v>#NAME?</v>
      </c>
      <c r="AC143" s="285" t="e">
        <f aca="false">_xlfn.xlookup(H143,'Prix vente'!A:A,'Prix vente'!Z:Z, "")</f>
        <v>#NAME?</v>
      </c>
      <c r="AD143" s="249" t="n">
        <f aca="false">IFERROR(IF(AC143="CAD",(M143+N143)*AB143,(M143+N143)*AB143*S143),0)</f>
        <v>0</v>
      </c>
      <c r="AE143" s="249" t="n">
        <f aca="false">AD143-AA143</f>
        <v>-173.207359347159</v>
      </c>
      <c r="AF143" s="273" t="str">
        <f aca="false">IFERROR(1-AA143/AD143,"")</f>
        <v/>
      </c>
      <c r="AG143" s="252" t="n">
        <f aca="false">((M143+N143)*T143+V143)</f>
        <v>125.218862786073</v>
      </c>
      <c r="AH143" s="273" t="str">
        <f aca="false">IFERROR(AG143/AD143,"")</f>
        <v/>
      </c>
      <c r="AI143" s="273" t="str">
        <f aca="false">IFERROR(IF(AD143=0,"S",""),"S")</f>
        <v>S</v>
      </c>
      <c r="AK143" s="15" t="e">
        <v>#NAME?</v>
      </c>
      <c r="AL143" s="15" t="e">
        <f aca="false">_xlfn.xlookup(AK143,A:A,F:F)</f>
        <v>#NAME?</v>
      </c>
      <c r="AM143" s="15" t="e">
        <f aca="false">_xlfn.xlookup(AK143,A:A,J:J)</f>
        <v>#NAME?</v>
      </c>
      <c r="AN143" s="15" t="e">
        <f aca="false">_xlfn.xlookup(AK143,A:A,M:M)+_xlfn.xlookup(AK143,A:A,N:N)</f>
        <v>#NAME?</v>
      </c>
      <c r="AO143" s="223" t="e">
        <f aca="false">_xlfn.xlookup(AK143,A:A,AG:AG)</f>
        <v>#NAME?</v>
      </c>
      <c r="AP143" s="223" t="e">
        <f aca="false">_xlfn.xlookup(AK143,A:A,AD:AD)</f>
        <v>#NAME?</v>
      </c>
      <c r="AQ143" s="223" t="e">
        <f aca="false">_xlfn.xlookup(AK143,A:A,AE:AE)</f>
        <v>#NAME?</v>
      </c>
      <c r="AX143" s="288"/>
      <c r="AY143" s="288"/>
      <c r="AZ143" s="288"/>
      <c r="BA143" s="15" t="e">
        <v>#NAME?</v>
      </c>
      <c r="BB143" s="257" t="e">
        <f aca="false">_xlfn.xlookup(BA143,A:A,F:F)</f>
        <v>#NAME?</v>
      </c>
      <c r="BC143" s="15" t="e">
        <f aca="false">_xlfn.xlookup(BA143,A:A,J:J)</f>
        <v>#NAME?</v>
      </c>
      <c r="BD143" s="75" t="e">
        <f aca="false">_xlfn.xlookup(BA143,A:A,M:M)+_xlfn.xlookup(BA143,A:A,N:N)</f>
        <v>#NAME?</v>
      </c>
      <c r="BE143" s="75" t="e">
        <f aca="false">_xlfn.xlookup(BA143,A91:A1079,AA91:AA1079)</f>
        <v>#NAME?</v>
      </c>
    </row>
    <row r="144" customFormat="false" ht="16.4" hidden="false" customHeight="false" outlineLevel="0" collapsed="false">
      <c r="A144" s="241" t="s">
        <v>1194</v>
      </c>
      <c r="B144" s="1" t="s">
        <v>889</v>
      </c>
      <c r="C144" s="292" t="n">
        <f aca="false">'Liste WO'!C136</f>
        <v>45624</v>
      </c>
      <c r="D144" s="241" t="n">
        <f aca="false">'Liste WO'!D136</f>
        <v>268</v>
      </c>
      <c r="E144" s="241" t="str">
        <f aca="false">'Liste WO'!E136</f>
        <v>Étiquettes Multi-Flex</v>
      </c>
      <c r="F144" s="241" t="str">
        <f aca="false">_xlfn.xlookup(E144,Clients!B:B,Clients!C:C)</f>
        <v>Multi-Flex</v>
      </c>
      <c r="G144" s="241" t="n">
        <f aca="false">_xlfn.xlookup(D144,'PO Client'!$A:$A,'PO Client'!$F:$F,FALSE())</f>
        <v>9889</v>
      </c>
      <c r="H144" s="251" t="n">
        <f aca="false">'Liste WO'!I136</f>
        <v>40193</v>
      </c>
      <c r="I144" s="251" t="n">
        <f aca="false">'Liste WO'!J136</f>
        <v>30027</v>
      </c>
      <c r="J144" s="244" t="str">
        <f aca="false">'Liste WO'!L136</f>
        <v>B25-3</v>
      </c>
      <c r="K144" s="245" t="n">
        <v>14608.43472</v>
      </c>
      <c r="L144" s="245" t="n">
        <v>7228.32</v>
      </c>
      <c r="M144" s="245" t="n">
        <v>7140</v>
      </c>
      <c r="N144" s="245"/>
      <c r="O144" s="245" t="n">
        <v>60</v>
      </c>
      <c r="P144" s="246" t="n">
        <v>2</v>
      </c>
      <c r="Q144" s="219" t="n">
        <v>1.5</v>
      </c>
      <c r="R144" s="247" t="n">
        <v>98.8</v>
      </c>
      <c r="S144" s="272"/>
      <c r="T144" s="248" t="n">
        <f aca="false">_xlfn.xlookup(I144,'Prix MP'!A:A,'Prix MP'!U:U, 0)</f>
        <v>0.307208514182256</v>
      </c>
      <c r="U144" s="249" t="n">
        <f aca="false">(M144+N144)*T144</f>
        <v>2193.46879126131</v>
      </c>
      <c r="V144" s="249" t="n">
        <f aca="false">(K144-M144-L144)*T144</f>
        <v>73.7652863644888</v>
      </c>
      <c r="W144" s="250" t="n">
        <f aca="false">IFERROR((K144-M144-L144)/K144,"")</f>
        <v>0.0164367178689765</v>
      </c>
      <c r="X144" s="249" t="n">
        <f aca="false">20.6577/85*O144</f>
        <v>14.5819058823529</v>
      </c>
      <c r="Y144" s="249" t="n">
        <f aca="false">19.2*P144</f>
        <v>38.4</v>
      </c>
      <c r="Z144" s="249" t="n">
        <f aca="false">125000/52/40*Q144</f>
        <v>90.1442307692308</v>
      </c>
      <c r="AA144" s="249" t="n">
        <f aca="false">(M144+N144)*T144+R144+V144+X144+Y144+Z144</f>
        <v>2509.16021427738</v>
      </c>
      <c r="AB144" s="285" t="n">
        <f aca="false">_xlfn.xlookup(H144,'Prix vente'!A:A,'Prix vente'!X:X, "")</f>
        <v>0.452</v>
      </c>
      <c r="AC144" s="285" t="str">
        <f aca="false">_xlfn.xlookup(H144,'Prix vente'!A:A,'Prix vente'!Z:Z, "")</f>
        <v>CAD</v>
      </c>
      <c r="AD144" s="249" t="n">
        <f aca="false">IFERROR(IF(AC144="CAD",(M144+N144)*AB144,(M144+N144)*AB144*S144),0)</f>
        <v>3227.28</v>
      </c>
      <c r="AE144" s="249" t="n">
        <f aca="false">AD144-AA144</f>
        <v>718.11978572262</v>
      </c>
      <c r="AF144" s="273" t="n">
        <f aca="false">IFERROR(1-AA144/AD144,"")</f>
        <v>0.222515488498866</v>
      </c>
      <c r="AG144" s="252" t="n">
        <f aca="false">((M144+N144)*T144+V144)</f>
        <v>2267.2340776258</v>
      </c>
      <c r="AH144" s="273" t="n">
        <f aca="false">IFERROR(AG144/AD144,"")</f>
        <v>0.702521652173284</v>
      </c>
      <c r="AI144" s="273" t="str">
        <f aca="false">IFERROR(IF(AD144=0,"S",""),"S")</f>
        <v/>
      </c>
      <c r="AK144" s="15" t="e">
        <v>#NAME?</v>
      </c>
      <c r="AL144" s="15" t="e">
        <f aca="false">_xlfn.xlookup(AK144,A:A,F:F)</f>
        <v>#NAME?</v>
      </c>
      <c r="AM144" s="15" t="e">
        <f aca="false">_xlfn.xlookup(AK144,A:A,J:J)</f>
        <v>#NAME?</v>
      </c>
      <c r="AN144" s="15" t="e">
        <f aca="false">_xlfn.xlookup(AK144,A:A,M:M)+_xlfn.xlookup(AK144,A:A,N:N)</f>
        <v>#NAME?</v>
      </c>
      <c r="AO144" s="223" t="e">
        <f aca="false">_xlfn.xlookup(AK144,A:A,AG:AG)</f>
        <v>#NAME?</v>
      </c>
      <c r="AP144" s="223" t="e">
        <f aca="false">_xlfn.xlookup(AK144,A:A,AD:AD)</f>
        <v>#NAME?</v>
      </c>
      <c r="AQ144" s="223" t="e">
        <f aca="false">_xlfn.xlookup(AK144,A:A,AE:AE)</f>
        <v>#NAME?</v>
      </c>
      <c r="AX144" s="288"/>
      <c r="AY144" s="288"/>
      <c r="AZ144" s="288"/>
      <c r="BA144" s="15" t="e">
        <v>#NAME?</v>
      </c>
      <c r="BB144" s="257" t="e">
        <f aca="false">_xlfn.xlookup(BA144,A:A,F:F)</f>
        <v>#NAME?</v>
      </c>
      <c r="BC144" s="15" t="e">
        <f aca="false">_xlfn.xlookup(BA144,A:A,J:J)</f>
        <v>#NAME?</v>
      </c>
      <c r="BD144" s="75" t="e">
        <f aca="false">_xlfn.xlookup(BA144,A:A,M:M)+_xlfn.xlookup(BA144,A:A,N:N)</f>
        <v>#NAME?</v>
      </c>
      <c r="BE144" s="75" t="e">
        <f aca="false">_xlfn.xlookup(BA144,A92:A1080,AA92:AA1080)</f>
        <v>#NAME?</v>
      </c>
    </row>
    <row r="145" customFormat="false" ht="16.4" hidden="false" customHeight="false" outlineLevel="0" collapsed="false">
      <c r="A145" s="241" t="s">
        <v>1196</v>
      </c>
      <c r="B145" s="1" t="s">
        <v>889</v>
      </c>
      <c r="C145" s="292" t="n">
        <f aca="false">'Liste WO'!C137</f>
        <v>45624</v>
      </c>
      <c r="D145" s="241" t="n">
        <f aca="false">'Liste WO'!D137</f>
        <v>269</v>
      </c>
      <c r="E145" s="241" t="str">
        <f aca="false">'Liste WO'!E137</f>
        <v>Imprimerie Ste-Julie</v>
      </c>
      <c r="F145" s="241" t="str">
        <f aca="false">_xlfn.xlookup(E145,Clients!B:B,Clients!C:C)</f>
        <v>Imprimerie Ste-Julie</v>
      </c>
      <c r="G145" s="241" t="n">
        <f aca="false">_xlfn.xlookup(D145,'PO Client'!$A:$A,'PO Client'!$F:$F,FALSE())</f>
        <v>105970</v>
      </c>
      <c r="H145" s="251" t="n">
        <f aca="false">'Liste WO'!I137</f>
        <v>40084</v>
      </c>
      <c r="I145" s="251" t="n">
        <f aca="false">'Liste WO'!J137</f>
        <v>30027</v>
      </c>
      <c r="J145" s="244" t="str">
        <f aca="false">'Liste WO'!L137</f>
        <v>B25-3</v>
      </c>
      <c r="K145" s="245" t="n">
        <v>14228.94792</v>
      </c>
      <c r="L145" s="245" t="n">
        <v>10517.2056</v>
      </c>
      <c r="M145" s="245" t="n">
        <v>3600</v>
      </c>
      <c r="N145" s="245"/>
      <c r="O145" s="245" t="n">
        <v>60</v>
      </c>
      <c r="P145" s="246" t="n">
        <v>1</v>
      </c>
      <c r="Q145" s="219" t="n">
        <v>2.75</v>
      </c>
      <c r="R145" s="247" t="n">
        <f aca="false">-32.07/3*1</f>
        <v>-10.69</v>
      </c>
      <c r="S145" s="272" t="n">
        <v>1.4056</v>
      </c>
      <c r="T145" s="248" t="n">
        <f aca="false">_xlfn.xlookup(I145,'Prix MP'!A:A,'Prix MP'!U:U, 0)</f>
        <v>0.307208514182256</v>
      </c>
      <c r="U145" s="249" t="n">
        <f aca="false">(M145+N145)*T145</f>
        <v>1105.95065105612</v>
      </c>
      <c r="V145" s="249" t="n">
        <f aca="false">(K145-M145-L145)*T145</f>
        <v>34.3281920984785</v>
      </c>
      <c r="W145" s="250" t="n">
        <f aca="false">IFERROR((K145-M145-L145)/K145,"")</f>
        <v>0.0078531681068941</v>
      </c>
      <c r="X145" s="249" t="n">
        <f aca="false">20.6577/85*O145</f>
        <v>14.5819058823529</v>
      </c>
      <c r="Y145" s="249" t="n">
        <f aca="false">19.2*P145</f>
        <v>19.2</v>
      </c>
      <c r="Z145" s="249" t="n">
        <f aca="false">125000/52/40*Q145</f>
        <v>165.264423076923</v>
      </c>
      <c r="AA145" s="296" t="n">
        <f aca="false">(M145+N145)*T145+R145+V145+X145+Y145+Z145</f>
        <v>1328.63517211388</v>
      </c>
      <c r="AB145" s="285" t="n">
        <f aca="false">_xlfn.xlookup(H145,'Prix vente'!A:A,'Prix vente'!X:X, "")</f>
        <v>0.33</v>
      </c>
      <c r="AC145" s="285" t="str">
        <f aca="false">_xlfn.xlookup(H145,'Prix vente'!A:A,'Prix vente'!Z:Z, "")</f>
        <v>USD</v>
      </c>
      <c r="AD145" s="249" t="n">
        <f aca="false">IFERROR(IF(AC145="CAD",(M145+N145)*AB145,(M145+N145)*AB145*S145),0)</f>
        <v>1669.8528</v>
      </c>
      <c r="AE145" s="249" t="n">
        <f aca="false">AD145-AA145</f>
        <v>341.217627886124</v>
      </c>
      <c r="AF145" s="273" t="n">
        <f aca="false">IFERROR(1-AA145/AD145,"")</f>
        <v>0.204339944147247</v>
      </c>
      <c r="AG145" s="252" t="n">
        <f aca="false">((M145+N145)*T145+V145)</f>
        <v>1140.2788431546</v>
      </c>
      <c r="AH145" s="273" t="n">
        <f aca="false">IFERROR(AG145/AD145,"")</f>
        <v>0.682861892470163</v>
      </c>
      <c r="AI145" s="273" t="str">
        <f aca="false">IFERROR(IF(AD145=0,"S",""),"S")</f>
        <v/>
      </c>
      <c r="AK145" s="15" t="e">
        <v>#NAME?</v>
      </c>
      <c r="AL145" s="15" t="e">
        <f aca="false">_xlfn.xlookup(AK145,A:A,F:F)</f>
        <v>#NAME?</v>
      </c>
      <c r="AM145" s="15" t="e">
        <f aca="false">_xlfn.xlookup(AK145,A:A,J:J)</f>
        <v>#NAME?</v>
      </c>
      <c r="AN145" s="15" t="e">
        <f aca="false">_xlfn.xlookup(AK145,A:A,M:M)+_xlfn.xlookup(AK145,A:A,N:N)</f>
        <v>#NAME?</v>
      </c>
      <c r="AO145" s="223" t="e">
        <f aca="false">_xlfn.xlookup(AK145,A:A,AG:AG)</f>
        <v>#NAME?</v>
      </c>
      <c r="AP145" s="223" t="e">
        <f aca="false">_xlfn.xlookup(AK145,A:A,AD:AD)</f>
        <v>#NAME?</v>
      </c>
      <c r="AQ145" s="223" t="e">
        <f aca="false">_xlfn.xlookup(AK145,A:A,AE:AE)</f>
        <v>#NAME?</v>
      </c>
      <c r="AX145" s="288"/>
      <c r="AY145" s="288"/>
      <c r="AZ145" s="288"/>
      <c r="BA145" s="15" t="e">
        <v>#NAME?</v>
      </c>
      <c r="BB145" s="257" t="e">
        <f aca="false">_xlfn.xlookup(BA145,A:A,F:F)</f>
        <v>#NAME?</v>
      </c>
      <c r="BC145" s="15" t="e">
        <f aca="false">_xlfn.xlookup(BA145,A:A,J:J)</f>
        <v>#NAME?</v>
      </c>
      <c r="BD145" s="75" t="e">
        <f aca="false">_xlfn.xlookup(BA145,A:A,M:M)+_xlfn.xlookup(BA145,A:A,N:N)</f>
        <v>#NAME?</v>
      </c>
      <c r="BE145" s="75" t="e">
        <f aca="false">_xlfn.xlookup(BA145,A93:A1081,AA93:AA1081)</f>
        <v>#NAME?</v>
      </c>
    </row>
    <row r="146" customFormat="false" ht="16.4" hidden="false" customHeight="false" outlineLevel="0" collapsed="false">
      <c r="A146" s="241" t="s">
        <v>1199</v>
      </c>
      <c r="B146" s="1" t="s">
        <v>889</v>
      </c>
      <c r="C146" s="292" t="n">
        <f aca="false">'Liste WO'!C138</f>
        <v>45624</v>
      </c>
      <c r="D146" s="241" t="n">
        <f aca="false">'Liste WO'!D138</f>
        <v>270</v>
      </c>
      <c r="E146" s="241" t="str">
        <f aca="false">'Liste WO'!E138</f>
        <v>Gignac + Unik</v>
      </c>
      <c r="F146" s="241" t="str">
        <f aca="false">_xlfn.xlookup(E146,Clients!B:B,Clients!C:C)</f>
        <v>Unik</v>
      </c>
      <c r="G146" s="241" t="str">
        <f aca="false">_xlfn.xlookup(D146,'PO Client'!$A:$A,'PO Client'!$F:$F,FALSE())</f>
        <v>Échantillons</v>
      </c>
      <c r="H146" s="251" t="n">
        <f aca="false">'Liste WO'!I138</f>
        <v>40195</v>
      </c>
      <c r="I146" s="251" t="n">
        <f aca="false">'Liste WO'!J138</f>
        <v>30029</v>
      </c>
      <c r="J146" s="244" t="str">
        <f aca="false">'Liste WO'!L138</f>
        <v>D11-3</v>
      </c>
      <c r="K146" s="245" t="n">
        <v>576</v>
      </c>
      <c r="L146" s="245" t="n">
        <v>0</v>
      </c>
      <c r="M146" s="245" t="n">
        <v>576</v>
      </c>
      <c r="N146" s="245"/>
      <c r="O146" s="245" t="n">
        <v>10</v>
      </c>
      <c r="P146" s="246" t="n">
        <v>1</v>
      </c>
      <c r="Q146" s="219" t="n">
        <v>0</v>
      </c>
      <c r="R146" s="247" t="n">
        <f aca="false">155/3</f>
        <v>51.6666666666667</v>
      </c>
      <c r="S146" s="272"/>
      <c r="T146" s="248" t="n">
        <f aca="false">_xlfn.xlookup(I146,'Prix MP'!A:A,'Prix MP'!U:U, 0)</f>
        <v>0.285235933537095</v>
      </c>
      <c r="U146" s="249" t="n">
        <f aca="false">(M146+N146)*T146</f>
        <v>164.295897717367</v>
      </c>
      <c r="V146" s="249" t="n">
        <f aca="false">(K146-M146-L146)*T146</f>
        <v>0</v>
      </c>
      <c r="W146" s="250" t="n">
        <f aca="false">IFERROR((K146-M146-L146)/K146,"")</f>
        <v>0</v>
      </c>
      <c r="X146" s="249" t="n">
        <f aca="false">20.6577/85*O146</f>
        <v>2.43031764705882</v>
      </c>
      <c r="Y146" s="249" t="n">
        <f aca="false">19.2*P146</f>
        <v>19.2</v>
      </c>
      <c r="Z146" s="249" t="n">
        <f aca="false">125000/52/40*Q146</f>
        <v>0</v>
      </c>
      <c r="AA146" s="249" t="n">
        <f aca="false">(M146+N146)*T146+R146+V146+X146+Y146+Z146</f>
        <v>237.592882031092</v>
      </c>
      <c r="AB146" s="285" t="n">
        <f aca="false">_xlfn.xlookup(H146,'Prix vente'!A:A,'Prix vente'!X:X, "")</f>
        <v>0</v>
      </c>
      <c r="AC146" s="285" t="str">
        <f aca="false">_xlfn.xlookup(H146,'Prix vente'!A:A,'Prix vente'!Z:Z, "")</f>
        <v>CAD</v>
      </c>
      <c r="AD146" s="249" t="n">
        <f aca="false">IFERROR(IF(AC146="CAD",(M146+N146)*AB146,(M146+N146)*AB146*S146),0)</f>
        <v>0</v>
      </c>
      <c r="AE146" s="249" t="n">
        <f aca="false">AD146-AA146</f>
        <v>-237.592882031092</v>
      </c>
      <c r="AF146" s="273" t="str">
        <f aca="false">IFERROR(1-AA146/AD146,"")</f>
        <v/>
      </c>
      <c r="AG146" s="252" t="n">
        <f aca="false">((M146+N146)*T146+V146)</f>
        <v>164.295897717367</v>
      </c>
      <c r="AH146" s="273" t="str">
        <f aca="false">IFERROR(AG146/AD146,"")</f>
        <v/>
      </c>
      <c r="AI146" s="273" t="str">
        <f aca="false">IFERROR(IF(AD146=0,"S",""),"S")</f>
        <v>S</v>
      </c>
      <c r="AK146" s="15" t="e">
        <v>#NAME?</v>
      </c>
      <c r="AL146" s="15" t="e">
        <f aca="false">_xlfn.xlookup(AK146,A:A,F:F)</f>
        <v>#NAME?</v>
      </c>
      <c r="AM146" s="15" t="e">
        <f aca="false">_xlfn.xlookup(AK146,A:A,J:J)</f>
        <v>#NAME?</v>
      </c>
      <c r="AN146" s="15" t="e">
        <f aca="false">_xlfn.xlookup(AK146,A:A,M:M)+_xlfn.xlookup(AK146,A:A,N:N)</f>
        <v>#NAME?</v>
      </c>
      <c r="AO146" s="223" t="e">
        <f aca="false">_xlfn.xlookup(AK146,A:A,AG:AG)</f>
        <v>#NAME?</v>
      </c>
      <c r="AP146" s="223" t="e">
        <f aca="false">_xlfn.xlookup(AK146,A:A,AD:AD)</f>
        <v>#NAME?</v>
      </c>
      <c r="AQ146" s="223" t="e">
        <f aca="false">_xlfn.xlookup(AK146,A:A,AE:AE)</f>
        <v>#NAME?</v>
      </c>
      <c r="AX146" s="288"/>
      <c r="AY146" s="288"/>
      <c r="AZ146" s="288"/>
      <c r="BA146" s="15" t="e">
        <v>#NAME?</v>
      </c>
      <c r="BB146" s="257" t="e">
        <f aca="false">_xlfn.xlookup(BA146,A:A,F:F)</f>
        <v>#NAME?</v>
      </c>
      <c r="BC146" s="15" t="e">
        <f aca="false">_xlfn.xlookup(BA146,A:A,J:J)</f>
        <v>#NAME?</v>
      </c>
      <c r="BD146" s="75" t="e">
        <f aca="false">_xlfn.xlookup(BA146,A:A,M:M)+_xlfn.xlookup(BA146,A:A,N:N)</f>
        <v>#NAME?</v>
      </c>
      <c r="BE146" s="75" t="e">
        <f aca="false">_xlfn.xlookup(BA146,A94:A1082,AA94:AA1082)</f>
        <v>#NAME?</v>
      </c>
    </row>
    <row r="147" customFormat="false" ht="16.4" hidden="false" customHeight="false" outlineLevel="0" collapsed="false">
      <c r="A147" s="241" t="s">
        <v>1202</v>
      </c>
      <c r="B147" s="1" t="s">
        <v>889</v>
      </c>
      <c r="C147" s="292" t="n">
        <f aca="false">'Liste WO'!C139</f>
        <v>45624</v>
      </c>
      <c r="D147" s="241" t="n">
        <f aca="false">'Liste WO'!D139</f>
        <v>270</v>
      </c>
      <c r="E147" s="241" t="str">
        <f aca="false">'Liste WO'!E139</f>
        <v>Gignac + Unik</v>
      </c>
      <c r="F147" s="241" t="str">
        <f aca="false">_xlfn.xlookup(E147,Clients!B:B,Clients!C:C)</f>
        <v>Unik</v>
      </c>
      <c r="G147" s="241" t="str">
        <f aca="false">_xlfn.xlookup(D147,'PO Client'!$A:$A,'PO Client'!$F:$F,FALSE())</f>
        <v>Échantillons</v>
      </c>
      <c r="H147" s="251" t="n">
        <f aca="false">'Liste WO'!I139</f>
        <v>40196</v>
      </c>
      <c r="I147" s="251" t="n">
        <f aca="false">'Liste WO'!J139</f>
        <v>30023</v>
      </c>
      <c r="J147" s="244" t="str">
        <f aca="false">'Liste WO'!L139</f>
        <v>T11-1</v>
      </c>
      <c r="K147" s="245" t="n">
        <v>958.8</v>
      </c>
      <c r="L147" s="245" t="n">
        <v>655.5</v>
      </c>
      <c r="M147" s="245" t="n">
        <v>276</v>
      </c>
      <c r="N147" s="245"/>
      <c r="O147" s="245" t="n">
        <v>10</v>
      </c>
      <c r="P147" s="246" t="n">
        <v>1</v>
      </c>
      <c r="Q147" s="219" t="n">
        <v>0.75</v>
      </c>
      <c r="R147" s="247" t="n">
        <f aca="false">155/3</f>
        <v>51.6666666666667</v>
      </c>
      <c r="S147" s="272"/>
      <c r="T147" s="248" t="n">
        <f aca="false">_xlfn.xlookup(I147,'Prix MP'!A:A,'Prix MP'!U:U, 0)</f>
        <v>0.2951148717267</v>
      </c>
      <c r="U147" s="249" t="n">
        <f aca="false">(M147+N147)*T147</f>
        <v>81.4517045965692</v>
      </c>
      <c r="V147" s="249" t="n">
        <f aca="false">(K147-M147-L147)*T147</f>
        <v>8.0566359981389</v>
      </c>
      <c r="W147" s="250" t="n">
        <f aca="false">IFERROR((K147-M147-L147)/K147,"")</f>
        <v>0.0284730913642052</v>
      </c>
      <c r="X147" s="249" t="n">
        <f aca="false">20.6577/85*O147</f>
        <v>2.43031764705882</v>
      </c>
      <c r="Y147" s="249" t="n">
        <f aca="false">19.2*P147</f>
        <v>19.2</v>
      </c>
      <c r="Z147" s="249" t="n">
        <f aca="false">125000/52/40*Q147</f>
        <v>45.0721153846154</v>
      </c>
      <c r="AA147" s="249" t="n">
        <f aca="false">(M147+N147)*T147+R147+V147+X147+Y147+Z147</f>
        <v>207.877440293049</v>
      </c>
      <c r="AB147" s="285" t="n">
        <f aca="false">_xlfn.xlookup(H147,'Prix vente'!A:A,'Prix vente'!X:X, "")</f>
        <v>0</v>
      </c>
      <c r="AC147" s="285" t="str">
        <f aca="false">_xlfn.xlookup(H147,'Prix vente'!A:A,'Prix vente'!Z:Z, "")</f>
        <v>CAD</v>
      </c>
      <c r="AD147" s="249" t="n">
        <f aca="false">IFERROR(IF(AC147="CAD",(M147+N147)*AB147,(M147+N147)*AB147*S147),0)</f>
        <v>0</v>
      </c>
      <c r="AE147" s="249" t="n">
        <f aca="false">AD147-AA147</f>
        <v>-207.877440293049</v>
      </c>
      <c r="AF147" s="273" t="str">
        <f aca="false">IFERROR(1-AA147/AD147,"")</f>
        <v/>
      </c>
      <c r="AG147" s="252" t="n">
        <f aca="false">((M147+N147)*T147+V147)</f>
        <v>89.5083405947081</v>
      </c>
      <c r="AH147" s="273" t="str">
        <f aca="false">IFERROR(AG147/AD147,"")</f>
        <v/>
      </c>
      <c r="AI147" s="273" t="str">
        <f aca="false">IFERROR(IF(AD147=0,"S",""),"S")</f>
        <v>S</v>
      </c>
      <c r="AK147" s="15" t="e">
        <v>#NAME?</v>
      </c>
      <c r="AL147" s="15" t="e">
        <f aca="false">_xlfn.xlookup(AK147,A:A,F:F)</f>
        <v>#NAME?</v>
      </c>
      <c r="AM147" s="15" t="e">
        <f aca="false">_xlfn.xlookup(AK147,A:A,J:J)</f>
        <v>#NAME?</v>
      </c>
      <c r="AN147" s="15" t="e">
        <f aca="false">_xlfn.xlookup(AK147,A:A,M:M)+_xlfn.xlookup(AK147,A:A,N:N)</f>
        <v>#NAME?</v>
      </c>
      <c r="AO147" s="223" t="e">
        <f aca="false">_xlfn.xlookup(AK147,A:A,AG:AG)</f>
        <v>#NAME?</v>
      </c>
      <c r="AP147" s="223" t="e">
        <f aca="false">_xlfn.xlookup(AK147,A:A,AD:AD)</f>
        <v>#NAME?</v>
      </c>
      <c r="AQ147" s="223" t="e">
        <f aca="false">_xlfn.xlookup(AK147,A:A,AE:AE)</f>
        <v>#NAME?</v>
      </c>
      <c r="AX147" s="288"/>
      <c r="AY147" s="288"/>
      <c r="AZ147" s="288"/>
      <c r="BA147" s="15" t="e">
        <v>#NAME?</v>
      </c>
      <c r="BB147" s="257" t="e">
        <f aca="false">_xlfn.xlookup(BA147,A:A,F:F)</f>
        <v>#NAME?</v>
      </c>
      <c r="BC147" s="15" t="e">
        <f aca="false">_xlfn.xlookup(BA147,A:A,J:J)</f>
        <v>#NAME?</v>
      </c>
      <c r="BD147" s="75" t="e">
        <f aca="false">_xlfn.xlookup(BA147,A:A,M:M)+_xlfn.xlookup(BA147,A:A,N:N)</f>
        <v>#NAME?</v>
      </c>
      <c r="BE147" s="75" t="e">
        <f aca="false">_xlfn.xlookup(BA147,A95:A1083,AA95:AA1083)</f>
        <v>#NAME?</v>
      </c>
    </row>
    <row r="148" customFormat="false" ht="16.4" hidden="false" customHeight="false" outlineLevel="0" collapsed="false">
      <c r="A148" s="241" t="s">
        <v>1205</v>
      </c>
      <c r="B148" s="1" t="s">
        <v>889</v>
      </c>
      <c r="C148" s="292" t="n">
        <f aca="false">'Liste WO'!C140</f>
        <v>45624</v>
      </c>
      <c r="D148" s="241" t="n">
        <f aca="false">'Liste WO'!D140</f>
        <v>270</v>
      </c>
      <c r="E148" s="241" t="str">
        <f aca="false">'Liste WO'!E140</f>
        <v>Gignac + Unik</v>
      </c>
      <c r="F148" s="241" t="str">
        <f aca="false">_xlfn.xlookup(E148,Clients!B:B,Clients!C:C)</f>
        <v>Unik</v>
      </c>
      <c r="G148" s="241" t="str">
        <f aca="false">_xlfn.xlookup(D148,'PO Client'!$A:$A,'PO Client'!$F:$F,FALSE())</f>
        <v>Échantillons</v>
      </c>
      <c r="H148" s="251" t="n">
        <f aca="false">'Liste WO'!I140</f>
        <v>40197</v>
      </c>
      <c r="I148" s="251" t="n">
        <f aca="false">'Liste WO'!J140</f>
        <v>30015</v>
      </c>
      <c r="J148" s="244" t="str">
        <f aca="false">'Liste WO'!L140</f>
        <v>S15-3</v>
      </c>
      <c r="K148" s="245" t="n">
        <v>860.1</v>
      </c>
      <c r="L148" s="245" t="n">
        <v>558.9</v>
      </c>
      <c r="M148" s="245" t="n">
        <v>276</v>
      </c>
      <c r="N148" s="245"/>
      <c r="O148" s="245" t="n">
        <v>10</v>
      </c>
      <c r="P148" s="246" t="n">
        <v>1</v>
      </c>
      <c r="Q148" s="219" t="n">
        <v>0.66</v>
      </c>
      <c r="R148" s="247" t="n">
        <f aca="false">155/3</f>
        <v>51.6666666666667</v>
      </c>
      <c r="S148" s="272"/>
      <c r="T148" s="248" t="n">
        <f aca="false">_xlfn.xlookup(I148,'Prix MP'!A:A,'Prix MP'!U:U, 0)</f>
        <v>0.268854241086576</v>
      </c>
      <c r="U148" s="249" t="n">
        <f aca="false">(M148+N148)*T148</f>
        <v>74.2037705398951</v>
      </c>
      <c r="V148" s="249" t="n">
        <f aca="false">(K148-M148-L148)*T148</f>
        <v>6.77512687538174</v>
      </c>
      <c r="W148" s="250" t="n">
        <f aca="false">IFERROR((K148-M148-L148)/K148,"")</f>
        <v>0.0292989187303802</v>
      </c>
      <c r="X148" s="249" t="n">
        <f aca="false">20.6577/85*O148</f>
        <v>2.43031764705882</v>
      </c>
      <c r="Y148" s="249" t="n">
        <f aca="false">19.2*P148</f>
        <v>19.2</v>
      </c>
      <c r="Z148" s="249" t="n">
        <f aca="false">125000/52/40*Q148</f>
        <v>39.6634615384616</v>
      </c>
      <c r="AA148" s="249" t="n">
        <f aca="false">(M148+N148)*T148+R148+V148+X148+Y148+Z148</f>
        <v>193.939343267464</v>
      </c>
      <c r="AB148" s="285" t="n">
        <f aca="false">_xlfn.xlookup(H148,'Prix vente'!A:A,'Prix vente'!X:X, "")</f>
        <v>0</v>
      </c>
      <c r="AC148" s="285" t="str">
        <f aca="false">_xlfn.xlookup(H148,'Prix vente'!A:A,'Prix vente'!Z:Z, "")</f>
        <v>CAD</v>
      </c>
      <c r="AD148" s="249" t="n">
        <f aca="false">IFERROR(IF(AC148="CAD",(M148+N148)*AB148,(M148+N148)*AB148*S148),0)</f>
        <v>0</v>
      </c>
      <c r="AE148" s="249" t="n">
        <f aca="false">AD148-AA148</f>
        <v>-193.939343267464</v>
      </c>
      <c r="AF148" s="273" t="str">
        <f aca="false">IFERROR(1-AA148/AD148,"")</f>
        <v/>
      </c>
      <c r="AG148" s="252" t="n">
        <f aca="false">((M148+N148)*T148+V148)</f>
        <v>80.9788974152768</v>
      </c>
      <c r="AH148" s="273" t="str">
        <f aca="false">IFERROR(AG148/AD148,"")</f>
        <v/>
      </c>
      <c r="AI148" s="273" t="str">
        <f aca="false">IFERROR(IF(AD148=0,"S",""),"S")</f>
        <v>S</v>
      </c>
      <c r="AK148" s="15" t="e">
        <v>#NAME?</v>
      </c>
      <c r="AL148" s="15" t="e">
        <f aca="false">_xlfn.xlookup(AK148,A:A,F:F)</f>
        <v>#NAME?</v>
      </c>
      <c r="AM148" s="15" t="e">
        <f aca="false">_xlfn.xlookup(AK148,A:A,J:J)</f>
        <v>#NAME?</v>
      </c>
      <c r="AN148" s="15" t="e">
        <f aca="false">_xlfn.xlookup(AK148,A:A,M:M)+_xlfn.xlookup(AK148,A:A,N:N)</f>
        <v>#NAME?</v>
      </c>
      <c r="AO148" s="223" t="e">
        <f aca="false">_xlfn.xlookup(AK148,A:A,AG:AG)</f>
        <v>#NAME?</v>
      </c>
      <c r="AP148" s="223" t="e">
        <f aca="false">_xlfn.xlookup(AK148,A:A,AD:AD)</f>
        <v>#NAME?</v>
      </c>
      <c r="AQ148" s="223" t="e">
        <f aca="false">_xlfn.xlookup(AK148,A:A,AE:AE)</f>
        <v>#NAME?</v>
      </c>
      <c r="AX148" s="288"/>
      <c r="AY148" s="288"/>
      <c r="AZ148" s="288"/>
      <c r="BB148" s="257" t="e">
        <f aca="false">_xlfn.xlookup(BA148,A:A,F:F)</f>
        <v>#NAME?</v>
      </c>
      <c r="BC148" s="15" t="e">
        <f aca="false">_xlfn.xlookup(BA148,A:A,J:J)</f>
        <v>#NAME?</v>
      </c>
      <c r="BD148" s="75" t="e">
        <f aca="false">_xlfn.xlookup(BA148,A:A,M:M)+_xlfn.xlookup(BA148,A:A,N:N)</f>
        <v>#NAME?</v>
      </c>
      <c r="BE148" s="75" t="e">
        <f aca="false">_xlfn.xlookup(BA148,A96:A1084,AA96:AA1084)</f>
        <v>#NAME?</v>
      </c>
    </row>
    <row r="149" customFormat="false" ht="16.4" hidden="false" customHeight="false" outlineLevel="0" collapsed="false">
      <c r="A149" s="241" t="s">
        <v>1208</v>
      </c>
      <c r="B149" s="1" t="s">
        <v>889</v>
      </c>
      <c r="C149" s="292" t="n">
        <f aca="false">'Liste WO'!C141</f>
        <v>45628</v>
      </c>
      <c r="D149" s="241" t="n">
        <f aca="false">'Liste WO'!D141</f>
        <v>271</v>
      </c>
      <c r="E149" s="241" t="str">
        <f aca="false">'Liste WO'!E141</f>
        <v>Emballages Mijo</v>
      </c>
      <c r="F149" s="241" t="str">
        <f aca="false">_xlfn.xlookup(E149,Clients!B:B,Clients!C:C)</f>
        <v>Mijo</v>
      </c>
      <c r="G149" s="241" t="n">
        <f aca="false">_xlfn.xlookup(D149,'PO Client'!$A:$A,'PO Client'!$F:$F,FALSE())</f>
        <v>14302</v>
      </c>
      <c r="H149" s="251" t="n">
        <f aca="false">'Liste WO'!I141</f>
        <v>40171</v>
      </c>
      <c r="I149" s="251" t="n">
        <f aca="false">'Liste WO'!J141</f>
        <v>30031</v>
      </c>
      <c r="J149" s="244" t="str">
        <f aca="false">'Liste WO'!L141</f>
        <v>S15-3</v>
      </c>
      <c r="K149" s="245" t="n">
        <v>28576.440288</v>
      </c>
      <c r="L149" s="245" t="n">
        <v>10987.0464</v>
      </c>
      <c r="M149" s="245" t="n">
        <v>17424</v>
      </c>
      <c r="N149" s="245"/>
      <c r="O149" s="245" t="n">
        <v>180</v>
      </c>
      <c r="P149" s="246" t="n">
        <v>6</v>
      </c>
      <c r="Q149" s="219" t="n">
        <v>5</v>
      </c>
      <c r="R149" s="247" t="n">
        <v>292.5</v>
      </c>
      <c r="S149" s="272"/>
      <c r="T149" s="248" t="n">
        <f aca="false">_xlfn.xlookup(I149,'Prix MP'!A:A,'Prix MP'!U:U, 0)</f>
        <v>0.258868836762901</v>
      </c>
      <c r="U149" s="249" t="n">
        <f aca="false">(M149+N149)*T149</f>
        <v>4510.53061175679</v>
      </c>
      <c r="V149" s="249" t="n">
        <f aca="false">(K149-M149-L149)*T149</f>
        <v>42.8153233942523</v>
      </c>
      <c r="W149" s="250" t="n">
        <f aca="false">IFERROR((K149-M149-L149)/K149,"")</f>
        <v>0.00578777084665259</v>
      </c>
      <c r="X149" s="249" t="n">
        <f aca="false">20.6577/85*O149</f>
        <v>43.7457176470588</v>
      </c>
      <c r="Y149" s="249" t="n">
        <f aca="false">19.2*P149</f>
        <v>115.2</v>
      </c>
      <c r="Z149" s="249" t="n">
        <f aca="false">125000/52/40*Q149</f>
        <v>300.480769230769</v>
      </c>
      <c r="AA149" s="249" t="n">
        <f aca="false">(M149+N149)*T149+R149+V149+X149+Y149+Z149</f>
        <v>5305.27242202887</v>
      </c>
      <c r="AB149" s="285" t="n">
        <f aca="false">_xlfn.xlookup(H149,'Prix vente'!A:A,'Prix vente'!X:X, "")</f>
        <v>0.347</v>
      </c>
      <c r="AC149" s="285" t="str">
        <f aca="false">_xlfn.xlookup(H149,'Prix vente'!A:A,'Prix vente'!Z:Z, "")</f>
        <v>CAD</v>
      </c>
      <c r="AD149" s="249" t="n">
        <f aca="false">IFERROR(IF(AC149="CAD",(M149+N149)*AB149,(M149+N149)*AB149*S149),0)</f>
        <v>6046.128</v>
      </c>
      <c r="AE149" s="249" t="n">
        <f aca="false">AD149-AA149</f>
        <v>740.855577971132</v>
      </c>
      <c r="AF149" s="273" t="n">
        <f aca="false">IFERROR(1-AA149/AD149,"")</f>
        <v>0.122533889122283</v>
      </c>
      <c r="AG149" s="252" t="n">
        <f aca="false">((M149+N149)*T149+V149)</f>
        <v>4553.34593515104</v>
      </c>
      <c r="AH149" s="273" t="n">
        <f aca="false">IFERROR(AG149/AD149,"")</f>
        <v>0.753101147569327</v>
      </c>
      <c r="AI149" s="273" t="str">
        <f aca="false">IFERROR(IF(AD149=0,"S",""),"S")</f>
        <v/>
      </c>
      <c r="AK149" s="15" t="e">
        <v>#NAME?</v>
      </c>
      <c r="AL149" s="15" t="e">
        <f aca="false">_xlfn.xlookup(AK149,A:A,F:F)</f>
        <v>#NAME?</v>
      </c>
      <c r="AM149" s="15" t="e">
        <f aca="false">_xlfn.xlookup(AK149,A:A,J:J)</f>
        <v>#NAME?</v>
      </c>
      <c r="AN149" s="15" t="e">
        <f aca="false">_xlfn.xlookup(AK149,A:A,M:M)+_xlfn.xlookup(AK149,A:A,N:N)</f>
        <v>#NAME?</v>
      </c>
      <c r="AO149" s="223" t="e">
        <f aca="false">_xlfn.xlookup(AK149,A:A,AG:AG)</f>
        <v>#NAME?</v>
      </c>
      <c r="AP149" s="223" t="e">
        <f aca="false">_xlfn.xlookup(AK149,A:A,AD:AD)</f>
        <v>#NAME?</v>
      </c>
      <c r="AQ149" s="223" t="e">
        <f aca="false">_xlfn.xlookup(AK149,A:A,AE:AE)</f>
        <v>#NAME?</v>
      </c>
      <c r="AX149" s="288"/>
      <c r="AY149" s="288"/>
      <c r="AZ149" s="288"/>
      <c r="BB149" s="257" t="e">
        <f aca="false">_xlfn.xlookup(BA149,A:A,F:F)</f>
        <v>#NAME?</v>
      </c>
      <c r="BC149" s="15" t="e">
        <f aca="false">_xlfn.xlookup(BA149,A:A,J:J)</f>
        <v>#NAME?</v>
      </c>
      <c r="BD149" s="75" t="e">
        <f aca="false">_xlfn.xlookup(BA149,A:A,M:M)+_xlfn.xlookup(BA149,A:A,N:N)</f>
        <v>#NAME?</v>
      </c>
      <c r="BE149" s="75" t="e">
        <f aca="false">_xlfn.xlookup(BA149,A97:A1085,AA97:AA1085)</f>
        <v>#NAME?</v>
      </c>
    </row>
    <row r="150" customFormat="false" ht="16.4" hidden="false" customHeight="false" outlineLevel="0" collapsed="false">
      <c r="A150" s="241" t="s">
        <v>1211</v>
      </c>
      <c r="B150" s="1" t="s">
        <v>889</v>
      </c>
      <c r="C150" s="292" t="n">
        <f aca="false">'Liste WO'!C142</f>
        <v>45628</v>
      </c>
      <c r="D150" s="241" t="n">
        <f aca="false">'Liste WO'!D142</f>
        <v>272</v>
      </c>
      <c r="E150" s="241" t="str">
        <f aca="false">'Liste WO'!E142</f>
        <v>Étiquettes Rive-Sud+Unik</v>
      </c>
      <c r="F150" s="241" t="s">
        <v>100</v>
      </c>
      <c r="G150" s="241" t="n">
        <f aca="false">_xlfn.xlookup(D150,'PO Client'!$A:$A,'PO Client'!$F:$F,FALSE())</f>
        <v>281124</v>
      </c>
      <c r="H150" s="251" t="n">
        <f aca="false">'Liste WO'!I142</f>
        <v>40199</v>
      </c>
      <c r="I150" s="251" t="n">
        <f aca="false">'Liste WO'!J142</f>
        <v>30029</v>
      </c>
      <c r="J150" s="244" t="str">
        <f aca="false">'Liste WO'!L142</f>
        <v>D11-3</v>
      </c>
      <c r="K150" s="245" t="n">
        <v>14158.110384</v>
      </c>
      <c r="L150" s="245" t="n">
        <v>9533.3352</v>
      </c>
      <c r="M150" s="245" t="n">
        <v>4536</v>
      </c>
      <c r="N150" s="245"/>
      <c r="O150" s="245" t="n">
        <v>78.75</v>
      </c>
      <c r="P150" s="246" t="n">
        <v>1</v>
      </c>
      <c r="Q150" s="219" t="n">
        <v>2</v>
      </c>
      <c r="R150" s="247" t="n">
        <v>130</v>
      </c>
      <c r="S150" s="272"/>
      <c r="T150" s="248" t="n">
        <f aca="false">_xlfn.xlookup(I150,'Prix MP'!A:A,'Prix MP'!U:U, 0)</f>
        <v>0.285235933537095</v>
      </c>
      <c r="U150" s="249" t="n">
        <f aca="false">(M150+N150)*T150</f>
        <v>1293.83019452426</v>
      </c>
      <c r="V150" s="249" t="n">
        <f aca="false">(K150-M150-L150)*T150</f>
        <v>25.3218724831674</v>
      </c>
      <c r="W150" s="250" t="n">
        <f aca="false">IFERROR((K150-M150-L150)/K150,"")</f>
        <v>0.00627027064998197</v>
      </c>
      <c r="X150" s="249" t="n">
        <f aca="false">20.6577/85*O150</f>
        <v>19.1387514705882</v>
      </c>
      <c r="Y150" s="249" t="n">
        <f aca="false">19.2*P150</f>
        <v>19.2</v>
      </c>
      <c r="Z150" s="249" t="n">
        <f aca="false">125000/52/40*Q150</f>
        <v>120.192307692308</v>
      </c>
      <c r="AA150" s="249" t="n">
        <f aca="false">(M150+N150)*T150+R150+V150+X150+Y150+Z150</f>
        <v>1607.68312617032</v>
      </c>
      <c r="AB150" s="285" t="n">
        <v>0</v>
      </c>
      <c r="AC150" s="285" t="str">
        <f aca="false">_xlfn.xlookup(H150,'Prix vente'!A:A,'Prix vente'!Z:Z, "")</f>
        <v>CAD</v>
      </c>
      <c r="AD150" s="249" t="n">
        <f aca="false">IFERROR(IF(AC150="CAD",(M150+N150)*AB150,(M150+N150)*AB150*S150),0)</f>
        <v>0</v>
      </c>
      <c r="AE150" s="249" t="n">
        <f aca="false">AD150-AA150</f>
        <v>-1607.68312617032</v>
      </c>
      <c r="AF150" s="273" t="str">
        <f aca="false">IFERROR(1-AA150/AD150,"")</f>
        <v/>
      </c>
      <c r="AG150" s="252" t="n">
        <f aca="false">((M150+N150)*T150+V150)</f>
        <v>1319.15206700743</v>
      </c>
      <c r="AH150" s="273" t="str">
        <f aca="false">IFERROR(AG150/AD150,"")</f>
        <v/>
      </c>
      <c r="AI150" s="273"/>
      <c r="AK150" s="15" t="e">
        <v>#NAME?</v>
      </c>
      <c r="AL150" s="15" t="e">
        <f aca="false">_xlfn.xlookup(AK150,A:A,F:F)</f>
        <v>#NAME?</v>
      </c>
      <c r="AM150" s="15" t="e">
        <f aca="false">_xlfn.xlookup(AK150,A:A,J:J)</f>
        <v>#NAME?</v>
      </c>
      <c r="AN150" s="15" t="e">
        <f aca="false">_xlfn.xlookup(AK150,A:A,M:M)+_xlfn.xlookup(AK150,A:A,N:N)</f>
        <v>#NAME?</v>
      </c>
      <c r="AO150" s="223" t="e">
        <f aca="false">_xlfn.xlookup(AK150,A:A,AG:AG)</f>
        <v>#NAME?</v>
      </c>
      <c r="AP150" s="223" t="e">
        <f aca="false">_xlfn.xlookup(AK150,A:A,AD:AD)</f>
        <v>#NAME?</v>
      </c>
      <c r="AQ150" s="223" t="e">
        <f aca="false">_xlfn.xlookup(AK150,A:A,AE:AE)</f>
        <v>#NAME?</v>
      </c>
      <c r="AX150" s="288"/>
      <c r="AY150" s="288"/>
      <c r="AZ150" s="288"/>
      <c r="BB150" s="257" t="e">
        <f aca="false">_xlfn.xlookup(BA150,A:A,F:F)</f>
        <v>#NAME?</v>
      </c>
      <c r="BC150" s="15" t="e">
        <f aca="false">_xlfn.xlookup(BA150,A:A,J:J)</f>
        <v>#NAME?</v>
      </c>
      <c r="BD150" s="75" t="e">
        <f aca="false">_xlfn.xlookup(BA150,A:A,M:M)+_xlfn.xlookup(BA150,A:A,N:N)</f>
        <v>#NAME?</v>
      </c>
      <c r="BE150" s="75" t="e">
        <f aca="false">_xlfn.xlookup(BA150,A98:A1086,AA98:AA1086)</f>
        <v>#NAME?</v>
      </c>
    </row>
    <row r="151" customFormat="false" ht="16.4" hidden="false" customHeight="false" outlineLevel="0" collapsed="false">
      <c r="A151" s="241" t="s">
        <v>1216</v>
      </c>
      <c r="B151" s="1" t="s">
        <v>889</v>
      </c>
      <c r="C151" s="292" t="n">
        <f aca="false">'Liste WO'!C143</f>
        <v>45628</v>
      </c>
      <c r="D151" s="241" t="n">
        <f aca="false">'Liste WO'!D143</f>
        <v>0</v>
      </c>
      <c r="E151" s="241" t="str">
        <f aca="false">'Liste WO'!E143</f>
        <v>Étiquette Nationale</v>
      </c>
      <c r="F151" s="241" t="str">
        <f aca="false">_xlfn.xlookup(E151,Clients!B:B,Clients!C:C)</f>
        <v>Nationale</v>
      </c>
      <c r="G151" s="241" t="e">
        <f aca="false">_xlfn.xlookup(D151,'PO Client'!$A:$A,'PO Client'!$F:$F,FALSE())</f>
        <v>#NAME?</v>
      </c>
      <c r="H151" s="251" t="n">
        <f aca="false">'Liste WO'!I143</f>
        <v>0</v>
      </c>
      <c r="I151" s="251" t="n">
        <f aca="false">'Liste WO'!J143</f>
        <v>30011</v>
      </c>
      <c r="J151" s="244" t="str">
        <f aca="false">'Liste WO'!L143</f>
        <v>S21-1</v>
      </c>
      <c r="K151" s="245" t="n">
        <v>2695.92</v>
      </c>
      <c r="L151" s="245" t="n">
        <v>1903.5</v>
      </c>
      <c r="M151" s="245" t="n">
        <v>733.2</v>
      </c>
      <c r="N151" s="245"/>
      <c r="O151" s="245" t="n">
        <v>26</v>
      </c>
      <c r="P151" s="246" t="n">
        <v>1</v>
      </c>
      <c r="Q151" s="219" t="n">
        <v>1.5</v>
      </c>
      <c r="R151" s="247" t="n">
        <v>0</v>
      </c>
      <c r="S151" s="272"/>
      <c r="T151" s="248" t="n">
        <f aca="false">_xlfn.xlookup(I151,'Prix MP'!A:A,'Prix MP'!U:U, 0)</f>
        <v>0.28357864079936</v>
      </c>
      <c r="U151" s="249" t="n">
        <f aca="false">(M151+N151)*T151</f>
        <v>207.919859434091</v>
      </c>
      <c r="V151" s="249" t="n">
        <f aca="false">(K151-M151-L151)*T151</f>
        <v>16.7935271081382</v>
      </c>
      <c r="W151" s="250" t="n">
        <f aca="false">IFERROR((K151-M151-L151)/K151,"")</f>
        <v>0.0219665271966528</v>
      </c>
      <c r="X151" s="249" t="n">
        <f aca="false">20.6577/85*O151</f>
        <v>6.31882588235294</v>
      </c>
      <c r="Y151" s="249" t="n">
        <f aca="false">19.2*P151</f>
        <v>19.2</v>
      </c>
      <c r="Z151" s="249" t="n">
        <f aca="false">125000/52/40*Q151</f>
        <v>90.1442307692308</v>
      </c>
      <c r="AA151" s="249" t="n">
        <f aca="false">(M151+N151)*T151+R151+V151+X151+Y151+Z151</f>
        <v>340.376443193813</v>
      </c>
      <c r="AB151" s="285" t="e">
        <f aca="false">_xlfn.xlookup(H151,'Prix vente'!A:A,'Prix vente'!X:X, "")</f>
        <v>#NAME?</v>
      </c>
      <c r="AC151" s="285" t="e">
        <f aca="false">_xlfn.xlookup(H151,'Prix vente'!A:A,'Prix vente'!Z:Z, "")</f>
        <v>#NAME?</v>
      </c>
      <c r="AD151" s="249" t="n">
        <f aca="false">IFERROR(IF(AC151="CAD",(M151+N151)*AB151,(M151+N151)*AB151*S151),0)</f>
        <v>0</v>
      </c>
      <c r="AE151" s="249" t="n">
        <f aca="false">AD151-AA151</f>
        <v>-340.376443193813</v>
      </c>
      <c r="AF151" s="273" t="str">
        <f aca="false">IFERROR(1-AA151/AD151,"")</f>
        <v/>
      </c>
      <c r="AG151" s="252" t="n">
        <f aca="false">((M151+N151)*T151+V151)</f>
        <v>224.713386542229</v>
      </c>
      <c r="AH151" s="273" t="str">
        <f aca="false">IFERROR(AG151/AD151,"")</f>
        <v/>
      </c>
      <c r="AI151" s="273" t="str">
        <f aca="false">IFERROR(IF(AD151=0,"S",""),"S")</f>
        <v>S</v>
      </c>
      <c r="AK151" s="15" t="e">
        <v>#NAME?</v>
      </c>
      <c r="AL151" s="15" t="e">
        <f aca="false">_xlfn.xlookup(AK151,A:A,F:F)</f>
        <v>#NAME?</v>
      </c>
      <c r="AM151" s="15" t="e">
        <f aca="false">_xlfn.xlookup(AK151,A:A,J:J)</f>
        <v>#NAME?</v>
      </c>
      <c r="AN151" s="15" t="e">
        <f aca="false">_xlfn.xlookup(AK151,A:A,M:M)+_xlfn.xlookup(AK151,A:A,N:N)</f>
        <v>#NAME?</v>
      </c>
      <c r="AO151" s="223" t="e">
        <f aca="false">_xlfn.xlookup(AK151,A:A,AG:AG)</f>
        <v>#NAME?</v>
      </c>
      <c r="AP151" s="223" t="e">
        <f aca="false">_xlfn.xlookup(AK151,A:A,AD:AD)</f>
        <v>#NAME?</v>
      </c>
      <c r="AQ151" s="223" t="e">
        <f aca="false">_xlfn.xlookup(AK151,A:A,AE:AE)</f>
        <v>#NAME?</v>
      </c>
      <c r="AX151" s="288"/>
      <c r="AY151" s="288"/>
      <c r="AZ151" s="288"/>
      <c r="BB151" s="257" t="e">
        <f aca="false">_xlfn.xlookup(BA151,A:A,F:F)</f>
        <v>#NAME?</v>
      </c>
      <c r="BC151" s="15" t="e">
        <f aca="false">_xlfn.xlookup(BA151,A:A,J:J)</f>
        <v>#NAME?</v>
      </c>
      <c r="BD151" s="75" t="e">
        <f aca="false">_xlfn.xlookup(BA151,A:A,M:M)+_xlfn.xlookup(BA151,A:A,N:N)</f>
        <v>#NAME?</v>
      </c>
      <c r="BE151" s="75" t="e">
        <f aca="false">_xlfn.xlookup(BA151,A99:A1087,AA99:AA1087)</f>
        <v>#NAME?</v>
      </c>
    </row>
    <row r="152" customFormat="false" ht="16.4" hidden="false" customHeight="false" outlineLevel="0" collapsed="false">
      <c r="A152" s="241" t="s">
        <v>1219</v>
      </c>
      <c r="B152" s="1" t="s">
        <v>889</v>
      </c>
      <c r="C152" s="292" t="n">
        <f aca="false">'Liste WO'!C144</f>
        <v>45629</v>
      </c>
      <c r="D152" s="241" t="n">
        <f aca="false">'Liste WO'!D144</f>
        <v>274</v>
      </c>
      <c r="E152" s="241" t="str">
        <f aca="false">'Liste WO'!E144</f>
        <v>Imprimerie Ste-Julie</v>
      </c>
      <c r="F152" s="241" t="str">
        <f aca="false">_xlfn.xlookup(E152,Clients!B:B,Clients!C:C)</f>
        <v>Imprimerie Ste-Julie</v>
      </c>
      <c r="G152" s="241" t="n">
        <f aca="false">_xlfn.xlookup(D152,'PO Client'!$A:$A,'PO Client'!$F:$F,FALSE())</f>
        <v>106059</v>
      </c>
      <c r="H152" s="251" t="n">
        <f aca="false">'Liste WO'!I144</f>
        <v>40048</v>
      </c>
      <c r="I152" s="251" t="n">
        <f aca="false">'Liste WO'!J144</f>
        <v>30011</v>
      </c>
      <c r="J152" s="244" t="str">
        <f aca="false">'Liste WO'!L144</f>
        <v>S21-1</v>
      </c>
      <c r="K152" s="245" t="n">
        <v>3433.68</v>
      </c>
      <c r="L152" s="245" t="n">
        <v>0</v>
      </c>
      <c r="M152" s="245" t="n">
        <v>3240</v>
      </c>
      <c r="N152" s="245"/>
      <c r="O152" s="245" t="n">
        <v>60</v>
      </c>
      <c r="P152" s="246" t="n">
        <v>1</v>
      </c>
      <c r="Q152" s="219" t="n">
        <v>1.25</v>
      </c>
      <c r="R152" s="247" t="n">
        <f aca="false">59.35-60*1.4167</f>
        <v>-25.652</v>
      </c>
      <c r="S152" s="272" t="n">
        <v>1.4167</v>
      </c>
      <c r="T152" s="248" t="n">
        <f aca="false">_xlfn.xlookup(I152,'Prix MP'!A:A,'Prix MP'!U:U, 0)</f>
        <v>0.28357864079936</v>
      </c>
      <c r="U152" s="249" t="n">
        <f aca="false">(M152+N152)*T152</f>
        <v>918.794796189926</v>
      </c>
      <c r="V152" s="249" t="n">
        <f aca="false">(K152-M152-L152)*T152</f>
        <v>54.92351115002</v>
      </c>
      <c r="W152" s="250" t="n">
        <f aca="false">IFERROR((K152-M152-L152)/K152,"")</f>
        <v>0.0564059551268609</v>
      </c>
      <c r="X152" s="249" t="n">
        <f aca="false">20.6577/85*O152</f>
        <v>14.5819058823529</v>
      </c>
      <c r="Y152" s="249" t="n">
        <f aca="false">19.2*P152</f>
        <v>19.2</v>
      </c>
      <c r="Z152" s="249" t="n">
        <f aca="false">125000/52/40*Q152</f>
        <v>75.1201923076923</v>
      </c>
      <c r="AA152" s="249" t="n">
        <f aca="false">(M152+N152)*T152+R152+V152+X152+Y152+Z152</f>
        <v>1056.96840552999</v>
      </c>
      <c r="AB152" s="285" t="n">
        <f aca="false">_xlfn.xlookup(H152,'Prix vente'!A:A,'Prix vente'!X:X, "")</f>
        <v>0.27</v>
      </c>
      <c r="AC152" s="285" t="str">
        <f aca="false">_xlfn.xlookup(H152,'Prix vente'!A:A,'Prix vente'!Z:Z, "")</f>
        <v>USD</v>
      </c>
      <c r="AD152" s="249" t="n">
        <f aca="false">IFERROR(IF(AC152="CAD",(M152+N152)*AB152,(M152+N152)*AB152*S152),0)</f>
        <v>1239.32916</v>
      </c>
      <c r="AE152" s="249" t="n">
        <f aca="false">AD152-AA152</f>
        <v>182.360754470009</v>
      </c>
      <c r="AF152" s="273" t="n">
        <f aca="false">IFERROR(1-AA152/AD152,"")</f>
        <v>0.147144729871448</v>
      </c>
      <c r="AG152" s="252" t="n">
        <f aca="false">((M152+N152)*T152+V152)</f>
        <v>973.718307339946</v>
      </c>
      <c r="AH152" s="273" t="n">
        <f aca="false">IFERROR(AG152/AD152,"")</f>
        <v>0.785681753296232</v>
      </c>
      <c r="AI152" s="273" t="str">
        <f aca="false">IFERROR(IF(AD152=0,"S",""),"S")</f>
        <v/>
      </c>
      <c r="AK152" s="15" t="e">
        <v>#NAME?</v>
      </c>
      <c r="AL152" s="15" t="e">
        <f aca="false">_xlfn.xlookup(AK152,A:A,F:F)</f>
        <v>#NAME?</v>
      </c>
      <c r="AM152" s="15" t="e">
        <f aca="false">_xlfn.xlookup(AK152,A:A,J:J)</f>
        <v>#NAME?</v>
      </c>
      <c r="AN152" s="15" t="e">
        <f aca="false">_xlfn.xlookup(AK152,A:A,M:M)+_xlfn.xlookup(AK152,A:A,N:N)</f>
        <v>#NAME?</v>
      </c>
      <c r="AO152" s="223" t="e">
        <f aca="false">_xlfn.xlookup(AK152,A:A,AG:AG)</f>
        <v>#NAME?</v>
      </c>
      <c r="AP152" s="223" t="e">
        <f aca="false">_xlfn.xlookup(AK152,A:A,AD:AD)</f>
        <v>#NAME?</v>
      </c>
      <c r="AQ152" s="223" t="e">
        <f aca="false">_xlfn.xlookup(AK152,A:A,AE:AE)</f>
        <v>#NAME?</v>
      </c>
      <c r="AX152" s="288"/>
      <c r="AY152" s="288"/>
      <c r="AZ152" s="288"/>
      <c r="BB152" s="257" t="e">
        <f aca="false">_xlfn.xlookup(BA152,A:A,F:F)</f>
        <v>#NAME?</v>
      </c>
      <c r="BC152" s="15" t="e">
        <f aca="false">_xlfn.xlookup(BA152,A:A,J:J)</f>
        <v>#NAME?</v>
      </c>
      <c r="BD152" s="75" t="e">
        <f aca="false">_xlfn.xlookup(BA152,A:A,M:M)+_xlfn.xlookup(BA152,A:A,N:N)</f>
        <v>#NAME?</v>
      </c>
      <c r="BE152" s="75" t="e">
        <f aca="false">_xlfn.xlookup(BA152,A100:A1088,AA100:AA1088)</f>
        <v>#NAME?</v>
      </c>
    </row>
    <row r="153" customFormat="false" ht="16.4" hidden="false" customHeight="false" outlineLevel="0" collapsed="false">
      <c r="A153" s="241" t="s">
        <v>1221</v>
      </c>
      <c r="B153" s="1" t="s">
        <v>889</v>
      </c>
      <c r="C153" s="292" t="n">
        <f aca="false">'Liste WO'!C145</f>
        <v>45631</v>
      </c>
      <c r="D153" s="241" t="n">
        <f aca="false">'Liste WO'!D145</f>
        <v>275</v>
      </c>
      <c r="E153" s="241" t="str">
        <f aca="false">'Liste WO'!E145</f>
        <v>Digi America Inc.</v>
      </c>
      <c r="F153" s="241" t="str">
        <f aca="false">_xlfn.xlookup(E153,Clients!B:B,Clients!C:C)</f>
        <v>Digi</v>
      </c>
      <c r="G153" s="241" t="n">
        <f aca="false">_xlfn.xlookup(D153,'PO Client'!$A:$A,'PO Client'!$F:$F,FALSE())</f>
        <v>50008916</v>
      </c>
      <c r="H153" s="251" t="n">
        <f aca="false">'Liste WO'!I145</f>
        <v>40054</v>
      </c>
      <c r="I153" s="251" t="n">
        <f aca="false">'Liste WO'!J145</f>
        <v>30025</v>
      </c>
      <c r="J153" s="244" t="str">
        <f aca="false">'Liste WO'!L145</f>
        <v>D11-1</v>
      </c>
      <c r="K153" s="245" t="n">
        <v>7589.013168</v>
      </c>
      <c r="L153" s="245" t="n">
        <v>1545</v>
      </c>
      <c r="M153" s="245" t="n">
        <v>5871</v>
      </c>
      <c r="N153" s="245"/>
      <c r="O153" s="245" t="n">
        <v>95</v>
      </c>
      <c r="P153" s="246" t="n">
        <v>1</v>
      </c>
      <c r="Q153" s="219" t="n">
        <v>4</v>
      </c>
      <c r="R153" s="247" t="n">
        <f aca="false">-156.72*6/8</f>
        <v>-117.54</v>
      </c>
      <c r="S153" s="272" t="n">
        <v>1.413</v>
      </c>
      <c r="T153" s="248" t="n">
        <f aca="false">_xlfn.xlookup(I153,'Prix MP'!A:A,'Prix MP'!U:U, 0)</f>
        <v>0.369342532440358</v>
      </c>
      <c r="U153" s="249" t="n">
        <f aca="false">(M153+N153)*T153</f>
        <v>2168.41000795734</v>
      </c>
      <c r="V153" s="249" t="n">
        <f aca="false">(K153-M153-L153)*T153</f>
        <v>63.901121614649</v>
      </c>
      <c r="W153" s="250" t="n">
        <f aca="false">IFERROR((K153-M153-L153)/K153,"")</f>
        <v>0.0227978479111791</v>
      </c>
      <c r="X153" s="249" t="n">
        <f aca="false">20.6577/85*O153</f>
        <v>23.0880176470588</v>
      </c>
      <c r="Y153" s="249" t="n">
        <f aca="false">19.2*P153</f>
        <v>19.2</v>
      </c>
      <c r="Z153" s="249" t="n">
        <f aca="false">125000/52/40*Q153</f>
        <v>240.384615384615</v>
      </c>
      <c r="AA153" s="249" t="n">
        <f aca="false">(M153+N153)*T153+R153+V153+X153+Y153+Z153</f>
        <v>2397.44376260367</v>
      </c>
      <c r="AB153" s="285" t="n">
        <f aca="false">_xlfn.xlookup(H153,'Prix vente'!A:A,'Prix vente'!X:X, "")</f>
        <v>0.31</v>
      </c>
      <c r="AC153" s="285" t="str">
        <f aca="false">_xlfn.xlookup(H153,'Prix vente'!A:A,'Prix vente'!Z:Z, "")</f>
        <v>USD</v>
      </c>
      <c r="AD153" s="249" t="n">
        <f aca="false">IFERROR(IF(AC153="CAD",(M153+N153)*AB153,(M153+N153)*AB153*S153),0)</f>
        <v>2571.67413</v>
      </c>
      <c r="AE153" s="249" t="n">
        <f aca="false">AD153-AA153</f>
        <v>174.230367396334</v>
      </c>
      <c r="AF153" s="273" t="n">
        <f aca="false">IFERROR(1-AA153/AD153,"")</f>
        <v>0.0677497842218189</v>
      </c>
      <c r="AG153" s="252" t="n">
        <f aca="false">((M153+N153)*T153+V153)</f>
        <v>2232.31112957199</v>
      </c>
      <c r="AH153" s="273" t="n">
        <f aca="false">IFERROR(AG153/AD153,"")</f>
        <v>0.868038101535047</v>
      </c>
      <c r="AI153" s="273" t="str">
        <f aca="false">IFERROR(IF(AD153=0,"S",""),"S")</f>
        <v/>
      </c>
      <c r="AK153" s="15" t="e">
        <v>#NAME?</v>
      </c>
      <c r="AL153" s="15" t="e">
        <f aca="false">_xlfn.xlookup(AK153,A:A,F:F)</f>
        <v>#NAME?</v>
      </c>
      <c r="AM153" s="15" t="e">
        <f aca="false">_xlfn.xlookup(AK153,A:A,J:J)</f>
        <v>#NAME?</v>
      </c>
      <c r="AN153" s="15" t="e">
        <f aca="false">_xlfn.xlookup(AK153,A:A,M:M)+_xlfn.xlookup(AK153,A:A,N:N)</f>
        <v>#NAME?</v>
      </c>
      <c r="AO153" s="223" t="e">
        <f aca="false">_xlfn.xlookup(AK153,A:A,AG:AG)</f>
        <v>#NAME?</v>
      </c>
      <c r="AP153" s="223" t="e">
        <f aca="false">_xlfn.xlookup(AK153,A:A,AD:AD)</f>
        <v>#NAME?</v>
      </c>
      <c r="AQ153" s="223" t="e">
        <f aca="false">_xlfn.xlookup(AK153,A:A,AE:AE)</f>
        <v>#NAME?</v>
      </c>
      <c r="AX153" s="288"/>
      <c r="AY153" s="288"/>
      <c r="AZ153" s="288"/>
      <c r="BB153" s="257" t="e">
        <f aca="false">_xlfn.xlookup(BA153,A:A,F:F)</f>
        <v>#NAME?</v>
      </c>
      <c r="BC153" s="15" t="e">
        <f aca="false">_xlfn.xlookup(BA153,A:A,J:J)</f>
        <v>#NAME?</v>
      </c>
      <c r="BD153" s="75" t="e">
        <f aca="false">_xlfn.xlookup(BA153,A:A,M:M)+_xlfn.xlookup(BA153,A:A,N:N)</f>
        <v>#NAME?</v>
      </c>
      <c r="BE153" s="75" t="e">
        <f aca="false">_xlfn.xlookup(BA153,A101:A1089,AA101:AA1089)</f>
        <v>#NAME?</v>
      </c>
    </row>
    <row r="154" customFormat="false" ht="16.4" hidden="false" customHeight="false" outlineLevel="0" collapsed="false">
      <c r="A154" s="241" t="s">
        <v>1223</v>
      </c>
      <c r="B154" s="1" t="s">
        <v>889</v>
      </c>
      <c r="C154" s="292" t="n">
        <f aca="false">'Liste WO'!C146</f>
        <v>45631</v>
      </c>
      <c r="D154" s="241" t="n">
        <f aca="false">'Liste WO'!D146</f>
        <v>276</v>
      </c>
      <c r="E154" s="241" t="str">
        <f aca="false">'Liste WO'!E146</f>
        <v>Étiquettes Luso-Flex</v>
      </c>
      <c r="F154" s="241" t="str">
        <f aca="false">_xlfn.xlookup(E154,Clients!B:B,Clients!C:C)</f>
        <v>Luso-Flex</v>
      </c>
      <c r="G154" s="241" t="n">
        <f aca="false">_xlfn.xlookup(D154,'PO Client'!$A:$A,'PO Client'!$F:$F,FALSE())</f>
        <v>1958</v>
      </c>
      <c r="H154" s="251" t="n">
        <f aca="false">'Liste WO'!I146</f>
        <v>40156</v>
      </c>
      <c r="I154" s="251" t="n">
        <f aca="false">'Liste WO'!J146</f>
        <v>30026</v>
      </c>
      <c r="J154" s="244" t="str">
        <f aca="false">'Liste WO'!L146</f>
        <v>D11-2</v>
      </c>
      <c r="K154" s="245" t="n">
        <v>14228.94792</v>
      </c>
      <c r="L154" s="245" t="n">
        <v>0</v>
      </c>
      <c r="M154" s="245" t="n">
        <v>14122.92</v>
      </c>
      <c r="N154" s="245"/>
      <c r="O154" s="245" t="n">
        <v>120.4</v>
      </c>
      <c r="P154" s="246" t="n">
        <v>3</v>
      </c>
      <c r="Q154" s="219" t="n">
        <v>2.5</v>
      </c>
      <c r="R154" s="247" t="n">
        <v>0</v>
      </c>
      <c r="S154" s="272"/>
      <c r="T154" s="248" t="n">
        <f aca="false">_xlfn.xlookup(I154,'Prix MP'!A:A,'Prix MP'!U:U, 0)</f>
        <v>0.31697056471568</v>
      </c>
      <c r="U154" s="249" t="n">
        <f aca="false">(M154+N154)*T154</f>
        <v>4476.54992783437</v>
      </c>
      <c r="V154" s="249" t="n">
        <f aca="false">(K154-M154-L154)*T154</f>
        <v>33.6077296780314</v>
      </c>
      <c r="W154" s="250" t="n">
        <f aca="false">IFERROR((K154-M154-L154)/K154,"")</f>
        <v>0.00745156427559739</v>
      </c>
      <c r="X154" s="249" t="n">
        <f aca="false">20.6577/85*O154</f>
        <v>29.2610244705882</v>
      </c>
      <c r="Y154" s="249" t="n">
        <f aca="false">19.2*P154</f>
        <v>57.6</v>
      </c>
      <c r="Z154" s="249" t="n">
        <f aca="false">125000/52/40*Q154</f>
        <v>150.240384615385</v>
      </c>
      <c r="AA154" s="249" t="n">
        <f aca="false">(M154+N154)*T154+R154+V154+X154+Y154+Z154</f>
        <v>4747.25906659837</v>
      </c>
      <c r="AB154" s="285" t="n">
        <f aca="false">_xlfn.xlookup(H154,'Prix vente'!A:A,'Prix vente'!X:X, "")</f>
        <v>0.466</v>
      </c>
      <c r="AC154" s="285" t="str">
        <f aca="false">_xlfn.xlookup(H154,'Prix vente'!A:A,'Prix vente'!Z:Z, "")</f>
        <v>CAD</v>
      </c>
      <c r="AD154" s="249" t="n">
        <f aca="false">IFERROR(IF(AC154="CAD",(M154+N154)*AB154,(M154+N154)*AB154*S154),0)</f>
        <v>6581.28072</v>
      </c>
      <c r="AE154" s="249" t="n">
        <f aca="false">AD154-AA154</f>
        <v>1834.02165340163</v>
      </c>
      <c r="AF154" s="273" t="n">
        <f aca="false">IFERROR(1-AA154/AD154,"")</f>
        <v>0.278672454713591</v>
      </c>
      <c r="AG154" s="252" t="n">
        <f aca="false">((M154+N154)*T154+V154)</f>
        <v>4510.1576575124</v>
      </c>
      <c r="AH154" s="273" t="n">
        <f aca="false">IFERROR(AG154/AD154,"")</f>
        <v>0.685300908652382</v>
      </c>
      <c r="AI154" s="273" t="str">
        <f aca="false">IFERROR(IF(AD154=0,"S",""),"S")</f>
        <v/>
      </c>
      <c r="AK154" s="15" t="e">
        <v>#NAME?</v>
      </c>
      <c r="AL154" s="15" t="e">
        <f aca="false">_xlfn.xlookup(AK154,A:A,F:F)</f>
        <v>#NAME?</v>
      </c>
      <c r="AM154" s="15" t="e">
        <f aca="false">_xlfn.xlookup(AK154,A:A,J:J)</f>
        <v>#NAME?</v>
      </c>
      <c r="AN154" s="15" t="e">
        <f aca="false">_xlfn.xlookup(AK154,A:A,M:M)+_xlfn.xlookup(AK154,A:A,N:N)</f>
        <v>#NAME?</v>
      </c>
      <c r="AO154" s="223" t="e">
        <f aca="false">_xlfn.xlookup(AK154,A:A,AG:AG)</f>
        <v>#NAME?</v>
      </c>
      <c r="AP154" s="223" t="e">
        <f aca="false">_xlfn.xlookup(AK154,A:A,AD:AD)</f>
        <v>#NAME?</v>
      </c>
      <c r="AQ154" s="223" t="e">
        <f aca="false">_xlfn.xlookup(AK154,A:A,AE:AE)</f>
        <v>#NAME?</v>
      </c>
      <c r="AX154" s="288"/>
      <c r="AY154" s="288"/>
      <c r="AZ154" s="288"/>
      <c r="BB154" s="257" t="e">
        <f aca="false">_xlfn.xlookup(BA154,A:A,F:F)</f>
        <v>#NAME?</v>
      </c>
      <c r="BC154" s="15" t="e">
        <f aca="false">_xlfn.xlookup(BA154,A:A,J:J)</f>
        <v>#NAME?</v>
      </c>
      <c r="BD154" s="75" t="e">
        <f aca="false">_xlfn.xlookup(BA154,A:A,M:M)+_xlfn.xlookup(BA154,A:A,N:N)</f>
        <v>#NAME?</v>
      </c>
      <c r="BE154" s="75" t="e">
        <f aca="false">_xlfn.xlookup(BA154,A102:A1090,AA102:AA1090)</f>
        <v>#NAME?</v>
      </c>
    </row>
    <row r="155" customFormat="false" ht="16.4" hidden="false" customHeight="false" outlineLevel="0" collapsed="false">
      <c r="A155" s="241" t="s">
        <v>1225</v>
      </c>
      <c r="B155" s="1" t="s">
        <v>889</v>
      </c>
      <c r="C155" s="292" t="n">
        <f aca="false">'Liste WO'!C147</f>
        <v>45631</v>
      </c>
      <c r="D155" s="241" t="n">
        <f aca="false">'Liste WO'!D147</f>
        <v>277</v>
      </c>
      <c r="E155" s="241" t="str">
        <f aca="false">'Liste WO'!E147</f>
        <v>Étiquettes Luso-Flex</v>
      </c>
      <c r="F155" s="241" t="str">
        <f aca="false">_xlfn.xlookup(E155,Clients!B:B,Clients!C:C)</f>
        <v>Luso-Flex</v>
      </c>
      <c r="G155" s="241" t="n">
        <f aca="false">_xlfn.xlookup(D155,'PO Client'!$A:$A,'PO Client'!$F:$F,FALSE())</f>
        <v>1959</v>
      </c>
      <c r="H155" s="251" t="n">
        <f aca="false">'Liste WO'!I147</f>
        <v>40202</v>
      </c>
      <c r="I155" s="251" t="n">
        <f aca="false">'Liste WO'!J147</f>
        <v>30017</v>
      </c>
      <c r="J155" s="244" t="str">
        <f aca="false">'Liste WO'!L147</f>
        <v>B25-3</v>
      </c>
      <c r="K155" s="245" t="n">
        <v>285</v>
      </c>
      <c r="L155" s="245" t="n">
        <v>0</v>
      </c>
      <c r="M155" s="245" t="n">
        <v>262.2</v>
      </c>
      <c r="N155" s="245"/>
      <c r="O155" s="245" t="n">
        <v>9.5</v>
      </c>
      <c r="P155" s="246" t="n">
        <v>1</v>
      </c>
      <c r="Q155" s="219" t="n">
        <v>2.5</v>
      </c>
      <c r="R155" s="247" t="n">
        <v>0</v>
      </c>
      <c r="S155" s="272"/>
      <c r="T155" s="248" t="n">
        <f aca="false">_xlfn.xlookup(I155,'Prix MP'!A:A,'Prix MP'!U:U, 0)</f>
        <v>0.326284886247867</v>
      </c>
      <c r="U155" s="249" t="n">
        <f aca="false">(M155+N155)*T155</f>
        <v>85.5518971741907</v>
      </c>
      <c r="V155" s="249" t="n">
        <f aca="false">(K155-M155-L155)*T155</f>
        <v>7.43929540645137</v>
      </c>
      <c r="W155" s="250" t="n">
        <f aca="false">IFERROR((K155-M155-L155)/K155,"")</f>
        <v>0.08</v>
      </c>
      <c r="X155" s="249" t="n">
        <f aca="false">20.6577/85*O155</f>
        <v>2.30880176470588</v>
      </c>
      <c r="Y155" s="249" t="n">
        <f aca="false">19.2*P155</f>
        <v>19.2</v>
      </c>
      <c r="Z155" s="249" t="n">
        <f aca="false">125000/52/40*Q155</f>
        <v>150.240384615385</v>
      </c>
      <c r="AA155" s="249" t="n">
        <f aca="false">(M155+N155)*T155+R155+V155+X155+Y155+Z155</f>
        <v>264.740378960733</v>
      </c>
      <c r="AB155" s="285" t="n">
        <f aca="false">_xlfn.xlookup(H155,'Prix vente'!A:A,'Prix vente'!X:X, "")</f>
        <v>0.452</v>
      </c>
      <c r="AC155" s="285" t="str">
        <f aca="false">_xlfn.xlookup(H155,'Prix vente'!A:A,'Prix vente'!Z:Z, "")</f>
        <v>CAD</v>
      </c>
      <c r="AD155" s="249" t="n">
        <f aca="false">IFERROR(IF(AC155="CAD",(M155+N155)*AB155,(M155+N155)*AB155*S155),0)</f>
        <v>118.5144</v>
      </c>
      <c r="AE155" s="249" t="n">
        <f aca="false">AD155-AA155</f>
        <v>-146.225978960733</v>
      </c>
      <c r="AF155" s="273" t="n">
        <f aca="false">IFERROR(1-AA155/AD155,"")</f>
        <v>-1.23382457288509</v>
      </c>
      <c r="AG155" s="252" t="n">
        <f aca="false">((M155+N155)*T155+V155)</f>
        <v>92.991192580642</v>
      </c>
      <c r="AH155" s="273" t="n">
        <f aca="false">IFERROR(AG155/AD155,"")</f>
        <v>0.784640453654932</v>
      </c>
      <c r="AI155" s="273" t="str">
        <f aca="false">IFERROR(IF(AD155=0,"S",""),"S")</f>
        <v/>
      </c>
      <c r="AK155" s="15" t="e">
        <v>#NAME?</v>
      </c>
      <c r="AL155" s="15" t="e">
        <f aca="false">_xlfn.xlookup(AK155,A:A,F:F)</f>
        <v>#NAME?</v>
      </c>
      <c r="AM155" s="15" t="e">
        <f aca="false">_xlfn.xlookup(AK155,A:A,J:J)</f>
        <v>#NAME?</v>
      </c>
      <c r="AN155" s="15" t="e">
        <f aca="false">_xlfn.xlookup(AK155,A:A,M:M)+_xlfn.xlookup(AK155,A:A,N:N)</f>
        <v>#NAME?</v>
      </c>
      <c r="AO155" s="223" t="e">
        <f aca="false">_xlfn.xlookup(AK155,A:A,AG:AG)</f>
        <v>#NAME?</v>
      </c>
      <c r="AP155" s="223" t="e">
        <f aca="false">_xlfn.xlookup(AK155,A:A,AD:AD)</f>
        <v>#NAME?</v>
      </c>
      <c r="AQ155" s="223" t="e">
        <f aca="false">_xlfn.xlookup(AK155,A:A,AE:AE)</f>
        <v>#NAME?</v>
      </c>
      <c r="AX155" s="288"/>
      <c r="AY155" s="288"/>
      <c r="AZ155" s="288"/>
      <c r="BB155" s="257" t="e">
        <f aca="false">_xlfn.xlookup(BA155,A:A,F:F)</f>
        <v>#NAME?</v>
      </c>
      <c r="BC155" s="15" t="e">
        <f aca="false">_xlfn.xlookup(BA155,A:A,J:J)</f>
        <v>#NAME?</v>
      </c>
      <c r="BD155" s="75" t="e">
        <f aca="false">_xlfn.xlookup(BA155,A:A,M:M)+_xlfn.xlookup(BA155,A:A,N:N)</f>
        <v>#NAME?</v>
      </c>
      <c r="BE155" s="75" t="e">
        <f aca="false">_xlfn.xlookup(BA155,A103:A1091,AA103:AA1091)</f>
        <v>#NAME?</v>
      </c>
    </row>
    <row r="156" customFormat="false" ht="16.4" hidden="false" customHeight="false" outlineLevel="0" collapsed="false">
      <c r="A156" s="241" t="s">
        <v>1227</v>
      </c>
      <c r="B156" s="1" t="s">
        <v>889</v>
      </c>
      <c r="C156" s="292" t="n">
        <f aca="false">'Liste WO'!C148</f>
        <v>45635</v>
      </c>
      <c r="D156" s="241" t="n">
        <f aca="false">'Liste WO'!D148</f>
        <v>278</v>
      </c>
      <c r="E156" s="241" t="str">
        <f aca="false">'Liste WO'!E148</f>
        <v>Imprimerie Ste-Julie</v>
      </c>
      <c r="F156" s="241" t="str">
        <f aca="false">_xlfn.xlookup(E156,Clients!B:B,Clients!C:C)</f>
        <v>Imprimerie Ste-Julie</v>
      </c>
      <c r="G156" s="241" t="n">
        <f aca="false">_xlfn.xlookup(D156,'PO Client'!$A:$A,'PO Client'!$F:$F,FALSE())</f>
        <v>106205</v>
      </c>
      <c r="H156" s="251" t="n">
        <f aca="false">'Liste WO'!I148</f>
        <v>40117</v>
      </c>
      <c r="I156" s="251" t="n">
        <f aca="false">'Liste WO'!J148</f>
        <v>30015</v>
      </c>
      <c r="J156" s="244" t="str">
        <f aca="false">'Liste WO'!L148</f>
        <v>S15-3</v>
      </c>
      <c r="K156" s="245" t="n">
        <v>3614.4</v>
      </c>
      <c r="L156" s="245" t="n">
        <v>0</v>
      </c>
      <c r="M156" s="245" t="n">
        <v>3516</v>
      </c>
      <c r="N156" s="245"/>
      <c r="O156" s="245" t="n">
        <v>60</v>
      </c>
      <c r="P156" s="246" t="n">
        <v>1</v>
      </c>
      <c r="Q156" s="219" t="n">
        <v>3</v>
      </c>
      <c r="R156" s="247" t="n">
        <f aca="false">-90.38/3</f>
        <v>-30.1266666666667</v>
      </c>
      <c r="S156" s="272" t="n">
        <v>1.4188</v>
      </c>
      <c r="T156" s="248" t="n">
        <f aca="false">_xlfn.xlookup(I156,'Prix MP'!A:A,'Prix MP'!U:U, 0)</f>
        <v>0.268854241086576</v>
      </c>
      <c r="U156" s="249" t="n">
        <f aca="false">(M156+N156)*T156</f>
        <v>945.291511660403</v>
      </c>
      <c r="V156" s="249" t="n">
        <f aca="false">(K156-M156-L156)*T156</f>
        <v>26.4552573229191</v>
      </c>
      <c r="W156" s="250" t="n">
        <f aca="false">IFERROR((K156-M156-L156)/K156,"")</f>
        <v>0.0272244355909695</v>
      </c>
      <c r="X156" s="249" t="n">
        <f aca="false">20.6577/85*O156</f>
        <v>14.5819058823529</v>
      </c>
      <c r="Y156" s="249" t="n">
        <f aca="false">19.2*P156</f>
        <v>19.2</v>
      </c>
      <c r="Z156" s="249" t="n">
        <f aca="false">125000/52/40*Q156</f>
        <v>180.288461538462</v>
      </c>
      <c r="AA156" s="249" t="n">
        <f aca="false">(M156+N156)*T156+R156+V156+X156+Y156+Z156</f>
        <v>1155.69046973747</v>
      </c>
      <c r="AB156" s="285" t="n">
        <f aca="false">_xlfn.xlookup(H156,'Prix vente'!A:A,'Prix vente'!X:X, "")</f>
        <v>0.28</v>
      </c>
      <c r="AC156" s="285" t="str">
        <f aca="false">_xlfn.xlookup(H156,'Prix vente'!A:A,'Prix vente'!Z:Z, "")</f>
        <v>USD</v>
      </c>
      <c r="AD156" s="249" t="n">
        <f aca="false">IFERROR(IF(AC156="CAD",(M156+N156)*AB156,(M156+N156)*AB156*S156),0)</f>
        <v>1396.780224</v>
      </c>
      <c r="AE156" s="249" t="n">
        <f aca="false">AD156-AA156</f>
        <v>241.089754262531</v>
      </c>
      <c r="AF156" s="273" t="n">
        <f aca="false">IFERROR(1-AA156/AD156,"")</f>
        <v>0.172603928749875</v>
      </c>
      <c r="AG156" s="252" t="n">
        <f aca="false">((M156+N156)*T156+V156)</f>
        <v>971.746768983322</v>
      </c>
      <c r="AH156" s="273" t="n">
        <f aca="false">IFERROR(AG156/AD156,"")</f>
        <v>0.695704844818394</v>
      </c>
      <c r="AI156" s="273" t="str">
        <f aca="false">IFERROR(IF(AD156=0,"S",""),"S")</f>
        <v/>
      </c>
      <c r="AK156" s="15" t="e">
        <v>#NAME?</v>
      </c>
      <c r="AL156" s="15" t="e">
        <f aca="false">_xlfn.xlookup(AK156,A:A,F:F)</f>
        <v>#NAME?</v>
      </c>
      <c r="AM156" s="15" t="e">
        <f aca="false">_xlfn.xlookup(AK156,A:A,J:J)</f>
        <v>#NAME?</v>
      </c>
      <c r="AN156" s="15" t="e">
        <f aca="false">_xlfn.xlookup(AK156,A:A,M:M)+_xlfn.xlookup(AK156,A:A,N:N)</f>
        <v>#NAME?</v>
      </c>
      <c r="AO156" s="223" t="e">
        <f aca="false">_xlfn.xlookup(AK156,A:A,AG:AG)</f>
        <v>#NAME?</v>
      </c>
      <c r="AP156" s="223" t="e">
        <f aca="false">_xlfn.xlookup(AK156,A:A,AD:AD)</f>
        <v>#NAME?</v>
      </c>
      <c r="AQ156" s="223" t="e">
        <f aca="false">_xlfn.xlookup(AK156,A:A,AE:AE)</f>
        <v>#NAME?</v>
      </c>
      <c r="AX156" s="288"/>
      <c r="AY156" s="288"/>
      <c r="AZ156" s="288"/>
      <c r="BB156" s="257" t="e">
        <f aca="false">_xlfn.xlookup(BA156,A:A,F:F)</f>
        <v>#NAME?</v>
      </c>
      <c r="BC156" s="15" t="e">
        <f aca="false">_xlfn.xlookup(BA156,A:A,J:J)</f>
        <v>#NAME?</v>
      </c>
      <c r="BD156" s="75" t="e">
        <f aca="false">_xlfn.xlookup(BA156,A:A,M:M)+_xlfn.xlookup(BA156,A:A,N:N)</f>
        <v>#NAME?</v>
      </c>
      <c r="BE156" s="75" t="e">
        <f aca="false">_xlfn.xlookup(BA156,A104:A1092,AA104:AA1092)</f>
        <v>#NAME?</v>
      </c>
    </row>
    <row r="157" customFormat="false" ht="16.4" hidden="false" customHeight="false" outlineLevel="0" collapsed="false">
      <c r="A157" s="241" t="s">
        <v>1230</v>
      </c>
      <c r="B157" s="1" t="s">
        <v>889</v>
      </c>
      <c r="C157" s="292" t="n">
        <f aca="false">'Liste WO'!C149</f>
        <v>45636</v>
      </c>
      <c r="D157" s="241" t="n">
        <f aca="false">'Liste WO'!D149</f>
        <v>279</v>
      </c>
      <c r="E157" s="241" t="str">
        <f aca="false">'Liste WO'!E149</f>
        <v>Damaflex Imprimerie Multiservices Inc.</v>
      </c>
      <c r="F157" s="241" t="str">
        <f aca="false">_xlfn.xlookup(E157,Clients!B:B,Clients!C:C)</f>
        <v>Damaflex</v>
      </c>
      <c r="G157" s="241" t="n">
        <f aca="false">_xlfn.xlookup(D157,'PO Client'!$A:$A,'PO Client'!$F:$F,FALSE())</f>
        <v>179977</v>
      </c>
      <c r="H157" s="251" t="n">
        <f aca="false">'Liste WO'!I149</f>
        <v>40144</v>
      </c>
      <c r="I157" s="251" t="n">
        <f aca="false">'Liste WO'!J149</f>
        <v>30025</v>
      </c>
      <c r="J157" s="244" t="str">
        <f aca="false">'Liste WO'!L149</f>
        <v>D11-1</v>
      </c>
      <c r="K157" s="245" t="n">
        <v>7589.013168</v>
      </c>
      <c r="L157" s="245" t="n">
        <v>0</v>
      </c>
      <c r="M157" s="245" t="n">
        <v>7488</v>
      </c>
      <c r="N157" s="245"/>
      <c r="O157" s="245" t="n">
        <v>120</v>
      </c>
      <c r="P157" s="246" t="n">
        <v>2</v>
      </c>
      <c r="Q157" s="219" t="n">
        <v>3.25</v>
      </c>
      <c r="R157" s="247" t="n">
        <v>123.5</v>
      </c>
      <c r="S157" s="272"/>
      <c r="T157" s="248" t="n">
        <f aca="false">_xlfn.xlookup(I157,'Prix MP'!A:A,'Prix MP'!U:U, 0)</f>
        <v>0.369342532440358</v>
      </c>
      <c r="U157" s="249" t="n">
        <f aca="false">(M157+N157)*T157</f>
        <v>2765.6368829134</v>
      </c>
      <c r="V157" s="249" t="n">
        <f aca="false">(K157-M157-L157)*T157</f>
        <v>37.3084592789428</v>
      </c>
      <c r="W157" s="250" t="n">
        <f aca="false">IFERROR((K157-M157-L157)/K157,"")</f>
        <v>0.0133104483763361</v>
      </c>
      <c r="X157" s="249" t="n">
        <f aca="false">20.6577/85*O157</f>
        <v>29.1638117647059</v>
      </c>
      <c r="Y157" s="249" t="n">
        <f aca="false">19.2*P157</f>
        <v>38.4</v>
      </c>
      <c r="Z157" s="249" t="n">
        <f aca="false">125000/52/40*Q157</f>
        <v>195.3125</v>
      </c>
      <c r="AA157" s="249" t="n">
        <f aca="false">(M157+N157)*T157+R157+V157+X157+Y157+Z157</f>
        <v>3189.32165395705</v>
      </c>
      <c r="AB157" s="285" t="n">
        <f aca="false">_xlfn.xlookup(H157,'Prix vente'!A:A,'Prix vente'!X:X, "")</f>
        <v>0.431</v>
      </c>
      <c r="AC157" s="285" t="str">
        <f aca="false">_xlfn.xlookup(H157,'Prix vente'!A:A,'Prix vente'!Z:Z, "")</f>
        <v>CAD</v>
      </c>
      <c r="AD157" s="249" t="n">
        <f aca="false">IFERROR(IF(AC157="CAD",(M157+N157)*AB157,(M157+N157)*AB157*S157),0)</f>
        <v>3227.328</v>
      </c>
      <c r="AE157" s="249" t="n">
        <f aca="false">AD157-AA157</f>
        <v>38.0063460429487</v>
      </c>
      <c r="AF157" s="273" t="n">
        <f aca="false">IFERROR(1-AA157/AD157,"")</f>
        <v>0.0117764125750307</v>
      </c>
      <c r="AG157" s="252" t="n">
        <f aca="false">((M157+N157)*T157+V157)</f>
        <v>2802.94534219235</v>
      </c>
      <c r="AH157" s="273" t="n">
        <f aca="false">IFERROR(AG157/AD157,"")</f>
        <v>0.868503400395729</v>
      </c>
      <c r="AI157" s="273" t="str">
        <f aca="false">IFERROR(IF(AD157=0,"S",""),"S")</f>
        <v/>
      </c>
      <c r="AK157" s="15" t="e">
        <v>#NAME?</v>
      </c>
      <c r="AL157" s="15" t="e">
        <f aca="false">_xlfn.xlookup(AK157,A:A,F:F)</f>
        <v>#NAME?</v>
      </c>
      <c r="AM157" s="15" t="e">
        <f aca="false">_xlfn.xlookup(AK157,A:A,J:J)</f>
        <v>#NAME?</v>
      </c>
      <c r="AN157" s="15" t="e">
        <f aca="false">_xlfn.xlookup(AK157,A:A,M:M)+_xlfn.xlookup(AK157,A:A,N:N)</f>
        <v>#NAME?</v>
      </c>
      <c r="AO157" s="223" t="e">
        <f aca="false">_xlfn.xlookup(AK157,A:A,AG:AG)</f>
        <v>#NAME?</v>
      </c>
      <c r="AP157" s="223" t="e">
        <f aca="false">_xlfn.xlookup(AK157,A:A,AD:AD)</f>
        <v>#NAME?</v>
      </c>
      <c r="AQ157" s="223" t="e">
        <f aca="false">_xlfn.xlookup(AK157,A:A,AE:AE)</f>
        <v>#NAME?</v>
      </c>
      <c r="AX157" s="288"/>
      <c r="AY157" s="288"/>
      <c r="AZ157" s="288"/>
      <c r="BB157" s="257" t="e">
        <f aca="false">_xlfn.xlookup(BA157,A:A,F:F)</f>
        <v>#NAME?</v>
      </c>
      <c r="BC157" s="15" t="e">
        <f aca="false">_xlfn.xlookup(BA157,A:A,J:J)</f>
        <v>#NAME?</v>
      </c>
      <c r="BD157" s="75" t="e">
        <f aca="false">_xlfn.xlookup(BA157,A:A,M:M)+_xlfn.xlookup(BA157,A:A,N:N)</f>
        <v>#NAME?</v>
      </c>
      <c r="BE157" s="75" t="e">
        <f aca="false">_xlfn.xlookup(BA157,A105:A1093,AA105:AA1093)</f>
        <v>#NAME?</v>
      </c>
    </row>
    <row r="158" customFormat="false" ht="16.4" hidden="false" customHeight="false" outlineLevel="0" collapsed="false">
      <c r="A158" s="241" t="s">
        <v>1232</v>
      </c>
      <c r="B158" s="1" t="s">
        <v>889</v>
      </c>
      <c r="C158" s="292" t="n">
        <f aca="false">'Liste WO'!C150</f>
        <v>45636</v>
      </c>
      <c r="D158" s="241" t="n">
        <f aca="false">'Liste WO'!D150</f>
        <v>281</v>
      </c>
      <c r="E158" s="241" t="str">
        <f aca="false">'Liste WO'!E150</f>
        <v>Imprimerie Ste-Julie</v>
      </c>
      <c r="F158" s="241" t="str">
        <f aca="false">_xlfn.xlookup(E158,Clients!B:B,Clients!C:C)</f>
        <v>Imprimerie Ste-Julie</v>
      </c>
      <c r="G158" s="241" t="n">
        <f aca="false">_xlfn.xlookup(D158,'PO Client'!$A:$A,'PO Client'!$F:$F,FALSE())</f>
        <v>106247</v>
      </c>
      <c r="H158" s="251" t="n">
        <f aca="false">'Liste WO'!I150</f>
        <v>40081</v>
      </c>
      <c r="I158" s="251" t="n">
        <f aca="false">'Liste WO'!J150</f>
        <v>30011</v>
      </c>
      <c r="J158" s="244" t="str">
        <f aca="false">'Liste WO'!L150</f>
        <v>S21-1</v>
      </c>
      <c r="K158" s="245" t="n">
        <v>3325.248</v>
      </c>
      <c r="L158" s="245" t="n">
        <v>0</v>
      </c>
      <c r="M158" s="245" t="n">
        <v>3261.6</v>
      </c>
      <c r="N158" s="245"/>
      <c r="O158" s="245" t="n">
        <v>60</v>
      </c>
      <c r="P158" s="246" t="n">
        <v>1</v>
      </c>
      <c r="Q158" s="219" t="n">
        <v>1.66</v>
      </c>
      <c r="R158" s="247" t="n">
        <f aca="false">-90.38/3</f>
        <v>-30.1266666666667</v>
      </c>
      <c r="S158" s="272" t="n">
        <v>1.4188</v>
      </c>
      <c r="T158" s="248" t="n">
        <f aca="false">_xlfn.xlookup(I158,'Prix MP'!A:A,'Prix MP'!U:U, 0)</f>
        <v>0.28357864079936</v>
      </c>
      <c r="U158" s="249" t="n">
        <f aca="false">(M158+N158)*T158</f>
        <v>924.920094831192</v>
      </c>
      <c r="V158" s="249" t="n">
        <f aca="false">(K158-M158-L158)*T158</f>
        <v>18.0492133295978</v>
      </c>
      <c r="W158" s="250" t="n">
        <f aca="false">IFERROR((K158-M158-L158)/K158,"")</f>
        <v>0.0191408279923785</v>
      </c>
      <c r="X158" s="249" t="n">
        <f aca="false">20.6577/85*O158</f>
        <v>14.5819058823529</v>
      </c>
      <c r="Y158" s="249" t="n">
        <f aca="false">19.2*P158</f>
        <v>19.2</v>
      </c>
      <c r="Z158" s="249" t="n">
        <f aca="false">125000/52/40*Q158</f>
        <v>99.7596153846154</v>
      </c>
      <c r="AA158" s="249" t="n">
        <f aca="false">(M158+N158)*T158+R158+V158+X158+Y158+Z158</f>
        <v>1046.38416276109</v>
      </c>
      <c r="AB158" s="285" t="n">
        <f aca="false">_xlfn.xlookup(H158,'Prix vente'!A:A,'Prix vente'!X:X, "")</f>
        <v>0.27</v>
      </c>
      <c r="AC158" s="285" t="str">
        <f aca="false">_xlfn.xlookup(H158,'Prix vente'!A:A,'Prix vente'!Z:Z, "")</f>
        <v>USD</v>
      </c>
      <c r="AD158" s="249" t="n">
        <f aca="false">IFERROR(IF(AC158="CAD",(M158+N158)*AB158,(M158+N158)*AB158*S158),0)</f>
        <v>1249.4406816</v>
      </c>
      <c r="AE158" s="249" t="n">
        <f aca="false">AD158-AA158</f>
        <v>203.056518838908</v>
      </c>
      <c r="AF158" s="273" t="n">
        <f aca="false">IFERROR(1-AA158/AD158,"")</f>
        <v>0.162517934487998</v>
      </c>
      <c r="AG158" s="252" t="n">
        <f aca="false">((M158+N158)*T158+V158)</f>
        <v>942.96930816079</v>
      </c>
      <c r="AH158" s="273" t="n">
        <f aca="false">IFERROR(AG158/AD158,"")</f>
        <v>0.754713146488274</v>
      </c>
      <c r="AI158" s="273" t="str">
        <f aca="false">IFERROR(IF(AD158=0,"S",""),"S")</f>
        <v/>
      </c>
      <c r="AK158" s="15" t="e">
        <v>#NAME?</v>
      </c>
      <c r="AL158" s="15" t="e">
        <f aca="false">_xlfn.xlookup(AK158,A:A,F:F)</f>
        <v>#NAME?</v>
      </c>
      <c r="AM158" s="15" t="e">
        <f aca="false">_xlfn.xlookup(AK158,A:A,J:J)</f>
        <v>#NAME?</v>
      </c>
      <c r="AN158" s="15" t="e">
        <f aca="false">_xlfn.xlookup(AK158,A:A,M:M)+_xlfn.xlookup(AK158,A:A,N:N)</f>
        <v>#NAME?</v>
      </c>
      <c r="AO158" s="223" t="e">
        <f aca="false">_xlfn.xlookup(AK158,A:A,AG:AG)</f>
        <v>#NAME?</v>
      </c>
      <c r="AP158" s="223" t="e">
        <f aca="false">_xlfn.xlookup(AK158,A:A,AD:AD)</f>
        <v>#NAME?</v>
      </c>
      <c r="AQ158" s="223" t="e">
        <f aca="false">_xlfn.xlookup(AK158,A:A,AE:AE)</f>
        <v>#NAME?</v>
      </c>
      <c r="AX158" s="288"/>
      <c r="AY158" s="288"/>
      <c r="AZ158" s="288"/>
      <c r="BB158" s="257" t="e">
        <f aca="false">_xlfn.xlookup(BA158,A:A,F:F)</f>
        <v>#NAME?</v>
      </c>
      <c r="BC158" s="15" t="e">
        <f aca="false">_xlfn.xlookup(BA158,A:A,J:J)</f>
        <v>#NAME?</v>
      </c>
      <c r="BD158" s="75" t="e">
        <f aca="false">_xlfn.xlookup(BA158,A:A,M:M)+_xlfn.xlookup(BA158,A:A,N:N)</f>
        <v>#NAME?</v>
      </c>
      <c r="BE158" s="75" t="e">
        <f aca="false">_xlfn.xlookup(BA158,A106:A1094,AA106:AA1094)</f>
        <v>#NAME?</v>
      </c>
    </row>
    <row r="159" customFormat="false" ht="16.4" hidden="false" customHeight="false" outlineLevel="0" collapsed="false">
      <c r="A159" s="241" t="s">
        <v>1234</v>
      </c>
      <c r="B159" s="1" t="s">
        <v>889</v>
      </c>
      <c r="C159" s="292" t="n">
        <f aca="false">'Liste WO'!C151</f>
        <v>45637</v>
      </c>
      <c r="D159" s="241" t="n">
        <f aca="false">'Liste WO'!D151</f>
        <v>282</v>
      </c>
      <c r="E159" s="241" t="str">
        <f aca="false">'Liste WO'!E151</f>
        <v>Emballages Mijo</v>
      </c>
      <c r="F159" s="241" t="str">
        <f aca="false">_xlfn.xlookup(E159,Clients!B:B,Clients!C:C)</f>
        <v>Mijo</v>
      </c>
      <c r="G159" s="241" t="n">
        <f aca="false">_xlfn.xlookup(D159,'PO Client'!$A:$A,'PO Client'!$F:$F,FALSE())</f>
        <v>14315</v>
      </c>
      <c r="H159" s="251" t="n">
        <f aca="false">'Liste WO'!I151</f>
        <v>40171</v>
      </c>
      <c r="I159" s="251" t="n">
        <f aca="false">'Liste WO'!J151</f>
        <v>30015</v>
      </c>
      <c r="J159" s="244" t="str">
        <f aca="false">'Liste WO'!L151</f>
        <v>S15-3</v>
      </c>
      <c r="K159" s="245" t="n">
        <v>7228.32</v>
      </c>
      <c r="L159" s="245" t="n">
        <v>0</v>
      </c>
      <c r="M159" s="245" t="n">
        <v>7164</v>
      </c>
      <c r="N159" s="245"/>
      <c r="O159" s="245" t="n">
        <v>60</v>
      </c>
      <c r="P159" s="246" t="n">
        <v>2</v>
      </c>
      <c r="Q159" s="219" t="n">
        <v>2.25</v>
      </c>
      <c r="R159" s="247" t="n">
        <v>110.5</v>
      </c>
      <c r="S159" s="272"/>
      <c r="T159" s="248" t="n">
        <f aca="false">_xlfn.xlookup(I159,'Prix MP'!A:A,'Prix MP'!U:U, 0)</f>
        <v>0.268854241086576</v>
      </c>
      <c r="U159" s="249" t="n">
        <f aca="false">(M159+N159)*T159</f>
        <v>1926.07178314423</v>
      </c>
      <c r="V159" s="249" t="n">
        <f aca="false">(K159-M159-L159)*T159</f>
        <v>17.2927047866885</v>
      </c>
      <c r="W159" s="250" t="n">
        <f aca="false">IFERROR((K159-M159-L159)/K159,"")</f>
        <v>0.00889833322265751</v>
      </c>
      <c r="X159" s="249" t="n">
        <f aca="false">20.6577/85*O159</f>
        <v>14.5819058823529</v>
      </c>
      <c r="Y159" s="249" t="n">
        <f aca="false">19.2*P159</f>
        <v>38.4</v>
      </c>
      <c r="Z159" s="249" t="n">
        <f aca="false">125000/52/40*Q159</f>
        <v>135.216346153846</v>
      </c>
      <c r="AA159" s="249" t="n">
        <f aca="false">(M159+N159)*T159+R159+V159+X159+Y159+Z159</f>
        <v>2242.06273996712</v>
      </c>
      <c r="AB159" s="285" t="n">
        <f aca="false">_xlfn.xlookup(H159,'Prix vente'!A:A,'Prix vente'!X:X, "")</f>
        <v>0.347</v>
      </c>
      <c r="AC159" s="285" t="str">
        <f aca="false">_xlfn.xlookup(H159,'Prix vente'!A:A,'Prix vente'!Z:Z, "")</f>
        <v>CAD</v>
      </c>
      <c r="AD159" s="249" t="n">
        <f aca="false">IFERROR(IF(AC159="CAD",(M159+N159)*AB159,(M159+N159)*AB159*S159),0)</f>
        <v>2485.908</v>
      </c>
      <c r="AE159" s="249" t="n">
        <f aca="false">AD159-AA159</f>
        <v>243.845260032879</v>
      </c>
      <c r="AF159" s="273" t="n">
        <f aca="false">IFERROR(1-AA159/AD159,"")</f>
        <v>0.0980910234943847</v>
      </c>
      <c r="AG159" s="252" t="n">
        <f aca="false">((M159+N159)*T159+V159)</f>
        <v>1943.36448793092</v>
      </c>
      <c r="AH159" s="273" t="n">
        <f aca="false">IFERROR(AG159/AD159,"")</f>
        <v>0.781752376970878</v>
      </c>
      <c r="AI159" s="273" t="str">
        <f aca="false">IFERROR(IF(AD159=0,"S",""),"S")</f>
        <v/>
      </c>
      <c r="AK159" s="15" t="e">
        <v>#NAME?</v>
      </c>
      <c r="AL159" s="15" t="e">
        <f aca="false">_xlfn.xlookup(AK159,A:A,F:F)</f>
        <v>#NAME?</v>
      </c>
      <c r="AM159" s="15" t="e">
        <f aca="false">_xlfn.xlookup(AK159,A:A,J:J)</f>
        <v>#NAME?</v>
      </c>
      <c r="AN159" s="15" t="e">
        <f aca="false">_xlfn.xlookup(AK159,A:A,M:M)+_xlfn.xlookup(AK159,A:A,N:N)</f>
        <v>#NAME?</v>
      </c>
      <c r="AO159" s="223" t="e">
        <f aca="false">_xlfn.xlookup(AK159,A:A,AG:AG)</f>
        <v>#NAME?</v>
      </c>
      <c r="AP159" s="223" t="e">
        <f aca="false">_xlfn.xlookup(AK159,A:A,AD:AD)</f>
        <v>#NAME?</v>
      </c>
      <c r="AQ159" s="223" t="e">
        <f aca="false">_xlfn.xlookup(AK159,A:A,AE:AE)</f>
        <v>#NAME?</v>
      </c>
      <c r="AX159" s="288"/>
      <c r="AY159" s="288"/>
      <c r="AZ159" s="288"/>
      <c r="BB159" s="257" t="e">
        <f aca="false">_xlfn.xlookup(BA159,A:A,F:F)</f>
        <v>#NAME?</v>
      </c>
      <c r="BC159" s="15" t="e">
        <f aca="false">_xlfn.xlookup(BA159,A:A,J:J)</f>
        <v>#NAME?</v>
      </c>
      <c r="BD159" s="75" t="e">
        <f aca="false">_xlfn.xlookup(BA159,A:A,M:M)+_xlfn.xlookup(BA159,A:A,N:N)</f>
        <v>#NAME?</v>
      </c>
      <c r="BE159" s="75" t="e">
        <f aca="false">_xlfn.xlookup(BA159,A107:A1095,AA107:AA1095)</f>
        <v>#NAME?</v>
      </c>
    </row>
    <row r="160" customFormat="false" ht="16.4" hidden="false" customHeight="false" outlineLevel="0" collapsed="false">
      <c r="A160" s="241" t="s">
        <v>1237</v>
      </c>
      <c r="B160" s="1" t="s">
        <v>889</v>
      </c>
      <c r="C160" s="292" t="n">
        <f aca="false">'Liste WO'!C152</f>
        <v>45637</v>
      </c>
      <c r="D160" s="241" t="n">
        <f aca="false">'Liste WO'!D152</f>
        <v>283</v>
      </c>
      <c r="E160" s="241" t="str">
        <f aca="false">'Liste WO'!E152</f>
        <v>Imprimerie Ste-Julie</v>
      </c>
      <c r="F160" s="241" t="str">
        <f aca="false">_xlfn.xlookup(E160,Clients!B:B,Clients!C:C)</f>
        <v>Imprimerie Ste-Julie</v>
      </c>
      <c r="G160" s="241" t="n">
        <f aca="false">_xlfn.xlookup(D160,'PO Client'!$A:$A,'PO Client'!$F:$F,FALSE())</f>
        <v>106272</v>
      </c>
      <c r="H160" s="251" t="n">
        <f aca="false">'Liste WO'!I152</f>
        <v>40084</v>
      </c>
      <c r="I160" s="251" t="n">
        <f aca="false">'Liste WO'!J152</f>
        <v>30027</v>
      </c>
      <c r="J160" s="244" t="str">
        <f aca="false">'Liste WO'!L152</f>
        <v>B25-3</v>
      </c>
      <c r="K160" s="245" t="n">
        <v>10517.2056</v>
      </c>
      <c r="L160" s="245" t="n">
        <v>7011.4704</v>
      </c>
      <c r="M160" s="245" t="n">
        <v>3420</v>
      </c>
      <c r="N160" s="245"/>
      <c r="O160" s="245" t="n">
        <v>60</v>
      </c>
      <c r="P160" s="246" t="n">
        <v>1</v>
      </c>
      <c r="Q160" s="219" t="n">
        <v>1.25</v>
      </c>
      <c r="R160" s="247" t="n">
        <f aca="false">-90.38/3</f>
        <v>-30.1266666666667</v>
      </c>
      <c r="S160" s="272" t="n">
        <v>1.4188</v>
      </c>
      <c r="T160" s="248" t="n">
        <f aca="false">_xlfn.xlookup(I160,'Prix MP'!A:A,'Prix MP'!U:U, 0)</f>
        <v>0.307208514182256</v>
      </c>
      <c r="U160" s="249" t="n">
        <f aca="false">(M160+N160)*T160</f>
        <v>1050.65311850332</v>
      </c>
      <c r="V160" s="249" t="n">
        <f aca="false">(K160-M160-L160)*T160</f>
        <v>26.3385834051183</v>
      </c>
      <c r="W160" s="250" t="n">
        <f aca="false">IFERROR((K160-M160-L160)/K160,"")</f>
        <v>0.00815189920790359</v>
      </c>
      <c r="X160" s="249" t="n">
        <f aca="false">20.6577/85*O160</f>
        <v>14.5819058823529</v>
      </c>
      <c r="Y160" s="249" t="n">
        <f aca="false">19.2*P160</f>
        <v>19.2</v>
      </c>
      <c r="Z160" s="249" t="n">
        <f aca="false">125000/52/40*Q160</f>
        <v>75.1201923076923</v>
      </c>
      <c r="AA160" s="249" t="n">
        <f aca="false">(M160+N160)*T160+R160+V160+X160+Y160+Z160</f>
        <v>1155.76713343181</v>
      </c>
      <c r="AB160" s="285" t="n">
        <f aca="false">_xlfn.xlookup(H160,'Prix vente'!A:A,'Prix vente'!X:X, "")</f>
        <v>0.33</v>
      </c>
      <c r="AC160" s="285" t="str">
        <f aca="false">_xlfn.xlookup(H160,'Prix vente'!A:A,'Prix vente'!Z:Z, "")</f>
        <v>USD</v>
      </c>
      <c r="AD160" s="249" t="n">
        <f aca="false">IFERROR(IF(AC160="CAD",(M160+N160)*AB160,(M160+N160)*AB160*S160),0)</f>
        <v>1601.25768</v>
      </c>
      <c r="AE160" s="249" t="n">
        <f aca="false">AD160-AA160</f>
        <v>445.490546568188</v>
      </c>
      <c r="AF160" s="273" t="n">
        <f aca="false">IFERROR(1-AA160/AD160,"")</f>
        <v>0.278212902353223</v>
      </c>
      <c r="AG160" s="252" t="n">
        <f aca="false">((M160+N160)*T160+V160)</f>
        <v>1076.99170190843</v>
      </c>
      <c r="AH160" s="273" t="n">
        <f aca="false">IFERROR(AG160/AD160,"")</f>
        <v>0.672591123440191</v>
      </c>
      <c r="AI160" s="273" t="str">
        <f aca="false">IFERROR(IF(AD160=0,"S",""),"S")</f>
        <v/>
      </c>
      <c r="AK160" s="15" t="e">
        <v>#NAME?</v>
      </c>
      <c r="AL160" s="15" t="e">
        <f aca="false">_xlfn.xlookup(AK160,A:A,F:F)</f>
        <v>#NAME?</v>
      </c>
      <c r="AM160" s="15" t="e">
        <f aca="false">_xlfn.xlookup(AK160,A:A,J:J)</f>
        <v>#NAME?</v>
      </c>
      <c r="AN160" s="15" t="e">
        <f aca="false">_xlfn.xlookup(AK160,A:A,M:M)+_xlfn.xlookup(AK160,A:A,N:N)</f>
        <v>#NAME?</v>
      </c>
      <c r="AO160" s="223" t="e">
        <f aca="false">_xlfn.xlookup(AK160,A:A,AG:AG)</f>
        <v>#NAME?</v>
      </c>
      <c r="AP160" s="223" t="e">
        <f aca="false">_xlfn.xlookup(AK160,A:A,AD:AD)</f>
        <v>#NAME?</v>
      </c>
      <c r="AQ160" s="223" t="e">
        <f aca="false">_xlfn.xlookup(AK160,A:A,AE:AE)</f>
        <v>#NAME?</v>
      </c>
      <c r="AX160" s="288"/>
      <c r="AY160" s="288"/>
      <c r="AZ160" s="288"/>
      <c r="BB160" s="257" t="e">
        <f aca="false">_xlfn.xlookup(BA160,A:A,F:F)</f>
        <v>#NAME?</v>
      </c>
      <c r="BC160" s="15" t="e">
        <f aca="false">_xlfn.xlookup(BA160,A:A,J:J)</f>
        <v>#NAME?</v>
      </c>
      <c r="BD160" s="75" t="e">
        <f aca="false">_xlfn.xlookup(BA160,A:A,M:M)+_xlfn.xlookup(BA160,A:A,N:N)</f>
        <v>#NAME?</v>
      </c>
      <c r="BE160" s="75" t="e">
        <f aca="false">_xlfn.xlookup(BA160,A108:A1096,AA108:AA1096)</f>
        <v>#NAME?</v>
      </c>
    </row>
    <row r="161" customFormat="false" ht="16.4" hidden="false" customHeight="false" outlineLevel="0" collapsed="false">
      <c r="A161" s="241" t="s">
        <v>1240</v>
      </c>
      <c r="B161" s="1" t="s">
        <v>889</v>
      </c>
      <c r="C161" s="292" t="n">
        <f aca="false">'Liste WO'!C153</f>
        <v>45638</v>
      </c>
      <c r="D161" s="241" t="n">
        <f aca="false">'Liste WO'!D153</f>
        <v>284</v>
      </c>
      <c r="E161" s="241" t="str">
        <f aca="false">'Liste WO'!E153</f>
        <v>Étiquettes Multi-Flex</v>
      </c>
      <c r="F161" s="241" t="str">
        <f aca="false">_xlfn.xlookup(E161,Clients!B:B,Clients!C:C)</f>
        <v>Multi-Flex</v>
      </c>
      <c r="G161" s="241" t="n">
        <f aca="false">_xlfn.xlookup(D161,'PO Client'!$A:$A,'PO Client'!$F:$F,FALSE())</f>
        <v>9936</v>
      </c>
      <c r="H161" s="251" t="n">
        <f aca="false">'Liste WO'!I153</f>
        <v>40206</v>
      </c>
      <c r="I161" s="251" t="n">
        <f aca="false">'Liste WO'!J153</f>
        <v>30015</v>
      </c>
      <c r="J161" s="244" t="str">
        <f aca="false">'Liste WO'!L153</f>
        <v>S15-3</v>
      </c>
      <c r="K161" s="245" t="n">
        <v>14371.345824</v>
      </c>
      <c r="L161" s="245" t="n">
        <v>0</v>
      </c>
      <c r="M161" s="245" t="n">
        <v>14220</v>
      </c>
      <c r="N161" s="245"/>
      <c r="O161" s="245" t="n">
        <v>120</v>
      </c>
      <c r="P161" s="246" t="n">
        <v>3</v>
      </c>
      <c r="Q161" s="219" t="n">
        <v>4</v>
      </c>
      <c r="R161" s="247" t="n">
        <v>156</v>
      </c>
      <c r="S161" s="272"/>
      <c r="T161" s="248" t="n">
        <f aca="false">_xlfn.xlookup(I161,'Prix MP'!A:A,'Prix MP'!U:U, 0)</f>
        <v>0.268854241086576</v>
      </c>
      <c r="U161" s="249" t="n">
        <f aca="false">(M161+N161)*T161</f>
        <v>3823.10730825112</v>
      </c>
      <c r="V161" s="249" t="n">
        <f aca="false">(K161-M161-L161)*T161</f>
        <v>40.6899666531426</v>
      </c>
      <c r="W161" s="250" t="n">
        <f aca="false">IFERROR((K161-M161-L161)/K161,"")</f>
        <v>0.0105310821862803</v>
      </c>
      <c r="X161" s="249" t="n">
        <f aca="false">20.6577/85*O161</f>
        <v>29.1638117647059</v>
      </c>
      <c r="Y161" s="249" t="n">
        <f aca="false">19.2*P161</f>
        <v>57.6</v>
      </c>
      <c r="Z161" s="249" t="n">
        <f aca="false">125000/52/40*Q161</f>
        <v>240.384615384615</v>
      </c>
      <c r="AA161" s="249" t="n">
        <f aca="false">(M161+N161)*T161+R161+V161+X161+Y161+Z161</f>
        <v>4346.94570205358</v>
      </c>
      <c r="AB161" s="285" t="n">
        <f aca="false">_xlfn.xlookup(H161,'Prix vente'!A:A,'Prix vente'!X:X, "")</f>
        <v>0.343</v>
      </c>
      <c r="AC161" s="285" t="str">
        <f aca="false">_xlfn.xlookup(H161,'Prix vente'!A:A,'Prix vente'!Z:Z, "")</f>
        <v>CAD</v>
      </c>
      <c r="AD161" s="249" t="n">
        <f aca="false">IFERROR(IF(AC161="CAD",(M161+N161)*AB161,(M161+N161)*AB161*S161),0)</f>
        <v>4877.46</v>
      </c>
      <c r="AE161" s="249" t="n">
        <f aca="false">AD161-AA161</f>
        <v>530.51429794642</v>
      </c>
      <c r="AF161" s="273" t="n">
        <f aca="false">IFERROR(1-AA161/AD161,"")</f>
        <v>0.108768559444141</v>
      </c>
      <c r="AG161" s="252" t="n">
        <f aca="false">((M161+N161)*T161+V161)</f>
        <v>3863.79727490426</v>
      </c>
      <c r="AH161" s="273" t="n">
        <f aca="false">IFERROR(AG161/AD161,"")</f>
        <v>0.792174056764025</v>
      </c>
      <c r="AI161" s="273" t="str">
        <f aca="false">IFERROR(IF(AD161=0,"S",""),"S")</f>
        <v/>
      </c>
      <c r="AK161" s="15" t="e">
        <v>#NAME?</v>
      </c>
      <c r="AL161" s="15" t="e">
        <f aca="false">_xlfn.xlookup(AK161,A:A,F:F)</f>
        <v>#NAME?</v>
      </c>
      <c r="AM161" s="15" t="e">
        <f aca="false">_xlfn.xlookup(AK161,A:A,J:J)</f>
        <v>#NAME?</v>
      </c>
      <c r="AN161" s="15" t="e">
        <f aca="false">_xlfn.xlookup(AK161,A:A,M:M)+_xlfn.xlookup(AK161,A:A,N:N)</f>
        <v>#NAME?</v>
      </c>
      <c r="AO161" s="223" t="e">
        <f aca="false">_xlfn.xlookup(AK161,A:A,AG:AG)</f>
        <v>#NAME?</v>
      </c>
      <c r="AP161" s="223" t="e">
        <f aca="false">_xlfn.xlookup(AK161,A:A,AD:AD)</f>
        <v>#NAME?</v>
      </c>
      <c r="AQ161" s="223" t="e">
        <f aca="false">_xlfn.xlookup(AK161,A:A,AE:AE)</f>
        <v>#NAME?</v>
      </c>
      <c r="AX161" s="288"/>
      <c r="AY161" s="288"/>
      <c r="AZ161" s="288"/>
      <c r="BB161" s="257" t="e">
        <f aca="false">_xlfn.xlookup(BA161,A:A,F:F)</f>
        <v>#NAME?</v>
      </c>
      <c r="BC161" s="15" t="e">
        <f aca="false">_xlfn.xlookup(BA161,A:A,J:J)</f>
        <v>#NAME?</v>
      </c>
      <c r="BD161" s="75" t="e">
        <f aca="false">_xlfn.xlookup(BA161,A:A,M:M)+_xlfn.xlookup(BA161,A:A,N:N)</f>
        <v>#NAME?</v>
      </c>
      <c r="BE161" s="75" t="e">
        <f aca="false">_xlfn.xlookup(BA161,A109:A1097,AA109:AA1097)</f>
        <v>#NAME?</v>
      </c>
    </row>
    <row r="162" customFormat="false" ht="16.4" hidden="false" customHeight="false" outlineLevel="0" collapsed="false">
      <c r="A162" s="241" t="s">
        <v>1243</v>
      </c>
      <c r="B162" s="1" t="s">
        <v>1057</v>
      </c>
      <c r="C162" s="292" t="n">
        <f aca="false">'Liste WO'!C154</f>
        <v>45639</v>
      </c>
      <c r="D162" s="241" t="n">
        <f aca="false">'Liste WO'!D154</f>
        <v>0</v>
      </c>
      <c r="E162" s="241" t="s">
        <v>92</v>
      </c>
      <c r="F162" s="241" t="str">
        <f aca="false">_xlfn.xlookup(E162,Clients!B:B,Clients!C:C)</f>
        <v>AKO étiquettes</v>
      </c>
      <c r="G162" s="241" t="s">
        <v>1451</v>
      </c>
      <c r="H162" s="251" t="n">
        <f aca="false">'Liste WO'!I154</f>
        <v>0</v>
      </c>
      <c r="I162" s="251" t="n">
        <f aca="false">'Liste WO'!J154</f>
        <v>0</v>
      </c>
      <c r="J162" s="244" t="str">
        <f aca="false">'Liste WO'!L154</f>
        <v>D21-1</v>
      </c>
      <c r="K162" s="245"/>
      <c r="L162" s="245"/>
      <c r="M162" s="245"/>
      <c r="N162" s="245"/>
      <c r="O162" s="245"/>
      <c r="P162" s="246"/>
      <c r="Q162" s="219"/>
      <c r="R162" s="247" t="n">
        <v>0</v>
      </c>
      <c r="S162" s="272"/>
      <c r="T162" s="248" t="n">
        <f aca="false">_xlfn.xlookup(I162,'Prix MP'!A:A,'Prix MP'!U:U, 0)</f>
        <v>0</v>
      </c>
      <c r="U162" s="249" t="n">
        <f aca="false">(M162+N162)*T162</f>
        <v>0</v>
      </c>
      <c r="V162" s="249" t="n">
        <f aca="false">(K162-M162-L162)*T162</f>
        <v>0</v>
      </c>
      <c r="W162" s="250" t="str">
        <f aca="false">IFERROR((K162-M162-L162)/K162,"")</f>
        <v/>
      </c>
      <c r="X162" s="249" t="n">
        <f aca="false">20.6577/85*O162</f>
        <v>0</v>
      </c>
      <c r="Y162" s="249" t="n">
        <f aca="false">19.2*P162</f>
        <v>0</v>
      </c>
      <c r="Z162" s="249" t="n">
        <f aca="false">125000/52/40*Q162</f>
        <v>0</v>
      </c>
      <c r="AA162" s="249" t="n">
        <f aca="false">(M162+N162)*T162+R162+V162+X162+Y162+Z162</f>
        <v>0</v>
      </c>
      <c r="AB162" s="285" t="e">
        <f aca="false">_xlfn.xlookup(H162,'Prix vente'!A:A,'Prix vente'!X:X, "")</f>
        <v>#NAME?</v>
      </c>
      <c r="AC162" s="285" t="e">
        <f aca="false">_xlfn.xlookup(H162,'Prix vente'!A:A,'Prix vente'!Z:Z, "")</f>
        <v>#NAME?</v>
      </c>
      <c r="AD162" s="249" t="n">
        <f aca="false">IFERROR(IF(AC162="CAD",(M162+N162)*AB162,(M162+N162)*AB162*S162),0)</f>
        <v>0</v>
      </c>
      <c r="AE162" s="249" t="n">
        <f aca="false">AD162-AA162</f>
        <v>0</v>
      </c>
      <c r="AF162" s="273" t="str">
        <f aca="false">IFERROR(1-AA162/AD162,"")</f>
        <v/>
      </c>
      <c r="AG162" s="252" t="n">
        <f aca="false">((M162+N162)*T162+V162)</f>
        <v>0</v>
      </c>
      <c r="AH162" s="273" t="str">
        <f aca="false">IFERROR(AG162/AD162,"")</f>
        <v/>
      </c>
      <c r="AI162" s="273" t="str">
        <f aca="false">IFERROR(IF(AD162=0,"S",""),"S")</f>
        <v>S</v>
      </c>
      <c r="AK162" s="15" t="e">
        <v>#NAME?</v>
      </c>
      <c r="AL162" s="15" t="e">
        <f aca="false">_xlfn.xlookup(AK162,A:A,F:F)</f>
        <v>#NAME?</v>
      </c>
      <c r="AM162" s="15" t="e">
        <f aca="false">_xlfn.xlookup(AK162,A:A,J:J)</f>
        <v>#NAME?</v>
      </c>
      <c r="AN162" s="15" t="e">
        <f aca="false">_xlfn.xlookup(AK162,A:A,M:M)+_xlfn.xlookup(AK162,A:A,N:N)</f>
        <v>#NAME?</v>
      </c>
      <c r="AO162" s="223" t="e">
        <f aca="false">_xlfn.xlookup(AK162,A:A,AG:AG)</f>
        <v>#NAME?</v>
      </c>
      <c r="AP162" s="223" t="e">
        <f aca="false">_xlfn.xlookup(AK162,A:A,AD:AD)</f>
        <v>#NAME?</v>
      </c>
      <c r="AQ162" s="223" t="e">
        <f aca="false">_xlfn.xlookup(AK162,A:A,AE:AE)</f>
        <v>#NAME?</v>
      </c>
      <c r="AX162" s="288"/>
      <c r="AY162" s="288"/>
      <c r="AZ162" s="288"/>
      <c r="BB162" s="257" t="e">
        <f aca="false">_xlfn.xlookup(BA162,A:A,F:F)</f>
        <v>#NAME?</v>
      </c>
      <c r="BC162" s="15" t="e">
        <f aca="false">_xlfn.xlookup(BA162,A:A,J:J)</f>
        <v>#NAME?</v>
      </c>
      <c r="BD162" s="75" t="e">
        <f aca="false">_xlfn.xlookup(BA162,A:A,M:M)+_xlfn.xlookup(BA162,A:A,N:N)</f>
        <v>#NAME?</v>
      </c>
      <c r="BE162" s="75" t="e">
        <f aca="false">_xlfn.xlookup(BA162,A110:A1098,AA110:AA1098)</f>
        <v>#NAME?</v>
      </c>
    </row>
    <row r="163" customFormat="false" ht="16.4" hidden="false" customHeight="false" outlineLevel="0" collapsed="false">
      <c r="A163" s="241" t="s">
        <v>1248</v>
      </c>
      <c r="B163" s="1" t="s">
        <v>1057</v>
      </c>
      <c r="C163" s="292" t="n">
        <f aca="false">'Liste WO'!C155</f>
        <v>45639</v>
      </c>
      <c r="D163" s="241" t="n">
        <f aca="false">'Liste WO'!D155</f>
        <v>0</v>
      </c>
      <c r="E163" s="241" t="s">
        <v>92</v>
      </c>
      <c r="F163" s="241" t="str">
        <f aca="false">_xlfn.xlookup(E163,Clients!B:B,Clients!C:C)</f>
        <v>AKO étiquettes</v>
      </c>
      <c r="G163" s="241" t="s">
        <v>1451</v>
      </c>
      <c r="H163" s="251" t="n">
        <f aca="false">'Liste WO'!I155</f>
        <v>0</v>
      </c>
      <c r="I163" s="251" t="n">
        <f aca="false">'Liste WO'!J155</f>
        <v>0</v>
      </c>
      <c r="J163" s="244" t="str">
        <f aca="false">'Liste WO'!L155</f>
        <v>D11-3</v>
      </c>
      <c r="K163" s="245"/>
      <c r="L163" s="245"/>
      <c r="M163" s="245"/>
      <c r="N163" s="245"/>
      <c r="O163" s="245"/>
      <c r="P163" s="246"/>
      <c r="Q163" s="219"/>
      <c r="R163" s="247" t="n">
        <v>0</v>
      </c>
      <c r="S163" s="272"/>
      <c r="T163" s="248" t="n">
        <f aca="false">_xlfn.xlookup(I163,'Prix MP'!A:A,'Prix MP'!U:U, 0)</f>
        <v>0</v>
      </c>
      <c r="U163" s="249" t="n">
        <f aca="false">(M163+N163)*T163</f>
        <v>0</v>
      </c>
      <c r="V163" s="249" t="n">
        <f aca="false">(K163-M163-L163)*T163</f>
        <v>0</v>
      </c>
      <c r="W163" s="250" t="str">
        <f aca="false">IFERROR((K163-M163-L163)/K163,"")</f>
        <v/>
      </c>
      <c r="X163" s="249" t="n">
        <f aca="false">20.6577/85*O163</f>
        <v>0</v>
      </c>
      <c r="Y163" s="249" t="n">
        <f aca="false">19.2*P163</f>
        <v>0</v>
      </c>
      <c r="Z163" s="249" t="n">
        <f aca="false">125000/52/40*Q163</f>
        <v>0</v>
      </c>
      <c r="AA163" s="249" t="n">
        <f aca="false">(M163+N163)*T163+R163+V163+X163+Y163+Z163</f>
        <v>0</v>
      </c>
      <c r="AB163" s="285" t="e">
        <f aca="false">_xlfn.xlookup(H163,'Prix vente'!A:A,'Prix vente'!X:X, "")</f>
        <v>#NAME?</v>
      </c>
      <c r="AC163" s="285" t="e">
        <f aca="false">_xlfn.xlookup(H163,'Prix vente'!A:A,'Prix vente'!Z:Z, "")</f>
        <v>#NAME?</v>
      </c>
      <c r="AD163" s="249" t="n">
        <f aca="false">IFERROR(IF(AC163="CAD",(M163+N163)*AB163,(M163+N163)*AB163*S163),0)</f>
        <v>0</v>
      </c>
      <c r="AE163" s="249" t="n">
        <f aca="false">AD163-AA163</f>
        <v>0</v>
      </c>
      <c r="AF163" s="273" t="str">
        <f aca="false">IFERROR(1-AA163/AD163,"")</f>
        <v/>
      </c>
      <c r="AG163" s="252" t="n">
        <f aca="false">((M163+N163)*T163+V163)</f>
        <v>0</v>
      </c>
      <c r="AH163" s="273" t="str">
        <f aca="false">IFERROR(AG163/AD163,"")</f>
        <v/>
      </c>
      <c r="AI163" s="273" t="str">
        <f aca="false">IFERROR(IF(AD163=0,"S",""),"S")</f>
        <v>S</v>
      </c>
      <c r="AK163" s="15" t="e">
        <v>#NAME?</v>
      </c>
      <c r="AL163" s="15" t="e">
        <f aca="false">_xlfn.xlookup(AK163,A:A,F:F)</f>
        <v>#NAME?</v>
      </c>
      <c r="AM163" s="15" t="e">
        <f aca="false">_xlfn.xlookup(AK163,A:A,J:J)</f>
        <v>#NAME?</v>
      </c>
      <c r="AN163" s="15" t="e">
        <f aca="false">_xlfn.xlookup(AK163,A:A,M:M)+_xlfn.xlookup(AK163,A:A,N:N)</f>
        <v>#NAME?</v>
      </c>
      <c r="AO163" s="223" t="e">
        <f aca="false">_xlfn.xlookup(AK163,A:A,AG:AG)</f>
        <v>#NAME?</v>
      </c>
      <c r="AP163" s="223" t="e">
        <f aca="false">_xlfn.xlookup(AK163,A:A,AD:AD)</f>
        <v>#NAME?</v>
      </c>
      <c r="AQ163" s="223" t="e">
        <f aca="false">_xlfn.xlookup(AK163,A:A,AE:AE)</f>
        <v>#NAME?</v>
      </c>
      <c r="AX163" s="288"/>
      <c r="AY163" s="288"/>
      <c r="AZ163" s="288"/>
      <c r="BB163" s="257" t="e">
        <f aca="false">_xlfn.xlookup(BA163,A:A,F:F)</f>
        <v>#NAME?</v>
      </c>
      <c r="BC163" s="15" t="e">
        <f aca="false">_xlfn.xlookup(BA163,A:A,J:J)</f>
        <v>#NAME?</v>
      </c>
      <c r="BD163" s="75" t="e">
        <f aca="false">_xlfn.xlookup(BA163,A:A,M:M)+_xlfn.xlookup(BA163,A:A,N:N)</f>
        <v>#NAME?</v>
      </c>
      <c r="BE163" s="75" t="e">
        <f aca="false">_xlfn.xlookup(BA163,A111:A1099,AA111:AA1099)</f>
        <v>#NAME?</v>
      </c>
    </row>
    <row r="164" customFormat="false" ht="16.4" hidden="false" customHeight="false" outlineLevel="0" collapsed="false">
      <c r="A164" s="241" t="s">
        <v>1251</v>
      </c>
      <c r="B164" s="1" t="s">
        <v>1057</v>
      </c>
      <c r="C164" s="292" t="n">
        <f aca="false">'Liste WO'!C156</f>
        <v>45639</v>
      </c>
      <c r="D164" s="241" t="n">
        <f aca="false">'Liste WO'!D156</f>
        <v>0</v>
      </c>
      <c r="E164" s="241" t="s">
        <v>92</v>
      </c>
      <c r="F164" s="241" t="str">
        <f aca="false">_xlfn.xlookup(E164,Clients!B:B,Clients!C:C)</f>
        <v>AKO étiquettes</v>
      </c>
      <c r="G164" s="241" t="s">
        <v>1435</v>
      </c>
      <c r="H164" s="251" t="n">
        <f aca="false">'Liste WO'!I156</f>
        <v>0</v>
      </c>
      <c r="I164" s="251" t="n">
        <f aca="false">'Liste WO'!J156</f>
        <v>0</v>
      </c>
      <c r="J164" s="244" t="str">
        <f aca="false">'Liste WO'!L156</f>
        <v>D21-1</v>
      </c>
      <c r="K164" s="245"/>
      <c r="L164" s="245"/>
      <c r="M164" s="245"/>
      <c r="N164" s="245"/>
      <c r="O164" s="245"/>
      <c r="P164" s="246"/>
      <c r="Q164" s="219"/>
      <c r="R164" s="247" t="n">
        <v>0</v>
      </c>
      <c r="S164" s="272"/>
      <c r="T164" s="248" t="n">
        <f aca="false">_xlfn.xlookup(I164,'Prix MP'!A:A,'Prix MP'!U:U, 0)</f>
        <v>0</v>
      </c>
      <c r="U164" s="249" t="n">
        <f aca="false">(M164+N164)*T164</f>
        <v>0</v>
      </c>
      <c r="V164" s="249" t="n">
        <f aca="false">(K164-M164-L164)*T164</f>
        <v>0</v>
      </c>
      <c r="W164" s="250" t="str">
        <f aca="false">IFERROR((K164-M164-L164)/K164,"")</f>
        <v/>
      </c>
      <c r="X164" s="249" t="n">
        <f aca="false">20.6577/85*O164</f>
        <v>0</v>
      </c>
      <c r="Y164" s="249" t="n">
        <f aca="false">19.2*P164</f>
        <v>0</v>
      </c>
      <c r="Z164" s="249" t="n">
        <f aca="false">125000/52/40*Q164</f>
        <v>0</v>
      </c>
      <c r="AA164" s="249" t="n">
        <f aca="false">(M164+N164)*T164+R164+V164+X164+Y164+Z164</f>
        <v>0</v>
      </c>
      <c r="AB164" s="285" t="e">
        <f aca="false">_xlfn.xlookup(H164,'Prix vente'!A:A,'Prix vente'!X:X, "")</f>
        <v>#NAME?</v>
      </c>
      <c r="AC164" s="285" t="e">
        <f aca="false">_xlfn.xlookup(H164,'Prix vente'!A:A,'Prix vente'!Z:Z, "")</f>
        <v>#NAME?</v>
      </c>
      <c r="AD164" s="249" t="n">
        <f aca="false">IFERROR(IF(AC164="CAD",(M164+N164)*AB164,(M164+N164)*AB164*S164),0)</f>
        <v>0</v>
      </c>
      <c r="AE164" s="249" t="n">
        <f aca="false">AD164-AA164</f>
        <v>0</v>
      </c>
      <c r="AF164" s="273" t="str">
        <f aca="false">IFERROR(1-AA164/AD164,"")</f>
        <v/>
      </c>
      <c r="AG164" s="252" t="n">
        <f aca="false">((M164+N164)*T164+V164)</f>
        <v>0</v>
      </c>
      <c r="AH164" s="273" t="str">
        <f aca="false">IFERROR(AG164/AD164,"")</f>
        <v/>
      </c>
      <c r="AI164" s="273" t="str">
        <f aca="false">IFERROR(IF(AD164=0,"S",""),"S")</f>
        <v>S</v>
      </c>
      <c r="AK164" s="15" t="e">
        <v>#NAME?</v>
      </c>
      <c r="AL164" s="15" t="e">
        <f aca="false">_xlfn.xlookup(AK164,A:A,F:F)</f>
        <v>#NAME?</v>
      </c>
      <c r="AM164" s="15" t="e">
        <f aca="false">_xlfn.xlookup(AK164,A:A,J:J)</f>
        <v>#NAME?</v>
      </c>
      <c r="AN164" s="15" t="e">
        <f aca="false">_xlfn.xlookup(AK164,A:A,M:M)+_xlfn.xlookup(AK164,A:A,N:N)</f>
        <v>#NAME?</v>
      </c>
      <c r="AO164" s="223" t="e">
        <f aca="false">_xlfn.xlookup(AK164,A:A,AG:AG)</f>
        <v>#NAME?</v>
      </c>
      <c r="AP164" s="223" t="e">
        <f aca="false">_xlfn.xlookup(AK164,A:A,AD:AD)</f>
        <v>#NAME?</v>
      </c>
      <c r="AQ164" s="223" t="e">
        <f aca="false">_xlfn.xlookup(AK164,A:A,AE:AE)</f>
        <v>#NAME?</v>
      </c>
      <c r="AX164" s="288"/>
      <c r="AY164" s="288"/>
      <c r="AZ164" s="288"/>
      <c r="BB164" s="257" t="e">
        <f aca="false">_xlfn.xlookup(BA164,A:A,F:F)</f>
        <v>#NAME?</v>
      </c>
      <c r="BC164" s="15" t="e">
        <f aca="false">_xlfn.xlookup(BA164,A:A,J:J)</f>
        <v>#NAME?</v>
      </c>
      <c r="BD164" s="75" t="e">
        <f aca="false">_xlfn.xlookup(BA164,A:A,M:M)+_xlfn.xlookup(BA164,A:A,N:N)</f>
        <v>#NAME?</v>
      </c>
      <c r="BE164" s="75" t="e">
        <f aca="false">_xlfn.xlookup(BA164,A112:A1100,AA112:AA1100)</f>
        <v>#NAME?</v>
      </c>
    </row>
    <row r="165" customFormat="false" ht="16.4" hidden="false" customHeight="false" outlineLevel="0" collapsed="false">
      <c r="A165" s="241" t="s">
        <v>1256</v>
      </c>
      <c r="B165" s="1" t="s">
        <v>1057</v>
      </c>
      <c r="C165" s="292" t="n">
        <f aca="false">'Liste WO'!C157</f>
        <v>45639</v>
      </c>
      <c r="D165" s="241" t="n">
        <f aca="false">'Liste WO'!D157</f>
        <v>0</v>
      </c>
      <c r="E165" s="241" t="s">
        <v>92</v>
      </c>
      <c r="F165" s="241" t="str">
        <f aca="false">_xlfn.xlookup(E165,Clients!B:B,Clients!C:C)</f>
        <v>AKO étiquettes</v>
      </c>
      <c r="G165" s="241" t="s">
        <v>1435</v>
      </c>
      <c r="H165" s="251" t="n">
        <f aca="false">'Liste WO'!I157</f>
        <v>0</v>
      </c>
      <c r="I165" s="251" t="n">
        <f aca="false">'Liste WO'!J157</f>
        <v>0</v>
      </c>
      <c r="J165" s="244" t="str">
        <f aca="false">'Liste WO'!L157</f>
        <v>D11-3</v>
      </c>
      <c r="K165" s="245"/>
      <c r="L165" s="245"/>
      <c r="M165" s="245"/>
      <c r="N165" s="245"/>
      <c r="O165" s="245"/>
      <c r="P165" s="246"/>
      <c r="Q165" s="219"/>
      <c r="R165" s="247" t="n">
        <v>0</v>
      </c>
      <c r="S165" s="272"/>
      <c r="T165" s="248" t="n">
        <f aca="false">_xlfn.xlookup(I165,'Prix MP'!A:A,'Prix MP'!U:U, 0)</f>
        <v>0</v>
      </c>
      <c r="U165" s="249" t="n">
        <f aca="false">(M165+N165)*T165</f>
        <v>0</v>
      </c>
      <c r="V165" s="249" t="n">
        <f aca="false">(K165-M165-L165)*T165</f>
        <v>0</v>
      </c>
      <c r="W165" s="250" t="str">
        <f aca="false">IFERROR((K165-M165-L165)/K165,"")</f>
        <v/>
      </c>
      <c r="X165" s="249" t="n">
        <f aca="false">20.6577/85*O165</f>
        <v>0</v>
      </c>
      <c r="Y165" s="249" t="n">
        <f aca="false">19.2*P165</f>
        <v>0</v>
      </c>
      <c r="Z165" s="249" t="n">
        <f aca="false">125000/52/40*Q165</f>
        <v>0</v>
      </c>
      <c r="AA165" s="249" t="n">
        <f aca="false">(M165+N165)*T165+R165+V165+X165+Y165+Z165</f>
        <v>0</v>
      </c>
      <c r="AB165" s="285" t="e">
        <f aca="false">_xlfn.xlookup(H165,'Prix vente'!A:A,'Prix vente'!X:X, "")</f>
        <v>#NAME?</v>
      </c>
      <c r="AC165" s="285" t="e">
        <f aca="false">_xlfn.xlookup(H165,'Prix vente'!A:A,'Prix vente'!Z:Z, "")</f>
        <v>#NAME?</v>
      </c>
      <c r="AD165" s="249" t="n">
        <f aca="false">IFERROR(IF(AC165="CAD",(M165+N165)*AB165,(M165+N165)*AB165*S165),0)</f>
        <v>0</v>
      </c>
      <c r="AE165" s="249" t="n">
        <f aca="false">AD165-AA165</f>
        <v>0</v>
      </c>
      <c r="AF165" s="273" t="str">
        <f aca="false">IFERROR(1-AA165/AD165,"")</f>
        <v/>
      </c>
      <c r="AG165" s="252" t="n">
        <f aca="false">((M165+N165)*T165+V165)</f>
        <v>0</v>
      </c>
      <c r="AH165" s="273" t="str">
        <f aca="false">IFERROR(AG165/AD165,"")</f>
        <v/>
      </c>
      <c r="AI165" s="273" t="str">
        <f aca="false">IFERROR(IF(AD165=0,"S",""),"S")</f>
        <v>S</v>
      </c>
      <c r="AK165" s="15" t="e">
        <v>#NAME?</v>
      </c>
      <c r="AL165" s="15" t="e">
        <f aca="false">_xlfn.xlookup(AK165,A:A,F:F)</f>
        <v>#NAME?</v>
      </c>
      <c r="AM165" s="15" t="e">
        <f aca="false">_xlfn.xlookup(AK165,A:A,J:J)</f>
        <v>#NAME?</v>
      </c>
      <c r="AN165" s="15" t="e">
        <f aca="false">_xlfn.xlookup(AK165,A:A,M:M)+_xlfn.xlookup(AK165,A:A,N:N)</f>
        <v>#NAME?</v>
      </c>
      <c r="AO165" s="223" t="e">
        <f aca="false">_xlfn.xlookup(AK165,A:A,AG:AG)</f>
        <v>#NAME?</v>
      </c>
      <c r="AP165" s="223" t="e">
        <f aca="false">_xlfn.xlookup(AK165,A:A,AD:AD)</f>
        <v>#NAME?</v>
      </c>
      <c r="AQ165" s="223" t="e">
        <f aca="false">_xlfn.xlookup(AK165,A:A,AE:AE)</f>
        <v>#NAME?</v>
      </c>
      <c r="AX165" s="288"/>
      <c r="AY165" s="288"/>
      <c r="AZ165" s="288"/>
      <c r="BB165" s="257" t="e">
        <f aca="false">_xlfn.xlookup(BA165,A:A,F:F)</f>
        <v>#NAME?</v>
      </c>
      <c r="BC165" s="15" t="e">
        <f aca="false">_xlfn.xlookup(BA165,A:A,J:J)</f>
        <v>#NAME?</v>
      </c>
      <c r="BD165" s="75" t="e">
        <f aca="false">_xlfn.xlookup(BA165,A:A,M:M)+_xlfn.xlookup(BA165,A:A,N:N)</f>
        <v>#NAME?</v>
      </c>
      <c r="BE165" s="75" t="e">
        <f aca="false">_xlfn.xlookup(BA165,A113:A1101,AA113:AA1101)</f>
        <v>#NAME?</v>
      </c>
    </row>
    <row r="166" customFormat="false" ht="16.4" hidden="false" customHeight="false" outlineLevel="0" collapsed="false">
      <c r="A166" s="241" t="s">
        <v>1259</v>
      </c>
      <c r="B166" s="1" t="s">
        <v>889</v>
      </c>
      <c r="C166" s="292" t="n">
        <f aca="false">'Liste WO'!C158</f>
        <v>45643</v>
      </c>
      <c r="D166" s="241" t="n">
        <f aca="false">'Liste WO'!D158</f>
        <v>286</v>
      </c>
      <c r="E166" s="241" t="str">
        <f aca="false">'Liste WO'!E158</f>
        <v>Digi America Inc.</v>
      </c>
      <c r="F166" s="241" t="str">
        <f aca="false">_xlfn.xlookup(E166,Clients!B:B,Clients!C:C)</f>
        <v>Digi</v>
      </c>
      <c r="G166" s="241" t="n">
        <f aca="false">_xlfn.xlookup(D166,'PO Client'!$A:$A,'PO Client'!$F:$F,FALSE())</f>
        <v>50008960</v>
      </c>
      <c r="H166" s="251" t="n">
        <f aca="false">'Liste WO'!I158</f>
        <v>40103</v>
      </c>
      <c r="I166" s="251" t="n">
        <f aca="false">'Liste WO'!J158</f>
        <v>30025</v>
      </c>
      <c r="J166" s="244" t="str">
        <f aca="false">'Liste WO'!L158</f>
        <v>D11-1</v>
      </c>
      <c r="K166" s="245" t="n">
        <v>68301.118512</v>
      </c>
      <c r="L166" s="245" t="n">
        <v>0</v>
      </c>
      <c r="M166" s="245" t="n">
        <v>66718.2</v>
      </c>
      <c r="N166" s="245"/>
      <c r="O166" s="245" t="n">
        <v>1077.25</v>
      </c>
      <c r="P166" s="246" t="n">
        <v>10</v>
      </c>
      <c r="Q166" s="219" t="n">
        <v>16.5</v>
      </c>
      <c r="R166" s="247" t="n">
        <v>-201.55</v>
      </c>
      <c r="S166" s="272" t="n">
        <v>1.4365</v>
      </c>
      <c r="T166" s="248" t="n">
        <f aca="false">_xlfn.xlookup(I166,'Prix MP'!A:A,'Prix MP'!U:U, 0)</f>
        <v>0.369342532440358</v>
      </c>
      <c r="U166" s="249" t="n">
        <f aca="false">(M166+N166)*T166</f>
        <v>24641.8689478623</v>
      </c>
      <c r="V166" s="249" t="n">
        <f aca="false">(K166-M166-L166)*T166</f>
        <v>584.6391318688</v>
      </c>
      <c r="W166" s="250" t="n">
        <f aca="false">IFERROR((K166-M166-L166)/K166,"")</f>
        <v>0.0231755869667329</v>
      </c>
      <c r="X166" s="249" t="n">
        <f aca="false">20.6577/85*O166</f>
        <v>261.805968529412</v>
      </c>
      <c r="Y166" s="249" t="n">
        <f aca="false">19.2*P166</f>
        <v>192</v>
      </c>
      <c r="Z166" s="249" t="n">
        <f aca="false">125000/52/40*Q166</f>
        <v>991.586538461539</v>
      </c>
      <c r="AA166" s="249" t="n">
        <f aca="false">(M166+N166)*T166+R166+V166+X166+Y166+Z166</f>
        <v>26470.3505867221</v>
      </c>
      <c r="AB166" s="285" t="n">
        <f aca="false">_xlfn.xlookup(H166,'Prix vente'!A:A,'Prix vente'!X:X, "")</f>
        <v>0.31</v>
      </c>
      <c r="AC166" s="285" t="str">
        <f aca="false">_xlfn.xlookup(H166,'Prix vente'!A:A,'Prix vente'!Z:Z, "")</f>
        <v>USD</v>
      </c>
      <c r="AD166" s="249" t="n">
        <f aca="false">IFERROR(IF(AC166="CAD",(M166+N166)*AB166,(M166+N166)*AB166*S166),0)</f>
        <v>29710.615233</v>
      </c>
      <c r="AE166" s="249" t="n">
        <f aca="false">AD166-AA166</f>
        <v>3240.26464627794</v>
      </c>
      <c r="AF166" s="273" t="n">
        <f aca="false">IFERROR(1-AA166/AD166,"")</f>
        <v>0.109060839732424</v>
      </c>
      <c r="AG166" s="252" t="n">
        <f aca="false">((M166+N166)*T166+V166)</f>
        <v>25226.5080797311</v>
      </c>
      <c r="AH166" s="273" t="n">
        <f aca="false">IFERROR(AG166/AD166,"")</f>
        <v>0.849073904457948</v>
      </c>
      <c r="AI166" s="273" t="str">
        <f aca="false">IFERROR(IF(AD166=0,"S",""),"S")</f>
        <v/>
      </c>
      <c r="AK166" s="15" t="e">
        <v>#NAME?</v>
      </c>
      <c r="AL166" s="15" t="e">
        <f aca="false">_xlfn.xlookup(AK166,A:A,F:F)</f>
        <v>#NAME?</v>
      </c>
      <c r="AM166" s="15" t="e">
        <f aca="false">_xlfn.xlookup(AK166,A:A,J:J)</f>
        <v>#NAME?</v>
      </c>
      <c r="AN166" s="15" t="e">
        <f aca="false">_xlfn.xlookup(AK166,A:A,M:M)+_xlfn.xlookup(AK166,A:A,N:N)</f>
        <v>#NAME?</v>
      </c>
      <c r="AO166" s="223" t="e">
        <f aca="false">_xlfn.xlookup(AK166,A:A,AG:AG)</f>
        <v>#NAME?</v>
      </c>
      <c r="AP166" s="223" t="e">
        <f aca="false">_xlfn.xlookup(AK166,A:A,AD:AD)</f>
        <v>#NAME?</v>
      </c>
      <c r="AQ166" s="223" t="e">
        <f aca="false">_xlfn.xlookup(AK166,A:A,AE:AE)</f>
        <v>#NAME?</v>
      </c>
      <c r="AX166" s="288"/>
      <c r="AY166" s="288"/>
      <c r="AZ166" s="288"/>
      <c r="BB166" s="257" t="e">
        <f aca="false">_xlfn.xlookup(BA166,A:A,F:F)</f>
        <v>#NAME?</v>
      </c>
      <c r="BC166" s="15" t="e">
        <f aca="false">_xlfn.xlookup(BA166,A:A,J:J)</f>
        <v>#NAME?</v>
      </c>
      <c r="BD166" s="75" t="e">
        <f aca="false">_xlfn.xlookup(BA166,A:A,M:M)+_xlfn.xlookup(BA166,A:A,N:N)</f>
        <v>#NAME?</v>
      </c>
      <c r="BE166" s="75" t="e">
        <f aca="false">_xlfn.xlookup(BA166,A114:A1102,AA114:AA1102)</f>
        <v>#NAME?</v>
      </c>
    </row>
    <row r="167" customFormat="false" ht="16.4" hidden="false" customHeight="false" outlineLevel="0" collapsed="false">
      <c r="A167" s="241" t="s">
        <v>1261</v>
      </c>
      <c r="B167" s="1" t="s">
        <v>889</v>
      </c>
      <c r="C167" s="292" t="n">
        <f aca="false">'Liste WO'!C159</f>
        <v>45670</v>
      </c>
      <c r="D167" s="241" t="n">
        <f aca="false">'Liste WO'!D159</f>
        <v>264</v>
      </c>
      <c r="E167" s="241" t="str">
        <f aca="false">'Liste WO'!E159</f>
        <v>Étiquettes Luso-Flex</v>
      </c>
      <c r="F167" s="241" t="str">
        <f aca="false">_xlfn.xlookup(E167,Clients!B:B,Clients!C:C)</f>
        <v>Luso-Flex</v>
      </c>
      <c r="G167" s="241" t="s">
        <v>1262</v>
      </c>
      <c r="H167" s="251" t="n">
        <f aca="false">'Liste WO'!I159</f>
        <v>40181</v>
      </c>
      <c r="I167" s="251" t="n">
        <f aca="false">'Liste WO'!J159</f>
        <v>30042</v>
      </c>
      <c r="J167" s="244" t="str">
        <f aca="false">'Liste WO'!L159</f>
        <v>T11-1</v>
      </c>
      <c r="K167" s="245" t="n">
        <v>53117.80068</v>
      </c>
      <c r="L167" s="245" t="n">
        <v>3903.552</v>
      </c>
      <c r="M167" s="245" t="n">
        <v>48912.12</v>
      </c>
      <c r="N167" s="245"/>
      <c r="O167" s="245" t="n">
        <v>422</v>
      </c>
      <c r="P167" s="246" t="n">
        <v>8</v>
      </c>
      <c r="Q167" s="219" t="n">
        <v>9</v>
      </c>
      <c r="R167" s="296" t="n">
        <f aca="false">125.9+237.53</f>
        <v>363.43</v>
      </c>
      <c r="S167" s="272"/>
      <c r="T167" s="248" t="n">
        <f aca="false">_xlfn.xlookup(I167,'Prix MP'!A:A,'Prix MP'!U:U, 0)</f>
        <v>0.273486093127953</v>
      </c>
      <c r="U167" s="249" t="n">
        <f aca="false">(M167+N167)*T167</f>
        <v>13376.7846054056</v>
      </c>
      <c r="V167" s="249" t="n">
        <f aca="false">(K167-M167-L167)*T167</f>
        <v>82.6279923151009</v>
      </c>
      <c r="W167" s="250" t="n">
        <f aca="false">IFERROR((K167-M167-L167)/K167,"")</f>
        <v>0.00568789889890417</v>
      </c>
      <c r="X167" s="249" t="n">
        <f aca="false">20.6577/85*O167</f>
        <v>102.559404705882</v>
      </c>
      <c r="Y167" s="249" t="n">
        <f aca="false">19.2*P167</f>
        <v>153.6</v>
      </c>
      <c r="Z167" s="249" t="n">
        <f aca="false">125000/52/40*Q167</f>
        <v>540.865384615385</v>
      </c>
      <c r="AA167" s="249" t="n">
        <f aca="false">(M167+N167)*T167+R167+V167+X167+Y167+Z167</f>
        <v>14619.867387042</v>
      </c>
      <c r="AB167" s="285" t="n">
        <f aca="false">_xlfn.xlookup(H167,'Prix vente'!A:A,'Prix vente'!X:X, "")</f>
        <v>0.438</v>
      </c>
      <c r="AC167" s="285" t="str">
        <f aca="false">_xlfn.xlookup(H167,'Prix vente'!A:A,'Prix vente'!Z:Z, "")</f>
        <v>CAD</v>
      </c>
      <c r="AD167" s="249" t="n">
        <f aca="false">IFERROR(IF(AC167="CAD",(M167+N167)*AB167,(M167+N167)*AB167*S167),0)</f>
        <v>21423.50856</v>
      </c>
      <c r="AE167" s="249" t="n">
        <f aca="false">AD167-AA167</f>
        <v>6803.64117295801</v>
      </c>
      <c r="AF167" s="273" t="n">
        <f aca="false">IFERROR(1-AA167/AD167,"")</f>
        <v>0.317578288070944</v>
      </c>
      <c r="AG167" s="252" t="n">
        <f aca="false">((M167+N167)*T167+V167)</f>
        <v>13459.4125977207</v>
      </c>
      <c r="AH167" s="273" t="n">
        <f aca="false">IFERROR(AG167/AD167,"")</f>
        <v>0.628254357124813</v>
      </c>
      <c r="AI167" s="273" t="str">
        <f aca="false">IFERROR(IF(AD167=0,"S",""),"S")</f>
        <v/>
      </c>
      <c r="AK167" s="15" t="e">
        <v>#NAME?</v>
      </c>
      <c r="AL167" s="15" t="e">
        <f aca="false">_xlfn.xlookup(AK167,A:A,F:F)</f>
        <v>#NAME?</v>
      </c>
      <c r="AM167" s="15" t="e">
        <f aca="false">_xlfn.xlookup(AK167,A:A,J:J)</f>
        <v>#NAME?</v>
      </c>
      <c r="AN167" s="15" t="e">
        <f aca="false">_xlfn.xlookup(AK167,A:A,M:M)+_xlfn.xlookup(AK167,A:A,N:N)</f>
        <v>#NAME?</v>
      </c>
      <c r="AO167" s="223" t="e">
        <f aca="false">_xlfn.xlookup(AK167,A:A,AG:AG)</f>
        <v>#NAME?</v>
      </c>
      <c r="AP167" s="223" t="e">
        <f aca="false">_xlfn.xlookup(AK167,A:A,AD:AD)</f>
        <v>#NAME?</v>
      </c>
      <c r="AQ167" s="223" t="e">
        <f aca="false">_xlfn.xlookup(AK167,A:A,AE:AE)</f>
        <v>#NAME?</v>
      </c>
      <c r="AX167" s="288"/>
      <c r="AY167" s="288"/>
      <c r="AZ167" s="288"/>
      <c r="BB167" s="257" t="e">
        <f aca="false">_xlfn.xlookup(BA167,A:A,F:F)</f>
        <v>#NAME?</v>
      </c>
      <c r="BC167" s="15" t="e">
        <f aca="false">_xlfn.xlookup(BA167,A:A,J:J)</f>
        <v>#NAME?</v>
      </c>
      <c r="BD167" s="75" t="e">
        <f aca="false">_xlfn.xlookup(BA167,A:A,M:M)+_xlfn.xlookup(BA167,A:A,N:N)</f>
        <v>#NAME?</v>
      </c>
      <c r="BE167" s="75" t="e">
        <f aca="false">_xlfn.xlookup(BA167,A115:A1103,AA115:AA1103)</f>
        <v>#NAME?</v>
      </c>
    </row>
    <row r="168" customFormat="false" ht="16.4" hidden="false" customHeight="false" outlineLevel="0" collapsed="false">
      <c r="A168" s="241" t="s">
        <v>1265</v>
      </c>
      <c r="B168" s="1" t="s">
        <v>889</v>
      </c>
      <c r="C168" s="292" t="n">
        <f aca="false">'Liste WO'!C160</f>
        <v>45671</v>
      </c>
      <c r="D168" s="241" t="n">
        <f aca="false">'Liste WO'!D160</f>
        <v>237</v>
      </c>
      <c r="E168" s="241" t="str">
        <f aca="false">'Liste WO'!E160</f>
        <v>Damaflex Imprimerie Multiservices Inc.</v>
      </c>
      <c r="F168" s="241" t="str">
        <f aca="false">_xlfn.xlookup(E168,Clients!B:B,Clients!C:C)</f>
        <v>Damaflex</v>
      </c>
      <c r="G168" s="241" t="str">
        <f aca="false">_xlfn.xlookup(D168,'PO Client'!$A:$A,'PO Client'!$F:$F,FALSE())</f>
        <v>179960-2</v>
      </c>
      <c r="H168" s="251" t="n">
        <f aca="false">'Liste WO'!I160</f>
        <v>40147</v>
      </c>
      <c r="I168" s="251" t="n">
        <f aca="false">'Liste WO'!J160</f>
        <v>30042</v>
      </c>
      <c r="J168" s="244" t="str">
        <f aca="false">'Liste WO'!L160</f>
        <v>T11-1</v>
      </c>
      <c r="K168" s="245" t="n">
        <v>22915.95732</v>
      </c>
      <c r="L168" s="245" t="n">
        <v>0</v>
      </c>
      <c r="M168" s="245" t="n">
        <v>22537.4397</v>
      </c>
      <c r="N168" s="245"/>
      <c r="O168" s="245" t="n">
        <v>180.0115</v>
      </c>
      <c r="P168" s="246" t="n">
        <v>5</v>
      </c>
      <c r="Q168" s="219" t="n">
        <v>4</v>
      </c>
      <c r="R168" s="296" t="n">
        <f aca="false">353.7/7*5</f>
        <v>252.642857142857</v>
      </c>
      <c r="S168" s="272"/>
      <c r="T168" s="248" t="n">
        <f aca="false">_xlfn.xlookup(I168,'Prix MP'!A:A,'Prix MP'!U:U, 0)</f>
        <v>0.273486093127953</v>
      </c>
      <c r="U168" s="249" t="n">
        <f aca="false">(M168+N168)*T168</f>
        <v>6163.67633265983</v>
      </c>
      <c r="V168" s="249" t="n">
        <f aca="false">(K168-M168-L168)*T168</f>
        <v>103.519305073894</v>
      </c>
      <c r="W168" s="250" t="n">
        <f aca="false">IFERROR((K168-M168-L168)/K168,"")</f>
        <v>0.0165176437848249</v>
      </c>
      <c r="X168" s="249" t="n">
        <f aca="false">20.6577/85*O168</f>
        <v>43.7485125123529</v>
      </c>
      <c r="Y168" s="249" t="n">
        <f aca="false">19.2*P168</f>
        <v>96</v>
      </c>
      <c r="Z168" s="249" t="n">
        <f aca="false">125000/52/40*Q168</f>
        <v>240.384615384615</v>
      </c>
      <c r="AA168" s="249" t="n">
        <f aca="false">(M168+N168)*T168+R168+V168+X168+Y168+Z168</f>
        <v>6899.97162277355</v>
      </c>
      <c r="AB168" s="285" t="n">
        <f aca="false">_xlfn.xlookup(H168,'Prix vente'!A:A,'Prix vente'!X:X, "")</f>
        <v>0.37</v>
      </c>
      <c r="AC168" s="285" t="str">
        <f aca="false">_xlfn.xlookup(H168,'Prix vente'!A:A,'Prix vente'!Z:Z, "")</f>
        <v>CAD</v>
      </c>
      <c r="AD168" s="249" t="n">
        <f aca="false">IFERROR(IF(AC168="CAD",(M168+N168)*AB168,(M168+N168)*AB168*S168),0)</f>
        <v>8338.852689</v>
      </c>
      <c r="AE168" s="249" t="n">
        <f aca="false">AD168-AA168</f>
        <v>1438.88106622645</v>
      </c>
      <c r="AF168" s="273" t="n">
        <f aca="false">IFERROR(1-AA168/AD168,"")</f>
        <v>0.172551443212867</v>
      </c>
      <c r="AG168" s="252" t="n">
        <f aca="false">((M168+N168)*T168+V168)</f>
        <v>6267.19563773372</v>
      </c>
      <c r="AH168" s="273" t="n">
        <f aca="false">IFERROR(AG168/AD168,"")</f>
        <v>0.751565697521069</v>
      </c>
      <c r="AI168" s="273" t="str">
        <f aca="false">IFERROR(IF(AD168=0,"S",""),"S")</f>
        <v/>
      </c>
      <c r="AK168" s="15" t="e">
        <v>#NAME?</v>
      </c>
      <c r="AL168" s="15" t="e">
        <f aca="false">_xlfn.xlookup(AK168,A:A,F:F)</f>
        <v>#NAME?</v>
      </c>
      <c r="AM168" s="15" t="e">
        <f aca="false">_xlfn.xlookup(AK168,A:A,J:J)</f>
        <v>#NAME?</v>
      </c>
      <c r="AN168" s="15" t="e">
        <f aca="false">_xlfn.xlookup(AK168,A:A,M:M)+_xlfn.xlookup(AK168,A:A,N:N)</f>
        <v>#NAME?</v>
      </c>
      <c r="AO168" s="223" t="e">
        <f aca="false">_xlfn.xlookup(AK168,A:A,AG:AG)</f>
        <v>#NAME?</v>
      </c>
      <c r="AP168" s="223" t="e">
        <f aca="false">_xlfn.xlookup(AK168,A:A,AD:AD)</f>
        <v>#NAME?</v>
      </c>
      <c r="AQ168" s="223" t="e">
        <f aca="false">_xlfn.xlookup(AK168,A:A,AE:AE)</f>
        <v>#NAME?</v>
      </c>
      <c r="AX168" s="288"/>
      <c r="AY168" s="288"/>
      <c r="AZ168" s="288"/>
      <c r="BB168" s="257" t="e">
        <f aca="false">_xlfn.xlookup(BA168,A:A,F:F)</f>
        <v>#NAME?</v>
      </c>
      <c r="BC168" s="15" t="e">
        <f aca="false">_xlfn.xlookup(BA168,A:A,J:J)</f>
        <v>#NAME?</v>
      </c>
      <c r="BD168" s="75" t="e">
        <f aca="false">_xlfn.xlookup(BA168,A:A,M:M)+_xlfn.xlookup(BA168,A:A,N:N)</f>
        <v>#NAME?</v>
      </c>
      <c r="BE168" s="75" t="e">
        <f aca="false">_xlfn.xlookup(BA168,A116:A1104,AA116:AA1104)</f>
        <v>#NAME?</v>
      </c>
    </row>
    <row r="169" customFormat="false" ht="16.4" hidden="false" customHeight="false" outlineLevel="0" collapsed="false">
      <c r="A169" s="241" t="s">
        <v>1267</v>
      </c>
      <c r="B169" s="1" t="s">
        <v>889</v>
      </c>
      <c r="C169" s="292" t="n">
        <f aca="false">'Liste WO'!C161</f>
        <v>45672</v>
      </c>
      <c r="D169" s="241" t="n">
        <f aca="false">'Liste WO'!D161</f>
        <v>288</v>
      </c>
      <c r="E169" s="241" t="str">
        <f aca="false">'Liste WO'!E161</f>
        <v>Étiquettes Corsair</v>
      </c>
      <c r="F169" s="241" t="str">
        <f aca="false">_xlfn.xlookup(E169,Clients!B:B,Clients!C:C)</f>
        <v>Corsair</v>
      </c>
      <c r="G169" s="241" t="n">
        <f aca="false">_xlfn.xlookup(D169,'PO Client'!$A:$A,'PO Client'!$F:$F,FALSE())</f>
        <v>31758</v>
      </c>
      <c r="H169" s="251" t="n">
        <f aca="false">'Liste WO'!I161</f>
        <v>40214</v>
      </c>
      <c r="I169" s="251" t="n">
        <f aca="false">'Liste WO'!J161</f>
        <v>30042</v>
      </c>
      <c r="J169" s="244" t="str">
        <f aca="false">'Liste WO'!L161</f>
        <v>T11-1</v>
      </c>
      <c r="K169" s="245" t="n">
        <v>7638.65244</v>
      </c>
      <c r="L169" s="245" t="n">
        <v>0</v>
      </c>
      <c r="M169" s="245" t="n">
        <v>7522.695</v>
      </c>
      <c r="N169" s="245"/>
      <c r="O169" s="245" t="n">
        <v>59.875</v>
      </c>
      <c r="P169" s="246" t="n">
        <v>2</v>
      </c>
      <c r="Q169" s="219" t="n">
        <v>1</v>
      </c>
      <c r="R169" s="296" t="n">
        <f aca="false">193.62/2</f>
        <v>96.81</v>
      </c>
      <c r="S169" s="272"/>
      <c r="T169" s="248" t="n">
        <f aca="false">_xlfn.xlookup(I169,'Prix MP'!A:A,'Prix MP'!U:U, 0)</f>
        <v>0.273486093127953</v>
      </c>
      <c r="U169" s="249" t="n">
        <f aca="false">(M169+N169)*T169</f>
        <v>2057.35246534319</v>
      </c>
      <c r="V169" s="249" t="n">
        <f aca="false">(K169-M169-L169)*T169</f>
        <v>31.7127472347191</v>
      </c>
      <c r="W169" s="250" t="n">
        <f aca="false">IFERROR((K169-M169-L169)/K169,"")</f>
        <v>0.015180352936702</v>
      </c>
      <c r="X169" s="249" t="n">
        <f aca="false">20.6577/85*O169</f>
        <v>14.5515269117647</v>
      </c>
      <c r="Y169" s="249" t="n">
        <f aca="false">19.2*P169</f>
        <v>38.4</v>
      </c>
      <c r="Z169" s="249" t="n">
        <f aca="false">125000/52/40*Q169</f>
        <v>60.0961538461539</v>
      </c>
      <c r="AA169" s="249" t="n">
        <f aca="false">(M169+N169)*T169+R169+V169+X169+Y169+Z169</f>
        <v>2298.92289333583</v>
      </c>
      <c r="AB169" s="285" t="n">
        <f aca="false">_xlfn.xlookup(H169,'Prix vente'!A:A,'Prix vente'!X:X, "")</f>
        <v>0.377</v>
      </c>
      <c r="AC169" s="285" t="str">
        <f aca="false">_xlfn.xlookup(H169,'Prix vente'!A:A,'Prix vente'!Z:Z, "")</f>
        <v>CAD</v>
      </c>
      <c r="AD169" s="249" t="n">
        <f aca="false">IFERROR(IF(AC169="CAD",(M169+N169)*AB169,(M169+N169)*AB169*S169),0)</f>
        <v>2836.056015</v>
      </c>
      <c r="AE169" s="249" t="n">
        <f aca="false">AD169-AA169</f>
        <v>537.133121664174</v>
      </c>
      <c r="AF169" s="273" t="n">
        <f aca="false">IFERROR(1-AA169/AD169,"")</f>
        <v>0.189394398003163</v>
      </c>
      <c r="AG169" s="252" t="n">
        <f aca="false">((M169+N169)*T169+V169)</f>
        <v>2089.06521257791</v>
      </c>
      <c r="AH169" s="273" t="n">
        <f aca="false">IFERROR(AG169/AD169,"")</f>
        <v>0.736609291751915</v>
      </c>
      <c r="AI169" s="273" t="str">
        <f aca="false">IFERROR(IF(AD169=0,"S",""),"S")</f>
        <v/>
      </c>
      <c r="AK169" s="15" t="e">
        <v>#NAME?</v>
      </c>
      <c r="AL169" s="15" t="e">
        <f aca="false">_xlfn.xlookup(AK169,A:A,F:F)</f>
        <v>#NAME?</v>
      </c>
      <c r="AM169" s="15" t="e">
        <f aca="false">_xlfn.xlookup(AK169,A:A,J:J)</f>
        <v>#NAME?</v>
      </c>
      <c r="AN169" s="15" t="e">
        <f aca="false">_xlfn.xlookup(AK169,A:A,M:M)+_xlfn.xlookup(AK169,A:A,N:N)</f>
        <v>#NAME?</v>
      </c>
      <c r="AO169" s="223" t="e">
        <f aca="false">_xlfn.xlookup(AK169,A:A,AG:AG)</f>
        <v>#NAME?</v>
      </c>
      <c r="AP169" s="223" t="e">
        <f aca="false">_xlfn.xlookup(AK169,A:A,AD:AD)</f>
        <v>#NAME?</v>
      </c>
      <c r="AQ169" s="223" t="e">
        <f aca="false">_xlfn.xlookup(AK169,A:A,AE:AE)</f>
        <v>#NAME?</v>
      </c>
      <c r="AX169" s="288"/>
      <c r="AY169" s="288"/>
      <c r="AZ169" s="288"/>
      <c r="BB169" s="257" t="e">
        <f aca="false">_xlfn.xlookup(BA169,A:A,F:F)</f>
        <v>#NAME?</v>
      </c>
      <c r="BC169" s="15" t="e">
        <f aca="false">_xlfn.xlookup(BA169,A:A,J:J)</f>
        <v>#NAME?</v>
      </c>
      <c r="BD169" s="75" t="e">
        <f aca="false">_xlfn.xlookup(BA169,A:A,M:M)+_xlfn.xlookup(BA169,A:A,N:N)</f>
        <v>#NAME?</v>
      </c>
      <c r="BE169" s="75" t="e">
        <f aca="false">_xlfn.xlookup(BA169,A117:A1105,AA117:AA1105)</f>
        <v>#NAME?</v>
      </c>
    </row>
    <row r="170" customFormat="false" ht="16.4" hidden="false" customHeight="false" outlineLevel="0" collapsed="false">
      <c r="A170" s="241" t="s">
        <v>1269</v>
      </c>
      <c r="B170" s="1" t="s">
        <v>889</v>
      </c>
      <c r="C170" s="292" t="n">
        <f aca="false">'Liste WO'!C162</f>
        <v>45645</v>
      </c>
      <c r="D170" s="241" t="n">
        <f aca="false">'Liste WO'!D162</f>
        <v>289</v>
      </c>
      <c r="E170" s="241" t="str">
        <f aca="false">'Liste WO'!E162</f>
        <v>Groupe Produlith Inc.</v>
      </c>
      <c r="F170" s="241" t="str">
        <f aca="false">_xlfn.xlookup(E170,Clients!B:B,Clients!C:C)</f>
        <v>Produlith</v>
      </c>
      <c r="G170" s="241" t="str">
        <f aca="false">_xlfn.xlookup(D170,'PO Client'!$A:$A,'PO Client'!$F:$F,FALSE())</f>
        <v>1-1-32391</v>
      </c>
      <c r="H170" s="251" t="n">
        <f aca="false">'Liste WO'!I162</f>
        <v>40089</v>
      </c>
      <c r="I170" s="251" t="n">
        <f aca="false">'Liste WO'!J162</f>
        <v>30027</v>
      </c>
      <c r="J170" s="244" t="str">
        <f aca="false">'Liste WO'!L162</f>
        <v>B25-3</v>
      </c>
      <c r="K170" s="245" t="n">
        <v>7011.4704</v>
      </c>
      <c r="L170" s="245" t="n">
        <v>3614.16</v>
      </c>
      <c r="M170" s="245" t="n">
        <v>3312</v>
      </c>
      <c r="N170" s="245"/>
      <c r="O170" s="245" t="n">
        <v>60</v>
      </c>
      <c r="P170" s="246" t="n">
        <v>1</v>
      </c>
      <c r="Q170" s="219" t="n">
        <v>1.5</v>
      </c>
      <c r="R170" s="247" t="n">
        <v>0</v>
      </c>
      <c r="S170" s="272" t="n">
        <v>1.4365</v>
      </c>
      <c r="T170" s="248" t="n">
        <f aca="false">_xlfn.xlookup(I170,'Prix MP'!A:A,'Prix MP'!U:U, 0)</f>
        <v>0.307208514182256</v>
      </c>
      <c r="U170" s="249" t="n">
        <f aca="false">(M170+N170)*T170</f>
        <v>1017.47459897163</v>
      </c>
      <c r="V170" s="249" t="n">
        <f aca="false">(K170-M170-L170)*T170</f>
        <v>26.208081228294</v>
      </c>
      <c r="W170" s="250" t="n">
        <f aca="false">IFERROR((K170-M170-L170)/K170,"")</f>
        <v>0.0121672623762343</v>
      </c>
      <c r="X170" s="249" t="n">
        <f aca="false">20.6577/85*O170</f>
        <v>14.5819058823529</v>
      </c>
      <c r="Y170" s="249" t="n">
        <f aca="false">19.2*P170</f>
        <v>19.2</v>
      </c>
      <c r="Z170" s="249" t="n">
        <f aca="false">125000/52/40*Q170</f>
        <v>90.1442307692308</v>
      </c>
      <c r="AA170" s="249" t="n">
        <f aca="false">(M170+N170)*T170+R170+V170+X170+Y170+Z170</f>
        <v>1167.60881685151</v>
      </c>
      <c r="AB170" s="285" t="n">
        <f aca="false">_xlfn.xlookup(H170,'Prix vente'!A:A,'Prix vente'!X:X, "")</f>
        <v>0.34</v>
      </c>
      <c r="AC170" s="285" t="str">
        <f aca="false">_xlfn.xlookup(H170,'Prix vente'!A:A,'Prix vente'!Z:Z, "")</f>
        <v>USD</v>
      </c>
      <c r="AD170" s="249" t="n">
        <f aca="false">IFERROR(IF(AC170="CAD",(M170+N170)*AB170,(M170+N170)*AB170*S170),0)</f>
        <v>1617.61392</v>
      </c>
      <c r="AE170" s="249" t="n">
        <f aca="false">AD170-AA170</f>
        <v>450.005103148491</v>
      </c>
      <c r="AF170" s="273" t="n">
        <f aca="false">IFERROR(1-AA170/AD170,"")</f>
        <v>0.278190671818953</v>
      </c>
      <c r="AG170" s="252" t="n">
        <f aca="false">((M170+N170)*T170+V170)</f>
        <v>1043.68268019993</v>
      </c>
      <c r="AH170" s="273" t="n">
        <f aca="false">IFERROR(AG170/AD170,"")</f>
        <v>0.645198874277693</v>
      </c>
      <c r="AI170" s="273" t="str">
        <f aca="false">IFERROR(IF(AD170=0,"S",""),"S")</f>
        <v/>
      </c>
      <c r="AK170" s="15" t="e">
        <v>#NAME?</v>
      </c>
      <c r="AL170" s="15" t="e">
        <f aca="false">_xlfn.xlookup(AK170,A:A,F:F)</f>
        <v>#NAME?</v>
      </c>
      <c r="AM170" s="15" t="e">
        <f aca="false">_xlfn.xlookup(AK170,A:A,J:J)</f>
        <v>#NAME?</v>
      </c>
      <c r="AN170" s="15" t="e">
        <f aca="false">_xlfn.xlookup(AK170,A:A,M:M)+_xlfn.xlookup(AK170,A:A,N:N)</f>
        <v>#NAME?</v>
      </c>
      <c r="AO170" s="223" t="e">
        <f aca="false">_xlfn.xlookup(AK170,A:A,AG:AG)</f>
        <v>#NAME?</v>
      </c>
      <c r="AP170" s="223" t="e">
        <f aca="false">_xlfn.xlookup(AK170,A:A,AD:AD)</f>
        <v>#NAME?</v>
      </c>
      <c r="AQ170" s="223" t="e">
        <f aca="false">_xlfn.xlookup(AK170,A:A,AE:AE)</f>
        <v>#NAME?</v>
      </c>
      <c r="AX170" s="288"/>
      <c r="AY170" s="288"/>
      <c r="AZ170" s="288"/>
      <c r="BB170" s="257" t="e">
        <f aca="false">_xlfn.xlookup(BA170,A:A,F:F)</f>
        <v>#NAME?</v>
      </c>
      <c r="BC170" s="15" t="e">
        <f aca="false">_xlfn.xlookup(BA170,A:A,J:J)</f>
        <v>#NAME?</v>
      </c>
      <c r="BD170" s="75" t="e">
        <f aca="false">_xlfn.xlookup(BA170,A:A,M:M)+_xlfn.xlookup(BA170,A:A,N:N)</f>
        <v>#NAME?</v>
      </c>
      <c r="BE170" s="75" t="e">
        <f aca="false">_xlfn.xlookup(BA170,A118:A1106,AA118:AA1106)</f>
        <v>#NAME?</v>
      </c>
    </row>
    <row r="171" customFormat="false" ht="16.4" hidden="false" customHeight="false" outlineLevel="0" collapsed="false">
      <c r="A171" s="241" t="s">
        <v>1272</v>
      </c>
      <c r="B171" s="1" t="s">
        <v>889</v>
      </c>
      <c r="C171" s="292" t="n">
        <f aca="false">'Liste WO'!C163</f>
        <v>45646</v>
      </c>
      <c r="D171" s="241" t="n">
        <f aca="false">'Liste WO'!D163</f>
        <v>290</v>
      </c>
      <c r="E171" s="241" t="str">
        <f aca="false">'Liste WO'!E163</f>
        <v>Imprimerie Bas St-Laurent</v>
      </c>
      <c r="F171" s="241" t="str">
        <f aca="false">_xlfn.xlookup(E171,Clients!B:B,Clients!C:C)</f>
        <v>Bas St-Laurent</v>
      </c>
      <c r="G171" s="241" t="str">
        <f aca="false">_xlfn.xlookup(D171,'PO Client'!$A:$A,'PO Client'!$F:$F,FALSE())</f>
        <v>0046</v>
      </c>
      <c r="H171" s="251" t="n">
        <f aca="false">'Liste WO'!I163</f>
        <v>40217</v>
      </c>
      <c r="I171" s="251" t="n">
        <f aca="false">'Liste WO'!J163</f>
        <v>30026</v>
      </c>
      <c r="J171" s="244" t="str">
        <f aca="false">'Liste WO'!L163</f>
        <v>D11-2</v>
      </c>
      <c r="K171" s="245" t="n">
        <v>13185.178512</v>
      </c>
      <c r="L171" s="245" t="n">
        <v>0</v>
      </c>
      <c r="M171" s="245" t="n">
        <v>13032</v>
      </c>
      <c r="N171" s="245"/>
      <c r="O171" s="245" t="n">
        <v>120</v>
      </c>
      <c r="P171" s="246" t="n">
        <v>3</v>
      </c>
      <c r="Q171" s="219" t="n">
        <v>2.75</v>
      </c>
      <c r="R171" s="247" t="n">
        <v>375</v>
      </c>
      <c r="S171" s="272"/>
      <c r="T171" s="248" t="n">
        <f aca="false">_xlfn.xlookup(I171,'Prix MP'!A:A,'Prix MP'!U:U, 0)</f>
        <v>0.31697056471568</v>
      </c>
      <c r="U171" s="249" t="n">
        <f aca="false">(M171+N171)*T171</f>
        <v>4130.76039937474</v>
      </c>
      <c r="V171" s="249" t="n">
        <f aca="false">(K171-M171-L171)*T171</f>
        <v>48.5530794509488</v>
      </c>
      <c r="W171" s="250" t="n">
        <f aca="false">IFERROR((K171-M171-L171)/K171,"")</f>
        <v>0.0116174772954795</v>
      </c>
      <c r="X171" s="249" t="n">
        <f aca="false">20.6577/85*O171</f>
        <v>29.1638117647059</v>
      </c>
      <c r="Y171" s="249" t="n">
        <f aca="false">19.2*P171</f>
        <v>57.6</v>
      </c>
      <c r="Z171" s="249" t="n">
        <f aca="false">125000/52/40*Q171</f>
        <v>165.264423076923</v>
      </c>
      <c r="AA171" s="296" t="n">
        <f aca="false">(M171+N171)*T171+R171+V171+X171+Y171+Z171</f>
        <v>4806.34171366732</v>
      </c>
      <c r="AB171" s="285" t="n">
        <f aca="false">_xlfn.xlookup(H171,'Prix vente'!A:A,'Prix vente'!X:X, "")</f>
        <v>0.444</v>
      </c>
      <c r="AC171" s="285" t="str">
        <f aca="false">_xlfn.xlookup(H171,'Prix vente'!A:A,'Prix vente'!Z:Z, "")</f>
        <v>CAD</v>
      </c>
      <c r="AD171" s="249" t="n">
        <f aca="false">IFERROR(IF(AC171="CAD",(M171+N171)*AB171,(M171+N171)*AB171*S171),0)</f>
        <v>5786.208</v>
      </c>
      <c r="AE171" s="249" t="n">
        <f aca="false">AD171-AA171</f>
        <v>979.866286332683</v>
      </c>
      <c r="AF171" s="273" t="n">
        <f aca="false">IFERROR(1-AA171/AD171,"")</f>
        <v>0.169345154258658</v>
      </c>
      <c r="AG171" s="252" t="n">
        <f aca="false">((M171+N171)*T171+V171)</f>
        <v>4179.31347882569</v>
      </c>
      <c r="AH171" s="273" t="n">
        <f aca="false">IFERROR(AG171/AD171,"")</f>
        <v>0.722288842507163</v>
      </c>
      <c r="AI171" s="273" t="str">
        <f aca="false">IFERROR(IF(AD171=0,"S",""),"S")</f>
        <v/>
      </c>
      <c r="AK171" s="15" t="e">
        <v>#NAME?</v>
      </c>
      <c r="AL171" s="15" t="e">
        <f aca="false">_xlfn.xlookup(AK171,A:A,F:F)</f>
        <v>#NAME?</v>
      </c>
      <c r="AM171" s="15" t="e">
        <f aca="false">_xlfn.xlookup(AK171,A:A,J:J)</f>
        <v>#NAME?</v>
      </c>
      <c r="AN171" s="15" t="e">
        <f aca="false">_xlfn.xlookup(AK171,A:A,M:M)+_xlfn.xlookup(AK171,A:A,N:N)</f>
        <v>#NAME?</v>
      </c>
      <c r="AO171" s="223" t="e">
        <f aca="false">_xlfn.xlookup(AK171,A:A,AG:AG)</f>
        <v>#NAME?</v>
      </c>
      <c r="AP171" s="223" t="e">
        <f aca="false">_xlfn.xlookup(AK171,A:A,AD:AD)</f>
        <v>#NAME?</v>
      </c>
      <c r="AQ171" s="223" t="e">
        <f aca="false">_xlfn.xlookup(AK171,A:A,AE:AE)</f>
        <v>#NAME?</v>
      </c>
      <c r="AX171" s="288"/>
      <c r="AY171" s="288"/>
      <c r="AZ171" s="288"/>
      <c r="BB171" s="257" t="e">
        <f aca="false">_xlfn.xlookup(BA171,A:A,F:F)</f>
        <v>#NAME?</v>
      </c>
      <c r="BC171" s="15" t="e">
        <f aca="false">_xlfn.xlookup(BA171,A:A,J:J)</f>
        <v>#NAME?</v>
      </c>
      <c r="BD171" s="75" t="e">
        <f aca="false">_xlfn.xlookup(BA171,A:A,M:M)+_xlfn.xlookup(BA171,A:A,N:N)</f>
        <v>#NAME?</v>
      </c>
      <c r="BE171" s="75" t="e">
        <f aca="false">_xlfn.xlookup(BA171,A119:A1107,AA119:AA1107)</f>
        <v>#NAME?</v>
      </c>
    </row>
    <row r="172" customFormat="false" ht="16.4" hidden="false" customHeight="false" outlineLevel="0" collapsed="false">
      <c r="A172" s="241" t="s">
        <v>1274</v>
      </c>
      <c r="B172" s="1" t="s">
        <v>889</v>
      </c>
      <c r="C172" s="292" t="n">
        <f aca="false">'Liste WO'!C164</f>
        <v>45663</v>
      </c>
      <c r="D172" s="241" t="n">
        <f aca="false">'Liste WO'!D164</f>
        <v>291</v>
      </c>
      <c r="E172" s="241" t="str">
        <f aca="false">'Liste WO'!E164</f>
        <v>Damaflex Imprimerie Multiservices Inc.</v>
      </c>
      <c r="F172" s="241" t="str">
        <f aca="false">_xlfn.xlookup(E172,Clients!B:B,Clients!C:C)</f>
        <v>Damaflex</v>
      </c>
      <c r="G172" s="241" t="n">
        <f aca="false">_xlfn.xlookup(D172,'PO Client'!$A:$A,'PO Client'!$F:$F,FALSE())</f>
        <v>179984</v>
      </c>
      <c r="H172" s="251" t="n">
        <f aca="false">'Liste WO'!I164</f>
        <v>40220</v>
      </c>
      <c r="I172" s="251" t="n">
        <f aca="false">'Liste WO'!J164</f>
        <v>30025</v>
      </c>
      <c r="J172" s="244" t="str">
        <f aca="false">'Liste WO'!L164</f>
        <v>D11-1</v>
      </c>
      <c r="K172" s="245" t="n">
        <v>7589.013168</v>
      </c>
      <c r="L172" s="245" t="n">
        <v>0</v>
      </c>
      <c r="M172" s="245" t="n">
        <v>7344</v>
      </c>
      <c r="N172" s="245"/>
      <c r="O172" s="245" t="n">
        <v>120</v>
      </c>
      <c r="P172" s="246" t="n">
        <v>2</v>
      </c>
      <c r="Q172" s="219" t="n">
        <v>2.75</v>
      </c>
      <c r="R172" s="247" t="n">
        <v>123.5</v>
      </c>
      <c r="S172" s="272"/>
      <c r="T172" s="248" t="n">
        <f aca="false">_xlfn.xlookup(I172,'Prix MP'!A:A,'Prix MP'!U:U, 0)</f>
        <v>0.369342532440358</v>
      </c>
      <c r="U172" s="249" t="n">
        <f aca="false">(M172+N172)*T172</f>
        <v>2712.45155824199</v>
      </c>
      <c r="V172" s="249" t="n">
        <f aca="false">(K172-M172-L172)*T172</f>
        <v>90.4937839503548</v>
      </c>
      <c r="W172" s="250" t="n">
        <f aca="false">IFERROR((K172-M172-L172)/K172,"")</f>
        <v>0.032285247446022</v>
      </c>
      <c r="X172" s="249" t="n">
        <f aca="false">20.6577/85*O172</f>
        <v>29.1638117647059</v>
      </c>
      <c r="Y172" s="249" t="n">
        <f aca="false">19.2*P172</f>
        <v>38.4</v>
      </c>
      <c r="Z172" s="249" t="n">
        <f aca="false">125000/52/40*Q172</f>
        <v>165.264423076923</v>
      </c>
      <c r="AA172" s="249" t="n">
        <f aca="false">(M172+N172)*T172+R172+V172+X172+Y172+Z172</f>
        <v>3159.27357703397</v>
      </c>
      <c r="AB172" s="285" t="n">
        <f aca="false">_xlfn.xlookup(H172,'Prix vente'!A:A,'Prix vente'!X:X, "")</f>
        <v>0.431</v>
      </c>
      <c r="AC172" s="285" t="str">
        <f aca="false">_xlfn.xlookup(H172,'Prix vente'!A:A,'Prix vente'!Z:Z, "")</f>
        <v>CAD</v>
      </c>
      <c r="AD172" s="249" t="n">
        <f aca="false">IFERROR(IF(AC172="CAD",(M172+N172)*AB172,(M172+N172)*AB172*S172),0)</f>
        <v>3165.264</v>
      </c>
      <c r="AE172" s="249" t="n">
        <f aca="false">AD172-AA172</f>
        <v>5.99042296602602</v>
      </c>
      <c r="AF172" s="273" t="n">
        <f aca="false">IFERROR(1-AA172/AD172,"")</f>
        <v>0.00189255081599071</v>
      </c>
      <c r="AG172" s="252" t="n">
        <f aca="false">((M172+N172)*T172+V172)</f>
        <v>2802.94534219235</v>
      </c>
      <c r="AH172" s="273" t="n">
        <f aca="false">IFERROR(AG172/AD172,"")</f>
        <v>0.88553287883486</v>
      </c>
      <c r="AI172" s="273" t="str">
        <f aca="false">IFERROR(IF(AD172=0,"S",""),"S")</f>
        <v/>
      </c>
      <c r="AK172" s="15" t="e">
        <v>#NAME?</v>
      </c>
      <c r="AL172" s="15" t="e">
        <f aca="false">_xlfn.xlookup(AK172,A:A,F:F)</f>
        <v>#NAME?</v>
      </c>
      <c r="AM172" s="15" t="e">
        <f aca="false">_xlfn.xlookup(AK172,A:A,J:J)</f>
        <v>#NAME?</v>
      </c>
      <c r="AN172" s="15" t="e">
        <f aca="false">_xlfn.xlookup(AK172,A:A,M:M)+_xlfn.xlookup(AK172,A:A,N:N)</f>
        <v>#NAME?</v>
      </c>
      <c r="AO172" s="223" t="e">
        <f aca="false">_xlfn.xlookup(AK172,A:A,AG:AG)</f>
        <v>#NAME?</v>
      </c>
      <c r="AP172" s="223" t="e">
        <f aca="false">_xlfn.xlookup(AK172,A:A,AD:AD)</f>
        <v>#NAME?</v>
      </c>
      <c r="AQ172" s="223" t="e">
        <f aca="false">_xlfn.xlookup(AK172,A:A,AE:AE)</f>
        <v>#NAME?</v>
      </c>
      <c r="AX172" s="288"/>
      <c r="AY172" s="288"/>
      <c r="AZ172" s="288"/>
      <c r="BB172" s="257" t="e">
        <f aca="false">_xlfn.xlookup(BA172,A:A,F:F)</f>
        <v>#NAME?</v>
      </c>
      <c r="BC172" s="15" t="e">
        <f aca="false">_xlfn.xlookup(BA172,A:A,J:J)</f>
        <v>#NAME?</v>
      </c>
      <c r="BD172" s="75" t="e">
        <f aca="false">_xlfn.xlookup(BA172,A:A,M:M)+_xlfn.xlookup(BA172,A:A,N:N)</f>
        <v>#NAME?</v>
      </c>
      <c r="BE172" s="75" t="e">
        <f aca="false">_xlfn.xlookup(BA172,A120:A1108,AA120:AA1108)</f>
        <v>#NAME?</v>
      </c>
    </row>
    <row r="173" customFormat="false" ht="16.4" hidden="false" customHeight="false" outlineLevel="0" collapsed="false">
      <c r="A173" s="241" t="s">
        <v>1276</v>
      </c>
      <c r="B173" s="1" t="s">
        <v>889</v>
      </c>
      <c r="C173" s="292" t="n">
        <f aca="false">'Liste WO'!C165</f>
        <v>45664</v>
      </c>
      <c r="D173" s="241" t="n">
        <f aca="false">'Liste WO'!D165</f>
        <v>292</v>
      </c>
      <c r="E173" s="241" t="str">
        <f aca="false">'Liste WO'!E165</f>
        <v>Imprimerie Ste-Julie</v>
      </c>
      <c r="F173" s="241" t="str">
        <f aca="false">_xlfn.xlookup(E173,Clients!B:B,Clients!C:C)</f>
        <v>Imprimerie Ste-Julie</v>
      </c>
      <c r="G173" s="241" t="n">
        <f aca="false">_xlfn.xlookup(D173,'PO Client'!$A:$A,'PO Client'!$F:$F,FALSE())</f>
        <v>106618</v>
      </c>
      <c r="H173" s="251" t="n">
        <f aca="false">'Liste WO'!I165</f>
        <v>40173</v>
      </c>
      <c r="I173" s="251" t="n">
        <f aca="false">'Liste WO'!J165</f>
        <v>30011</v>
      </c>
      <c r="J173" s="244" t="str">
        <f aca="false">'Liste WO'!L165</f>
        <v>S21-1</v>
      </c>
      <c r="K173" s="245" t="n">
        <v>14230.61568</v>
      </c>
      <c r="L173" s="245" t="n">
        <v>0</v>
      </c>
      <c r="M173" s="245" t="n">
        <v>13932</v>
      </c>
      <c r="N173" s="245"/>
      <c r="O173" s="245" t="n">
        <v>180</v>
      </c>
      <c r="P173" s="246" t="n">
        <v>3</v>
      </c>
      <c r="Q173" s="219" t="n">
        <v>3.25</v>
      </c>
      <c r="R173" s="296" t="n">
        <f aca="false">-47.45/4*3</f>
        <v>-35.5875</v>
      </c>
      <c r="S173" s="272" t="n">
        <v>1.439</v>
      </c>
      <c r="T173" s="248" t="n">
        <f aca="false">_xlfn.xlookup(I173,'Prix MP'!A:A,'Prix MP'!U:U, 0)</f>
        <v>0.28357864079936</v>
      </c>
      <c r="U173" s="249" t="n">
        <f aca="false">(M173+N173)*T173</f>
        <v>3950.81762361668</v>
      </c>
      <c r="V173" s="249" t="n">
        <f aca="false">(K173-M173-L173)*T173</f>
        <v>84.6810286557768</v>
      </c>
      <c r="W173" s="250" t="n">
        <f aca="false">IFERROR((K173-M173-L173)/K173,"")</f>
        <v>0.0209840309593689</v>
      </c>
      <c r="X173" s="249" t="n">
        <f aca="false">20.6577/85*O173</f>
        <v>43.7457176470588</v>
      </c>
      <c r="Y173" s="249" t="n">
        <f aca="false">19.2*P173</f>
        <v>57.6</v>
      </c>
      <c r="Z173" s="249" t="n">
        <f aca="false">125000/52/40*Q173</f>
        <v>195.3125</v>
      </c>
      <c r="AA173" s="249" t="n">
        <f aca="false">(M173+N173)*T173+R173+V173+X173+Y173+Z173</f>
        <v>4296.56936991952</v>
      </c>
      <c r="AB173" s="285" t="n">
        <f aca="false">_xlfn.xlookup(H173,'Prix vente'!A:A,'Prix vente'!X:X, "")</f>
        <v>0.27</v>
      </c>
      <c r="AC173" s="285" t="str">
        <f aca="false">_xlfn.xlookup(H173,'Prix vente'!A:A,'Prix vente'!Z:Z, "")</f>
        <v>USD</v>
      </c>
      <c r="AD173" s="249" t="n">
        <f aca="false">IFERROR(IF(AC173="CAD",(M173+N173)*AB173,(M173+N173)*AB173*S173),0)</f>
        <v>5412.99996</v>
      </c>
      <c r="AE173" s="249" t="n">
        <f aca="false">AD173-AA173</f>
        <v>1116.43059008048</v>
      </c>
      <c r="AF173" s="273" t="n">
        <f aca="false">IFERROR(1-AA173/AD173,"")</f>
        <v>0.206249879610286</v>
      </c>
      <c r="AG173" s="252" t="n">
        <f aca="false">((M173+N173)*T173+V173)</f>
        <v>4035.49865227246</v>
      </c>
      <c r="AH173" s="273" t="n">
        <f aca="false">IFERROR(AG173/AD173,"")</f>
        <v>0.745519800867033</v>
      </c>
      <c r="AI173" s="273" t="str">
        <f aca="false">IFERROR(IF(AD173=0,"S",""),"S")</f>
        <v/>
      </c>
      <c r="AK173" s="15" t="e">
        <v>#NAME?</v>
      </c>
      <c r="AL173" s="15" t="e">
        <f aca="false">_xlfn.xlookup(AK173,A:A,F:F)</f>
        <v>#NAME?</v>
      </c>
      <c r="AM173" s="15" t="e">
        <f aca="false">_xlfn.xlookup(AK173,A:A,J:J)</f>
        <v>#NAME?</v>
      </c>
      <c r="AN173" s="15" t="e">
        <f aca="false">_xlfn.xlookup(AK173,A:A,M:M)+_xlfn.xlookup(AK173,A:A,N:N)</f>
        <v>#NAME?</v>
      </c>
      <c r="AO173" s="223" t="e">
        <f aca="false">_xlfn.xlookup(AK173,A:A,AG:AG)</f>
        <v>#NAME?</v>
      </c>
      <c r="AP173" s="223" t="e">
        <f aca="false">_xlfn.xlookup(AK173,A:A,AD:AD)</f>
        <v>#NAME?</v>
      </c>
      <c r="AQ173" s="223" t="e">
        <f aca="false">_xlfn.xlookup(AK173,A:A,AE:AE)</f>
        <v>#NAME?</v>
      </c>
      <c r="AX173" s="288"/>
      <c r="AY173" s="288"/>
      <c r="AZ173" s="288"/>
      <c r="BB173" s="257" t="e">
        <f aca="false">_xlfn.xlookup(BA173,A:A,F:F)</f>
        <v>#NAME?</v>
      </c>
      <c r="BC173" s="15" t="e">
        <f aca="false">_xlfn.xlookup(BA173,A:A,J:J)</f>
        <v>#NAME?</v>
      </c>
      <c r="BD173" s="75" t="e">
        <f aca="false">_xlfn.xlookup(BA173,A:A,M:M)+_xlfn.xlookup(BA173,A:A,N:N)</f>
        <v>#NAME?</v>
      </c>
      <c r="BE173" s="75" t="e">
        <f aca="false">_xlfn.xlookup(BA173,A121:A1109,AA121:AA1109)</f>
        <v>#NAME?</v>
      </c>
    </row>
    <row r="174" customFormat="false" ht="16.4" hidden="false" customHeight="false" outlineLevel="0" collapsed="false">
      <c r="A174" s="241" t="s">
        <v>1278</v>
      </c>
      <c r="B174" s="1" t="s">
        <v>889</v>
      </c>
      <c r="C174" s="292" t="n">
        <f aca="false">'Liste WO'!C166</f>
        <v>45664</v>
      </c>
      <c r="D174" s="241" t="n">
        <f aca="false">'Liste WO'!D166</f>
        <v>293</v>
      </c>
      <c r="E174" s="241" t="str">
        <f aca="false">'Liste WO'!E166</f>
        <v>Imprimerie Ste-Julie</v>
      </c>
      <c r="F174" s="241" t="str">
        <f aca="false">_xlfn.xlookup(E174,Clients!B:B,Clients!C:C)</f>
        <v>Imprimerie Ste-Julie</v>
      </c>
      <c r="G174" s="241" t="n">
        <f aca="false">_xlfn.xlookup(D174,'PO Client'!$A:$A,'PO Client'!$F:$F,FALSE())</f>
        <v>106246</v>
      </c>
      <c r="H174" s="251" t="n">
        <f aca="false">'Liste WO'!I166</f>
        <v>40067</v>
      </c>
      <c r="I174" s="251" t="n">
        <f aca="false">'Liste WO'!J166</f>
        <v>30031</v>
      </c>
      <c r="J174" s="244" t="str">
        <f aca="false">'Liste WO'!L166</f>
        <v>S15-3</v>
      </c>
      <c r="K174" s="245" t="n">
        <v>3758.7264</v>
      </c>
      <c r="L174" s="245" t="n">
        <v>0</v>
      </c>
      <c r="M174" s="245" t="n">
        <v>3708</v>
      </c>
      <c r="N174" s="245"/>
      <c r="O174" s="245" t="n">
        <v>60</v>
      </c>
      <c r="P174" s="246" t="n">
        <v>1</v>
      </c>
      <c r="Q174" s="219" t="n">
        <v>1.5</v>
      </c>
      <c r="R174" s="296" t="n">
        <f aca="false">-47.45/4</f>
        <v>-11.8625</v>
      </c>
      <c r="S174" s="272" t="n">
        <v>1.439</v>
      </c>
      <c r="T174" s="248" t="n">
        <f aca="false">_xlfn.xlookup(I174,'Prix MP'!A:A,'Prix MP'!U:U, 0)</f>
        <v>0.258868836762901</v>
      </c>
      <c r="U174" s="249" t="n">
        <f aca="false">(M174+N174)*T174</f>
        <v>959.885646716837</v>
      </c>
      <c r="V174" s="249" t="n">
        <f aca="false">(K174-M174-L174)*T174</f>
        <v>13.1314841611696</v>
      </c>
      <c r="W174" s="250" t="n">
        <f aca="false">IFERROR((K174-M174-L174)/K174,"")</f>
        <v>0.0134956351172567</v>
      </c>
      <c r="X174" s="249" t="n">
        <f aca="false">20.6577/85*O174</f>
        <v>14.5819058823529</v>
      </c>
      <c r="Y174" s="249" t="n">
        <f aca="false">19.2*P174</f>
        <v>19.2</v>
      </c>
      <c r="Z174" s="249" t="n">
        <f aca="false">125000/52/40*Q174</f>
        <v>90.1442307692308</v>
      </c>
      <c r="AA174" s="249" t="n">
        <f aca="false">(M174+N174)*T174+R174+V174+X174+Y174+Z174</f>
        <v>1085.08076752959</v>
      </c>
      <c r="AB174" s="285" t="n">
        <f aca="false">_xlfn.xlookup(H174,'Prix vente'!A:A,'Prix vente'!X:X, "")</f>
        <v>0.28</v>
      </c>
      <c r="AC174" s="285" t="str">
        <f aca="false">_xlfn.xlookup(H174,'Prix vente'!A:A,'Prix vente'!Z:Z, "")</f>
        <v>USD</v>
      </c>
      <c r="AD174" s="249" t="n">
        <f aca="false">IFERROR(IF(AC174="CAD",(M174+N174)*AB174,(M174+N174)*AB174*S174),0)</f>
        <v>1494.02736</v>
      </c>
      <c r="AE174" s="249" t="n">
        <f aca="false">AD174-AA174</f>
        <v>408.94659247041</v>
      </c>
      <c r="AF174" s="273" t="n">
        <f aca="false">IFERROR(1-AA174/AD174,"")</f>
        <v>0.273720952787913</v>
      </c>
      <c r="AG174" s="252" t="n">
        <f aca="false">((M174+N174)*T174+V174)</f>
        <v>973.017130878007</v>
      </c>
      <c r="AH174" s="273" t="n">
        <f aca="false">IFERROR(AG174/AD174,"")</f>
        <v>0.651271293236562</v>
      </c>
      <c r="AI174" s="273" t="str">
        <f aca="false">IFERROR(IF(AD174=0,"S",""),"S")</f>
        <v/>
      </c>
      <c r="AK174" s="15" t="e">
        <v>#NAME?</v>
      </c>
      <c r="AL174" s="15" t="e">
        <f aca="false">_xlfn.xlookup(AK174,A:A,F:F)</f>
        <v>#NAME?</v>
      </c>
      <c r="AM174" s="15" t="e">
        <f aca="false">_xlfn.xlookup(AK174,A:A,J:J)</f>
        <v>#NAME?</v>
      </c>
      <c r="AN174" s="15" t="e">
        <f aca="false">_xlfn.xlookup(AK174,A:A,M:M)+_xlfn.xlookup(AK174,A:A,N:N)</f>
        <v>#NAME?</v>
      </c>
      <c r="AO174" s="223" t="e">
        <f aca="false">_xlfn.xlookup(AK174,A:A,AG:AG)</f>
        <v>#NAME?</v>
      </c>
      <c r="AP174" s="223" t="e">
        <f aca="false">_xlfn.xlookup(AK174,A:A,AD:AD)</f>
        <v>#NAME?</v>
      </c>
      <c r="AQ174" s="223" t="e">
        <f aca="false">_xlfn.xlookup(AK174,A:A,AE:AE)</f>
        <v>#NAME?</v>
      </c>
      <c r="AX174" s="288"/>
      <c r="AY174" s="288"/>
      <c r="AZ174" s="288"/>
      <c r="BB174" s="257" t="e">
        <f aca="false">_xlfn.xlookup(BA174,A:A,F:F)</f>
        <v>#NAME?</v>
      </c>
      <c r="BC174" s="15" t="e">
        <f aca="false">_xlfn.xlookup(BA174,A:A,J:J)</f>
        <v>#NAME?</v>
      </c>
      <c r="BD174" s="75" t="e">
        <f aca="false">_xlfn.xlookup(BA174,A:A,M:M)+_xlfn.xlookup(BA174,A:A,N:N)</f>
        <v>#NAME?</v>
      </c>
      <c r="BE174" s="75" t="e">
        <f aca="false">_xlfn.xlookup(BA174,A122:A1110,AA122:AA1110)</f>
        <v>#NAME?</v>
      </c>
    </row>
    <row r="175" customFormat="false" ht="16.4" hidden="false" customHeight="false" outlineLevel="0" collapsed="false">
      <c r="A175" s="241" t="s">
        <v>1281</v>
      </c>
      <c r="B175" s="1" t="s">
        <v>889</v>
      </c>
      <c r="C175" s="292" t="n">
        <f aca="false">'Liste WO'!C167</f>
        <v>45665</v>
      </c>
      <c r="D175" s="241" t="n">
        <f aca="false">'Liste WO'!D167</f>
        <v>287</v>
      </c>
      <c r="E175" s="241" t="str">
        <f aca="false">'Liste WO'!E167</f>
        <v>Étiquettes Luso-Flex</v>
      </c>
      <c r="F175" s="241" t="str">
        <f aca="false">_xlfn.xlookup(E175,Clients!B:B,Clients!C:C)</f>
        <v>Luso-Flex</v>
      </c>
      <c r="G175" s="241" t="n">
        <f aca="false">_xlfn.xlookup(D175,'PO Client'!$A:$A,'PO Client'!$F:$F,FALSE())</f>
        <v>1966</v>
      </c>
      <c r="H175" s="251" t="n">
        <f aca="false">'Liste WO'!I167</f>
        <v>40212</v>
      </c>
      <c r="I175" s="251" t="n">
        <f aca="false">'Liste WO'!J167</f>
        <v>30011</v>
      </c>
      <c r="J175" s="244" t="str">
        <f aca="false">'Liste WO'!L167</f>
        <v>S21-1</v>
      </c>
      <c r="K175" s="245" t="n">
        <v>7115.30784</v>
      </c>
      <c r="L175" s="245" t="n">
        <v>3542.112</v>
      </c>
      <c r="M175" s="245" t="n">
        <v>3463.5</v>
      </c>
      <c r="N175" s="245"/>
      <c r="O175" s="245" t="n">
        <v>60</v>
      </c>
      <c r="P175" s="246" t="n">
        <v>1</v>
      </c>
      <c r="Q175" s="219" t="n">
        <v>4</v>
      </c>
      <c r="R175" s="247" t="n">
        <v>0</v>
      </c>
      <c r="S175" s="272"/>
      <c r="T175" s="248" t="n">
        <f aca="false">_xlfn.xlookup(I175,'Prix MP'!A:A,'Prix MP'!U:U, 0)</f>
        <v>0.28357864079936</v>
      </c>
      <c r="U175" s="249" t="n">
        <f aca="false">(M175+N175)*T175</f>
        <v>982.174622408583</v>
      </c>
      <c r="V175" s="249" t="n">
        <f aca="false">(K175-M175-L175)*T175</f>
        <v>31.1073972085439</v>
      </c>
      <c r="W175" s="250" t="n">
        <f aca="false">IFERROR((K175-M175-L175)/K175,"")</f>
        <v>0.0154168789976063</v>
      </c>
      <c r="X175" s="249" t="n">
        <f aca="false">20.6577/85*O175</f>
        <v>14.5819058823529</v>
      </c>
      <c r="Y175" s="249" t="n">
        <f aca="false">19.2*P175</f>
        <v>19.2</v>
      </c>
      <c r="Z175" s="249" t="n">
        <f aca="false">125000/52/40*Q175</f>
        <v>240.384615384615</v>
      </c>
      <c r="AA175" s="249" t="n">
        <f aca="false">(M175+N175)*T175+R175+V175+X175+Y175+Z175</f>
        <v>1287.4485408841</v>
      </c>
      <c r="AB175" s="285" t="n">
        <f aca="false">_xlfn.xlookup(H175,'Prix vente'!A:A,'Prix vente'!X:X, "")</f>
        <v>0.37</v>
      </c>
      <c r="AC175" s="285" t="str">
        <f aca="false">_xlfn.xlookup(H175,'Prix vente'!A:A,'Prix vente'!Z:Z, "")</f>
        <v>CAD</v>
      </c>
      <c r="AD175" s="249" t="n">
        <f aca="false">IFERROR(IF(AC175="CAD",(M175+N175)*AB175,(M175+N175)*AB175*S175),0)</f>
        <v>1281.495</v>
      </c>
      <c r="AE175" s="249" t="n">
        <f aca="false">AD175-AA175</f>
        <v>-5.95354088409545</v>
      </c>
      <c r="AF175" s="273" t="n">
        <f aca="false">IFERROR(1-AA175/AD175,"")</f>
        <v>-0.00464577769253527</v>
      </c>
      <c r="AG175" s="252" t="n">
        <f aca="false">((M175+N175)*T175+V175)</f>
        <v>1013.28201961713</v>
      </c>
      <c r="AH175" s="273" t="n">
        <f aca="false">IFERROR(AG175/AD175,"")</f>
        <v>0.790703061359683</v>
      </c>
      <c r="AI175" s="273" t="str">
        <f aca="false">IFERROR(IF(AD175=0,"S",""),"S")</f>
        <v/>
      </c>
      <c r="AK175" s="15" t="e">
        <v>#NAME?</v>
      </c>
      <c r="AL175" s="15" t="e">
        <f aca="false">_xlfn.xlookup(AK175,A:A,F:F)</f>
        <v>#NAME?</v>
      </c>
      <c r="AM175" s="15" t="e">
        <f aca="false">_xlfn.xlookup(AK175,A:A,J:J)</f>
        <v>#NAME?</v>
      </c>
      <c r="AN175" s="15" t="e">
        <f aca="false">_xlfn.xlookup(AK175,A:A,M:M)+_xlfn.xlookup(AK175,A:A,N:N)</f>
        <v>#NAME?</v>
      </c>
      <c r="AO175" s="223" t="e">
        <f aca="false">_xlfn.xlookup(AK175,A:A,AG:AG)</f>
        <v>#NAME?</v>
      </c>
      <c r="AP175" s="223" t="e">
        <f aca="false">_xlfn.xlookup(AK175,A:A,AD:AD)</f>
        <v>#NAME?</v>
      </c>
      <c r="AQ175" s="223" t="e">
        <f aca="false">_xlfn.xlookup(AK175,A:A,AE:AE)</f>
        <v>#NAME?</v>
      </c>
      <c r="AX175" s="288"/>
      <c r="AY175" s="288"/>
      <c r="AZ175" s="288"/>
      <c r="BB175" s="257" t="e">
        <f aca="false">_xlfn.xlookup(BA175,A:A,F:F)</f>
        <v>#NAME?</v>
      </c>
      <c r="BC175" s="15" t="e">
        <f aca="false">_xlfn.xlookup(BA175,A:A,J:J)</f>
        <v>#NAME?</v>
      </c>
      <c r="BD175" s="75" t="e">
        <f aca="false">_xlfn.xlookup(BA175,A:A,M:M)+_xlfn.xlookup(BA175,A:A,N:N)</f>
        <v>#NAME?</v>
      </c>
      <c r="BE175" s="75" t="e">
        <f aca="false">_xlfn.xlookup(BA175,A123:A1111,AA123:AA1111)</f>
        <v>#NAME?</v>
      </c>
    </row>
    <row r="176" customFormat="false" ht="16.4" hidden="false" customHeight="false" outlineLevel="0" collapsed="false">
      <c r="A176" s="241" t="s">
        <v>1283</v>
      </c>
      <c r="B176" s="1" t="s">
        <v>889</v>
      </c>
      <c r="C176" s="292" t="n">
        <f aca="false">'Liste WO'!C168</f>
        <v>45665</v>
      </c>
      <c r="D176" s="241" t="n">
        <f aca="false">'Liste WO'!D168</f>
        <v>0</v>
      </c>
      <c r="E176" s="241" t="str">
        <f aca="false">'Liste WO'!E168</f>
        <v>Gignac + Unik</v>
      </c>
      <c r="F176" s="241" t="str">
        <f aca="false">_xlfn.xlookup(E176,Clients!B:B,Clients!C:C)</f>
        <v>Unik</v>
      </c>
      <c r="G176" s="241" t="e">
        <f aca="false">_xlfn.xlookup(D176,'PO Client'!$A:$A,'PO Client'!$F:$F,FALSE())</f>
        <v>#NAME?</v>
      </c>
      <c r="H176" s="251" t="n">
        <f aca="false">'Liste WO'!I168</f>
        <v>0</v>
      </c>
      <c r="I176" s="251" t="n">
        <f aca="false">'Liste WO'!J168</f>
        <v>30015</v>
      </c>
      <c r="J176" s="244" t="str">
        <f aca="false">'Liste WO'!L168</f>
        <v>S15-3</v>
      </c>
      <c r="K176" s="245" t="n">
        <v>558.9</v>
      </c>
      <c r="L176" s="245" t="n">
        <v>191.16</v>
      </c>
      <c r="M176" s="245" t="n">
        <v>351</v>
      </c>
      <c r="N176" s="245"/>
      <c r="O176" s="245" t="n">
        <v>13</v>
      </c>
      <c r="P176" s="246" t="n">
        <v>1</v>
      </c>
      <c r="Q176" s="219" t="n">
        <v>1</v>
      </c>
      <c r="R176" s="247" t="n">
        <v>0</v>
      </c>
      <c r="S176" s="272"/>
      <c r="T176" s="248" t="n">
        <f aca="false">_xlfn.xlookup(I176,'Prix MP'!A:A,'Prix MP'!U:U, 0)</f>
        <v>0.268854241086576</v>
      </c>
      <c r="U176" s="249" t="n">
        <f aca="false">(M176+N176)*T176</f>
        <v>94.3678386213883</v>
      </c>
      <c r="V176" s="249" t="n">
        <f aca="false">(K176-M176-L176)*T176</f>
        <v>4.50061999578926</v>
      </c>
      <c r="W176" s="250" t="n">
        <f aca="false">IFERROR((K176-M176-L176)/K176,"")</f>
        <v>0.0299516908212559</v>
      </c>
      <c r="X176" s="249" t="n">
        <f aca="false">20.6577/85*O176</f>
        <v>3.15941294117647</v>
      </c>
      <c r="Y176" s="249" t="n">
        <f aca="false">19.2*P176</f>
        <v>19.2</v>
      </c>
      <c r="Z176" s="249" t="n">
        <f aca="false">125000/52/40*Q176</f>
        <v>60.0961538461539</v>
      </c>
      <c r="AA176" s="249" t="n">
        <f aca="false">(M176+N176)*T176+R176+V176+X176+Y176+Z176</f>
        <v>181.324025404508</v>
      </c>
      <c r="AB176" s="285" t="e">
        <f aca="false">_xlfn.xlookup(H176,'Prix vente'!A:A,'Prix vente'!X:X, "")</f>
        <v>#NAME?</v>
      </c>
      <c r="AC176" s="285" t="e">
        <f aca="false">_xlfn.xlookup(H176,'Prix vente'!A:A,'Prix vente'!Z:Z, "")</f>
        <v>#NAME?</v>
      </c>
      <c r="AD176" s="249" t="n">
        <f aca="false">IFERROR(IF(AC176="CAD",(M176+N176)*AB176,(M176+N176)*AB176*S176),0)</f>
        <v>0</v>
      </c>
      <c r="AE176" s="249" t="n">
        <f aca="false">AD176-AA176</f>
        <v>-181.324025404508</v>
      </c>
      <c r="AF176" s="273" t="str">
        <f aca="false">IFERROR(1-AA176/AD176,"")</f>
        <v/>
      </c>
      <c r="AG176" s="252" t="n">
        <f aca="false">((M176+N176)*T176+V176)</f>
        <v>98.8684586171776</v>
      </c>
      <c r="AH176" s="273" t="str">
        <f aca="false">IFERROR(AG176/AD176,"")</f>
        <v/>
      </c>
      <c r="AI176" s="273" t="str">
        <f aca="false">IFERROR(IF(AD176=0,"S",""),"S")</f>
        <v>S</v>
      </c>
      <c r="AK176" s="15" t="e">
        <v>#NAME?</v>
      </c>
      <c r="AL176" s="15" t="e">
        <f aca="false">_xlfn.xlookup(AK176,A:A,F:F)</f>
        <v>#NAME?</v>
      </c>
      <c r="AM176" s="15" t="e">
        <f aca="false">_xlfn.xlookup(AK176,A:A,J:J)</f>
        <v>#NAME?</v>
      </c>
      <c r="AN176" s="15" t="e">
        <f aca="false">_xlfn.xlookup(AK176,A:A,M:M)+_xlfn.xlookup(AK176,A:A,N:N)</f>
        <v>#NAME?</v>
      </c>
      <c r="AO176" s="223" t="e">
        <f aca="false">_xlfn.xlookup(AK176,A:A,AG:AG)</f>
        <v>#NAME?</v>
      </c>
      <c r="AP176" s="223" t="e">
        <f aca="false">_xlfn.xlookup(AK176,A:A,AD:AD)</f>
        <v>#NAME?</v>
      </c>
      <c r="AQ176" s="223" t="e">
        <f aca="false">_xlfn.xlookup(AK176,A:A,AE:AE)</f>
        <v>#NAME?</v>
      </c>
      <c r="AX176" s="288"/>
      <c r="AY176" s="288"/>
      <c r="AZ176" s="288"/>
      <c r="BB176" s="257" t="e">
        <f aca="false">_xlfn.xlookup(BA176,A:A,F:F)</f>
        <v>#NAME?</v>
      </c>
      <c r="BC176" s="15" t="e">
        <f aca="false">_xlfn.xlookup(BA176,A:A,J:J)</f>
        <v>#NAME?</v>
      </c>
      <c r="BD176" s="75" t="e">
        <f aca="false">_xlfn.xlookup(BA176,A:A,M:M)+_xlfn.xlookup(BA176,A:A,N:N)</f>
        <v>#NAME?</v>
      </c>
      <c r="BE176" s="75" t="e">
        <f aca="false">_xlfn.xlookup(BA176,A124:A1112,AA124:AA1112)</f>
        <v>#NAME?</v>
      </c>
    </row>
    <row r="177" customFormat="false" ht="16.4" hidden="false" customHeight="false" outlineLevel="0" collapsed="false">
      <c r="A177" s="241" t="s">
        <v>1286</v>
      </c>
      <c r="B177" s="1" t="s">
        <v>889</v>
      </c>
      <c r="C177" s="292" t="n">
        <f aca="false">'Liste WO'!C169</f>
        <v>45666</v>
      </c>
      <c r="D177" s="241" t="n">
        <f aca="false">'Liste WO'!D169</f>
        <v>294</v>
      </c>
      <c r="E177" s="241" t="str">
        <f aca="false">'Liste WO'!E169</f>
        <v>Digi America Inc.</v>
      </c>
      <c r="F177" s="241" t="str">
        <f aca="false">_xlfn.xlookup(E177,Clients!B:B,Clients!C:C)</f>
        <v>Digi</v>
      </c>
      <c r="G177" s="241" t="n">
        <f aca="false">_xlfn.xlookup(D177,'PO Client'!$A:$A,'PO Client'!$F:$F,FALSE())</f>
        <v>50009018</v>
      </c>
      <c r="H177" s="251" t="n">
        <f aca="false">'Liste WO'!I169</f>
        <v>40103</v>
      </c>
      <c r="I177" s="251" t="n">
        <f aca="false">'Liste WO'!J169</f>
        <v>30025</v>
      </c>
      <c r="J177" s="244" t="str">
        <f aca="false">'Liste WO'!L169</f>
        <v>D11-1</v>
      </c>
      <c r="K177" s="245" t="n">
        <v>45534.079008</v>
      </c>
      <c r="L177" s="245" t="n">
        <v>0</v>
      </c>
      <c r="M177" s="245" t="n">
        <v>45036</v>
      </c>
      <c r="N177" s="245"/>
      <c r="O177" s="245" t="n">
        <v>720</v>
      </c>
      <c r="P177" s="246" t="n">
        <v>6</v>
      </c>
      <c r="Q177" s="219" t="n">
        <v>8</v>
      </c>
      <c r="R177" s="247" t="n">
        <v>-161.5</v>
      </c>
      <c r="S177" s="272" t="n">
        <v>1.4422</v>
      </c>
      <c r="T177" s="248" t="n">
        <f aca="false">_xlfn.xlookup(I177,'Prix MP'!A:A,'Prix MP'!U:U, 0)</f>
        <v>0.369342532440358</v>
      </c>
      <c r="U177" s="249" t="n">
        <f aca="false">(M177+N177)*T177</f>
        <v>16633.710290984</v>
      </c>
      <c r="V177" s="249" t="n">
        <f aca="false">(K177-M177-L177)*T177</f>
        <v>183.961762170099</v>
      </c>
      <c r="W177" s="250" t="n">
        <f aca="false">IFERROR((K177-M177-L177)/K177,"")</f>
        <v>0.0109385984926254</v>
      </c>
      <c r="X177" s="249" t="n">
        <f aca="false">20.6577/85*O177</f>
        <v>174.982870588235</v>
      </c>
      <c r="Y177" s="249" t="n">
        <f aca="false">19.2*P177</f>
        <v>115.2</v>
      </c>
      <c r="Z177" s="249" t="n">
        <f aca="false">125000/52/40*Q177</f>
        <v>480.769230769231</v>
      </c>
      <c r="AA177" s="249" t="n">
        <f aca="false">(M177+N177)*T177+R177+V177+X177+Y177+Z177</f>
        <v>17427.1241545115</v>
      </c>
      <c r="AB177" s="285" t="n">
        <f aca="false">_xlfn.xlookup(H177,'Prix vente'!A:A,'Prix vente'!X:X, "")</f>
        <v>0.31</v>
      </c>
      <c r="AC177" s="285" t="str">
        <f aca="false">_xlfn.xlookup(H177,'Prix vente'!A:A,'Prix vente'!Z:Z, "")</f>
        <v>USD</v>
      </c>
      <c r="AD177" s="249" t="n">
        <f aca="false">IFERROR(IF(AC177="CAD",(M177+N177)*AB177,(M177+N177)*AB177*S177),0)</f>
        <v>20134.784952</v>
      </c>
      <c r="AE177" s="249" t="n">
        <f aca="false">AD177-AA177</f>
        <v>2707.66079748846</v>
      </c>
      <c r="AF177" s="273" t="n">
        <f aca="false">IFERROR(1-AA177/AD177,"")</f>
        <v>0.134476767640844</v>
      </c>
      <c r="AG177" s="252" t="n">
        <f aca="false">((M177+N177)*T177+V177)</f>
        <v>16817.6720531541</v>
      </c>
      <c r="AH177" s="273" t="n">
        <f aca="false">IFERROR(AG177/AD177,"")</f>
        <v>0.835254614998188</v>
      </c>
      <c r="AI177" s="273" t="str">
        <f aca="false">IFERROR(IF(AD177=0,"S",""),"S")</f>
        <v/>
      </c>
      <c r="AK177" s="15" t="e">
        <v>#NAME?</v>
      </c>
      <c r="AL177" s="15" t="e">
        <f aca="false">_xlfn.xlookup(AK177,A:A,F:F)</f>
        <v>#NAME?</v>
      </c>
      <c r="AM177" s="15" t="e">
        <f aca="false">_xlfn.xlookup(AK177,A:A,J:J)</f>
        <v>#NAME?</v>
      </c>
      <c r="AN177" s="15" t="e">
        <f aca="false">_xlfn.xlookup(AK177,A:A,M:M)+_xlfn.xlookup(AK177,A:A,N:N)</f>
        <v>#NAME?</v>
      </c>
      <c r="AO177" s="223" t="e">
        <f aca="false">_xlfn.xlookup(AK177,A:A,AG:AG)</f>
        <v>#NAME?</v>
      </c>
      <c r="AP177" s="223" t="e">
        <f aca="false">_xlfn.xlookup(AK177,A:A,AD:AD)</f>
        <v>#NAME?</v>
      </c>
      <c r="AQ177" s="223" t="e">
        <f aca="false">_xlfn.xlookup(AK177,A:A,AE:AE)</f>
        <v>#NAME?</v>
      </c>
      <c r="AX177" s="288"/>
      <c r="AY177" s="288"/>
      <c r="AZ177" s="288"/>
      <c r="BB177" s="257" t="e">
        <f aca="false">_xlfn.xlookup(BA177,A:A,F:F)</f>
        <v>#NAME?</v>
      </c>
      <c r="BC177" s="15" t="e">
        <f aca="false">_xlfn.xlookup(BA177,A:A,J:J)</f>
        <v>#NAME?</v>
      </c>
      <c r="BD177" s="75" t="e">
        <f aca="false">_xlfn.xlookup(BA177,A:A,M:M)+_xlfn.xlookup(BA177,A:A,N:N)</f>
        <v>#NAME?</v>
      </c>
      <c r="BE177" s="75" t="e">
        <f aca="false">_xlfn.xlookup(BA177,A125:A1113,AA125:AA1113)</f>
        <v>#NAME?</v>
      </c>
    </row>
    <row r="178" customFormat="false" ht="16.4" hidden="false" customHeight="false" outlineLevel="0" collapsed="false">
      <c r="A178" s="241" t="s">
        <v>1288</v>
      </c>
      <c r="B178" s="1" t="s">
        <v>889</v>
      </c>
      <c r="C178" s="292" t="n">
        <f aca="false">'Liste WO'!C170</f>
        <v>45672</v>
      </c>
      <c r="D178" s="241" t="n">
        <f aca="false">'Liste WO'!D170</f>
        <v>295</v>
      </c>
      <c r="E178" s="241" t="str">
        <f aca="false">'Liste WO'!E170</f>
        <v>IMS</v>
      </c>
      <c r="F178" s="241" t="str">
        <f aca="false">_xlfn.xlookup(E178,Clients!B:B,Clients!C:C)</f>
        <v>IMS</v>
      </c>
      <c r="G178" s="241" t="n">
        <f aca="false">_xlfn.xlookup(D178,'PO Client'!$A:$A,'PO Client'!$F:$F,FALSE())</f>
        <v>2501687</v>
      </c>
      <c r="H178" s="251" t="n">
        <f aca="false">'Liste WO'!I170</f>
        <v>40223</v>
      </c>
      <c r="I178" s="251" t="n">
        <f aca="false">'Liste WO'!J170</f>
        <v>30042</v>
      </c>
      <c r="J178" s="244" t="str">
        <f aca="false">'Liste WO'!L170</f>
        <v>T11-1</v>
      </c>
      <c r="K178" s="245" t="n">
        <v>7638.65244</v>
      </c>
      <c r="L178" s="245" t="n">
        <v>0</v>
      </c>
      <c r="M178" s="245" t="n">
        <v>7524</v>
      </c>
      <c r="N178" s="245"/>
      <c r="O178" s="245" t="n">
        <v>60</v>
      </c>
      <c r="P178" s="246" t="n">
        <v>2</v>
      </c>
      <c r="Q178" s="219" t="n">
        <v>1.75</v>
      </c>
      <c r="R178" s="296" t="n">
        <f aca="false">203.05/2</f>
        <v>101.525</v>
      </c>
      <c r="S178" s="272"/>
      <c r="T178" s="248" t="n">
        <f aca="false">_xlfn.xlookup(I178,'Prix MP'!A:A,'Prix MP'!U:U, 0)</f>
        <v>0.273486093127953</v>
      </c>
      <c r="U178" s="249" t="n">
        <f aca="false">(M178+N178)*T178</f>
        <v>2057.70936469472</v>
      </c>
      <c r="V178" s="249" t="n">
        <f aca="false">(K178-M178-L178)*T178</f>
        <v>31.3558478831873</v>
      </c>
      <c r="W178" s="250" t="n">
        <f aca="false">IFERROR((K178-M178-L178)/K178,"")</f>
        <v>0.0150095112849513</v>
      </c>
      <c r="X178" s="249" t="n">
        <f aca="false">20.6577/85*O178</f>
        <v>14.5819058823529</v>
      </c>
      <c r="Y178" s="249" t="n">
        <f aca="false">19.2*P178</f>
        <v>38.4</v>
      </c>
      <c r="Z178" s="249" t="n">
        <f aca="false">125000/52/40*Q178</f>
        <v>105.168269230769</v>
      </c>
      <c r="AA178" s="249" t="n">
        <f aca="false">(M178+N178)*T178+R178+V178+X178+Y178+Z178</f>
        <v>2348.74038769103</v>
      </c>
      <c r="AB178" s="285" t="n">
        <f aca="false">_xlfn.xlookup(H178,'Prix vente'!A:A,'Prix vente'!X:X, "")</f>
        <v>0.375</v>
      </c>
      <c r="AC178" s="285" t="str">
        <f aca="false">_xlfn.xlookup(H178,'Prix vente'!A:A,'Prix vente'!Z:Z, "")</f>
        <v>CAD</v>
      </c>
      <c r="AD178" s="249" t="n">
        <f aca="false">IFERROR(IF(AC178="CAD",(M178+N178)*AB178,(M178+N178)*AB178*S178),0)</f>
        <v>2821.5</v>
      </c>
      <c r="AE178" s="249" t="n">
        <f aca="false">AD178-AA178</f>
        <v>472.75961230897</v>
      </c>
      <c r="AF178" s="273" t="n">
        <f aca="false">IFERROR(1-AA178/AD178,"")</f>
        <v>0.167556126992369</v>
      </c>
      <c r="AG178" s="252" t="n">
        <f aca="false">((M178+N178)*T178+V178)</f>
        <v>2089.06521257791</v>
      </c>
      <c r="AH178" s="273" t="n">
        <f aca="false">IFERROR(AG178/AD178,"")</f>
        <v>0.740409432067308</v>
      </c>
      <c r="AI178" s="273" t="str">
        <f aca="false">IFERROR(IF(AD178=0,"S",""),"S")</f>
        <v/>
      </c>
      <c r="AK178" s="15" t="e">
        <v>#NAME?</v>
      </c>
      <c r="AL178" s="15" t="e">
        <f aca="false">_xlfn.xlookup(AK178,A:A,F:F)</f>
        <v>#NAME?</v>
      </c>
      <c r="AM178" s="15" t="e">
        <f aca="false">_xlfn.xlookup(AK178,A:A,J:J)</f>
        <v>#NAME?</v>
      </c>
      <c r="AN178" s="15" t="e">
        <f aca="false">_xlfn.xlookup(AK178,A:A,M:M)+_xlfn.xlookup(AK178,A:A,N:N)</f>
        <v>#NAME?</v>
      </c>
      <c r="AO178" s="223" t="e">
        <f aca="false">_xlfn.xlookup(AK178,A:A,AG:AG)</f>
        <v>#NAME?</v>
      </c>
      <c r="AP178" s="223" t="e">
        <f aca="false">_xlfn.xlookup(AK178,A:A,AD:AD)</f>
        <v>#NAME?</v>
      </c>
      <c r="AQ178" s="223" t="e">
        <f aca="false">_xlfn.xlookup(AK178,A:A,AE:AE)</f>
        <v>#NAME?</v>
      </c>
      <c r="AX178" s="288"/>
      <c r="AY178" s="288"/>
      <c r="AZ178" s="288"/>
      <c r="BB178" s="257" t="e">
        <f aca="false">_xlfn.xlookup(BA178,A:A,F:F)</f>
        <v>#NAME?</v>
      </c>
      <c r="BC178" s="15" t="e">
        <f aca="false">_xlfn.xlookup(BA178,A:A,J:J)</f>
        <v>#NAME?</v>
      </c>
      <c r="BD178" s="75" t="e">
        <f aca="false">_xlfn.xlookup(BA178,A:A,M:M)+_xlfn.xlookup(BA178,A:A,N:N)</f>
        <v>#NAME?</v>
      </c>
      <c r="BE178" s="75" t="e">
        <f aca="false">_xlfn.xlookup(BA178,A126:A1114,AA126:AA1114)</f>
        <v>#NAME?</v>
      </c>
    </row>
    <row r="179" customFormat="false" ht="16.4" hidden="false" customHeight="false" outlineLevel="0" collapsed="false">
      <c r="A179" s="241" t="s">
        <v>1291</v>
      </c>
      <c r="B179" s="1" t="s">
        <v>889</v>
      </c>
      <c r="C179" s="292" t="n">
        <f aca="false">'Liste WO'!C171</f>
        <v>45672</v>
      </c>
      <c r="D179" s="241" t="n">
        <f aca="false">'Liste WO'!D171</f>
        <v>296</v>
      </c>
      <c r="E179" s="241" t="str">
        <f aca="false">'Liste WO'!E171</f>
        <v>IMS</v>
      </c>
      <c r="F179" s="241" t="str">
        <f aca="false">_xlfn.xlookup(E179,Clients!B:B,Clients!C:C)</f>
        <v>IMS</v>
      </c>
      <c r="G179" s="241" t="n">
        <f aca="false">_xlfn.xlookup(D179,'PO Client'!$A:$A,'PO Client'!$F:$F,FALSE())</f>
        <v>2501688</v>
      </c>
      <c r="H179" s="251" t="n">
        <f aca="false">'Liste WO'!I171</f>
        <v>40224</v>
      </c>
      <c r="I179" s="251" t="n">
        <f aca="false">'Liste WO'!J171</f>
        <v>30042</v>
      </c>
      <c r="J179" s="244" t="str">
        <f aca="false">'Liste WO'!L171</f>
        <v>T11-1</v>
      </c>
      <c r="K179" s="245" t="n">
        <v>7638.65244</v>
      </c>
      <c r="L179" s="245" t="n">
        <v>0</v>
      </c>
      <c r="M179" s="245" t="n">
        <v>7488</v>
      </c>
      <c r="N179" s="245"/>
      <c r="O179" s="245" t="n">
        <v>60</v>
      </c>
      <c r="P179" s="246" t="n">
        <v>2</v>
      </c>
      <c r="Q179" s="219" t="n">
        <v>0.75</v>
      </c>
      <c r="R179" s="296" t="n">
        <f aca="false">203.05/2</f>
        <v>101.525</v>
      </c>
      <c r="S179" s="272"/>
      <c r="T179" s="248" t="n">
        <f aca="false">_xlfn.xlookup(I179,'Prix MP'!A:A,'Prix MP'!U:U, 0)</f>
        <v>0.273486093127953</v>
      </c>
      <c r="U179" s="249" t="n">
        <f aca="false">(M179+N179)*T179</f>
        <v>2047.86386534211</v>
      </c>
      <c r="V179" s="249" t="n">
        <f aca="false">(K179-M179-L179)*T179</f>
        <v>41.2013472357939</v>
      </c>
      <c r="W179" s="250" t="n">
        <f aca="false">IFERROR((K179-M179-L179)/K179,"")</f>
        <v>0.0197223844366981</v>
      </c>
      <c r="X179" s="249" t="n">
        <f aca="false">20.6577/85*O179</f>
        <v>14.5819058823529</v>
      </c>
      <c r="Y179" s="249" t="n">
        <f aca="false">19.2*P179</f>
        <v>38.4</v>
      </c>
      <c r="Z179" s="249" t="n">
        <f aca="false">125000/52/40*Q179</f>
        <v>45.0721153846154</v>
      </c>
      <c r="AA179" s="249" t="n">
        <f aca="false">(M179+N179)*T179+R179+V179+X179+Y179+Z179</f>
        <v>2288.64423384488</v>
      </c>
      <c r="AB179" s="285" t="n">
        <f aca="false">_xlfn.xlookup(H179,'Prix vente'!A:A,'Prix vente'!X:X, "")</f>
        <v>0.375</v>
      </c>
      <c r="AC179" s="285" t="str">
        <f aca="false">_xlfn.xlookup(H179,'Prix vente'!A:A,'Prix vente'!Z:Z, "")</f>
        <v>CAD</v>
      </c>
      <c r="AD179" s="249" t="n">
        <f aca="false">IFERROR(IF(AC179="CAD",(M179+N179)*AB179,(M179+N179)*AB179*S179),0)</f>
        <v>2808</v>
      </c>
      <c r="AE179" s="249" t="n">
        <f aca="false">AD179-AA179</f>
        <v>519.355766155123</v>
      </c>
      <c r="AF179" s="273" t="n">
        <f aca="false">IFERROR(1-AA179/AD179,"")</f>
        <v>0.18495575717775</v>
      </c>
      <c r="AG179" s="252" t="n">
        <f aca="false">((M179+N179)*T179+V179)</f>
        <v>2089.06521257791</v>
      </c>
      <c r="AH179" s="273" t="n">
        <f aca="false">IFERROR(AG179/AD179,"")</f>
        <v>0.7439690927984</v>
      </c>
      <c r="AI179" s="273" t="str">
        <f aca="false">IFERROR(IF(AD179=0,"S",""),"S")</f>
        <v/>
      </c>
      <c r="AK179" s="15" t="e">
        <v>#NAME?</v>
      </c>
      <c r="AL179" s="15" t="e">
        <f aca="false">_xlfn.xlookup(AK179,A:A,F:F)</f>
        <v>#NAME?</v>
      </c>
      <c r="AM179" s="15" t="e">
        <f aca="false">_xlfn.xlookup(AK179,A:A,J:J)</f>
        <v>#NAME?</v>
      </c>
      <c r="AN179" s="15" t="e">
        <f aca="false">_xlfn.xlookup(AK179,A:A,M:M)+_xlfn.xlookup(AK179,A:A,N:N)</f>
        <v>#NAME?</v>
      </c>
      <c r="AO179" s="223" t="e">
        <f aca="false">_xlfn.xlookup(AK179,A:A,AG:AG)</f>
        <v>#NAME?</v>
      </c>
      <c r="AP179" s="223" t="e">
        <f aca="false">_xlfn.xlookup(AK179,A:A,AD:AD)</f>
        <v>#NAME?</v>
      </c>
      <c r="AQ179" s="223" t="e">
        <f aca="false">_xlfn.xlookup(AK179,A:A,AE:AE)</f>
        <v>#NAME?</v>
      </c>
      <c r="AX179" s="288"/>
      <c r="AY179" s="288"/>
      <c r="AZ179" s="288"/>
      <c r="BB179" s="257" t="e">
        <f aca="false">_xlfn.xlookup(BA179,A:A,F:F)</f>
        <v>#NAME?</v>
      </c>
      <c r="BC179" s="15" t="e">
        <f aca="false">_xlfn.xlookup(BA179,A:A,J:J)</f>
        <v>#NAME?</v>
      </c>
      <c r="BD179" s="75" t="e">
        <f aca="false">_xlfn.xlookup(BA179,A:A,M:M)+_xlfn.xlookup(BA179,A:A,N:N)</f>
        <v>#NAME?</v>
      </c>
      <c r="BE179" s="75" t="e">
        <f aca="false">_xlfn.xlookup(BA179,A127:A1115,AA127:AA1115)</f>
        <v>#NAME?</v>
      </c>
    </row>
    <row r="180" customFormat="false" ht="16.4" hidden="false" customHeight="false" outlineLevel="0" collapsed="false">
      <c r="A180" s="241" t="s">
        <v>1293</v>
      </c>
      <c r="B180" s="1" t="s">
        <v>889</v>
      </c>
      <c r="C180" s="292" t="n">
        <f aca="false">'Liste WO'!C172</f>
        <v>45667</v>
      </c>
      <c r="D180" s="241" t="n">
        <f aca="false">'Liste WO'!D172</f>
        <v>297</v>
      </c>
      <c r="E180" s="241" t="str">
        <f aca="false">'Liste WO'!E172</f>
        <v>Imprimerie Ste-Julie</v>
      </c>
      <c r="F180" s="241" t="str">
        <f aca="false">_xlfn.xlookup(E180,Clients!B:B,Clients!C:C)</f>
        <v>Imprimerie Ste-Julie</v>
      </c>
      <c r="G180" s="241" t="n">
        <f aca="false">_xlfn.xlookup(D180,'PO Client'!$A:$A,'PO Client'!$F:$F,FALSE())</f>
        <v>106713</v>
      </c>
      <c r="H180" s="251" t="n">
        <f aca="false">'Liste WO'!I172</f>
        <v>40117</v>
      </c>
      <c r="I180" s="251" t="n">
        <f aca="false">'Liste WO'!J172</f>
        <v>30036</v>
      </c>
      <c r="J180" s="244" t="str">
        <f aca="false">'Liste WO'!L172</f>
        <v>S15-3</v>
      </c>
      <c r="K180" s="245" t="n">
        <v>14228.94792</v>
      </c>
      <c r="L180" s="245" t="n">
        <v>10625.6304</v>
      </c>
      <c r="M180" s="245" t="n">
        <v>3456</v>
      </c>
      <c r="N180" s="245"/>
      <c r="O180" s="245" t="n">
        <v>60</v>
      </c>
      <c r="P180" s="246" t="n">
        <v>1</v>
      </c>
      <c r="Q180" s="219" t="n">
        <v>1.5</v>
      </c>
      <c r="R180" s="247" t="n">
        <v>-10.77</v>
      </c>
      <c r="S180" s="272" t="n">
        <v>1.4411</v>
      </c>
      <c r="T180" s="248" t="n">
        <f aca="false">_xlfn.xlookup(I180,'Prix MP'!A:A,'Prix MP'!U:U, 0)</f>
        <v>0.258256828537349</v>
      </c>
      <c r="U180" s="249" t="n">
        <f aca="false">(M180+N180)*T180</f>
        <v>892.535599425077</v>
      </c>
      <c r="V180" s="249" t="n">
        <f aca="false">(K180-M180-L180)*T180</f>
        <v>38.0457555031876</v>
      </c>
      <c r="W180" s="250" t="n">
        <f aca="false">IFERROR((K180-M180-L180)/K180,"")</f>
        <v>0.0103533670112696</v>
      </c>
      <c r="X180" s="249" t="n">
        <f aca="false">20.6577/85*O180</f>
        <v>14.5819058823529</v>
      </c>
      <c r="Y180" s="249" t="n">
        <f aca="false">19.2*P180</f>
        <v>19.2</v>
      </c>
      <c r="Z180" s="249" t="n">
        <f aca="false">125000/52/40*Q180</f>
        <v>90.1442307692308</v>
      </c>
      <c r="AA180" s="249" t="n">
        <f aca="false">(M180+N180)*T180+R180+V180+X180+Y180+Z180</f>
        <v>1043.73749157985</v>
      </c>
      <c r="AB180" s="285" t="n">
        <f aca="false">_xlfn.xlookup(H180,'Prix vente'!A:A,'Prix vente'!X:X, "")</f>
        <v>0.28</v>
      </c>
      <c r="AC180" s="285" t="str">
        <f aca="false">_xlfn.xlookup(H180,'Prix vente'!A:A,'Prix vente'!Z:Z, "")</f>
        <v>USD</v>
      </c>
      <c r="AD180" s="249" t="n">
        <f aca="false">IFERROR(IF(AC180="CAD",(M180+N180)*AB180,(M180+N180)*AB180*S180),0)</f>
        <v>1394.523648</v>
      </c>
      <c r="AE180" s="249" t="n">
        <f aca="false">AD180-AA180</f>
        <v>350.786156420152</v>
      </c>
      <c r="AF180" s="273" t="n">
        <f aca="false">IFERROR(1-AA180/AD180,"")</f>
        <v>0.251545505824332</v>
      </c>
      <c r="AG180" s="252" t="n">
        <f aca="false">((M180+N180)*T180+V180)</f>
        <v>930.581354928264</v>
      </c>
      <c r="AH180" s="273" t="n">
        <f aca="false">IFERROR(AG180/AD180,"")</f>
        <v>0.66731127597792</v>
      </c>
      <c r="AI180" s="273" t="str">
        <f aca="false">IFERROR(IF(AD180=0,"S",""),"S")</f>
        <v/>
      </c>
      <c r="AK180" s="15" t="e">
        <v>#NAME?</v>
      </c>
      <c r="AL180" s="15" t="e">
        <f aca="false">_xlfn.xlookup(AK180,A:A,F:F)</f>
        <v>#NAME?</v>
      </c>
      <c r="AM180" s="15" t="e">
        <f aca="false">_xlfn.xlookup(AK180,A:A,J:J)</f>
        <v>#NAME?</v>
      </c>
      <c r="AN180" s="15" t="e">
        <f aca="false">_xlfn.xlookup(AK180,A:A,M:M)+_xlfn.xlookup(AK180,A:A,N:N)</f>
        <v>#NAME?</v>
      </c>
      <c r="AO180" s="223" t="e">
        <f aca="false">_xlfn.xlookup(AK180,A:A,AG:AG)</f>
        <v>#NAME?</v>
      </c>
      <c r="AP180" s="223" t="e">
        <f aca="false">_xlfn.xlookup(AK180,A:A,AD:AD)</f>
        <v>#NAME?</v>
      </c>
      <c r="AQ180" s="223" t="e">
        <f aca="false">_xlfn.xlookup(AK180,A:A,AE:AE)</f>
        <v>#NAME?</v>
      </c>
      <c r="AX180" s="288"/>
      <c r="AY180" s="288"/>
      <c r="AZ180" s="288"/>
      <c r="BB180" s="257" t="e">
        <f aca="false">_xlfn.xlookup(BA180,A:A,F:F)</f>
        <v>#NAME?</v>
      </c>
      <c r="BC180" s="15" t="e">
        <f aca="false">_xlfn.xlookup(BA180,A:A,J:J)</f>
        <v>#NAME?</v>
      </c>
      <c r="BD180" s="75" t="e">
        <f aca="false">_xlfn.xlookup(BA180,A:A,M:M)+_xlfn.xlookup(BA180,A:A,N:N)</f>
        <v>#NAME?</v>
      </c>
      <c r="BE180" s="75" t="e">
        <f aca="false">_xlfn.xlookup(BA180,A128:A1116,AA128:AA1116)</f>
        <v>#NAME?</v>
      </c>
    </row>
    <row r="181" customFormat="false" ht="16.4" hidden="false" customHeight="false" outlineLevel="0" collapsed="false">
      <c r="A181" s="241" t="s">
        <v>1295</v>
      </c>
      <c r="B181" s="1" t="s">
        <v>889</v>
      </c>
      <c r="C181" s="292" t="n">
        <f aca="false">'Liste WO'!C173</f>
        <v>45670</v>
      </c>
      <c r="D181" s="241" t="n">
        <f aca="false">'Liste WO'!D173</f>
        <v>298</v>
      </c>
      <c r="E181" s="241" t="str">
        <f aca="false">'Liste WO'!E173</f>
        <v>3G Print Group Inc.</v>
      </c>
      <c r="F181" s="241" t="str">
        <f aca="false">_xlfn.xlookup(E181,Clients!B:B,Clients!C:C)</f>
        <v>3G</v>
      </c>
      <c r="G181" s="241" t="n">
        <f aca="false">_xlfn.xlookup(D181,'PO Client'!$A:$A,'PO Client'!$F:$F,FALSE())</f>
        <v>2985</v>
      </c>
      <c r="H181" s="251" t="n">
        <f aca="false">'Liste WO'!I173</f>
        <v>40227</v>
      </c>
      <c r="I181" s="251" t="n">
        <f aca="false">'Liste WO'!J173</f>
        <v>30036</v>
      </c>
      <c r="J181" s="244" t="str">
        <f aca="false">'Liste WO'!L173</f>
        <v>S15-3</v>
      </c>
      <c r="K181" s="245" t="n">
        <v>10625.6304</v>
      </c>
      <c r="L181" s="245" t="n">
        <v>3614.16</v>
      </c>
      <c r="M181" s="245" t="n">
        <v>6912</v>
      </c>
      <c r="N181" s="245"/>
      <c r="O181" s="245" t="n">
        <v>60</v>
      </c>
      <c r="P181" s="246" t="n">
        <v>2</v>
      </c>
      <c r="Q181" s="219" t="n">
        <v>2</v>
      </c>
      <c r="R181" s="247" t="n">
        <v>285.02</v>
      </c>
      <c r="S181" s="272"/>
      <c r="T181" s="248" t="n">
        <f aca="false">_xlfn.xlookup(I181,'Prix MP'!A:A,'Prix MP'!U:U, 0)</f>
        <v>0.258256828537349</v>
      </c>
      <c r="U181" s="249" t="n">
        <f aca="false">(M181+N181)*T181</f>
        <v>1785.07119885015</v>
      </c>
      <c r="V181" s="249" t="n">
        <f aca="false">(K181-M181-L181)*T181</f>
        <v>25.6889100373415</v>
      </c>
      <c r="W181" s="250" t="n">
        <f aca="false">IFERROR((K181-M181-L181)/K181,"")</f>
        <v>0.0093613645737198</v>
      </c>
      <c r="X181" s="249" t="n">
        <f aca="false">20.6577/85*O181</f>
        <v>14.5819058823529</v>
      </c>
      <c r="Y181" s="249" t="n">
        <f aca="false">19.2*P181</f>
        <v>38.4</v>
      </c>
      <c r="Z181" s="249" t="n">
        <f aca="false">125000/52/40*Q181</f>
        <v>120.192307692308</v>
      </c>
      <c r="AA181" s="249" t="n">
        <f aca="false">(M181+N181)*T181+R181+V181+X181+Y181+Z181</f>
        <v>2268.95432246216</v>
      </c>
      <c r="AB181" s="285" t="n">
        <f aca="false">_xlfn.xlookup(H181,'Prix vente'!A:A,'Prix vente'!X:X, "")</f>
        <v>0.344</v>
      </c>
      <c r="AC181" s="285" t="str">
        <f aca="false">_xlfn.xlookup(H181,'Prix vente'!A:A,'Prix vente'!Z:Z, "")</f>
        <v>CAD</v>
      </c>
      <c r="AD181" s="249" t="n">
        <f aca="false">IFERROR(IF(AC181="CAD",(M181+N181)*AB181,(M181+N181)*AB181*S181),0)</f>
        <v>2377.728</v>
      </c>
      <c r="AE181" s="249" t="n">
        <f aca="false">AD181-AA181</f>
        <v>108.773677537844</v>
      </c>
      <c r="AF181" s="273" t="n">
        <f aca="false">IFERROR(1-AA181/AD181,"")</f>
        <v>0.0457468968434758</v>
      </c>
      <c r="AG181" s="252" t="n">
        <f aca="false">((M181+N181)*T181+V181)</f>
        <v>1810.76010888749</v>
      </c>
      <c r="AH181" s="273" t="n">
        <f aca="false">IFERROR(AG181/AD181,"")</f>
        <v>0.761550567973921</v>
      </c>
      <c r="AI181" s="273" t="str">
        <f aca="false">IFERROR(IF(AD181=0,"S",""),"S")</f>
        <v/>
      </c>
      <c r="AK181" s="15" t="e">
        <v>#NAME?</v>
      </c>
      <c r="AL181" s="15" t="e">
        <f aca="false">_xlfn.xlookup(AK181,A:A,F:F)</f>
        <v>#NAME?</v>
      </c>
      <c r="AM181" s="15" t="e">
        <f aca="false">_xlfn.xlookup(AK181,A:A,J:J)</f>
        <v>#NAME?</v>
      </c>
      <c r="AN181" s="15" t="e">
        <f aca="false">_xlfn.xlookup(AK181,A:A,M:M)+_xlfn.xlookup(AK181,A:A,N:N)</f>
        <v>#NAME?</v>
      </c>
      <c r="AO181" s="223" t="e">
        <f aca="false">_xlfn.xlookup(AK181,A:A,AG:AG)</f>
        <v>#NAME?</v>
      </c>
      <c r="AP181" s="223" t="e">
        <f aca="false">_xlfn.xlookup(AK181,A:A,AD:AD)</f>
        <v>#NAME?</v>
      </c>
      <c r="AQ181" s="223" t="e">
        <f aca="false">_xlfn.xlookup(AK181,A:A,AE:AE)</f>
        <v>#NAME?</v>
      </c>
      <c r="AX181" s="288"/>
      <c r="AY181" s="288"/>
      <c r="AZ181" s="288"/>
      <c r="BB181" s="257" t="e">
        <f aca="false">_xlfn.xlookup(BA181,A:A,F:F)</f>
        <v>#NAME?</v>
      </c>
      <c r="BC181" s="15" t="e">
        <f aca="false">_xlfn.xlookup(BA181,A:A,J:J)</f>
        <v>#NAME?</v>
      </c>
      <c r="BD181" s="75" t="e">
        <f aca="false">_xlfn.xlookup(BA181,A:A,M:M)+_xlfn.xlookup(BA181,A:A,N:N)</f>
        <v>#NAME?</v>
      </c>
      <c r="BE181" s="75" t="e">
        <f aca="false">_xlfn.xlookup(BA181,A129:A1117,AA129:AA1117)</f>
        <v>#NAME?</v>
      </c>
    </row>
    <row r="182" customFormat="false" ht="16.4" hidden="false" customHeight="false" outlineLevel="0" collapsed="false">
      <c r="A182" s="241" t="s">
        <v>1298</v>
      </c>
      <c r="B182" s="1" t="s">
        <v>889</v>
      </c>
      <c r="C182" s="292" t="n">
        <f aca="false">'Liste WO'!C174</f>
        <v>45671</v>
      </c>
      <c r="D182" s="241" t="n">
        <f aca="false">'Liste WO'!D174</f>
        <v>299</v>
      </c>
      <c r="E182" s="241" t="str">
        <f aca="false">'Liste WO'!E174</f>
        <v>REDEMAC</v>
      </c>
      <c r="F182" s="241" t="str">
        <f aca="false">_xlfn.xlookup(E182,Clients!B:B,Clients!C:C)</f>
        <v>REDEMAC</v>
      </c>
      <c r="G182" s="241" t="str">
        <f aca="false">_xlfn.xlookup(D182,'PO Client'!$A:$A,'PO Client'!$F:$F,FALSE())</f>
        <v>Échantillon D11</v>
      </c>
      <c r="H182" s="251" t="n">
        <f aca="false">'Liste WO'!I174</f>
        <v>40230</v>
      </c>
      <c r="I182" s="251" t="n">
        <f aca="false">'Liste WO'!J174</f>
        <v>30025</v>
      </c>
      <c r="J182" s="244" t="str">
        <f aca="false">'Liste WO'!L174</f>
        <v>D11-1</v>
      </c>
      <c r="K182" s="245" t="n">
        <v>2636.7</v>
      </c>
      <c r="L182" s="245" t="n">
        <v>0</v>
      </c>
      <c r="M182" s="245" t="n">
        <v>2601.0612</v>
      </c>
      <c r="N182" s="245"/>
      <c r="O182" s="245" t="n">
        <v>42.501</v>
      </c>
      <c r="P182" s="246" t="n">
        <v>1</v>
      </c>
      <c r="Q182" s="219" t="n">
        <v>1</v>
      </c>
      <c r="R182" s="247" t="n">
        <v>0</v>
      </c>
      <c r="S182" s="272"/>
      <c r="T182" s="248" t="n">
        <f aca="false">_xlfn.xlookup(I182,'Prix MP'!A:A,'Prix MP'!U:U, 0)</f>
        <v>0.369342532440358</v>
      </c>
      <c r="U182" s="249" t="n">
        <f aca="false">(M182+N182)*T182</f>
        <v>960.682530640357</v>
      </c>
      <c r="V182" s="249" t="n">
        <f aca="false">(K182-M182-L182)*T182</f>
        <v>13.1629246451355</v>
      </c>
      <c r="W182" s="250" t="n">
        <f aca="false">IFERROR((K182-M182-L182)/K182,"")</f>
        <v>0.0135164410058028</v>
      </c>
      <c r="X182" s="249" t="n">
        <f aca="false">20.6577/85*O182</f>
        <v>10.3290930317647</v>
      </c>
      <c r="Y182" s="249" t="n">
        <f aca="false">19.2*P182</f>
        <v>19.2</v>
      </c>
      <c r="Z182" s="249" t="n">
        <f aca="false">125000/52/40*Q182</f>
        <v>60.0961538461539</v>
      </c>
      <c r="AA182" s="249" t="n">
        <f aca="false">(M182+N182)*T182+R182+V182+X182+Y182+Z182</f>
        <v>1063.47070216341</v>
      </c>
      <c r="AB182" s="285" t="n">
        <f aca="false">_xlfn.xlookup(H182,'Prix vente'!A:A,'Prix vente'!X:X, "")</f>
        <v>0</v>
      </c>
      <c r="AC182" s="285" t="str">
        <f aca="false">_xlfn.xlookup(H182,'Prix vente'!A:A,'Prix vente'!Z:Z, "")</f>
        <v>CAD</v>
      </c>
      <c r="AD182" s="249" t="n">
        <f aca="false">IFERROR(IF(AC182="CAD",(M182+N182)*AB182,(M182+N182)*AB182*S182),0)</f>
        <v>0</v>
      </c>
      <c r="AE182" s="249" t="n">
        <f aca="false">AD182-AA182</f>
        <v>-1063.47070216341</v>
      </c>
      <c r="AF182" s="273" t="str">
        <f aca="false">IFERROR(1-AA182/AD182,"")</f>
        <v/>
      </c>
      <c r="AG182" s="252" t="n">
        <f aca="false">((M182+N182)*T182+V182)</f>
        <v>973.845455285493</v>
      </c>
      <c r="AH182" s="273" t="str">
        <f aca="false">IFERROR(AG182/AD182,"")</f>
        <v/>
      </c>
      <c r="AI182" s="273" t="str">
        <f aca="false">IFERROR(IF(AD182=0,"S",""),"S")</f>
        <v>S</v>
      </c>
      <c r="AK182" s="15" t="e">
        <v>#NAME?</v>
      </c>
      <c r="AL182" s="15" t="e">
        <f aca="false">_xlfn.xlookup(AK182,A:A,F:F)</f>
        <v>#NAME?</v>
      </c>
      <c r="AM182" s="15" t="e">
        <f aca="false">_xlfn.xlookup(AK182,A:A,J:J)</f>
        <v>#NAME?</v>
      </c>
      <c r="AN182" s="15" t="e">
        <f aca="false">_xlfn.xlookup(AK182,A:A,M:M)+_xlfn.xlookup(AK182,A:A,N:N)</f>
        <v>#NAME?</v>
      </c>
      <c r="AO182" s="223" t="e">
        <f aca="false">_xlfn.xlookup(AK182,A:A,AG:AG)</f>
        <v>#NAME?</v>
      </c>
      <c r="AP182" s="223" t="e">
        <f aca="false">_xlfn.xlookup(AK182,A:A,AD:AD)</f>
        <v>#NAME?</v>
      </c>
      <c r="AQ182" s="223" t="e">
        <f aca="false">_xlfn.xlookup(AK182,A:A,AE:AE)</f>
        <v>#NAME?</v>
      </c>
      <c r="AX182" s="288"/>
      <c r="AY182" s="288"/>
      <c r="AZ182" s="288"/>
      <c r="BB182" s="257" t="e">
        <f aca="false">_xlfn.xlookup(BA182,A:A,F:F)</f>
        <v>#NAME?</v>
      </c>
      <c r="BC182" s="15" t="e">
        <f aca="false">_xlfn.xlookup(BA182,A:A,J:J)</f>
        <v>#NAME?</v>
      </c>
      <c r="BD182" s="75" t="e">
        <f aca="false">_xlfn.xlookup(BA182,A:A,M:M)+_xlfn.xlookup(BA182,A:A,N:N)</f>
        <v>#NAME?</v>
      </c>
      <c r="BE182" s="75" t="e">
        <f aca="false">_xlfn.xlookup(BA182,A130:A1118,AA130:AA1118)</f>
        <v>#NAME?</v>
      </c>
    </row>
    <row r="183" customFormat="false" ht="16.4" hidden="false" customHeight="false" outlineLevel="0" collapsed="false">
      <c r="A183" s="241" t="s">
        <v>1301</v>
      </c>
      <c r="B183" s="1" t="s">
        <v>889</v>
      </c>
      <c r="C183" s="292" t="n">
        <f aca="false">'Liste WO'!C175</f>
        <v>45671</v>
      </c>
      <c r="D183" s="241" t="n">
        <f aca="false">'Liste WO'!D175</f>
        <v>300</v>
      </c>
      <c r="E183" s="241" t="str">
        <f aca="false">'Liste WO'!E175</f>
        <v>Damaflex Imprimerie Multiservices Inc.</v>
      </c>
      <c r="F183" s="241" t="str">
        <f aca="false">_xlfn.xlookup(E183,Clients!B:B,Clients!C:C)</f>
        <v>Damaflex</v>
      </c>
      <c r="G183" s="241" t="n">
        <f aca="false">_xlfn.xlookup(D183,'PO Client'!$A:$A,'PO Client'!$F:$F,FALSE())</f>
        <v>179986</v>
      </c>
      <c r="H183" s="251" t="n">
        <f aca="false">'Liste WO'!I175</f>
        <v>40228</v>
      </c>
      <c r="I183" s="251" t="n">
        <f aca="false">'Liste WO'!J175</f>
        <v>30025</v>
      </c>
      <c r="J183" s="244" t="str">
        <f aca="false">'Liste WO'!L175</f>
        <v>D11-1</v>
      </c>
      <c r="K183" s="245" t="n">
        <v>7589.013168</v>
      </c>
      <c r="L183" s="245" t="n">
        <v>0</v>
      </c>
      <c r="M183" s="245" t="n">
        <v>7488</v>
      </c>
      <c r="N183" s="245"/>
      <c r="O183" s="245" t="n">
        <v>60</v>
      </c>
      <c r="P183" s="246" t="n">
        <v>2</v>
      </c>
      <c r="Q183" s="219" t="n">
        <v>2</v>
      </c>
      <c r="R183" s="296" t="n">
        <v>124.45</v>
      </c>
      <c r="S183" s="272"/>
      <c r="T183" s="248" t="n">
        <f aca="false">_xlfn.xlookup(I183,'Prix MP'!A:A,'Prix MP'!U:U, 0)</f>
        <v>0.369342532440358</v>
      </c>
      <c r="U183" s="249" t="n">
        <f aca="false">(M183+N183)*T183</f>
        <v>2765.6368829134</v>
      </c>
      <c r="V183" s="249" t="n">
        <f aca="false">(K183-M183-L183)*T183</f>
        <v>37.3084592789435</v>
      </c>
      <c r="W183" s="250" t="n">
        <f aca="false">IFERROR((K183-M183-L183)/K183,"")</f>
        <v>0.0133104483763363</v>
      </c>
      <c r="X183" s="249" t="n">
        <f aca="false">20.6577/85*O183</f>
        <v>14.5819058823529</v>
      </c>
      <c r="Y183" s="249" t="n">
        <f aca="false">19.2*P183</f>
        <v>38.4</v>
      </c>
      <c r="Z183" s="249" t="n">
        <f aca="false">125000/52/40*Q183</f>
        <v>120.192307692308</v>
      </c>
      <c r="AA183" s="249" t="n">
        <f aca="false">(M183+N183)*T183+R183+V183+X183+Y183+Z183</f>
        <v>3100.56955576701</v>
      </c>
      <c r="AB183" s="285" t="n">
        <f aca="false">_xlfn.xlookup(H183,'Prix vente'!A:A,'Prix vente'!X:X, "")</f>
        <v>0.431</v>
      </c>
      <c r="AC183" s="285" t="str">
        <f aca="false">_xlfn.xlookup(H183,'Prix vente'!A:A,'Prix vente'!Z:Z, "")</f>
        <v>CAD</v>
      </c>
      <c r="AD183" s="249" t="n">
        <f aca="false">IFERROR(IF(AC183="CAD",(M183+N183)*AB183,(M183+N183)*AB183*S183),0)</f>
        <v>3227.328</v>
      </c>
      <c r="AE183" s="249" t="n">
        <f aca="false">AD183-AA183</f>
        <v>126.758444232993</v>
      </c>
      <c r="AF183" s="273" t="n">
        <f aca="false">IFERROR(1-AA183/AD183,"")</f>
        <v>0.0392765917294409</v>
      </c>
      <c r="AG183" s="252" t="n">
        <f aca="false">((M183+N183)*T183+V183)</f>
        <v>2802.94534219235</v>
      </c>
      <c r="AH183" s="273" t="n">
        <f aca="false">IFERROR(AG183/AD183,"")</f>
        <v>0.868503400395729</v>
      </c>
      <c r="AI183" s="273" t="str">
        <f aca="false">IFERROR(IF(AD183=0,"S",""),"S")</f>
        <v/>
      </c>
      <c r="AK183" s="15" t="e">
        <v>#NAME?</v>
      </c>
      <c r="AL183" s="15" t="e">
        <f aca="false">_xlfn.xlookup(AK183,A:A,F:F)</f>
        <v>#NAME?</v>
      </c>
      <c r="AM183" s="15" t="e">
        <f aca="false">_xlfn.xlookup(AK183,A:A,J:J)</f>
        <v>#NAME?</v>
      </c>
      <c r="AN183" s="15" t="e">
        <f aca="false">_xlfn.xlookup(AK183,A:A,M:M)+_xlfn.xlookup(AK183,A:A,N:N)</f>
        <v>#NAME?</v>
      </c>
      <c r="AO183" s="223" t="e">
        <f aca="false">_xlfn.xlookup(AK183,A:A,AG:AG)</f>
        <v>#NAME?</v>
      </c>
      <c r="AP183" s="223" t="e">
        <f aca="false">_xlfn.xlookup(AK183,A:A,AD:AD)</f>
        <v>#NAME?</v>
      </c>
      <c r="AQ183" s="223" t="e">
        <f aca="false">_xlfn.xlookup(AK183,A:A,AE:AE)</f>
        <v>#NAME?</v>
      </c>
      <c r="AX183" s="288"/>
      <c r="AY183" s="288"/>
      <c r="AZ183" s="288"/>
      <c r="BB183" s="257" t="e">
        <f aca="false">_xlfn.xlookup(BA183,A:A,F:F)</f>
        <v>#NAME?</v>
      </c>
      <c r="BC183" s="15" t="e">
        <f aca="false">_xlfn.xlookup(BA183,A:A,J:J)</f>
        <v>#NAME?</v>
      </c>
      <c r="BD183" s="75" t="e">
        <f aca="false">_xlfn.xlookup(BA183,A:A,M:M)+_xlfn.xlookup(BA183,A:A,N:N)</f>
        <v>#NAME?</v>
      </c>
      <c r="BE183" s="75" t="e">
        <f aca="false">_xlfn.xlookup(BA183,A131:A1119,AA131:AA1119)</f>
        <v>#NAME?</v>
      </c>
    </row>
    <row r="184" customFormat="false" ht="16.4" hidden="false" customHeight="false" outlineLevel="0" collapsed="false">
      <c r="A184" s="241" t="s">
        <v>1303</v>
      </c>
      <c r="B184" s="1" t="s">
        <v>889</v>
      </c>
      <c r="C184" s="292" t="n">
        <f aca="false">'Liste WO'!C176</f>
        <v>45673</v>
      </c>
      <c r="D184" s="241" t="n">
        <f aca="false">'Liste WO'!D176</f>
        <v>301</v>
      </c>
      <c r="E184" s="241" t="str">
        <f aca="false">'Liste WO'!E176</f>
        <v>Emballages Mijo</v>
      </c>
      <c r="F184" s="241" t="str">
        <f aca="false">_xlfn.xlookup(E184,Clients!B:B,Clients!C:C)</f>
        <v>Mijo</v>
      </c>
      <c r="G184" s="241" t="n">
        <f aca="false">_xlfn.xlookup(D184,'PO Client'!$A:$A,'PO Client'!$F:$F,FALSE())</f>
        <v>14339</v>
      </c>
      <c r="H184" s="251" t="n">
        <f aca="false">'Liste WO'!I176</f>
        <v>40231</v>
      </c>
      <c r="I184" s="251" t="n">
        <f aca="false">'Liste WO'!J176</f>
        <v>30042</v>
      </c>
      <c r="J184" s="244" t="str">
        <f aca="false">'Liste WO'!L176</f>
        <v>T11-1</v>
      </c>
      <c r="K184" s="245" t="n">
        <v>7638.65244</v>
      </c>
      <c r="L184" s="245" t="n">
        <v>0</v>
      </c>
      <c r="M184" s="245" t="n">
        <v>7488</v>
      </c>
      <c r="N184" s="245"/>
      <c r="O184" s="245" t="n">
        <v>60</v>
      </c>
      <c r="P184" s="246" t="n">
        <v>2</v>
      </c>
      <c r="Q184" s="219" t="n">
        <v>1</v>
      </c>
      <c r="R184" s="296" t="n">
        <f aca="false">220.62/5*2</f>
        <v>88.248</v>
      </c>
      <c r="S184" s="272"/>
      <c r="T184" s="248" t="n">
        <f aca="false">_xlfn.xlookup(I184,'Prix MP'!A:A,'Prix MP'!U:U, 0)</f>
        <v>0.273486093127953</v>
      </c>
      <c r="U184" s="249" t="n">
        <f aca="false">(M184+N184)*T184</f>
        <v>2047.86386534211</v>
      </c>
      <c r="V184" s="249" t="n">
        <f aca="false">(K184-M184-L184)*T184</f>
        <v>41.2013472357936</v>
      </c>
      <c r="W184" s="250" t="n">
        <f aca="false">IFERROR((K184-M184-L184)/K184,"")</f>
        <v>0.0197223844366979</v>
      </c>
      <c r="X184" s="249" t="n">
        <f aca="false">20.6577/85*O184</f>
        <v>14.5819058823529</v>
      </c>
      <c r="Y184" s="249" t="n">
        <f aca="false">19.2*P184</f>
        <v>38.4</v>
      </c>
      <c r="Z184" s="249" t="n">
        <f aca="false">125000/52/40*Q184</f>
        <v>60.0961538461539</v>
      </c>
      <c r="AA184" s="249" t="n">
        <f aca="false">(M184+N184)*T184+R184+V184+X184+Y184+Z184</f>
        <v>2290.39127230642</v>
      </c>
      <c r="AB184" s="285" t="n">
        <f aca="false">_xlfn.xlookup(H184,'Prix vente'!A:A,'Prix vente'!X:X, "")</f>
        <v>0.374</v>
      </c>
      <c r="AC184" s="285" t="str">
        <f aca="false">_xlfn.xlookup(H184,'Prix vente'!A:A,'Prix vente'!Z:Z, "")</f>
        <v>CAD</v>
      </c>
      <c r="AD184" s="249" t="n">
        <f aca="false">IFERROR(IF(AC184="CAD",(M184+N184)*AB184,(M184+N184)*AB184*S184),0)</f>
        <v>2800.512</v>
      </c>
      <c r="AE184" s="249" t="n">
        <f aca="false">AD184-AA184</f>
        <v>510.120727693585</v>
      </c>
      <c r="AF184" s="273" t="n">
        <f aca="false">IFERROR(1-AA184/AD184,"")</f>
        <v>0.182152666260164</v>
      </c>
      <c r="AG184" s="252" t="n">
        <f aca="false">((M184+N184)*T184+V184)</f>
        <v>2089.06521257791</v>
      </c>
      <c r="AH184" s="273" t="n">
        <f aca="false">IFERROR(AG184/AD184,"")</f>
        <v>0.745958314971658</v>
      </c>
      <c r="AI184" s="273" t="str">
        <f aca="false">IFERROR(IF(AD184=0,"S",""),"S")</f>
        <v/>
      </c>
      <c r="AK184" s="15" t="e">
        <v>#NAME?</v>
      </c>
      <c r="AL184" s="15" t="e">
        <f aca="false">_xlfn.xlookup(AK184,A:A,F:F)</f>
        <v>#NAME?</v>
      </c>
      <c r="AM184" s="15" t="e">
        <f aca="false">_xlfn.xlookup(AK184,A:A,J:J)</f>
        <v>#NAME?</v>
      </c>
      <c r="AN184" s="15" t="e">
        <f aca="false">_xlfn.xlookup(AK184,A:A,M:M)+_xlfn.xlookup(AK184,A:A,N:N)</f>
        <v>#NAME?</v>
      </c>
      <c r="AO184" s="223" t="e">
        <f aca="false">_xlfn.xlookup(AK184,A:A,AG:AG)</f>
        <v>#NAME?</v>
      </c>
      <c r="AP184" s="223" t="e">
        <f aca="false">_xlfn.xlookup(AK184,A:A,AD:AD)</f>
        <v>#NAME?</v>
      </c>
      <c r="AQ184" s="223" t="e">
        <f aca="false">_xlfn.xlookup(AK184,A:A,AE:AE)</f>
        <v>#NAME?</v>
      </c>
      <c r="AX184" s="288"/>
      <c r="AY184" s="288"/>
      <c r="AZ184" s="288"/>
      <c r="BB184" s="257" t="e">
        <f aca="false">_xlfn.xlookup(BA184,A:A,F:F)</f>
        <v>#NAME?</v>
      </c>
      <c r="BC184" s="15" t="e">
        <f aca="false">_xlfn.xlookup(BA184,A:A,J:J)</f>
        <v>#NAME?</v>
      </c>
      <c r="BD184" s="75" t="e">
        <f aca="false">_xlfn.xlookup(BA184,A:A,M:M)+_xlfn.xlookup(BA184,A:A,N:N)</f>
        <v>#NAME?</v>
      </c>
      <c r="BE184" s="75" t="e">
        <f aca="false">_xlfn.xlookup(BA184,A132:A1120,AA132:AA1120)</f>
        <v>#NAME?</v>
      </c>
    </row>
    <row r="185" customFormat="false" ht="16.4" hidden="false" customHeight="false" outlineLevel="0" collapsed="false">
      <c r="A185" s="241" t="s">
        <v>1305</v>
      </c>
      <c r="B185" s="1" t="s">
        <v>889</v>
      </c>
      <c r="C185" s="292" t="n">
        <f aca="false">'Liste WO'!C177</f>
        <v>45677</v>
      </c>
      <c r="D185" s="241" t="n">
        <f aca="false">'Liste WO'!D177</f>
        <v>302</v>
      </c>
      <c r="E185" s="241" t="str">
        <f aca="false">'Liste WO'!E177</f>
        <v>Imprimerie Ste-Julie</v>
      </c>
      <c r="F185" s="241" t="str">
        <f aca="false">_xlfn.xlookup(E185,Clients!B:B,Clients!C:C)</f>
        <v>Imprimerie Ste-Julie</v>
      </c>
      <c r="G185" s="241" t="n">
        <f aca="false">_xlfn.xlookup(D185,'PO Client'!$A:$A,'PO Client'!$F:$F,FALSE())</f>
        <v>106855</v>
      </c>
      <c r="H185" s="251" t="n">
        <f aca="false">'Liste WO'!I177</f>
        <v>40081</v>
      </c>
      <c r="I185" s="251" t="n">
        <f aca="false">'Liste WO'!J177</f>
        <v>30011</v>
      </c>
      <c r="J185" s="244" t="str">
        <f aca="false">'Liste WO'!L177</f>
        <v>S21-1</v>
      </c>
      <c r="K185" s="245" t="n">
        <v>7115.30784</v>
      </c>
      <c r="L185" s="245" t="n">
        <v>0</v>
      </c>
      <c r="M185" s="245" t="n">
        <v>6912</v>
      </c>
      <c r="N185" s="245"/>
      <c r="O185" s="245" t="n">
        <v>120</v>
      </c>
      <c r="P185" s="246" t="n">
        <v>2</v>
      </c>
      <c r="Q185" s="219" t="n">
        <v>1.5</v>
      </c>
      <c r="R185" s="296" t="n">
        <f aca="false">-46.2/3*2</f>
        <v>-30.8</v>
      </c>
      <c r="S185" s="272"/>
      <c r="T185" s="248" t="n">
        <f aca="false">_xlfn.xlookup(I185,'Prix MP'!A:A,'Prix MP'!U:U, 0)</f>
        <v>0.28357864079936</v>
      </c>
      <c r="U185" s="249" t="n">
        <f aca="false">(M185+N185)*T185</f>
        <v>1960.09556520518</v>
      </c>
      <c r="V185" s="249" t="n">
        <f aca="false">(K185-M185-L185)*T185</f>
        <v>57.6537609310538</v>
      </c>
      <c r="W185" s="250" t="n">
        <f aca="false">IFERROR((K185-M185-L185)/K185,"")</f>
        <v>0.0285733020372033</v>
      </c>
      <c r="X185" s="249" t="n">
        <f aca="false">20.6577/85*O185</f>
        <v>29.1638117647059</v>
      </c>
      <c r="Y185" s="249" t="n">
        <f aca="false">19.2*P185</f>
        <v>38.4</v>
      </c>
      <c r="Z185" s="249" t="n">
        <f aca="false">125000/52/40*Q185</f>
        <v>90.1442307692308</v>
      </c>
      <c r="AA185" s="249" t="n">
        <f aca="false">(M185+N185)*T185+R185+V185+X185+Y185+Z185</f>
        <v>2144.65736867017</v>
      </c>
      <c r="AB185" s="285" t="n">
        <f aca="false">_xlfn.xlookup(H185,'Prix vente'!A:A,'Prix vente'!X:X, "")</f>
        <v>0.27</v>
      </c>
      <c r="AC185" s="285" t="str">
        <f aca="false">_xlfn.xlookup(H185,'Prix vente'!A:A,'Prix vente'!Z:Z, "")</f>
        <v>USD</v>
      </c>
      <c r="AD185" s="249" t="n">
        <f aca="false">IFERROR(IF(AC185="CAD",(M185+N185)*AB185,(M185+N185)*AB185*S185),0)</f>
        <v>0</v>
      </c>
      <c r="AE185" s="249" t="n">
        <f aca="false">AD185-AA185</f>
        <v>-2144.65736867017</v>
      </c>
      <c r="AF185" s="273" t="str">
        <f aca="false">IFERROR(1-AA185/AD185,"")</f>
        <v/>
      </c>
      <c r="AG185" s="252" t="n">
        <f aca="false">((M185+N185)*T185+V185)</f>
        <v>2017.74932613623</v>
      </c>
      <c r="AH185" s="273" t="str">
        <f aca="false">IFERROR(AG185/AD185,"")</f>
        <v/>
      </c>
      <c r="AI185" s="273" t="str">
        <f aca="false">IFERROR(IF(AD185=0,"S",""),"S")</f>
        <v>S</v>
      </c>
      <c r="AK185" s="15" t="e">
        <v>#NAME?</v>
      </c>
      <c r="AL185" s="15" t="e">
        <f aca="false">_xlfn.xlookup(AK185,A:A,F:F)</f>
        <v>#NAME?</v>
      </c>
      <c r="AM185" s="15" t="e">
        <f aca="false">_xlfn.xlookup(AK185,A:A,J:J)</f>
        <v>#NAME?</v>
      </c>
      <c r="AN185" s="15" t="e">
        <f aca="false">_xlfn.xlookup(AK185,A:A,M:M)+_xlfn.xlookup(AK185,A:A,N:N)</f>
        <v>#NAME?</v>
      </c>
      <c r="AO185" s="223" t="e">
        <f aca="false">_xlfn.xlookup(AK185,A:A,AG:AG)</f>
        <v>#NAME?</v>
      </c>
      <c r="AP185" s="223" t="e">
        <f aca="false">_xlfn.xlookup(AK185,A:A,AD:AD)</f>
        <v>#NAME?</v>
      </c>
      <c r="AQ185" s="223" t="e">
        <f aca="false">_xlfn.xlookup(AK185,A:A,AE:AE)</f>
        <v>#NAME?</v>
      </c>
      <c r="AX185" s="288"/>
      <c r="AY185" s="288"/>
      <c r="AZ185" s="288"/>
      <c r="BB185" s="257" t="e">
        <f aca="false">_xlfn.xlookup(BA185,A:A,F:F)</f>
        <v>#NAME?</v>
      </c>
      <c r="BC185" s="15" t="e">
        <f aca="false">_xlfn.xlookup(BA185,A:A,J:J)</f>
        <v>#NAME?</v>
      </c>
      <c r="BD185" s="75" t="e">
        <f aca="false">_xlfn.xlookup(BA185,A:A,M:M)+_xlfn.xlookup(BA185,A:A,N:N)</f>
        <v>#NAME?</v>
      </c>
      <c r="BE185" s="75" t="e">
        <f aca="false">_xlfn.xlookup(BA185,A133:A1121,AA133:AA1121)</f>
        <v>#NAME?</v>
      </c>
    </row>
    <row r="186" customFormat="false" ht="16.4" hidden="false" customHeight="false" outlineLevel="0" collapsed="false">
      <c r="A186" s="241" t="s">
        <v>1307</v>
      </c>
      <c r="B186" s="1" t="s">
        <v>889</v>
      </c>
      <c r="C186" s="292" t="n">
        <f aca="false">'Liste WO'!C178</f>
        <v>45677</v>
      </c>
      <c r="D186" s="241" t="n">
        <f aca="false">'Liste WO'!D178</f>
        <v>303</v>
      </c>
      <c r="E186" s="241" t="str">
        <f aca="false">'Liste WO'!E178</f>
        <v>Emballages Mijo</v>
      </c>
      <c r="F186" s="241" t="str">
        <f aca="false">_xlfn.xlookup(E186,Clients!B:B,Clients!C:C)</f>
        <v>Mijo</v>
      </c>
      <c r="G186" s="241" t="n">
        <f aca="false">_xlfn.xlookup(D186,'PO Client'!$A:$A,'PO Client'!$F:$F,FALSE())</f>
        <v>14342</v>
      </c>
      <c r="H186" s="251" t="n">
        <f aca="false">'Liste WO'!I178</f>
        <v>40126</v>
      </c>
      <c r="I186" s="251" t="n">
        <f aca="false">'Liste WO'!J178</f>
        <v>30036</v>
      </c>
      <c r="J186" s="244" t="str">
        <f aca="false">'Liste WO'!L178</f>
        <v>S15-3</v>
      </c>
      <c r="K186" s="245" t="n">
        <v>14347.492368</v>
      </c>
      <c r="L186" s="245" t="n">
        <v>0</v>
      </c>
      <c r="M186" s="245" t="n">
        <v>13996.8</v>
      </c>
      <c r="N186" s="245"/>
      <c r="O186" s="245" t="n">
        <v>120</v>
      </c>
      <c r="P186" s="246" t="n">
        <v>3</v>
      </c>
      <c r="Q186" s="219" t="n">
        <v>2</v>
      </c>
      <c r="R186" s="296" t="n">
        <f aca="false">220.62/5*3</f>
        <v>132.372</v>
      </c>
      <c r="S186" s="272"/>
      <c r="T186" s="248" t="n">
        <f aca="false">_xlfn.xlookup(I186,'Prix MP'!A:A,'Prix MP'!U:U, 0)</f>
        <v>0.258256828537349</v>
      </c>
      <c r="U186" s="249" t="n">
        <f aca="false">(M186+N186)*T186</f>
        <v>3614.76917767156</v>
      </c>
      <c r="V186" s="249" t="n">
        <f aca="false">(K186-M186-L186)*T186</f>
        <v>90.5686987519337</v>
      </c>
      <c r="W186" s="250" t="n">
        <f aca="false">IFERROR((K186-M186-L186)/K186,"")</f>
        <v>0.0244427638645881</v>
      </c>
      <c r="X186" s="249" t="n">
        <f aca="false">20.6577/85*O186</f>
        <v>29.1638117647059</v>
      </c>
      <c r="Y186" s="249" t="n">
        <f aca="false">19.2*P186</f>
        <v>57.6</v>
      </c>
      <c r="Z186" s="249" t="n">
        <f aca="false">125000/52/40*Q186</f>
        <v>120.192307692308</v>
      </c>
      <c r="AA186" s="249" t="n">
        <f aca="false">(M186+N186)*T186+R186+V186+X186+Y186+Z186</f>
        <v>4044.66599588051</v>
      </c>
      <c r="AB186" s="285" t="n">
        <f aca="false">_xlfn.xlookup(H186,'Prix vente'!A:A,'Prix vente'!X:X, "")</f>
        <v>0.347</v>
      </c>
      <c r="AC186" s="285" t="str">
        <f aca="false">_xlfn.xlookup(H186,'Prix vente'!A:A,'Prix vente'!Z:Z, "")</f>
        <v>CAD</v>
      </c>
      <c r="AD186" s="249" t="n">
        <f aca="false">IFERROR(IF(AC186="CAD",(M186+N186)*AB186,(M186+N186)*AB186*S186),0)</f>
        <v>4856.8896</v>
      </c>
      <c r="AE186" s="249" t="n">
        <f aca="false">AD186-AA186</f>
        <v>812.223604119492</v>
      </c>
      <c r="AF186" s="273" t="n">
        <f aca="false">IFERROR(1-AA186/AD186,"")</f>
        <v>0.167231226363369</v>
      </c>
      <c r="AG186" s="252" t="n">
        <f aca="false">((M186+N186)*T186+V186)</f>
        <v>3705.33787642349</v>
      </c>
      <c r="AH186" s="273" t="n">
        <f aca="false">IFERROR(AG186/AD186,"")</f>
        <v>0.762903459124024</v>
      </c>
      <c r="AI186" s="273" t="str">
        <f aca="false">IFERROR(IF(AD186=0,"S",""),"S")</f>
        <v/>
      </c>
      <c r="AK186" s="15" t="e">
        <v>#NAME?</v>
      </c>
      <c r="AL186" s="15" t="e">
        <f aca="false">_xlfn.xlookup(AK186,A:A,F:F)</f>
        <v>#NAME?</v>
      </c>
      <c r="AM186" s="15" t="e">
        <f aca="false">_xlfn.xlookup(AK186,A:A,J:J)</f>
        <v>#NAME?</v>
      </c>
      <c r="AN186" s="15" t="e">
        <f aca="false">_xlfn.xlookup(AK186,A:A,M:M)+_xlfn.xlookup(AK186,A:A,N:N)</f>
        <v>#NAME?</v>
      </c>
      <c r="AO186" s="223" t="e">
        <f aca="false">_xlfn.xlookup(AK186,A:A,AG:AG)</f>
        <v>#NAME?</v>
      </c>
      <c r="AP186" s="223" t="e">
        <f aca="false">_xlfn.xlookup(AK186,A:A,AD:AD)</f>
        <v>#NAME?</v>
      </c>
      <c r="AQ186" s="223" t="e">
        <f aca="false">_xlfn.xlookup(AK186,A:A,AE:AE)</f>
        <v>#NAME?</v>
      </c>
      <c r="AX186" s="288"/>
      <c r="AY186" s="288"/>
      <c r="AZ186" s="288"/>
      <c r="BB186" s="257" t="e">
        <f aca="false">_xlfn.xlookup(BA186,A:A,F:F)</f>
        <v>#NAME?</v>
      </c>
      <c r="BC186" s="15" t="e">
        <f aca="false">_xlfn.xlookup(BA186,A:A,J:J)</f>
        <v>#NAME?</v>
      </c>
      <c r="BD186" s="75" t="e">
        <f aca="false">_xlfn.xlookup(BA186,A:A,M:M)+_xlfn.xlookup(BA186,A:A,N:N)</f>
        <v>#NAME?</v>
      </c>
      <c r="BE186" s="75" t="e">
        <f aca="false">_xlfn.xlookup(BA186,A134:A1122,AA134:AA1122)</f>
        <v>#NAME?</v>
      </c>
    </row>
    <row r="187" customFormat="false" ht="16.4" hidden="false" customHeight="false" outlineLevel="0" collapsed="false">
      <c r="A187" s="241" t="s">
        <v>1309</v>
      </c>
      <c r="B187" s="1" t="s">
        <v>889</v>
      </c>
      <c r="C187" s="292" t="n">
        <f aca="false">'Liste WO'!C179</f>
        <v>45678</v>
      </c>
      <c r="D187" s="241" t="n">
        <f aca="false">'Liste WO'!D179</f>
        <v>304</v>
      </c>
      <c r="E187" s="241" t="str">
        <f aca="false">'Liste WO'!E179</f>
        <v>Damaflex Imprimerie Multiservices Inc.</v>
      </c>
      <c r="F187" s="241" t="str">
        <f aca="false">_xlfn.xlookup(E187,Clients!B:B,Clients!C:C)</f>
        <v>Damaflex</v>
      </c>
      <c r="G187" s="241" t="n">
        <f aca="false">_xlfn.xlookup(D187,'PO Client'!$A:$A,'PO Client'!$F:$F,FALSE())</f>
        <v>179989</v>
      </c>
      <c r="H187" s="251" t="n">
        <f aca="false">'Liste WO'!I179</f>
        <v>40145</v>
      </c>
      <c r="I187" s="251" t="n">
        <f aca="false">'Liste WO'!J179</f>
        <v>30025</v>
      </c>
      <c r="J187" s="244" t="str">
        <f aca="false">'Liste WO'!L179</f>
        <v>D11-1</v>
      </c>
      <c r="K187" s="245" t="n">
        <v>7589.013168</v>
      </c>
      <c r="L187" s="245" t="n">
        <v>0</v>
      </c>
      <c r="M187" s="245" t="n">
        <v>7425.6</v>
      </c>
      <c r="N187" s="245"/>
      <c r="O187" s="245" t="n">
        <v>119</v>
      </c>
      <c r="P187" s="246" t="n">
        <v>2</v>
      </c>
      <c r="Q187" s="219" t="n">
        <v>1</v>
      </c>
      <c r="R187" s="296" t="n">
        <f aca="false">353.7/7*2</f>
        <v>101.057142857143</v>
      </c>
      <c r="S187" s="272"/>
      <c r="T187" s="248" t="n">
        <f aca="false">_xlfn.xlookup(I187,'Prix MP'!A:A,'Prix MP'!U:U, 0)</f>
        <v>0.369342532440358</v>
      </c>
      <c r="U187" s="249" t="n">
        <f aca="false">(M187+N187)*T187</f>
        <v>2742.58990888912</v>
      </c>
      <c r="V187" s="249" t="n">
        <f aca="false">(K187-M187-L187)*T187</f>
        <v>60.3554333032211</v>
      </c>
      <c r="W187" s="250" t="n">
        <f aca="false">IFERROR((K187-M187-L187)/K187,"")</f>
        <v>0.0215328613065332</v>
      </c>
      <c r="X187" s="249" t="n">
        <f aca="false">20.6577/85*O187</f>
        <v>28.92078</v>
      </c>
      <c r="Y187" s="249" t="n">
        <f aca="false">19.2*P187</f>
        <v>38.4</v>
      </c>
      <c r="Z187" s="249" t="n">
        <f aca="false">125000/52/40*Q187</f>
        <v>60.0961538461539</v>
      </c>
      <c r="AA187" s="249" t="n">
        <f aca="false">(M187+N187)*T187+R187+V187+X187+Y187+Z187</f>
        <v>3031.41941889564</v>
      </c>
      <c r="AB187" s="285" t="n">
        <f aca="false">_xlfn.xlookup(H187,'Prix vente'!A:A,'Prix vente'!X:X, "")</f>
        <v>0.431</v>
      </c>
      <c r="AC187" s="285" t="str">
        <f aca="false">_xlfn.xlookup(H187,'Prix vente'!A:A,'Prix vente'!Z:Z, "")</f>
        <v>CAD</v>
      </c>
      <c r="AD187" s="249" t="n">
        <f aca="false">IFERROR(IF(AC187="CAD",(M187+N187)*AB187,(M187+N187)*AB187*S187),0)</f>
        <v>3200.4336</v>
      </c>
      <c r="AE187" s="249" t="n">
        <f aca="false">AD187-AA187</f>
        <v>169.014181104358</v>
      </c>
      <c r="AF187" s="273" t="n">
        <f aca="false">IFERROR(1-AA187/AD187,"")</f>
        <v>0.0528097758704813</v>
      </c>
      <c r="AG187" s="252" t="n">
        <f aca="false">((M187+N187)*T187+V187)</f>
        <v>2802.94534219235</v>
      </c>
      <c r="AH187" s="273" t="n">
        <f aca="false">IFERROR(AG187/AD187,"")</f>
        <v>0.875801748298214</v>
      </c>
      <c r="AI187" s="273" t="str">
        <f aca="false">IFERROR(IF(AD187=0,"S",""),"S")</f>
        <v/>
      </c>
      <c r="AK187" s="15" t="e">
        <v>#NAME?</v>
      </c>
      <c r="AL187" s="15" t="e">
        <f aca="false">_xlfn.xlookup(AK187,A:A,F:F)</f>
        <v>#NAME?</v>
      </c>
      <c r="AM187" s="15" t="e">
        <f aca="false">_xlfn.xlookup(AK187,A:A,J:J)</f>
        <v>#NAME?</v>
      </c>
      <c r="AN187" s="15" t="e">
        <f aca="false">_xlfn.xlookup(AK187,A:A,M:M)+_xlfn.xlookup(AK187,A:A,N:N)</f>
        <v>#NAME?</v>
      </c>
      <c r="AO187" s="223" t="e">
        <f aca="false">_xlfn.xlookup(AK187,A:A,AG:AG)</f>
        <v>#NAME?</v>
      </c>
      <c r="AP187" s="223" t="e">
        <f aca="false">_xlfn.xlookup(AK187,A:A,AD:AD)</f>
        <v>#NAME?</v>
      </c>
      <c r="AQ187" s="223" t="e">
        <f aca="false">_xlfn.xlookup(AK187,A:A,AE:AE)</f>
        <v>#NAME?</v>
      </c>
      <c r="AX187" s="288"/>
      <c r="AY187" s="288"/>
      <c r="AZ187" s="288"/>
      <c r="BB187" s="257" t="e">
        <f aca="false">_xlfn.xlookup(BA187,A:A,F:F)</f>
        <v>#NAME?</v>
      </c>
      <c r="BC187" s="15" t="e">
        <f aca="false">_xlfn.xlookup(BA187,A:A,J:J)</f>
        <v>#NAME?</v>
      </c>
      <c r="BD187" s="75" t="e">
        <f aca="false">_xlfn.xlookup(BA187,A:A,M:M)+_xlfn.xlookup(BA187,A:A,N:N)</f>
        <v>#NAME?</v>
      </c>
      <c r="BE187" s="75" t="e">
        <f aca="false">_xlfn.xlookup(BA187,A135:A1123,AA135:AA1123)</f>
        <v>#NAME?</v>
      </c>
    </row>
    <row r="188" customFormat="false" ht="16.4" hidden="false" customHeight="false" outlineLevel="0" collapsed="false">
      <c r="A188" s="241" t="s">
        <v>1312</v>
      </c>
      <c r="B188" s="1" t="s">
        <v>889</v>
      </c>
      <c r="C188" s="292" t="n">
        <f aca="false">'Liste WO'!C180</f>
        <v>45677</v>
      </c>
      <c r="D188" s="241" t="n">
        <f aca="false">'Liste WO'!D180</f>
        <v>305</v>
      </c>
      <c r="E188" s="241" t="str">
        <f aca="false">'Liste WO'!E180</f>
        <v>Étiquettes Corsair</v>
      </c>
      <c r="F188" s="241" t="str">
        <f aca="false">_xlfn.xlookup(E188,Clients!B:B,Clients!C:C)</f>
        <v>Corsair</v>
      </c>
      <c r="G188" s="241" t="n">
        <f aca="false">_xlfn.xlookup(D188,'PO Client'!$A:$A,'PO Client'!$F:$F,FALSE())</f>
        <v>31970</v>
      </c>
      <c r="H188" s="251" t="n">
        <f aca="false">'Liste WO'!I180</f>
        <v>40234</v>
      </c>
      <c r="I188" s="251" t="n">
        <f aca="false">'Liste WO'!J180</f>
        <v>30042</v>
      </c>
      <c r="J188" s="244" t="str">
        <f aca="false">'Liste WO'!L180</f>
        <v>T11-1</v>
      </c>
      <c r="K188" s="245" t="n">
        <v>7638.65244</v>
      </c>
      <c r="L188" s="245" t="n">
        <v>0</v>
      </c>
      <c r="M188" s="245" t="n">
        <v>7480.8</v>
      </c>
      <c r="N188" s="245"/>
      <c r="O188" s="245" t="n">
        <v>60</v>
      </c>
      <c r="P188" s="246" t="n">
        <v>2</v>
      </c>
      <c r="Q188" s="219" t="n">
        <v>1.5</v>
      </c>
      <c r="R188" s="296" t="n">
        <f aca="false">193.62/2</f>
        <v>96.81</v>
      </c>
      <c r="S188" s="272"/>
      <c r="T188" s="248" t="n">
        <f aca="false">_xlfn.xlookup(I188,'Prix MP'!A:A,'Prix MP'!U:U, 0)</f>
        <v>0.273486093127953</v>
      </c>
      <c r="U188" s="249" t="n">
        <f aca="false">(M188+N188)*T188</f>
        <v>2045.89476547159</v>
      </c>
      <c r="V188" s="249" t="n">
        <f aca="false">(K188-M188-L188)*T188</f>
        <v>43.1704471063148</v>
      </c>
      <c r="W188" s="250" t="n">
        <f aca="false">IFERROR((K188-M188-L188)/K188,"")</f>
        <v>0.0206649590670472</v>
      </c>
      <c r="X188" s="249" t="n">
        <f aca="false">20.6577/85*O188</f>
        <v>14.5819058823529</v>
      </c>
      <c r="Y188" s="249" t="n">
        <f aca="false">19.2*P188</f>
        <v>38.4</v>
      </c>
      <c r="Z188" s="249" t="n">
        <f aca="false">125000/52/40*Q188</f>
        <v>90.1442307692308</v>
      </c>
      <c r="AA188" s="249" t="n">
        <f aca="false">(M188+N188)*T188+R188+V188+X188+Y188+Z188</f>
        <v>2329.00134922949</v>
      </c>
      <c r="AB188" s="285" t="n">
        <f aca="false">_xlfn.xlookup(H188,'Prix vente'!A:A,'Prix vente'!X:X, "")</f>
        <v>0.377</v>
      </c>
      <c r="AC188" s="285" t="str">
        <f aca="false">_xlfn.xlookup(H188,'Prix vente'!A:A,'Prix vente'!Z:Z, "")</f>
        <v>CAD</v>
      </c>
      <c r="AD188" s="249" t="n">
        <f aca="false">IFERROR(IF(AC188="CAD",(M188+N188)*AB188,(M188+N188)*AB188*S188),0)</f>
        <v>2820.2616</v>
      </c>
      <c r="AE188" s="249" t="n">
        <f aca="false">AD188-AA188</f>
        <v>491.260250770508</v>
      </c>
      <c r="AF188" s="273" t="n">
        <f aca="false">IFERROR(1-AA188/AD188,"")</f>
        <v>0.174189603819202</v>
      </c>
      <c r="AG188" s="252" t="n">
        <f aca="false">((M188+N188)*T188+V188)</f>
        <v>2089.06521257791</v>
      </c>
      <c r="AH188" s="273" t="n">
        <f aca="false">IFERROR(AG188/AD188,"")</f>
        <v>0.740734551921676</v>
      </c>
      <c r="AI188" s="273" t="str">
        <f aca="false">IFERROR(IF(AD188=0,"S",""),"S")</f>
        <v/>
      </c>
      <c r="AK188" s="15" t="e">
        <v>#NAME?</v>
      </c>
      <c r="AL188" s="15" t="e">
        <f aca="false">_xlfn.xlookup(AK188,A:A,F:F)</f>
        <v>#NAME?</v>
      </c>
      <c r="AM188" s="15" t="e">
        <f aca="false">_xlfn.xlookup(AK188,A:A,J:J)</f>
        <v>#NAME?</v>
      </c>
      <c r="AN188" s="15" t="e">
        <f aca="false">_xlfn.xlookup(AK188,A:A,M:M)+_xlfn.xlookup(AK188,A:A,N:N)</f>
        <v>#NAME?</v>
      </c>
      <c r="AO188" s="223" t="e">
        <f aca="false">_xlfn.xlookup(AK188,A:A,AG:AG)</f>
        <v>#NAME?</v>
      </c>
      <c r="AP188" s="223" t="e">
        <f aca="false">_xlfn.xlookup(AK188,A:A,AD:AD)</f>
        <v>#NAME?</v>
      </c>
      <c r="AQ188" s="223" t="e">
        <f aca="false">_xlfn.xlookup(AK188,A:A,AE:AE)</f>
        <v>#NAME?</v>
      </c>
      <c r="AX188" s="288"/>
      <c r="AY188" s="288"/>
      <c r="AZ188" s="288"/>
      <c r="BB188" s="257" t="e">
        <f aca="false">_xlfn.xlookup(BA188,A:A,F:F)</f>
        <v>#NAME?</v>
      </c>
      <c r="BC188" s="15" t="e">
        <f aca="false">_xlfn.xlookup(BA188,A:A,J:J)</f>
        <v>#NAME?</v>
      </c>
      <c r="BD188" s="75" t="e">
        <f aca="false">_xlfn.xlookup(BA188,A:A,M:M)+_xlfn.xlookup(BA188,A:A,N:N)</f>
        <v>#NAME?</v>
      </c>
      <c r="BE188" s="75" t="e">
        <f aca="false">_xlfn.xlookup(BA188,A136:A1124,AA136:AA1124)</f>
        <v>#NAME?</v>
      </c>
    </row>
    <row r="189" customFormat="false" ht="16.4" hidden="false" customHeight="false" outlineLevel="0" collapsed="false">
      <c r="A189" s="241" t="s">
        <v>1313</v>
      </c>
      <c r="B189" s="1" t="s">
        <v>889</v>
      </c>
      <c r="C189" s="292" t="n">
        <f aca="false">'Liste WO'!C181</f>
        <v>45678</v>
      </c>
      <c r="D189" s="241" t="n">
        <f aca="false">'Liste WO'!D181</f>
        <v>306</v>
      </c>
      <c r="E189" s="241" t="str">
        <f aca="false">'Liste WO'!E181</f>
        <v>Imprimerie Ste-Julie</v>
      </c>
      <c r="F189" s="241" t="str">
        <f aca="false">_xlfn.xlookup(E189,Clients!B:B,Clients!C:C)</f>
        <v>Imprimerie Ste-Julie</v>
      </c>
      <c r="G189" s="241" t="n">
        <f aca="false">_xlfn.xlookup(D189,'PO Client'!$A:$A,'PO Client'!$F:$F,FALSE())</f>
        <v>106925</v>
      </c>
      <c r="H189" s="251" t="n">
        <f aca="false">'Liste WO'!I181</f>
        <v>40052</v>
      </c>
      <c r="I189" s="251" t="n">
        <f aca="false">'Liste WO'!J181</f>
        <v>30036</v>
      </c>
      <c r="J189" s="244" t="str">
        <f aca="false">'Liste WO'!L181</f>
        <v>S15-3</v>
      </c>
      <c r="K189" s="245" t="n">
        <v>3614.16</v>
      </c>
      <c r="L189" s="245" t="n">
        <v>0</v>
      </c>
      <c r="M189" s="245" t="n">
        <v>3600</v>
      </c>
      <c r="N189" s="245"/>
      <c r="O189" s="245" t="n">
        <v>60</v>
      </c>
      <c r="P189" s="246" t="n">
        <v>1</v>
      </c>
      <c r="Q189" s="219" t="n">
        <v>1.5</v>
      </c>
      <c r="R189" s="296" t="n">
        <f aca="false">-46.2/3*1</f>
        <v>-15.4</v>
      </c>
      <c r="S189" s="272"/>
      <c r="T189" s="248" t="n">
        <f aca="false">_xlfn.xlookup(I189,'Prix MP'!A:A,'Prix MP'!U:U, 0)</f>
        <v>0.258256828537349</v>
      </c>
      <c r="U189" s="249" t="n">
        <f aca="false">(M189+N189)*T189</f>
        <v>929.724582734455</v>
      </c>
      <c r="V189" s="249" t="n">
        <f aca="false">(K189-M189-L189)*T189</f>
        <v>3.65691669208882</v>
      </c>
      <c r="W189" s="250" t="n">
        <f aca="false">IFERROR((K189-M189-L189)/K189,"")</f>
        <v>0.00391792283684172</v>
      </c>
      <c r="X189" s="249" t="n">
        <f aca="false">20.6577/85*O189</f>
        <v>14.5819058823529</v>
      </c>
      <c r="Y189" s="249" t="n">
        <f aca="false">19.2*P189</f>
        <v>19.2</v>
      </c>
      <c r="Z189" s="249" t="n">
        <f aca="false">125000/52/40*Q189</f>
        <v>90.1442307692308</v>
      </c>
      <c r="AA189" s="249" t="n">
        <f aca="false">(M189+N189)*T189+R189+V189+X189+Y189+Z189</f>
        <v>1041.90763607813</v>
      </c>
      <c r="AB189" s="285" t="n">
        <f aca="false">_xlfn.xlookup(H189,'Prix vente'!A:A,'Prix vente'!X:X, "")</f>
        <v>0.28</v>
      </c>
      <c r="AC189" s="285" t="str">
        <f aca="false">_xlfn.xlookup(H189,'Prix vente'!A:A,'Prix vente'!Z:Z, "")</f>
        <v>USD</v>
      </c>
      <c r="AD189" s="249" t="n">
        <f aca="false">IFERROR(IF(AC189="CAD",(M189+N189)*AB189,(M189+N189)*AB189*S189),0)</f>
        <v>0</v>
      </c>
      <c r="AE189" s="249" t="n">
        <f aca="false">AD189-AA189</f>
        <v>-1041.90763607813</v>
      </c>
      <c r="AF189" s="273" t="str">
        <f aca="false">IFERROR(1-AA189/AD189,"")</f>
        <v/>
      </c>
      <c r="AG189" s="252" t="n">
        <f aca="false">((M189+N189)*T189+V189)</f>
        <v>933.381499426544</v>
      </c>
      <c r="AH189" s="273" t="str">
        <f aca="false">IFERROR(AG189/AD189,"")</f>
        <v/>
      </c>
      <c r="AI189" s="273" t="str">
        <f aca="false">IFERROR(IF(AD189=0,"S",""),"S")</f>
        <v>S</v>
      </c>
      <c r="AK189" s="15" t="e">
        <v>#NAME?</v>
      </c>
      <c r="AL189" s="15" t="e">
        <f aca="false">_xlfn.xlookup(AK189,A:A,F:F)</f>
        <v>#NAME?</v>
      </c>
      <c r="AM189" s="15" t="e">
        <f aca="false">_xlfn.xlookup(AK189,A:A,J:J)</f>
        <v>#NAME?</v>
      </c>
      <c r="AN189" s="15" t="e">
        <f aca="false">_xlfn.xlookup(AK189,A:A,M:M)+_xlfn.xlookup(AK189,A:A,N:N)</f>
        <v>#NAME?</v>
      </c>
      <c r="AO189" s="223" t="e">
        <f aca="false">_xlfn.xlookup(AK189,A:A,AG:AG)</f>
        <v>#NAME?</v>
      </c>
      <c r="AP189" s="223" t="e">
        <f aca="false">_xlfn.xlookup(AK189,A:A,AD:AD)</f>
        <v>#NAME?</v>
      </c>
      <c r="AQ189" s="223" t="e">
        <f aca="false">_xlfn.xlookup(AK189,A:A,AE:AE)</f>
        <v>#NAME?</v>
      </c>
      <c r="AX189" s="288"/>
      <c r="AY189" s="288"/>
      <c r="AZ189" s="288"/>
      <c r="BB189" s="257" t="e">
        <f aca="false">_xlfn.xlookup(BA189,A:A,F:F)</f>
        <v>#NAME?</v>
      </c>
      <c r="BC189" s="15" t="e">
        <f aca="false">_xlfn.xlookup(BA189,A:A,J:J)</f>
        <v>#NAME?</v>
      </c>
      <c r="BD189" s="75" t="e">
        <f aca="false">_xlfn.xlookup(BA189,A:A,M:M)+_xlfn.xlookup(BA189,A:A,N:N)</f>
        <v>#NAME?</v>
      </c>
      <c r="BE189" s="75" t="e">
        <f aca="false">_xlfn.xlookup(BA189,A137:A1125,AA137:AA1125)</f>
        <v>#NAME?</v>
      </c>
    </row>
    <row r="190" customFormat="false" ht="16.4" hidden="false" customHeight="false" outlineLevel="0" collapsed="false">
      <c r="A190" s="241" t="s">
        <v>1316</v>
      </c>
      <c r="B190" s="1" t="s">
        <v>889</v>
      </c>
      <c r="C190" s="292" t="str">
        <f aca="false">'Liste WO'!C182</f>
        <v>NA</v>
      </c>
      <c r="D190" s="241" t="n">
        <f aca="false">'Liste WO'!D182</f>
        <v>307</v>
      </c>
      <c r="E190" s="241" t="str">
        <f aca="false">'Liste WO'!E182</f>
        <v>Imprimerie Ste-Julie</v>
      </c>
      <c r="F190" s="241" t="str">
        <f aca="false">_xlfn.xlookup(E190,Clients!B:B,Clients!C:C)</f>
        <v>Imprimerie Ste-Julie</v>
      </c>
      <c r="G190" s="241" t="str">
        <f aca="false">_xlfn.xlookup(D190,'PO Client'!$A:$A,'PO Client'!$F:$F,FALSE())</f>
        <v>CR TR 106618+106246</v>
      </c>
      <c r="H190" s="251" t="n">
        <f aca="false">'Liste WO'!I182</f>
        <v>0</v>
      </c>
      <c r="I190" s="251" t="n">
        <f aca="false">'Liste WO'!J182</f>
        <v>0</v>
      </c>
      <c r="J190" s="244" t="n">
        <f aca="false">'Liste WO'!L182</f>
        <v>0</v>
      </c>
      <c r="K190" s="297"/>
      <c r="L190" s="297"/>
      <c r="M190" s="297"/>
      <c r="N190" s="297"/>
      <c r="O190" s="297"/>
      <c r="P190" s="298"/>
      <c r="Q190" s="299"/>
      <c r="R190" s="300"/>
      <c r="S190" s="301"/>
      <c r="T190" s="248" t="n">
        <f aca="false">_xlfn.xlookup(I190,'Prix MP'!A:A,'Prix MP'!U:U, 0)</f>
        <v>0</v>
      </c>
      <c r="U190" s="249" t="n">
        <f aca="false">(M190+N190)*T190</f>
        <v>0</v>
      </c>
      <c r="V190" s="249" t="n">
        <f aca="false">(K190-M190-L190)*T190</f>
        <v>0</v>
      </c>
      <c r="W190" s="250" t="str">
        <f aca="false">IFERROR((K190-M190-L190)/K190,"")</f>
        <v/>
      </c>
      <c r="X190" s="249" t="n">
        <f aca="false">20.6577/85*O190</f>
        <v>0</v>
      </c>
      <c r="Y190" s="249" t="n">
        <f aca="false">19.2*P190</f>
        <v>0</v>
      </c>
      <c r="Z190" s="249" t="n">
        <f aca="false">125000/52/40*Q190</f>
        <v>0</v>
      </c>
      <c r="AA190" s="249" t="n">
        <f aca="false">(M190+N190)*T190+R190+V190+X190+Y190+Z190</f>
        <v>0</v>
      </c>
      <c r="AB190" s="285" t="e">
        <f aca="false">_xlfn.xlookup(H190,'Prix vente'!A:A,'Prix vente'!X:X, "")</f>
        <v>#NAME?</v>
      </c>
      <c r="AC190" s="285" t="e">
        <f aca="false">_xlfn.xlookup(H190,'Prix vente'!A:A,'Prix vente'!Z:Z, "")</f>
        <v>#NAME?</v>
      </c>
      <c r="AD190" s="249" t="n">
        <f aca="false">IFERROR(IF(AC190="CAD",(M190+N190)*AB190,(M190+N190)*AB190*S190),0)</f>
        <v>0</v>
      </c>
      <c r="AE190" s="249" t="n">
        <f aca="false">AD190-AA190</f>
        <v>0</v>
      </c>
      <c r="AF190" s="273" t="str">
        <f aca="false">IFERROR(1-AA190/AD190,"")</f>
        <v/>
      </c>
      <c r="AG190" s="252" t="n">
        <f aca="false">((M190+N190)*T190+V190)</f>
        <v>0</v>
      </c>
      <c r="AH190" s="273" t="str">
        <f aca="false">IFERROR(AG190/AD190,"")</f>
        <v/>
      </c>
      <c r="AI190" s="273" t="str">
        <f aca="false">IFERROR(IF(AD190=0,"S",""),"S")</f>
        <v>S</v>
      </c>
      <c r="AK190" s="15" t="e">
        <v>#NAME?</v>
      </c>
      <c r="AL190" s="15" t="e">
        <f aca="false">_xlfn.xlookup(AK190,A:A,F:F)</f>
        <v>#NAME?</v>
      </c>
      <c r="AM190" s="15" t="e">
        <f aca="false">_xlfn.xlookup(AK190,A:A,J:J)</f>
        <v>#NAME?</v>
      </c>
      <c r="AN190" s="15" t="e">
        <f aca="false">_xlfn.xlookup(AK190,A:A,M:M)+_xlfn.xlookup(AK190,A:A,N:N)</f>
        <v>#NAME?</v>
      </c>
      <c r="AO190" s="223" t="e">
        <f aca="false">_xlfn.xlookup(AK190,A:A,AG:AG)</f>
        <v>#NAME?</v>
      </c>
      <c r="AP190" s="223" t="e">
        <f aca="false">_xlfn.xlookup(AK190,A:A,AD:AD)</f>
        <v>#NAME?</v>
      </c>
      <c r="AQ190" s="223" t="e">
        <f aca="false">_xlfn.xlookup(AK190,A:A,AE:AE)</f>
        <v>#NAME?</v>
      </c>
      <c r="AX190" s="288"/>
      <c r="AY190" s="288"/>
      <c r="AZ190" s="288"/>
      <c r="BB190" s="257" t="e">
        <f aca="false">_xlfn.xlookup(BA190,A:A,F:F)</f>
        <v>#NAME?</v>
      </c>
      <c r="BC190" s="15" t="e">
        <f aca="false">_xlfn.xlookup(BA190,A:A,J:J)</f>
        <v>#NAME?</v>
      </c>
      <c r="BD190" s="75" t="e">
        <f aca="false">_xlfn.xlookup(BA190,A:A,M:M)+_xlfn.xlookup(BA190,A:A,N:N)</f>
        <v>#NAME?</v>
      </c>
      <c r="BE190" s="75" t="e">
        <f aca="false">_xlfn.xlookup(BA190,A138:A1126,AA138:AA1126)</f>
        <v>#NAME?</v>
      </c>
    </row>
    <row r="191" customFormat="false" ht="16.4" hidden="false" customHeight="false" outlineLevel="0" collapsed="false">
      <c r="A191" s="241" t="s">
        <v>1317</v>
      </c>
      <c r="B191" s="1" t="s">
        <v>889</v>
      </c>
      <c r="C191" s="292" t="n">
        <f aca="false">'Liste WO'!C183</f>
        <v>45678</v>
      </c>
      <c r="D191" s="241" t="n">
        <f aca="false">'Liste WO'!D183</f>
        <v>308</v>
      </c>
      <c r="E191" s="241" t="str">
        <f aca="false">'Liste WO'!E183</f>
        <v>Emballages Mijo</v>
      </c>
      <c r="F191" s="241" t="str">
        <f aca="false">_xlfn.xlookup(E191,Clients!B:B,Clients!C:C)</f>
        <v>Mijo</v>
      </c>
      <c r="G191" s="241" t="n">
        <f aca="false">_xlfn.xlookup(D191,'PO Client'!$A:$A,'PO Client'!$F:$F,FALSE())</f>
        <v>14344</v>
      </c>
      <c r="H191" s="251" t="n">
        <f aca="false">'Liste WO'!I183</f>
        <v>40240</v>
      </c>
      <c r="I191" s="251" t="n">
        <f aca="false">'Liste WO'!J183</f>
        <v>30011</v>
      </c>
      <c r="J191" s="244" t="str">
        <f aca="false">'Liste WO'!L183</f>
        <v>S21-1</v>
      </c>
      <c r="K191" s="245" t="n">
        <v>14230.61568</v>
      </c>
      <c r="L191" s="245" t="n">
        <v>0</v>
      </c>
      <c r="M191" s="245" t="n">
        <v>13881.6</v>
      </c>
      <c r="N191" s="245"/>
      <c r="O191" s="245" t="n">
        <v>120</v>
      </c>
      <c r="P191" s="246" t="n">
        <v>3</v>
      </c>
      <c r="Q191" s="219" t="n">
        <v>3</v>
      </c>
      <c r="R191" s="296" t="n">
        <v>157.2</v>
      </c>
      <c r="S191" s="272"/>
      <c r="T191" s="248" t="n">
        <f aca="false">_xlfn.xlookup(I191,'Prix MP'!A:A,'Prix MP'!U:U, 0)</f>
        <v>0.28357864079936</v>
      </c>
      <c r="U191" s="249" t="n">
        <f aca="false">(M191+N191)*T191</f>
        <v>3936.52526012039</v>
      </c>
      <c r="V191" s="249" t="n">
        <f aca="false">(K191-M191-L191)*T191</f>
        <v>98.973392152064</v>
      </c>
      <c r="W191" s="250" t="n">
        <f aca="false">IFERROR((K191-M191-L191)/K191,"")</f>
        <v>0.0245256907956915</v>
      </c>
      <c r="X191" s="249" t="n">
        <f aca="false">20.6577/85*O191</f>
        <v>29.1638117647059</v>
      </c>
      <c r="Y191" s="249" t="n">
        <f aca="false">19.2*P191</f>
        <v>57.6</v>
      </c>
      <c r="Z191" s="249" t="n">
        <f aca="false">125000/52/40*Q191</f>
        <v>180.288461538462</v>
      </c>
      <c r="AA191" s="249" t="n">
        <f aca="false">(M191+N191)*T191+R191+V191+X191+Y191+Z191</f>
        <v>4459.75092557563</v>
      </c>
      <c r="AB191" s="285" t="n">
        <f aca="false">_xlfn.xlookup(H191,'Prix vente'!A:A,'Prix vente'!X:X, "")</f>
        <v>0.333</v>
      </c>
      <c r="AC191" s="285" t="str">
        <f aca="false">_xlfn.xlookup(H191,'Prix vente'!A:A,'Prix vente'!Z:Z, "")</f>
        <v>CAD</v>
      </c>
      <c r="AD191" s="249" t="n">
        <f aca="false">IFERROR(IF(AC191="CAD",(M191+N191)*AB191,(M191+N191)*AB191*S191),0)</f>
        <v>4622.5728</v>
      </c>
      <c r="AE191" s="249" t="n">
        <f aca="false">AD191-AA191</f>
        <v>162.821874424374</v>
      </c>
      <c r="AF191" s="273" t="n">
        <f aca="false">IFERROR(1-AA191/AD191,"")</f>
        <v>0.03522321474837</v>
      </c>
      <c r="AG191" s="252" t="n">
        <f aca="false">((M191+N191)*T191+V191)</f>
        <v>4035.49865227246</v>
      </c>
      <c r="AH191" s="273" t="n">
        <f aca="false">IFERROR(AG191/AD191,"")</f>
        <v>0.872998398699629</v>
      </c>
      <c r="AI191" s="273" t="str">
        <f aca="false">IFERROR(IF(AD191=0,"S",""),"S")</f>
        <v/>
      </c>
      <c r="AK191" s="15" t="e">
        <v>#NAME?</v>
      </c>
      <c r="AL191" s="15" t="e">
        <f aca="false">_xlfn.xlookup(AK191,A:A,F:F)</f>
        <v>#NAME?</v>
      </c>
      <c r="AM191" s="15" t="e">
        <f aca="false">_xlfn.xlookup(AK191,A:A,J:J)</f>
        <v>#NAME?</v>
      </c>
      <c r="AN191" s="15" t="e">
        <f aca="false">_xlfn.xlookup(AK191,A:A,M:M)+_xlfn.xlookup(AK191,A:A,N:N)</f>
        <v>#NAME?</v>
      </c>
      <c r="AO191" s="223" t="e">
        <f aca="false">_xlfn.xlookup(AK191,A:A,AG:AG)</f>
        <v>#NAME?</v>
      </c>
      <c r="AP191" s="223" t="e">
        <f aca="false">_xlfn.xlookup(AK191,A:A,AD:AD)</f>
        <v>#NAME?</v>
      </c>
      <c r="AQ191" s="223" t="e">
        <f aca="false">_xlfn.xlookup(AK191,A:A,AE:AE)</f>
        <v>#NAME?</v>
      </c>
      <c r="AX191" s="288"/>
      <c r="AY191" s="288"/>
      <c r="AZ191" s="288"/>
      <c r="BB191" s="257" t="e">
        <f aca="false">_xlfn.xlookup(BA191,A:A,F:F)</f>
        <v>#NAME?</v>
      </c>
      <c r="BC191" s="15" t="e">
        <f aca="false">_xlfn.xlookup(BA191,A:A,J:J)</f>
        <v>#NAME?</v>
      </c>
      <c r="BD191" s="75" t="e">
        <f aca="false">_xlfn.xlookup(BA191,A:A,M:M)+_xlfn.xlookup(BA191,A:A,N:N)</f>
        <v>#NAME?</v>
      </c>
      <c r="BE191" s="75" t="e">
        <f aca="false">_xlfn.xlookup(BA191,A139:A1127,AA139:AA1127)</f>
        <v>#NAME?</v>
      </c>
    </row>
    <row r="192" customFormat="false" ht="16.4" hidden="false" customHeight="false" outlineLevel="0" collapsed="false">
      <c r="A192" s="241" t="s">
        <v>1319</v>
      </c>
      <c r="B192" s="1" t="s">
        <v>889</v>
      </c>
      <c r="C192" s="292" t="n">
        <f aca="false">'Liste WO'!C184</f>
        <v>45679</v>
      </c>
      <c r="D192" s="241" t="n">
        <f aca="false">'Liste WO'!D184</f>
        <v>309</v>
      </c>
      <c r="E192" s="241" t="str">
        <f aca="false">'Liste WO'!E184</f>
        <v>Groupe Produlith Inc.</v>
      </c>
      <c r="F192" s="241" t="str">
        <f aca="false">_xlfn.xlookup(E192,Clients!B:B,Clients!C:C)</f>
        <v>Produlith</v>
      </c>
      <c r="G192" s="241" t="n">
        <f aca="false">_xlfn.xlookup(D192,'PO Client'!$A:$A,'PO Client'!$F:$F,FALSE())</f>
        <v>32556</v>
      </c>
      <c r="H192" s="251" t="n">
        <f aca="false">'Liste WO'!I184</f>
        <v>40089</v>
      </c>
      <c r="I192" s="251" t="n">
        <f aca="false">'Liste WO'!J184</f>
        <v>30027</v>
      </c>
      <c r="J192" s="244" t="str">
        <f aca="false">'Liste WO'!L184</f>
        <v>B25-3</v>
      </c>
      <c r="K192" s="245" t="n">
        <v>3614.16</v>
      </c>
      <c r="L192" s="245" t="n">
        <v>0</v>
      </c>
      <c r="M192" s="245" t="n">
        <v>3600</v>
      </c>
      <c r="N192" s="245"/>
      <c r="O192" s="245" t="n">
        <v>60</v>
      </c>
      <c r="P192" s="246" t="n">
        <v>1</v>
      </c>
      <c r="Q192" s="219" t="n">
        <v>1</v>
      </c>
      <c r="R192" s="247" t="n">
        <v>0</v>
      </c>
      <c r="S192" s="272"/>
      <c r="T192" s="248" t="n">
        <f aca="false">_xlfn.xlookup(I192,'Prix MP'!A:A,'Prix MP'!U:U, 0)</f>
        <v>0.307208514182256</v>
      </c>
      <c r="U192" s="249" t="n">
        <f aca="false">(M192+N192)*T192</f>
        <v>1105.95065105612</v>
      </c>
      <c r="V192" s="249" t="n">
        <f aca="false">(K192-M192-L192)*T192</f>
        <v>4.3500725608207</v>
      </c>
      <c r="W192" s="250" t="n">
        <f aca="false">IFERROR((K192-M192-L192)/K192,"")</f>
        <v>0.00391792283684172</v>
      </c>
      <c r="X192" s="249" t="n">
        <f aca="false">20.6577/85*O192</f>
        <v>14.5819058823529</v>
      </c>
      <c r="Y192" s="249" t="n">
        <f aca="false">19.2*P192</f>
        <v>19.2</v>
      </c>
      <c r="Z192" s="249" t="n">
        <f aca="false">125000/52/40*Q192</f>
        <v>60.0961538461539</v>
      </c>
      <c r="AA192" s="249" t="n">
        <f aca="false">(M192+N192)*T192+R192+V192+X192+Y192+Z192</f>
        <v>1204.17878334545</v>
      </c>
      <c r="AB192" s="285" t="n">
        <f aca="false">_xlfn.xlookup(H192,'Prix vente'!A:A,'Prix vente'!X:X, "")</f>
        <v>0.34</v>
      </c>
      <c r="AC192" s="285" t="str">
        <f aca="false">_xlfn.xlookup(H192,'Prix vente'!A:A,'Prix vente'!Z:Z, "")</f>
        <v>USD</v>
      </c>
      <c r="AD192" s="249" t="n">
        <f aca="false">IFERROR(IF(AC192="CAD",(M192+N192)*AB192,(M192+N192)*AB192*S192),0)</f>
        <v>0</v>
      </c>
      <c r="AE192" s="249" t="n">
        <f aca="false">AD192-AA192</f>
        <v>-1204.17878334545</v>
      </c>
      <c r="AF192" s="273" t="str">
        <f aca="false">IFERROR(1-AA192/AD192,"")</f>
        <v/>
      </c>
      <c r="AG192" s="252" t="n">
        <f aca="false">((M192+N192)*T192+V192)</f>
        <v>1110.30072361694</v>
      </c>
      <c r="AH192" s="273" t="str">
        <f aca="false">IFERROR(AG192/AD192,"")</f>
        <v/>
      </c>
      <c r="AI192" s="273" t="str">
        <f aca="false">IFERROR(IF(AD192=0,"S",""),"S")</f>
        <v>S</v>
      </c>
      <c r="AK192" s="15" t="e">
        <v>#NAME?</v>
      </c>
      <c r="AL192" s="15" t="e">
        <f aca="false">_xlfn.xlookup(AK192,A:A,F:F)</f>
        <v>#NAME?</v>
      </c>
      <c r="AM192" s="15" t="e">
        <f aca="false">_xlfn.xlookup(AK192,A:A,J:J)</f>
        <v>#NAME?</v>
      </c>
      <c r="AN192" s="15" t="e">
        <f aca="false">_xlfn.xlookup(AK192,A:A,M:M)+_xlfn.xlookup(AK192,A:A,N:N)</f>
        <v>#NAME?</v>
      </c>
      <c r="AO192" s="223" t="e">
        <f aca="false">_xlfn.xlookup(AK192,A:A,AG:AG)</f>
        <v>#NAME?</v>
      </c>
      <c r="AP192" s="223" t="e">
        <f aca="false">_xlfn.xlookup(AK192,A:A,AD:AD)</f>
        <v>#NAME?</v>
      </c>
      <c r="AQ192" s="223" t="e">
        <f aca="false">_xlfn.xlookup(AK192,A:A,AE:AE)</f>
        <v>#NAME?</v>
      </c>
      <c r="AX192" s="288"/>
      <c r="AY192" s="288"/>
      <c r="AZ192" s="288"/>
      <c r="BB192" s="257" t="e">
        <f aca="false">_xlfn.xlookup(BA192,A:A,F:F)</f>
        <v>#NAME?</v>
      </c>
      <c r="BC192" s="15" t="e">
        <f aca="false">_xlfn.xlookup(BA192,A:A,J:J)</f>
        <v>#NAME?</v>
      </c>
      <c r="BD192" s="75" t="e">
        <f aca="false">_xlfn.xlookup(BA192,A:A,M:M)+_xlfn.xlookup(BA192,A:A,N:N)</f>
        <v>#NAME?</v>
      </c>
      <c r="BE192" s="75" t="e">
        <f aca="false">_xlfn.xlookup(BA192,A140:A1128,AA140:AA1128)</f>
        <v>#NAME?</v>
      </c>
    </row>
    <row r="193" customFormat="false" ht="16.4" hidden="false" customHeight="false" outlineLevel="0" collapsed="false">
      <c r="A193" s="241" t="s">
        <v>1322</v>
      </c>
      <c r="B193" s="1" t="s">
        <v>889</v>
      </c>
      <c r="C193" s="292" t="n">
        <f aca="false">'Liste WO'!C185</f>
        <v>45679</v>
      </c>
      <c r="D193" s="241" t="n">
        <f aca="false">'Liste WO'!D185</f>
        <v>310</v>
      </c>
      <c r="E193" s="241" t="str">
        <f aca="false">'Liste WO'!E185</f>
        <v>Étiquettes Multi-Flex</v>
      </c>
      <c r="F193" s="241" t="str">
        <f aca="false">_xlfn.xlookup(E193,Clients!B:B,Clients!C:C)</f>
        <v>Multi-Flex</v>
      </c>
      <c r="G193" s="241" t="n">
        <f aca="false">_xlfn.xlookup(D193,'PO Client'!$A:$A,'PO Client'!$F:$F,FALSE())</f>
        <v>10025</v>
      </c>
      <c r="H193" s="251" t="n">
        <f aca="false">'Liste WO'!I185</f>
        <v>40096</v>
      </c>
      <c r="I193" s="251" t="n">
        <f aca="false">'Liste WO'!J185</f>
        <v>30039</v>
      </c>
      <c r="J193" s="244" t="str">
        <f aca="false">'Liste WO'!L185</f>
        <v>B25-3</v>
      </c>
      <c r="K193" s="245" t="n">
        <v>14228.94792</v>
      </c>
      <c r="L193" s="245" t="n">
        <v>0</v>
      </c>
      <c r="M193" s="245" t="n">
        <v>14116.8</v>
      </c>
      <c r="N193" s="245"/>
      <c r="O193" s="245" t="n">
        <v>240</v>
      </c>
      <c r="P193" s="246" t="n">
        <v>3</v>
      </c>
      <c r="Q193" s="219" t="n">
        <v>3.5</v>
      </c>
      <c r="R193" s="296" t="n">
        <v>157.2</v>
      </c>
      <c r="S193" s="272"/>
      <c r="T193" s="248" t="n">
        <f aca="false">_xlfn.xlookup(I193,'Prix MP'!A:A,'Prix MP'!U:U, 0)</f>
        <v>0.289910376924445</v>
      </c>
      <c r="U193" s="249" t="n">
        <f aca="false">(M193+N193)*T193</f>
        <v>4092.60680896701</v>
      </c>
      <c r="V193" s="249" t="n">
        <f aca="false">(K193-M193-L193)*T193</f>
        <v>32.5128457584919</v>
      </c>
      <c r="W193" s="250" t="n">
        <f aca="false">IFERROR((K193-M193-L193)/K193,"")</f>
        <v>0.00788167337673393</v>
      </c>
      <c r="X193" s="249" t="n">
        <f aca="false">20.6577/85*O193</f>
        <v>58.3276235294118</v>
      </c>
      <c r="Y193" s="249" t="n">
        <f aca="false">19.2*P193</f>
        <v>57.6</v>
      </c>
      <c r="Z193" s="249" t="n">
        <f aca="false">125000/52/40*Q193</f>
        <v>210.336538461538</v>
      </c>
      <c r="AA193" s="249" t="n">
        <f aca="false">(M193+N193)*T193+R193+V193+X193+Y193+Z193</f>
        <v>4608.58381671645</v>
      </c>
      <c r="AB193" s="285" t="n">
        <f aca="false">_xlfn.xlookup(H193,'Prix vente'!A:A,'Prix vente'!X:X, "")</f>
        <v>0.452</v>
      </c>
      <c r="AC193" s="285" t="str">
        <f aca="false">_xlfn.xlookup(H193,'Prix vente'!A:A,'Prix vente'!Z:Z, "")</f>
        <v>CAD</v>
      </c>
      <c r="AD193" s="249" t="n">
        <f aca="false">IFERROR(IF(AC193="CAD",(M193+N193)*AB193,(M193+N193)*AB193*S193),0)</f>
        <v>6380.7936</v>
      </c>
      <c r="AE193" s="249" t="n">
        <f aca="false">AD193-AA193</f>
        <v>1772.20978328355</v>
      </c>
      <c r="AF193" s="273" t="n">
        <f aca="false">IFERROR(1-AA193/AD193,"")</f>
        <v>0.277741280219995</v>
      </c>
      <c r="AG193" s="252" t="n">
        <f aca="false">((M193+N193)*T193+V193)</f>
        <v>4125.1196547255</v>
      </c>
      <c r="AH193" s="273" t="n">
        <f aca="false">IFERROR(AG193/AD193,"")</f>
        <v>0.64649006272911</v>
      </c>
      <c r="AI193" s="273" t="str">
        <f aca="false">IFERROR(IF(AD193=0,"S",""),"S")</f>
        <v/>
      </c>
      <c r="AK193" s="15" t="e">
        <v>#NAME?</v>
      </c>
      <c r="AL193" s="15" t="e">
        <f aca="false">_xlfn.xlookup(AK193,A:A,F:F)</f>
        <v>#NAME?</v>
      </c>
      <c r="AM193" s="15" t="e">
        <f aca="false">_xlfn.xlookup(AK193,A:A,J:J)</f>
        <v>#NAME?</v>
      </c>
      <c r="AN193" s="15" t="e">
        <f aca="false">_xlfn.xlookup(AK193,A:A,M:M)+_xlfn.xlookup(AK193,A:A,N:N)</f>
        <v>#NAME?</v>
      </c>
      <c r="AO193" s="223" t="e">
        <f aca="false">_xlfn.xlookup(AK193,A:A,AG:AG)</f>
        <v>#NAME?</v>
      </c>
      <c r="AP193" s="223" t="e">
        <f aca="false">_xlfn.xlookup(AK193,A:A,AD:AD)</f>
        <v>#NAME?</v>
      </c>
      <c r="AQ193" s="223" t="e">
        <f aca="false">_xlfn.xlookup(AK193,A:A,AE:AE)</f>
        <v>#NAME?</v>
      </c>
      <c r="AX193" s="288"/>
      <c r="AY193" s="288"/>
      <c r="AZ193" s="288"/>
      <c r="BB193" s="257" t="e">
        <f aca="false">_xlfn.xlookup(BA193,A:A,F:F)</f>
        <v>#NAME?</v>
      </c>
      <c r="BC193" s="15" t="e">
        <f aca="false">_xlfn.xlookup(BA193,A:A,J:J)</f>
        <v>#NAME?</v>
      </c>
      <c r="BD193" s="75" t="e">
        <f aca="false">_xlfn.xlookup(BA193,A:A,M:M)+_xlfn.xlookup(BA193,A:A,N:N)</f>
        <v>#NAME?</v>
      </c>
      <c r="BE193" s="75" t="e">
        <f aca="false">_xlfn.xlookup(BA193,A141:A1129,AA141:AA1129)</f>
        <v>#NAME?</v>
      </c>
    </row>
    <row r="194" customFormat="false" ht="16.4" hidden="false" customHeight="false" outlineLevel="0" collapsed="false">
      <c r="A194" s="241" t="s">
        <v>1324</v>
      </c>
      <c r="B194" s="1" t="s">
        <v>889</v>
      </c>
      <c r="C194" s="292" t="n">
        <f aca="false">'Liste WO'!C186</f>
        <v>45679</v>
      </c>
      <c r="D194" s="241" t="n">
        <f aca="false">'Liste WO'!D186</f>
        <v>311</v>
      </c>
      <c r="E194" s="241" t="str">
        <f aca="false">'Liste WO'!E186</f>
        <v>Imprimerie Ste-Julie</v>
      </c>
      <c r="F194" s="241" t="str">
        <f aca="false">_xlfn.xlookup(E194,Clients!B:B,Clients!C:C)</f>
        <v>Imprimerie Ste-Julie</v>
      </c>
      <c r="G194" s="241" t="n">
        <f aca="false">_xlfn.xlookup(D194,'PO Client'!$A:$A,'PO Client'!$F:$F,FALSE())</f>
        <v>107001</v>
      </c>
      <c r="H194" s="251" t="n">
        <f aca="false">'Liste WO'!I186</f>
        <v>40242</v>
      </c>
      <c r="I194" s="251" t="n">
        <f aca="false">'Liste WO'!J186</f>
        <v>30011</v>
      </c>
      <c r="J194" s="244" t="str">
        <f aca="false">'Liste WO'!L186</f>
        <v>S21-1</v>
      </c>
      <c r="K194" s="245" t="n">
        <v>14228.44704</v>
      </c>
      <c r="L194" s="245" t="n">
        <v>0</v>
      </c>
      <c r="M194" s="245" t="n">
        <v>13968</v>
      </c>
      <c r="N194" s="245"/>
      <c r="O194" s="245" t="n">
        <v>120</v>
      </c>
      <c r="P194" s="246" t="n">
        <v>5</v>
      </c>
      <c r="Q194" s="219" t="n">
        <v>2.25</v>
      </c>
      <c r="R194" s="296" t="n">
        <f aca="false">126.6-40*1.44*3</f>
        <v>-46.2</v>
      </c>
      <c r="S194" s="272"/>
      <c r="T194" s="248" t="n">
        <v>0.2739</v>
      </c>
      <c r="U194" s="249" t="n">
        <f aca="false">(M194+N194)*T194</f>
        <v>3825.8352</v>
      </c>
      <c r="V194" s="249" t="n">
        <f aca="false">(K194-M194-L194)*T194</f>
        <v>71.3364442559998</v>
      </c>
      <c r="W194" s="250" t="n">
        <f aca="false">IFERROR((K194-M194-L194)/K194,"")</f>
        <v>0.0183046708658937</v>
      </c>
      <c r="X194" s="249" t="n">
        <f aca="false">20.6577/85*O194</f>
        <v>29.1638117647059</v>
      </c>
      <c r="Y194" s="249" t="n">
        <f aca="false">19.2*P194</f>
        <v>96</v>
      </c>
      <c r="Z194" s="249" t="n">
        <f aca="false">125000/52/40*Q194</f>
        <v>135.216346153846</v>
      </c>
      <c r="AA194" s="249" t="n">
        <f aca="false">(M194+N194)*T194+R194+V194+X194+Y194+Z194</f>
        <v>4111.35180217455</v>
      </c>
      <c r="AB194" s="285" t="n">
        <f aca="false">_xlfn.xlookup(H194,'Prix vente'!A:A,'Prix vente'!X:X, "")</f>
        <v>0.27</v>
      </c>
      <c r="AC194" s="285" t="str">
        <f aca="false">_xlfn.xlookup(H194,'Prix vente'!A:A,'Prix vente'!Z:Z, "")</f>
        <v>USD</v>
      </c>
      <c r="AD194" s="249" t="n">
        <f aca="false">IFERROR(IF(AC194="CAD",(M194+N194)*AB194,(M194+N194)*AB194*S194),0)</f>
        <v>0</v>
      </c>
      <c r="AE194" s="249" t="n">
        <f aca="false">AD194-AA194</f>
        <v>-4111.35180217455</v>
      </c>
      <c r="AF194" s="273" t="str">
        <f aca="false">IFERROR(1-AA194/AD194,"")</f>
        <v/>
      </c>
      <c r="AG194" s="252" t="n">
        <f aca="false">((M194+N194)*T194+V194)</f>
        <v>3897.171644256</v>
      </c>
      <c r="AH194" s="273" t="str">
        <f aca="false">IFERROR(AG194/AD194,"")</f>
        <v/>
      </c>
      <c r="AI194" s="273" t="str">
        <f aca="false">IFERROR(IF(AD194=0,"S",""),"S")</f>
        <v>S</v>
      </c>
      <c r="AK194" s="15" t="e">
        <v>#NAME?</v>
      </c>
      <c r="AL194" s="15" t="e">
        <f aca="false">_xlfn.xlookup(AK194,A:A,F:F)</f>
        <v>#NAME?</v>
      </c>
      <c r="AM194" s="15" t="e">
        <f aca="false">_xlfn.xlookup(AK194,A:A,J:J)</f>
        <v>#NAME?</v>
      </c>
      <c r="AN194" s="15" t="e">
        <f aca="false">_xlfn.xlookup(AK194,A:A,M:M)+_xlfn.xlookup(AK194,A:A,N:N)</f>
        <v>#NAME?</v>
      </c>
      <c r="AO194" s="223" t="e">
        <f aca="false">_xlfn.xlookup(AK194,A:A,AG:AG)</f>
        <v>#NAME?</v>
      </c>
      <c r="AP194" s="223" t="e">
        <f aca="false">_xlfn.xlookup(AK194,A:A,AD:AD)</f>
        <v>#NAME?</v>
      </c>
      <c r="AQ194" s="223" t="e">
        <f aca="false">_xlfn.xlookup(AK194,A:A,AE:AE)</f>
        <v>#NAME?</v>
      </c>
      <c r="AX194" s="288"/>
      <c r="AY194" s="288"/>
      <c r="AZ194" s="288"/>
      <c r="BB194" s="257" t="e">
        <f aca="false">_xlfn.xlookup(BA194,A:A,F:F)</f>
        <v>#NAME?</v>
      </c>
      <c r="BC194" s="15" t="e">
        <f aca="false">_xlfn.xlookup(BA194,A:A,J:J)</f>
        <v>#NAME?</v>
      </c>
      <c r="BD194" s="75" t="e">
        <f aca="false">_xlfn.xlookup(BA194,A:A,M:M)+_xlfn.xlookup(BA194,A:A,N:N)</f>
        <v>#NAME?</v>
      </c>
      <c r="BE194" s="75" t="e">
        <f aca="false">_xlfn.xlookup(BA194,A142:A1130,AA142:AA1130)</f>
        <v>#NAME?</v>
      </c>
    </row>
    <row r="195" customFormat="false" ht="16.4" hidden="false" customHeight="false" outlineLevel="0" collapsed="false">
      <c r="A195" s="241" t="s">
        <v>1326</v>
      </c>
      <c r="B195" s="1" t="s">
        <v>1057</v>
      </c>
      <c r="C195" s="292" t="n">
        <f aca="false">'Liste WO'!C187</f>
        <v>45680</v>
      </c>
      <c r="D195" s="241" t="n">
        <f aca="false">'Liste WO'!D187</f>
        <v>312</v>
      </c>
      <c r="E195" s="241" t="str">
        <f aca="false">'Liste WO'!E187</f>
        <v>Imprimerie Sélect</v>
      </c>
      <c r="F195" s="241" t="str">
        <f aca="false">_xlfn.xlookup(E195,Clients!B:B,Clients!C:C)</f>
        <v>Select</v>
      </c>
      <c r="G195" s="241" t="str">
        <f aca="false">_xlfn.xlookup(D195,'PO Client'!$A:$A,'PO Client'!$F:$F,FALSE())</f>
        <v>email 2024-01-21 22h46</v>
      </c>
      <c r="H195" s="251" t="n">
        <f aca="false">'Liste WO'!I187</f>
        <v>40244</v>
      </c>
      <c r="I195" s="251" t="n">
        <f aca="false">'Liste WO'!J187</f>
        <v>30036</v>
      </c>
      <c r="J195" s="244" t="str">
        <f aca="false">'Liste WO'!L187</f>
        <v>S15-3</v>
      </c>
      <c r="K195" s="245"/>
      <c r="L195" s="245"/>
      <c r="M195" s="245"/>
      <c r="N195" s="245"/>
      <c r="O195" s="245"/>
      <c r="P195" s="246"/>
      <c r="Q195" s="219"/>
      <c r="R195" s="247"/>
      <c r="S195" s="272"/>
      <c r="T195" s="248" t="n">
        <f aca="false">_xlfn.xlookup(I195,'Prix MP'!A:A,'Prix MP'!U:U, 0)</f>
        <v>0.258256828537349</v>
      </c>
      <c r="U195" s="249" t="n">
        <f aca="false">(M195+N195)*T195</f>
        <v>0</v>
      </c>
      <c r="V195" s="249" t="n">
        <f aca="false">(K195-M195-L195)*T195</f>
        <v>0</v>
      </c>
      <c r="W195" s="250" t="str">
        <f aca="false">IFERROR((K195-M195-L195)/K195,"")</f>
        <v/>
      </c>
      <c r="X195" s="249" t="n">
        <f aca="false">20.6577/85*O195</f>
        <v>0</v>
      </c>
      <c r="Y195" s="249" t="n">
        <f aca="false">19.2*P195</f>
        <v>0</v>
      </c>
      <c r="Z195" s="249" t="n">
        <f aca="false">125000/52/40*Q195</f>
        <v>0</v>
      </c>
      <c r="AA195" s="249" t="n">
        <f aca="false">(M195+N195)*T195+R195+V195+X195+Y195+Z195</f>
        <v>0</v>
      </c>
      <c r="AB195" s="285" t="n">
        <f aca="false">_xlfn.xlookup(H195,'Prix vente'!A:A,'Prix vente'!X:X, "")</f>
        <v>0.363</v>
      </c>
      <c r="AC195" s="285" t="str">
        <f aca="false">_xlfn.xlookup(H195,'Prix vente'!A:A,'Prix vente'!Z:Z, "")</f>
        <v>CAD</v>
      </c>
      <c r="AD195" s="249" t="n">
        <f aca="false">IFERROR(IF(AC195="CAD",(M195+N195)*AB195,(M195+N195)*AB195*S195),0)</f>
        <v>0</v>
      </c>
      <c r="AE195" s="249" t="n">
        <f aca="false">AD195-AA195</f>
        <v>0</v>
      </c>
      <c r="AF195" s="273" t="str">
        <f aca="false">IFERROR(1-AA195/AD195,"")</f>
        <v/>
      </c>
      <c r="AG195" s="252" t="n">
        <f aca="false">((M195+N195)*T195+V195)</f>
        <v>0</v>
      </c>
      <c r="AH195" s="273" t="str">
        <f aca="false">IFERROR(AG195/AD195,"")</f>
        <v/>
      </c>
      <c r="AI195" s="273" t="str">
        <f aca="false">IFERROR(IF(AD195=0,"S",""),"S")</f>
        <v>S</v>
      </c>
      <c r="AK195" s="15" t="e">
        <v>#NAME?</v>
      </c>
      <c r="AL195" s="15" t="e">
        <f aca="false">_xlfn.xlookup(AK195,A:A,F:F)</f>
        <v>#NAME?</v>
      </c>
      <c r="AM195" s="15" t="e">
        <f aca="false">_xlfn.xlookup(AK195,A:A,J:J)</f>
        <v>#NAME?</v>
      </c>
      <c r="AN195" s="15" t="e">
        <f aca="false">_xlfn.xlookup(AK195,A:A,M:M)+_xlfn.xlookup(AK195,A:A,N:N)</f>
        <v>#NAME?</v>
      </c>
      <c r="AO195" s="223" t="e">
        <f aca="false">_xlfn.xlookup(AK195,A:A,AG:AG)</f>
        <v>#NAME?</v>
      </c>
      <c r="AP195" s="223" t="e">
        <f aca="false">_xlfn.xlookup(AK195,A:A,AD:AD)</f>
        <v>#NAME?</v>
      </c>
      <c r="AQ195" s="223" t="e">
        <f aca="false">_xlfn.xlookup(AK195,A:A,AE:AE)</f>
        <v>#NAME?</v>
      </c>
      <c r="AX195" s="288"/>
      <c r="AY195" s="288"/>
      <c r="AZ195" s="288"/>
      <c r="BB195" s="257" t="e">
        <f aca="false">_xlfn.xlookup(BA195,A:A,F:F)</f>
        <v>#NAME?</v>
      </c>
      <c r="BC195" s="15" t="e">
        <f aca="false">_xlfn.xlookup(BA195,A:A,J:J)</f>
        <v>#NAME?</v>
      </c>
      <c r="BD195" s="75" t="e">
        <f aca="false">_xlfn.xlookup(BA195,A:A,M:M)+_xlfn.xlookup(BA195,A:A,N:N)</f>
        <v>#NAME?</v>
      </c>
      <c r="BE195" s="75" t="e">
        <f aca="false">_xlfn.xlookup(BA195,A143:A1131,AA143:AA1131)</f>
        <v>#NAME?</v>
      </c>
    </row>
    <row r="196" customFormat="false" ht="16.4" hidden="false" customHeight="false" outlineLevel="0" collapsed="false">
      <c r="A196" s="241" t="s">
        <v>1328</v>
      </c>
      <c r="B196" s="1" t="s">
        <v>889</v>
      </c>
      <c r="C196" s="292" t="n">
        <f aca="false">'Liste WO'!C188</f>
        <v>45680</v>
      </c>
      <c r="D196" s="241" t="n">
        <f aca="false">'Liste WO'!D188</f>
        <v>312</v>
      </c>
      <c r="E196" s="241" t="str">
        <f aca="false">'Liste WO'!E188</f>
        <v>Imprimerie Sélect</v>
      </c>
      <c r="F196" s="241" t="str">
        <f aca="false">_xlfn.xlookup(E196,Clients!B:B,Clients!C:C)</f>
        <v>Select</v>
      </c>
      <c r="G196" s="241" t="str">
        <f aca="false">_xlfn.xlookup(D196,'PO Client'!$A:$A,'PO Client'!$F:$F,FALSE())</f>
        <v>email 2024-01-21 22h46</v>
      </c>
      <c r="H196" s="251" t="n">
        <f aca="false">'Liste WO'!I188</f>
        <v>40245</v>
      </c>
      <c r="I196" s="251" t="n">
        <f aca="false">'Liste WO'!J188</f>
        <v>30027</v>
      </c>
      <c r="J196" s="244" t="str">
        <f aca="false">'Liste WO'!L188</f>
        <v>B25-3</v>
      </c>
      <c r="K196" s="245" t="n">
        <v>1128</v>
      </c>
      <c r="L196" s="245" t="n">
        <v>947.7</v>
      </c>
      <c r="M196" s="245" t="n">
        <v>155.025</v>
      </c>
      <c r="N196" s="245"/>
      <c r="O196" s="245" t="n">
        <v>6.625</v>
      </c>
      <c r="P196" s="246" t="n">
        <v>1</v>
      </c>
      <c r="Q196" s="219" t="n">
        <v>0.5</v>
      </c>
      <c r="R196" s="247"/>
      <c r="S196" s="272"/>
      <c r="T196" s="248" t="n">
        <f aca="false">_xlfn.xlookup(I196,'Prix MP'!A:A,'Prix MP'!U:U, 0)</f>
        <v>0.307208514182256</v>
      </c>
      <c r="U196" s="249" t="n">
        <f aca="false">(M196+N196)*T196</f>
        <v>47.6249999111043</v>
      </c>
      <c r="V196" s="249" t="n">
        <f aca="false">(K196-M196-L196)*T196</f>
        <v>7.76469519595648</v>
      </c>
      <c r="W196" s="250" t="n">
        <f aca="false">IFERROR((K196-M196-L196)/K196,"")</f>
        <v>0.0224069148936169</v>
      </c>
      <c r="X196" s="249" t="n">
        <f aca="false">20.6577/85*O196</f>
        <v>1.61008544117647</v>
      </c>
      <c r="Y196" s="249" t="n">
        <f aca="false">19.2*P196</f>
        <v>19.2</v>
      </c>
      <c r="Z196" s="249" t="n">
        <f aca="false">125000/52/40*Q196</f>
        <v>30.0480769230769</v>
      </c>
      <c r="AA196" s="249" t="n">
        <f aca="false">(M196+N196)*T196+R196+V196+X196+Y196+Z196</f>
        <v>106.247857471314</v>
      </c>
      <c r="AB196" s="285" t="n">
        <f aca="false">_xlfn.xlookup(H196,'Prix vente'!A:A,'Prix vente'!X:X, "")</f>
        <v>0</v>
      </c>
      <c r="AC196" s="285" t="str">
        <f aca="false">_xlfn.xlookup(H196,'Prix vente'!A:A,'Prix vente'!Z:Z, "")</f>
        <v>CAD</v>
      </c>
      <c r="AD196" s="249" t="n">
        <f aca="false">IFERROR(IF(AC196="CAD",(M196+N196)*AB196,(M196+N196)*AB196*S196),0)</f>
        <v>0</v>
      </c>
      <c r="AE196" s="249" t="n">
        <f aca="false">AD196-AA196</f>
        <v>-106.247857471314</v>
      </c>
      <c r="AF196" s="273" t="str">
        <f aca="false">IFERROR(1-AA196/AD196,"")</f>
        <v/>
      </c>
      <c r="AG196" s="252" t="n">
        <f aca="false">((M196+N196)*T196+V196)</f>
        <v>55.3896951070607</v>
      </c>
      <c r="AH196" s="273" t="str">
        <f aca="false">IFERROR(AG196/AD196,"")</f>
        <v/>
      </c>
      <c r="AI196" s="273" t="str">
        <f aca="false">IFERROR(IF(AD196=0,"S",""),"S")</f>
        <v>S</v>
      </c>
      <c r="AK196" s="15" t="e">
        <v>#NAME?</v>
      </c>
      <c r="AL196" s="15" t="e">
        <f aca="false">_xlfn.xlookup(AK196,A:A,F:F)</f>
        <v>#NAME?</v>
      </c>
      <c r="AM196" s="15" t="e">
        <f aca="false">_xlfn.xlookup(AK196,A:A,J:J)</f>
        <v>#NAME?</v>
      </c>
      <c r="AN196" s="15" t="e">
        <f aca="false">_xlfn.xlookup(AK196,A:A,M:M)+_xlfn.xlookup(AK196,A:A,N:N)</f>
        <v>#NAME?</v>
      </c>
      <c r="AO196" s="223" t="e">
        <f aca="false">_xlfn.xlookup(AK196,A:A,AG:AG)</f>
        <v>#NAME?</v>
      </c>
      <c r="AP196" s="223" t="e">
        <f aca="false">_xlfn.xlookup(AK196,A:A,AD:AD)</f>
        <v>#NAME?</v>
      </c>
      <c r="AQ196" s="223" t="e">
        <f aca="false">_xlfn.xlookup(AK196,A:A,AE:AE)</f>
        <v>#NAME?</v>
      </c>
      <c r="AX196" s="288"/>
      <c r="AY196" s="288"/>
      <c r="AZ196" s="288"/>
      <c r="BB196" s="257" t="e">
        <f aca="false">_xlfn.xlookup(BA196,A:A,F:F)</f>
        <v>#NAME?</v>
      </c>
      <c r="BC196" s="15" t="e">
        <f aca="false">_xlfn.xlookup(BA196,A:A,J:J)</f>
        <v>#NAME?</v>
      </c>
      <c r="BD196" s="75" t="e">
        <f aca="false">_xlfn.xlookup(BA196,A:A,M:M)+_xlfn.xlookup(BA196,A:A,N:N)</f>
        <v>#NAME?</v>
      </c>
      <c r="BE196" s="75" t="e">
        <f aca="false">_xlfn.xlookup(BA196,A144:A1132,AA144:AA1132)</f>
        <v>#NAME?</v>
      </c>
    </row>
    <row r="197" customFormat="false" ht="16.4" hidden="false" customHeight="false" outlineLevel="0" collapsed="false">
      <c r="A197" s="241" t="s">
        <v>1331</v>
      </c>
      <c r="B197" s="1" t="s">
        <v>889</v>
      </c>
      <c r="C197" s="292" t="n">
        <f aca="false">'Liste WO'!C189</f>
        <v>45680</v>
      </c>
      <c r="D197" s="241" t="n">
        <f aca="false">'Liste WO'!D189</f>
        <v>313</v>
      </c>
      <c r="E197" s="241" t="str">
        <f aca="false">'Liste WO'!E189</f>
        <v>Étiquette Nationale</v>
      </c>
      <c r="F197" s="241" t="str">
        <f aca="false">_xlfn.xlookup(E197,Clients!B:B,Clients!C:C)</f>
        <v>Nationale</v>
      </c>
      <c r="G197" s="241" t="str">
        <f aca="false">_xlfn.xlookup(D197,'PO Client'!$A:$A,'PO Client'!$F:$F,FALSE())</f>
        <v>MK250122-1</v>
      </c>
      <c r="H197" s="251" t="n">
        <f aca="false">'Liste WO'!I189</f>
        <v>40246</v>
      </c>
      <c r="I197" s="251" t="n">
        <f aca="false">'Liste WO'!J189</f>
        <v>30011</v>
      </c>
      <c r="J197" s="244" t="str">
        <f aca="false">'Liste WO'!L189</f>
        <v>S21-1</v>
      </c>
      <c r="K197" s="245" t="n">
        <v>7115.30784</v>
      </c>
      <c r="L197" s="245" t="n">
        <v>0</v>
      </c>
      <c r="M197" s="245" t="n">
        <v>6962.4</v>
      </c>
      <c r="N197" s="245"/>
      <c r="O197" s="245" t="n">
        <v>60</v>
      </c>
      <c r="P197" s="246" t="n">
        <v>2</v>
      </c>
      <c r="Q197" s="219" t="n">
        <v>3</v>
      </c>
      <c r="R197" s="296" t="n">
        <v>111.35</v>
      </c>
      <c r="S197" s="272"/>
      <c r="T197" s="248" t="n">
        <f aca="false">_xlfn.xlookup(I197,'Prix MP'!A:A,'Prix MP'!U:U, 0)</f>
        <v>0.28357864079936</v>
      </c>
      <c r="U197" s="249" t="n">
        <f aca="false">(M197+N197)*T197</f>
        <v>1974.38792870146</v>
      </c>
      <c r="V197" s="249" t="n">
        <f aca="false">(K197-M197-L197)*T197</f>
        <v>43.361397434766</v>
      </c>
      <c r="W197" s="250" t="n">
        <f aca="false">IFERROR((K197-M197-L197)/K197,"")</f>
        <v>0.0214899823645578</v>
      </c>
      <c r="X197" s="249" t="n">
        <f aca="false">20.6577/85*O197</f>
        <v>14.5819058823529</v>
      </c>
      <c r="Y197" s="249" t="n">
        <f aca="false">19.2*P197</f>
        <v>38.4</v>
      </c>
      <c r="Z197" s="249" t="n">
        <f aca="false">125000/52/40*Q197</f>
        <v>180.288461538462</v>
      </c>
      <c r="AA197" s="249" t="n">
        <f aca="false">(M197+N197)*T197+R197+V197+X197+Y197+Z197</f>
        <v>2362.36969355704</v>
      </c>
      <c r="AB197" s="285" t="n">
        <f aca="false">_xlfn.xlookup(H197,'Prix vente'!A:A,'Prix vente'!X:X, "")</f>
        <v>0.316</v>
      </c>
      <c r="AC197" s="285" t="str">
        <f aca="false">_xlfn.xlookup(H197,'Prix vente'!A:A,'Prix vente'!Z:Z, "")</f>
        <v>CAD</v>
      </c>
      <c r="AD197" s="249" t="n">
        <f aca="false">IFERROR(IF(AC197="CAD",(M197+N197)*AB197,(M197+N197)*AB197*S197),0)</f>
        <v>2200.1184</v>
      </c>
      <c r="AE197" s="249" t="n">
        <f aca="false">AD197-AA197</f>
        <v>-162.251293557044</v>
      </c>
      <c r="AF197" s="273" t="n">
        <f aca="false">IFERROR(1-AA197/AD197,"")</f>
        <v>-0.0737466190715208</v>
      </c>
      <c r="AG197" s="252" t="n">
        <f aca="false">((M197+N197)*T197+V197)</f>
        <v>2017.74932613623</v>
      </c>
      <c r="AH197" s="273" t="n">
        <f aca="false">IFERROR(AG197/AD197,"")</f>
        <v>0.917109427445464</v>
      </c>
      <c r="AI197" s="273" t="str">
        <f aca="false">IFERROR(IF(AD197=0,"S",""),"S")</f>
        <v/>
      </c>
      <c r="AK197" s="15" t="e">
        <v>#NAME?</v>
      </c>
      <c r="AL197" s="15" t="e">
        <f aca="false">_xlfn.xlookup(AK197,A:A,F:F)</f>
        <v>#NAME?</v>
      </c>
      <c r="AM197" s="15" t="e">
        <f aca="false">_xlfn.xlookup(AK197,A:A,J:J)</f>
        <v>#NAME?</v>
      </c>
      <c r="AN197" s="15" t="e">
        <f aca="false">_xlfn.xlookup(AK197,A:A,M:M)+_xlfn.xlookup(AK197,A:A,N:N)</f>
        <v>#NAME?</v>
      </c>
      <c r="AO197" s="223" t="e">
        <f aca="false">_xlfn.xlookup(AK197,A:A,AG:AG)</f>
        <v>#NAME?</v>
      </c>
      <c r="AP197" s="223" t="e">
        <f aca="false">_xlfn.xlookup(AK197,A:A,AD:AD)</f>
        <v>#NAME?</v>
      </c>
      <c r="AQ197" s="223" t="e">
        <f aca="false">_xlfn.xlookup(AK197,A:A,AE:AE)</f>
        <v>#NAME?</v>
      </c>
      <c r="AX197" s="288"/>
      <c r="AY197" s="288"/>
      <c r="AZ197" s="288"/>
      <c r="BB197" s="257" t="e">
        <f aca="false">_xlfn.xlookup(BA197,A:A,F:F)</f>
        <v>#NAME?</v>
      </c>
      <c r="BC197" s="15" t="e">
        <f aca="false">_xlfn.xlookup(BA197,A:A,J:J)</f>
        <v>#NAME?</v>
      </c>
      <c r="BD197" s="75" t="e">
        <f aca="false">_xlfn.xlookup(BA197,A:A,M:M)+_xlfn.xlookup(BA197,A:A,N:N)</f>
        <v>#NAME?</v>
      </c>
      <c r="BE197" s="75" t="e">
        <f aca="false">_xlfn.xlookup(BA197,A145:A1133,AA145:AA1133)</f>
        <v>#NAME?</v>
      </c>
    </row>
    <row r="198" customFormat="false" ht="16.4" hidden="false" customHeight="false" outlineLevel="0" collapsed="false">
      <c r="A198" s="241" t="s">
        <v>1333</v>
      </c>
      <c r="B198" s="1" t="s">
        <v>1057</v>
      </c>
      <c r="C198" s="292" t="n">
        <f aca="false">'Liste WO'!C190</f>
        <v>45685</v>
      </c>
      <c r="D198" s="241" t="n">
        <f aca="false">'Liste WO'!D190</f>
        <v>314</v>
      </c>
      <c r="E198" s="241" t="str">
        <f aca="false">'Liste WO'!E190</f>
        <v>Imprimerie Sélect</v>
      </c>
      <c r="F198" s="241" t="str">
        <f aca="false">_xlfn.xlookup(E198,Clients!B:B,Clients!C:C)</f>
        <v>Select</v>
      </c>
      <c r="G198" s="241" t="str">
        <f aca="false">_xlfn.xlookup(D198,'PO Client'!$A:$A,'PO Client'!$F:$F,FALSE())</f>
        <v>email 2024-01-22 14h39</v>
      </c>
      <c r="H198" s="251" t="n">
        <f aca="false">'Liste WO'!I190</f>
        <v>40250</v>
      </c>
      <c r="I198" s="251" t="n">
        <f aca="false">'Liste WO'!J190</f>
        <v>30025</v>
      </c>
      <c r="J198" s="244" t="str">
        <f aca="false">'Liste WO'!L190</f>
        <v>D11-1</v>
      </c>
      <c r="K198" s="245"/>
      <c r="L198" s="245"/>
      <c r="M198" s="245"/>
      <c r="N198" s="245"/>
      <c r="O198" s="245"/>
      <c r="P198" s="246"/>
      <c r="Q198" s="219"/>
      <c r="R198" s="247"/>
      <c r="S198" s="272"/>
      <c r="T198" s="248" t="n">
        <f aca="false">_xlfn.xlookup(I198,'Prix MP'!A:A,'Prix MP'!U:U, 0)</f>
        <v>0.369342532440358</v>
      </c>
      <c r="U198" s="249" t="n">
        <f aca="false">(M198+N198)*T198</f>
        <v>0</v>
      </c>
      <c r="V198" s="249" t="n">
        <f aca="false">(K198-M198-L198)*T198</f>
        <v>0</v>
      </c>
      <c r="W198" s="250" t="str">
        <f aca="false">IFERROR((K198-M198-L198)/K198,"")</f>
        <v/>
      </c>
      <c r="X198" s="249" t="n">
        <f aca="false">20.6577/85*O198</f>
        <v>0</v>
      </c>
      <c r="Y198" s="249" t="n">
        <f aca="false">19.2*P198</f>
        <v>0</v>
      </c>
      <c r="Z198" s="249" t="n">
        <f aca="false">125000/52/40*Q198</f>
        <v>0</v>
      </c>
      <c r="AA198" s="249" t="n">
        <f aca="false">(M198+N198)*T198+R198+V198+X198+Y198+Z198</f>
        <v>0</v>
      </c>
      <c r="AB198" s="285" t="n">
        <f aca="false">_xlfn.xlookup(H198,'Prix vente'!A:A,'Prix vente'!X:X, "")</f>
        <v>0.472</v>
      </c>
      <c r="AC198" s="285" t="str">
        <f aca="false">_xlfn.xlookup(H198,'Prix vente'!A:A,'Prix vente'!Z:Z, "")</f>
        <v>CAD</v>
      </c>
      <c r="AD198" s="249" t="n">
        <f aca="false">IFERROR(IF(AC198="CAD",(M198+N198)*AB198,(M198+N198)*AB198*S198),0)</f>
        <v>0</v>
      </c>
      <c r="AE198" s="249" t="n">
        <f aca="false">AD198-AA198</f>
        <v>0</v>
      </c>
      <c r="AF198" s="273" t="str">
        <f aca="false">IFERROR(1-AA198/AD198,"")</f>
        <v/>
      </c>
      <c r="AG198" s="252" t="n">
        <f aca="false">((M198+N198)*T198+V198)</f>
        <v>0</v>
      </c>
      <c r="AH198" s="273" t="str">
        <f aca="false">IFERROR(AG198/AD198,"")</f>
        <v/>
      </c>
      <c r="AI198" s="273" t="str">
        <f aca="false">IFERROR(IF(AD198=0,"S",""),"S")</f>
        <v>S</v>
      </c>
      <c r="AK198" s="15" t="e">
        <v>#NAME?</v>
      </c>
      <c r="AL198" s="15" t="e">
        <f aca="false">_xlfn.xlookup(AK198,A:A,F:F)</f>
        <v>#NAME?</v>
      </c>
      <c r="AM198" s="15" t="e">
        <f aca="false">_xlfn.xlookup(AK198,A:A,J:J)</f>
        <v>#NAME?</v>
      </c>
      <c r="AN198" s="15" t="e">
        <f aca="false">_xlfn.xlookup(AK198,A:A,M:M)+_xlfn.xlookup(AK198,A:A,N:N)</f>
        <v>#NAME?</v>
      </c>
      <c r="AO198" s="223" t="e">
        <f aca="false">_xlfn.xlookup(AK198,A:A,AG:AG)</f>
        <v>#NAME?</v>
      </c>
      <c r="AP198" s="223" t="e">
        <f aca="false">_xlfn.xlookup(AK198,A:A,AD:AD)</f>
        <v>#NAME?</v>
      </c>
      <c r="AQ198" s="223" t="e">
        <f aca="false">_xlfn.xlookup(AK198,A:A,AE:AE)</f>
        <v>#NAME?</v>
      </c>
      <c r="AX198" s="288"/>
      <c r="AY198" s="288"/>
      <c r="AZ198" s="288"/>
      <c r="BB198" s="257" t="e">
        <f aca="false">_xlfn.xlookup(BA198,A:A,F:F)</f>
        <v>#NAME?</v>
      </c>
      <c r="BC198" s="15" t="e">
        <f aca="false">_xlfn.xlookup(BA198,A:A,J:J)</f>
        <v>#NAME?</v>
      </c>
      <c r="BD198" s="75" t="e">
        <f aca="false">_xlfn.xlookup(BA198,A:A,M:M)+_xlfn.xlookup(BA198,A:A,N:N)</f>
        <v>#NAME?</v>
      </c>
      <c r="BE198" s="75" t="e">
        <f aca="false">_xlfn.xlookup(BA198,A146:A1134,AA146:AA1134)</f>
        <v>#NAME?</v>
      </c>
    </row>
    <row r="199" customFormat="false" ht="16.4" hidden="false" customHeight="false" outlineLevel="0" collapsed="false">
      <c r="A199" s="241" t="s">
        <v>1335</v>
      </c>
      <c r="B199" s="1" t="s">
        <v>889</v>
      </c>
      <c r="C199" s="292" t="n">
        <f aca="false">'Liste WO'!C191</f>
        <v>45680</v>
      </c>
      <c r="D199" s="241" t="n">
        <f aca="false">'Liste WO'!D191</f>
        <v>315</v>
      </c>
      <c r="E199" s="241" t="str">
        <f aca="false">'Liste WO'!E191</f>
        <v>Digi America Inc.</v>
      </c>
      <c r="F199" s="241" t="str">
        <f aca="false">_xlfn.xlookup(E199,Clients!B:B,Clients!C:C)</f>
        <v>Digi</v>
      </c>
      <c r="G199" s="241" t="n">
        <f aca="false">_xlfn.xlookup(D199,'PO Client'!$A:$A,'PO Client'!$F:$F,FALSE())</f>
        <v>50009083</v>
      </c>
      <c r="H199" s="251" t="n">
        <f aca="false">'Liste WO'!I191</f>
        <v>40033</v>
      </c>
      <c r="I199" s="251" t="n">
        <f aca="false">'Liste WO'!J191</f>
        <v>30026</v>
      </c>
      <c r="J199" s="244" t="str">
        <f aca="false">'Liste WO'!L191</f>
        <v>D11-2</v>
      </c>
      <c r="K199" s="245" t="n">
        <v>66555.479232</v>
      </c>
      <c r="L199" s="245" t="n">
        <v>0</v>
      </c>
      <c r="M199" s="245" t="n">
        <v>65391.75</v>
      </c>
      <c r="N199" s="245"/>
      <c r="O199" s="245" t="n">
        <v>1132.5</v>
      </c>
      <c r="P199" s="246" t="n">
        <v>0</v>
      </c>
      <c r="Q199" s="219" t="n">
        <v>7.25</v>
      </c>
      <c r="R199" s="296" t="n">
        <f aca="false">1175-900*1.44</f>
        <v>-121</v>
      </c>
      <c r="S199" s="272"/>
      <c r="T199" s="248" t="n">
        <f aca="false">_xlfn.xlookup(I199,'Prix MP'!A:A,'Prix MP'!U:U, 0)</f>
        <v>0.31697056471568</v>
      </c>
      <c r="U199" s="249" t="n">
        <f aca="false">(M199+N199)*T199</f>
        <v>20727.2599252466</v>
      </c>
      <c r="V199" s="249" t="n">
        <f aca="false">(K199-M199-L199)*T199</f>
        <v>368.867911843186</v>
      </c>
      <c r="W199" s="250" t="n">
        <f aca="false">IFERROR((K199-M199-L199)/K199,"")</f>
        <v>0.0174851003317617</v>
      </c>
      <c r="X199" s="249" t="n">
        <f aca="false">20.6577/85*O199</f>
        <v>275.233473529412</v>
      </c>
      <c r="Y199" s="249" t="n">
        <f aca="false">19.2*P199</f>
        <v>0</v>
      </c>
      <c r="Z199" s="249" t="n">
        <f aca="false">125000/52/40*Q199</f>
        <v>435.697115384615</v>
      </c>
      <c r="AA199" s="249" t="n">
        <f aca="false">(M199+N199)*T199+R199+V199+X199+Y199+Z199</f>
        <v>21686.0584260038</v>
      </c>
      <c r="AB199" s="285" t="n">
        <f aca="false">_xlfn.xlookup(H199,'Prix vente'!A:A,'Prix vente'!X:X, "")</f>
        <v>0.31</v>
      </c>
      <c r="AC199" s="285" t="str">
        <f aca="false">_xlfn.xlookup(H199,'Prix vente'!A:A,'Prix vente'!Z:Z, "")</f>
        <v>USD</v>
      </c>
      <c r="AD199" s="249" t="n">
        <f aca="false">IFERROR(IF(AC199="CAD",(M199+N199)*AB199,(M199+N199)*AB199*S199),0)</f>
        <v>0</v>
      </c>
      <c r="AE199" s="249" t="n">
        <f aca="false">AD199-AA199</f>
        <v>-21686.0584260038</v>
      </c>
      <c r="AF199" s="273" t="str">
        <f aca="false">IFERROR(1-AA199/AD199,"")</f>
        <v/>
      </c>
      <c r="AG199" s="252" t="n">
        <f aca="false">((M199+N199)*T199+V199)</f>
        <v>21096.1278370897</v>
      </c>
      <c r="AH199" s="273" t="str">
        <f aca="false">IFERROR(AG199/AD199,"")</f>
        <v/>
      </c>
      <c r="AI199" s="273" t="str">
        <f aca="false">IFERROR(IF(AD199=0,"S",""),"S")</f>
        <v>S</v>
      </c>
      <c r="AK199" s="15" t="e">
        <v>#NAME?</v>
      </c>
      <c r="AL199" s="15" t="e">
        <f aca="false">_xlfn.xlookup(AK199,A:A,F:F)</f>
        <v>#NAME?</v>
      </c>
      <c r="AM199" s="15" t="e">
        <f aca="false">_xlfn.xlookup(AK199,A:A,J:J)</f>
        <v>#NAME?</v>
      </c>
      <c r="AN199" s="15" t="e">
        <f aca="false">_xlfn.xlookup(AK199,A:A,M:M)+_xlfn.xlookup(AK199,A:A,N:N)</f>
        <v>#NAME?</v>
      </c>
      <c r="AO199" s="223" t="e">
        <f aca="false">_xlfn.xlookup(AK199,A:A,AG:AG)</f>
        <v>#NAME?</v>
      </c>
      <c r="AP199" s="223" t="e">
        <f aca="false">_xlfn.xlookup(AK199,A:A,AD:AD)</f>
        <v>#NAME?</v>
      </c>
      <c r="AQ199" s="223" t="e">
        <f aca="false">_xlfn.xlookup(AK199,A:A,AE:AE)</f>
        <v>#NAME?</v>
      </c>
      <c r="AX199" s="288"/>
      <c r="AY199" s="288"/>
      <c r="AZ199" s="288"/>
      <c r="BB199" s="257" t="e">
        <f aca="false">_xlfn.xlookup(BA199,A:A,F:F)</f>
        <v>#NAME?</v>
      </c>
      <c r="BC199" s="15" t="e">
        <f aca="false">_xlfn.xlookup(BA199,A:A,J:J)</f>
        <v>#NAME?</v>
      </c>
      <c r="BD199" s="75" t="e">
        <f aca="false">_xlfn.xlookup(BA199,A:A,M:M)+_xlfn.xlookup(BA199,A:A,N:N)</f>
        <v>#NAME?</v>
      </c>
      <c r="BE199" s="75" t="e">
        <f aca="false">_xlfn.xlookup(BA199,A147:A1135,AA147:AA1135)</f>
        <v>#NAME?</v>
      </c>
    </row>
    <row r="200" customFormat="false" ht="16.4" hidden="false" customHeight="false" outlineLevel="0" collapsed="false">
      <c r="A200" s="241" t="s">
        <v>1337</v>
      </c>
      <c r="B200" s="1" t="s">
        <v>889</v>
      </c>
      <c r="C200" s="292" t="n">
        <f aca="false">'Liste WO'!C192</f>
        <v>45684</v>
      </c>
      <c r="D200" s="241" t="n">
        <f aca="false">'Liste WO'!D192</f>
        <v>316</v>
      </c>
      <c r="E200" s="241" t="str">
        <f aca="false">'Liste WO'!E192</f>
        <v>Digi America Inc.</v>
      </c>
      <c r="F200" s="241" t="str">
        <f aca="false">_xlfn.xlookup(E200,Clients!B:B,Clients!C:C)</f>
        <v>Digi</v>
      </c>
      <c r="G200" s="241" t="n">
        <f aca="false">_xlfn.xlookup(D200,'PO Client'!$A:$A,'PO Client'!$F:$F,FALSE())</f>
        <v>50009084</v>
      </c>
      <c r="H200" s="251" t="n">
        <f aca="false">'Liste WO'!I192</f>
        <v>40033</v>
      </c>
      <c r="I200" s="251" t="n">
        <f aca="false">'Liste WO'!J192</f>
        <v>30029</v>
      </c>
      <c r="J200" s="244" t="str">
        <f aca="false">'Liste WO'!L192</f>
        <v>D11-3</v>
      </c>
      <c r="K200" s="245" t="n">
        <v>43948.908432</v>
      </c>
      <c r="L200" s="245" t="n">
        <v>0</v>
      </c>
      <c r="M200" s="245" t="n">
        <v>43452</v>
      </c>
      <c r="N200" s="245"/>
      <c r="O200" s="245" t="n">
        <v>720</v>
      </c>
      <c r="P200" s="246" t="n">
        <v>8</v>
      </c>
      <c r="Q200" s="219" t="n">
        <v>4.5</v>
      </c>
      <c r="R200" s="296" t="n">
        <f aca="false">1175-900*1.44</f>
        <v>-121</v>
      </c>
      <c r="S200" s="272"/>
      <c r="T200" s="248" t="n">
        <f aca="false">_xlfn.xlookup(I200,'Prix MP'!A:A,'Prix MP'!U:U, 0)</f>
        <v>0.285235933537095</v>
      </c>
      <c r="U200" s="249" t="n">
        <f aca="false">(M200+N200)*T200</f>
        <v>12394.0717840538</v>
      </c>
      <c r="V200" s="249" t="n">
        <f aca="false">(K200-M200-L200)*T200</f>
        <v>141.736140483973</v>
      </c>
      <c r="W200" s="250" t="n">
        <f aca="false">IFERROR((K200-M200-L200)/K200,"")</f>
        <v>0.0113065022483741</v>
      </c>
      <c r="X200" s="249" t="n">
        <f aca="false">20.6577/85*O200</f>
        <v>174.982870588235</v>
      </c>
      <c r="Y200" s="249" t="n">
        <f aca="false">19.2*P200</f>
        <v>153.6</v>
      </c>
      <c r="Z200" s="249" t="n">
        <f aca="false">125000/52/40*Q200</f>
        <v>270.432692307692</v>
      </c>
      <c r="AA200" s="249" t="n">
        <f aca="false">(M200+N200)*T200+R200+V200+X200+Y200+Z200</f>
        <v>13013.8234874337</v>
      </c>
      <c r="AB200" s="285" t="n">
        <f aca="false">_xlfn.xlookup(H200,'Prix vente'!A:A,'Prix vente'!X:X, "")</f>
        <v>0.31</v>
      </c>
      <c r="AC200" s="285" t="str">
        <f aca="false">_xlfn.xlookup(H200,'Prix vente'!A:A,'Prix vente'!Z:Z, "")</f>
        <v>USD</v>
      </c>
      <c r="AD200" s="249" t="n">
        <f aca="false">IFERROR(IF(AC200="CAD",(M200+N200)*AB200,(M200+N200)*AB200*S200),0)</f>
        <v>0</v>
      </c>
      <c r="AE200" s="249" t="n">
        <f aca="false">AD200-AA200</f>
        <v>-13013.8234874337</v>
      </c>
      <c r="AF200" s="273" t="str">
        <f aca="false">IFERROR(1-AA200/AD200,"")</f>
        <v/>
      </c>
      <c r="AG200" s="252" t="n">
        <f aca="false">((M200+N200)*T200+V200)</f>
        <v>12535.8079245378</v>
      </c>
      <c r="AH200" s="273" t="str">
        <f aca="false">IFERROR(AG200/AD200,"")</f>
        <v/>
      </c>
      <c r="AI200" s="273" t="str">
        <f aca="false">IFERROR(IF(AD200=0,"S",""),"S")</f>
        <v>S</v>
      </c>
      <c r="AK200" s="15" t="e">
        <v>#NAME?</v>
      </c>
      <c r="AL200" s="15" t="e">
        <f aca="false">_xlfn.xlookup(AK200,A:A,F:F)</f>
        <v>#NAME?</v>
      </c>
      <c r="AM200" s="15" t="e">
        <f aca="false">_xlfn.xlookup(AK200,A:A,J:J)</f>
        <v>#NAME?</v>
      </c>
      <c r="AN200" s="15" t="e">
        <f aca="false">_xlfn.xlookup(AK200,A:A,M:M)+_xlfn.xlookup(AK200,A:A,N:N)</f>
        <v>#NAME?</v>
      </c>
      <c r="AO200" s="223" t="e">
        <f aca="false">_xlfn.xlookup(AK200,A:A,AG:AG)</f>
        <v>#NAME?</v>
      </c>
      <c r="AP200" s="223" t="e">
        <f aca="false">_xlfn.xlookup(AK200,A:A,AD:AD)</f>
        <v>#NAME?</v>
      </c>
      <c r="AQ200" s="223" t="e">
        <f aca="false">_xlfn.xlookup(AK200,A:A,AE:AE)</f>
        <v>#NAME?</v>
      </c>
      <c r="AX200" s="288"/>
      <c r="AY200" s="288"/>
      <c r="AZ200" s="288"/>
      <c r="BB200" s="257" t="e">
        <f aca="false">_xlfn.xlookup(BA200,A:A,F:F)</f>
        <v>#NAME?</v>
      </c>
      <c r="BC200" s="15" t="e">
        <f aca="false">_xlfn.xlookup(BA200,A:A,J:J)</f>
        <v>#NAME?</v>
      </c>
      <c r="BD200" s="75" t="e">
        <f aca="false">_xlfn.xlookup(BA200,A:A,M:M)+_xlfn.xlookup(BA200,A:A,N:N)</f>
        <v>#NAME?</v>
      </c>
      <c r="BE200" s="75" t="e">
        <f aca="false">_xlfn.xlookup(BA200,A148:A1136,AA148:AA1136)</f>
        <v>#NAME?</v>
      </c>
    </row>
    <row r="201" customFormat="false" ht="16.4" hidden="false" customHeight="false" outlineLevel="0" collapsed="false">
      <c r="A201" s="241" t="s">
        <v>1338</v>
      </c>
      <c r="B201" s="1" t="s">
        <v>1057</v>
      </c>
      <c r="C201" s="292" t="n">
        <f aca="false">'Liste WO'!C193</f>
        <v>45685</v>
      </c>
      <c r="D201" s="241" t="n">
        <f aca="false">'Liste WO'!D193</f>
        <v>314</v>
      </c>
      <c r="E201" s="241" t="str">
        <f aca="false">'Liste WO'!E193</f>
        <v>Imprimerie Sélect</v>
      </c>
      <c r="F201" s="241" t="str">
        <f aca="false">_xlfn.xlookup(E201,Clients!B:B,Clients!C:C)</f>
        <v>Select</v>
      </c>
      <c r="G201" s="241" t="str">
        <f aca="false">_xlfn.xlookup(D201,'PO Client'!$A:$A,'PO Client'!$F:$F,FALSE())</f>
        <v>email 2024-01-22 14h39</v>
      </c>
      <c r="H201" s="251" t="n">
        <f aca="false">'Liste WO'!I193</f>
        <v>40256</v>
      </c>
      <c r="I201" s="251" t="n">
        <f aca="false">'Liste WO'!J193</f>
        <v>30011</v>
      </c>
      <c r="J201" s="244" t="str">
        <f aca="false">'Liste WO'!L193</f>
        <v>S21-1</v>
      </c>
      <c r="K201" s="245"/>
      <c r="L201" s="245"/>
      <c r="M201" s="245"/>
      <c r="N201" s="245"/>
      <c r="O201" s="245"/>
      <c r="P201" s="246"/>
      <c r="Q201" s="219"/>
      <c r="R201" s="247"/>
      <c r="S201" s="272"/>
      <c r="T201" s="248" t="n">
        <f aca="false">_xlfn.xlookup(I201,'Prix MP'!A:A,'Prix MP'!U:U, 0)</f>
        <v>0.28357864079936</v>
      </c>
      <c r="U201" s="249" t="n">
        <f aca="false">(M201+N201)*T201</f>
        <v>0</v>
      </c>
      <c r="V201" s="249" t="n">
        <f aca="false">(K201-M201-L201)*T201</f>
        <v>0</v>
      </c>
      <c r="W201" s="250" t="str">
        <f aca="false">IFERROR((K201-M201-L201)/K201,"")</f>
        <v/>
      </c>
      <c r="X201" s="249" t="n">
        <f aca="false">20.6577/85*O201</f>
        <v>0</v>
      </c>
      <c r="Y201" s="249" t="n">
        <f aca="false">19.2*P201</f>
        <v>0</v>
      </c>
      <c r="Z201" s="249" t="n">
        <f aca="false">125000/52/40*Q201</f>
        <v>0</v>
      </c>
      <c r="AA201" s="249" t="n">
        <f aca="false">(M201+N201)*T201+R201+V201+X201+Y201+Z201</f>
        <v>0</v>
      </c>
      <c r="AB201" s="285" t="n">
        <f aca="false">_xlfn.xlookup(H201,'Prix vente'!A:A,'Prix vente'!X:X, "")</f>
        <v>0</v>
      </c>
      <c r="AC201" s="285" t="str">
        <f aca="false">_xlfn.xlookup(H201,'Prix vente'!A:A,'Prix vente'!Z:Z, "")</f>
        <v>CAD</v>
      </c>
      <c r="AD201" s="249" t="n">
        <f aca="false">IFERROR(IF(AC201="CAD",(M201+N201)*AB201,(M201+N201)*AB201*S201),0)</f>
        <v>0</v>
      </c>
      <c r="AE201" s="249" t="n">
        <f aca="false">AD201-AA201</f>
        <v>0</v>
      </c>
      <c r="AF201" s="273" t="str">
        <f aca="false">IFERROR(1-AA201/AD201,"")</f>
        <v/>
      </c>
      <c r="AG201" s="252" t="n">
        <f aca="false">((M201+N201)*T201+V201)</f>
        <v>0</v>
      </c>
      <c r="AH201" s="273" t="str">
        <f aca="false">IFERROR(AG201/AD201,"")</f>
        <v/>
      </c>
      <c r="AI201" s="273" t="str">
        <f aca="false">IFERROR(IF(AD201=0,"S",""),"S")</f>
        <v>S</v>
      </c>
      <c r="AK201" s="15" t="e">
        <v>#NAME?</v>
      </c>
      <c r="AL201" s="15" t="e">
        <f aca="false">_xlfn.xlookup(AK201,A:A,F:F)</f>
        <v>#NAME?</v>
      </c>
      <c r="AM201" s="15" t="e">
        <f aca="false">_xlfn.xlookup(AK201,A:A,J:J)</f>
        <v>#NAME?</v>
      </c>
      <c r="AN201" s="15" t="e">
        <f aca="false">_xlfn.xlookup(AK201,A:A,M:M)+_xlfn.xlookup(AK201,A:A,N:N)</f>
        <v>#NAME?</v>
      </c>
      <c r="AO201" s="223" t="e">
        <f aca="false">_xlfn.xlookup(AK201,A:A,AG:AG)</f>
        <v>#NAME?</v>
      </c>
      <c r="AP201" s="223" t="e">
        <f aca="false">_xlfn.xlookup(AK201,A:A,AD:AD)</f>
        <v>#NAME?</v>
      </c>
      <c r="AQ201" s="223" t="e">
        <f aca="false">_xlfn.xlookup(AK201,A:A,AE:AE)</f>
        <v>#NAME?</v>
      </c>
      <c r="AX201" s="288"/>
      <c r="AY201" s="288"/>
      <c r="AZ201" s="288"/>
      <c r="BB201" s="257" t="e">
        <f aca="false">_xlfn.xlookup(BA201,A:A,F:F)</f>
        <v>#NAME?</v>
      </c>
      <c r="BC201" s="15" t="e">
        <f aca="false">_xlfn.xlookup(BA201,A:A,J:J)</f>
        <v>#NAME?</v>
      </c>
      <c r="BD201" s="75" t="e">
        <f aca="false">_xlfn.xlookup(BA201,A:A,M:M)+_xlfn.xlookup(BA201,A:A,N:N)</f>
        <v>#NAME?</v>
      </c>
      <c r="BE201" s="75" t="e">
        <f aca="false">_xlfn.xlookup(BA201,A149:A1137,AA149:AA1137)</f>
        <v>#NAME?</v>
      </c>
    </row>
    <row r="202" customFormat="false" ht="16.4" hidden="false" customHeight="false" outlineLevel="0" collapsed="false">
      <c r="A202" s="241" t="s">
        <v>1341</v>
      </c>
      <c r="B202" s="1" t="s">
        <v>1057</v>
      </c>
      <c r="C202" s="292" t="n">
        <f aca="false">'Liste WO'!C194</f>
        <v>45685</v>
      </c>
      <c r="D202" s="241" t="n">
        <f aca="false">'Liste WO'!D194</f>
        <v>317</v>
      </c>
      <c r="E202" s="241" t="str">
        <f aca="false">'Liste WO'!E194</f>
        <v>Imprimerie Ste-Julie</v>
      </c>
      <c r="F202" s="241" t="str">
        <f aca="false">_xlfn.xlookup(E202,Clients!B:B,Clients!C:C)</f>
        <v>Imprimerie Ste-Julie</v>
      </c>
      <c r="G202" s="241" t="n">
        <f aca="false">_xlfn.xlookup(D202,'PO Client'!$A:$A,'PO Client'!$F:$F,FALSE())</f>
        <v>107081</v>
      </c>
      <c r="H202" s="251" t="n">
        <f aca="false">'Liste WO'!I194</f>
        <v>40117</v>
      </c>
      <c r="I202" s="251" t="n">
        <f aca="false">'Liste WO'!J194</f>
        <v>30036</v>
      </c>
      <c r="J202" s="244" t="str">
        <f aca="false">'Liste WO'!L194</f>
        <v>S15-3</v>
      </c>
      <c r="K202" s="245"/>
      <c r="L202" s="245"/>
      <c r="M202" s="245"/>
      <c r="N202" s="245"/>
      <c r="O202" s="245"/>
      <c r="P202" s="246"/>
      <c r="Q202" s="219"/>
      <c r="R202" s="247"/>
      <c r="S202" s="272"/>
      <c r="T202" s="248" t="n">
        <f aca="false">_xlfn.xlookup(I202,'Prix MP'!A:A,'Prix MP'!U:U, 0)</f>
        <v>0.258256828537349</v>
      </c>
      <c r="U202" s="249" t="n">
        <f aca="false">(M202+N202)*T202</f>
        <v>0</v>
      </c>
      <c r="V202" s="249" t="n">
        <f aca="false">(K202-M202-L202)*T202</f>
        <v>0</v>
      </c>
      <c r="W202" s="250" t="str">
        <f aca="false">IFERROR((K202-M202-L202)/K202,"")</f>
        <v/>
      </c>
      <c r="X202" s="249" t="n">
        <f aca="false">20.6577/85*O202</f>
        <v>0</v>
      </c>
      <c r="Y202" s="249" t="n">
        <f aca="false">19.2*P202</f>
        <v>0</v>
      </c>
      <c r="Z202" s="249" t="n">
        <f aca="false">125000/52/40*Q202</f>
        <v>0</v>
      </c>
      <c r="AA202" s="249" t="n">
        <f aca="false">(M202+N202)*T202+R202+V202+X202+Y202+Z202</f>
        <v>0</v>
      </c>
      <c r="AB202" s="285" t="n">
        <f aca="false">_xlfn.xlookup(H202,'Prix vente'!A:A,'Prix vente'!X:X, "")</f>
        <v>0.28</v>
      </c>
      <c r="AC202" s="285" t="str">
        <f aca="false">_xlfn.xlookup(H202,'Prix vente'!A:A,'Prix vente'!Z:Z, "")</f>
        <v>USD</v>
      </c>
      <c r="AD202" s="249" t="n">
        <f aca="false">IFERROR(IF(AC202="CAD",(M202+N202)*AB202,(M202+N202)*AB202*S202),0)</f>
        <v>0</v>
      </c>
      <c r="AE202" s="249" t="n">
        <f aca="false">AD202-AA202</f>
        <v>0</v>
      </c>
      <c r="AF202" s="273" t="str">
        <f aca="false">IFERROR(1-AA202/AD202,"")</f>
        <v/>
      </c>
      <c r="AG202" s="252" t="n">
        <f aca="false">((M202+N202)*T202+V202)</f>
        <v>0</v>
      </c>
      <c r="AH202" s="273" t="str">
        <f aca="false">IFERROR(AG202/AD202,"")</f>
        <v/>
      </c>
      <c r="AI202" s="273" t="str">
        <f aca="false">IFERROR(IF(AD202=0,"S",""),"S")</f>
        <v>S</v>
      </c>
      <c r="AK202" s="15" t="e">
        <v>#NAME?</v>
      </c>
      <c r="AL202" s="15" t="e">
        <f aca="false">_xlfn.xlookup(AK202,A:A,F:F)</f>
        <v>#NAME?</v>
      </c>
      <c r="AM202" s="15" t="e">
        <f aca="false">_xlfn.xlookup(AK202,A:A,J:J)</f>
        <v>#NAME?</v>
      </c>
      <c r="AN202" s="15" t="e">
        <f aca="false">_xlfn.xlookup(AK202,A:A,M:M)+_xlfn.xlookup(AK202,A:A,N:N)</f>
        <v>#NAME?</v>
      </c>
      <c r="AO202" s="223" t="e">
        <f aca="false">_xlfn.xlookup(AK202,A:A,AG:AG)</f>
        <v>#NAME?</v>
      </c>
      <c r="AP202" s="223" t="e">
        <f aca="false">_xlfn.xlookup(AK202,A:A,AD:AD)</f>
        <v>#NAME?</v>
      </c>
      <c r="AQ202" s="223" t="e">
        <f aca="false">_xlfn.xlookup(AK202,A:A,AE:AE)</f>
        <v>#NAME?</v>
      </c>
      <c r="AX202" s="288"/>
      <c r="AY202" s="288"/>
      <c r="AZ202" s="288"/>
      <c r="BB202" s="257" t="e">
        <f aca="false">_xlfn.xlookup(BA202,A:A,F:F)</f>
        <v>#NAME?</v>
      </c>
      <c r="BC202" s="15" t="e">
        <f aca="false">_xlfn.xlookup(BA202,A:A,J:J)</f>
        <v>#NAME?</v>
      </c>
      <c r="BD202" s="75" t="e">
        <f aca="false">_xlfn.xlookup(BA202,A:A,M:M)+_xlfn.xlookup(BA202,A:A,N:N)</f>
        <v>#NAME?</v>
      </c>
      <c r="BE202" s="75" t="e">
        <f aca="false">_xlfn.xlookup(BA202,A150:A1138,AA150:AA1138)</f>
        <v>#NAME?</v>
      </c>
    </row>
    <row r="203" customFormat="false" ht="16.4" hidden="false" customHeight="false" outlineLevel="0" collapsed="false">
      <c r="A203" s="241" t="s">
        <v>1343</v>
      </c>
      <c r="B203" s="1" t="s">
        <v>1057</v>
      </c>
      <c r="C203" s="292" t="n">
        <f aca="false">'Liste WO'!C195</f>
        <v>45685</v>
      </c>
      <c r="D203" s="241" t="n">
        <f aca="false">'Liste WO'!D195</f>
        <v>318</v>
      </c>
      <c r="E203" s="241" t="str">
        <f aca="false">'Liste WO'!E195</f>
        <v>Imprimerie Ste-Julie</v>
      </c>
      <c r="F203" s="241" t="str">
        <f aca="false">_xlfn.xlookup(E203,Clients!B:B,Clients!C:C)</f>
        <v>Imprimerie Ste-Julie</v>
      </c>
      <c r="G203" s="241" t="n">
        <f aca="false">_xlfn.xlookup(D203,'PO Client'!$A:$A,'PO Client'!$F:$F,FALSE())</f>
        <v>107085</v>
      </c>
      <c r="H203" s="251" t="n">
        <f aca="false">'Liste WO'!I195</f>
        <v>40258</v>
      </c>
      <c r="I203" s="251" t="n">
        <f aca="false">'Liste WO'!J195</f>
        <v>30011</v>
      </c>
      <c r="J203" s="244" t="str">
        <f aca="false">'Liste WO'!L195</f>
        <v>S21-1</v>
      </c>
      <c r="K203" s="245"/>
      <c r="L203" s="245"/>
      <c r="M203" s="245"/>
      <c r="N203" s="245"/>
      <c r="O203" s="245"/>
      <c r="P203" s="246"/>
      <c r="Q203" s="219"/>
      <c r="R203" s="247"/>
      <c r="S203" s="272"/>
      <c r="T203" s="248" t="n">
        <f aca="false">_xlfn.xlookup(I203,'Prix MP'!A:A,'Prix MP'!U:U, 0)</f>
        <v>0.28357864079936</v>
      </c>
      <c r="U203" s="249" t="n">
        <f aca="false">(M203+N203)*T203</f>
        <v>0</v>
      </c>
      <c r="V203" s="249" t="n">
        <f aca="false">(K203-M203-L203)*T203</f>
        <v>0</v>
      </c>
      <c r="W203" s="250" t="str">
        <f aca="false">IFERROR((K203-M203-L203)/K203,"")</f>
        <v/>
      </c>
      <c r="X203" s="249" t="n">
        <f aca="false">20.6577/85*O203</f>
        <v>0</v>
      </c>
      <c r="Y203" s="249" t="n">
        <f aca="false">19.2*P203</f>
        <v>0</v>
      </c>
      <c r="Z203" s="249" t="n">
        <f aca="false">125000/52/40*Q203</f>
        <v>0</v>
      </c>
      <c r="AA203" s="249" t="n">
        <f aca="false">(M203+N203)*T203+R203+V203+X203+Y203+Z203</f>
        <v>0</v>
      </c>
      <c r="AB203" s="285" t="n">
        <f aca="false">_xlfn.xlookup(H203,'Prix vente'!A:A,'Prix vente'!X:X, "")</f>
        <v>0.27</v>
      </c>
      <c r="AC203" s="285" t="str">
        <f aca="false">_xlfn.xlookup(H203,'Prix vente'!A:A,'Prix vente'!Z:Z, "")</f>
        <v>USD</v>
      </c>
      <c r="AD203" s="249" t="n">
        <f aca="false">IFERROR(IF(AC203="CAD",(M203+N203)*AB203,(M203+N203)*AB203*S203),0)</f>
        <v>0</v>
      </c>
      <c r="AE203" s="249" t="n">
        <f aca="false">AD203-AA203</f>
        <v>0</v>
      </c>
      <c r="AF203" s="273" t="str">
        <f aca="false">IFERROR(1-AA203/AD203,"")</f>
        <v/>
      </c>
      <c r="AG203" s="252" t="n">
        <f aca="false">((M203+N203)*T203+V203)</f>
        <v>0</v>
      </c>
      <c r="AH203" s="273" t="str">
        <f aca="false">IFERROR(AG203/AD203,"")</f>
        <v/>
      </c>
      <c r="AI203" s="273" t="str">
        <f aca="false">IFERROR(IF(AD203=0,"S",""),"S")</f>
        <v>S</v>
      </c>
      <c r="AK203" s="15" t="e">
        <v>#NAME?</v>
      </c>
      <c r="AL203" s="15" t="e">
        <f aca="false">_xlfn.xlookup(AK203,A:A,F:F)</f>
        <v>#NAME?</v>
      </c>
      <c r="AM203" s="15" t="e">
        <f aca="false">_xlfn.xlookup(AK203,A:A,J:J)</f>
        <v>#NAME?</v>
      </c>
      <c r="AN203" s="15" t="e">
        <f aca="false">_xlfn.xlookup(AK203,A:A,M:M)+_xlfn.xlookup(AK203,A:A,N:N)</f>
        <v>#NAME?</v>
      </c>
      <c r="AO203" s="223" t="e">
        <f aca="false">_xlfn.xlookup(AK203,A:A,AG:AG)</f>
        <v>#NAME?</v>
      </c>
      <c r="AP203" s="223" t="e">
        <f aca="false">_xlfn.xlookup(AK203,A:A,AD:AD)</f>
        <v>#NAME?</v>
      </c>
      <c r="AQ203" s="223" t="e">
        <f aca="false">_xlfn.xlookup(AK203,A:A,AE:AE)</f>
        <v>#NAME?</v>
      </c>
      <c r="AX203" s="288"/>
      <c r="AY203" s="288"/>
      <c r="AZ203" s="288"/>
      <c r="BB203" s="257" t="e">
        <f aca="false">_xlfn.xlookup(BA203,A:A,F:F)</f>
        <v>#NAME?</v>
      </c>
      <c r="BC203" s="15" t="e">
        <f aca="false">_xlfn.xlookup(BA203,A:A,J:J)</f>
        <v>#NAME?</v>
      </c>
      <c r="BD203" s="75" t="e">
        <f aca="false">_xlfn.xlookup(BA203,A:A,M:M)+_xlfn.xlookup(BA203,A:A,N:N)</f>
        <v>#NAME?</v>
      </c>
      <c r="BE203" s="75" t="e">
        <f aca="false">_xlfn.xlookup(BA203,A151:A1139,AA151:AA1139)</f>
        <v>#NAME?</v>
      </c>
    </row>
    <row r="204" customFormat="false" ht="16.4" hidden="false" customHeight="false" outlineLevel="0" collapsed="false">
      <c r="A204" s="241" t="s">
        <v>1346</v>
      </c>
      <c r="B204" s="1" t="s">
        <v>1057</v>
      </c>
      <c r="C204" s="292" t="n">
        <f aca="false">'Liste WO'!C196</f>
        <v>0</v>
      </c>
      <c r="D204" s="241" t="n">
        <f aca="false">'Liste WO'!D196</f>
        <v>319</v>
      </c>
      <c r="E204" s="241" t="n">
        <f aca="false">'Liste WO'!E196</f>
        <v>0</v>
      </c>
      <c r="F204" s="241" t="e">
        <f aca="false">_xlfn.xlookup(E204,Clients!B:B,Clients!C:C)</f>
        <v>#NAME?</v>
      </c>
      <c r="G204" s="241" t="n">
        <f aca="false">_xlfn.xlookup(D204,'PO Client'!$A:$A,'PO Client'!$F:$F,FALSE())</f>
        <v>0</v>
      </c>
      <c r="H204" s="251" t="n">
        <f aca="false">'Liste WO'!I196</f>
        <v>0</v>
      </c>
      <c r="I204" s="251" t="n">
        <f aca="false">'Liste WO'!J196</f>
        <v>0</v>
      </c>
      <c r="J204" s="244" t="e">
        <f aca="false">'Liste WO'!L196</f>
        <v>#NAME?</v>
      </c>
      <c r="K204" s="245"/>
      <c r="L204" s="245"/>
      <c r="M204" s="245"/>
      <c r="N204" s="245"/>
      <c r="O204" s="245"/>
      <c r="P204" s="246"/>
      <c r="Q204" s="219"/>
      <c r="R204" s="247"/>
      <c r="S204" s="272"/>
      <c r="T204" s="248" t="n">
        <f aca="false">_xlfn.xlookup(I204,'Prix MP'!A:A,'Prix MP'!U:U, 0)</f>
        <v>0</v>
      </c>
      <c r="U204" s="249" t="n">
        <f aca="false">(M204+N204)*T204</f>
        <v>0</v>
      </c>
      <c r="V204" s="249" t="n">
        <f aca="false">(K204-M204-L204)*T204</f>
        <v>0</v>
      </c>
      <c r="W204" s="250" t="str">
        <f aca="false">IFERROR((K204-M204-L204)/K204,"")</f>
        <v/>
      </c>
      <c r="X204" s="249" t="n">
        <f aca="false">20.6577/85*O204</f>
        <v>0</v>
      </c>
      <c r="Y204" s="249" t="n">
        <f aca="false">19.2*P204</f>
        <v>0</v>
      </c>
      <c r="Z204" s="249" t="n">
        <f aca="false">125000/52/40*Q204</f>
        <v>0</v>
      </c>
      <c r="AA204" s="249" t="n">
        <f aca="false">(M204+N204)*T204+R204+V204+X204+Y204+Z204</f>
        <v>0</v>
      </c>
      <c r="AB204" s="285" t="e">
        <f aca="false">_xlfn.xlookup(H204,'Prix vente'!A:A,'Prix vente'!X:X, "")</f>
        <v>#NAME?</v>
      </c>
      <c r="AC204" s="285" t="e">
        <f aca="false">_xlfn.xlookup(H204,'Prix vente'!A:A,'Prix vente'!Z:Z, "")</f>
        <v>#NAME?</v>
      </c>
      <c r="AD204" s="249" t="n">
        <f aca="false">IFERROR(IF(AC204="CAD",(M204+N204)*AB204,(M204+N204)*AB204*S204),0)</f>
        <v>0</v>
      </c>
      <c r="AE204" s="249" t="n">
        <f aca="false">AD204-AA204</f>
        <v>0</v>
      </c>
      <c r="AF204" s="273" t="str">
        <f aca="false">IFERROR(1-AA204/AD204,"")</f>
        <v/>
      </c>
      <c r="AG204" s="252" t="n">
        <f aca="false">((M204+N204)*T204+V204)</f>
        <v>0</v>
      </c>
      <c r="AH204" s="273" t="str">
        <f aca="false">IFERROR(AG204/AD204,"")</f>
        <v/>
      </c>
      <c r="AI204" s="273" t="str">
        <f aca="false">IFERROR(IF(AD204=0,"S",""),"S")</f>
        <v>S</v>
      </c>
      <c r="AK204" s="15" t="e">
        <v>#NAME?</v>
      </c>
      <c r="AL204" s="15" t="e">
        <f aca="false">_xlfn.xlookup(AK204,A:A,F:F)</f>
        <v>#NAME?</v>
      </c>
      <c r="AM204" s="15" t="e">
        <f aca="false">_xlfn.xlookup(AK204,A:A,J:J)</f>
        <v>#NAME?</v>
      </c>
      <c r="AN204" s="15" t="e">
        <f aca="false">_xlfn.xlookup(AK204,A:A,M:M)+_xlfn.xlookup(AK204,A:A,N:N)</f>
        <v>#NAME?</v>
      </c>
      <c r="AO204" s="223" t="e">
        <f aca="false">_xlfn.xlookup(AK204,A:A,AG:AG)</f>
        <v>#NAME?</v>
      </c>
      <c r="AP204" s="223" t="e">
        <f aca="false">_xlfn.xlookup(AK204,A:A,AD:AD)</f>
        <v>#NAME?</v>
      </c>
      <c r="AQ204" s="223" t="e">
        <f aca="false">_xlfn.xlookup(AK204,A:A,AE:AE)</f>
        <v>#NAME?</v>
      </c>
      <c r="AX204" s="288"/>
      <c r="AY204" s="288"/>
      <c r="AZ204" s="288"/>
      <c r="BB204" s="257" t="e">
        <f aca="false">_xlfn.xlookup(BA204,A:A,F:F)</f>
        <v>#NAME?</v>
      </c>
      <c r="BC204" s="15" t="e">
        <f aca="false">_xlfn.xlookup(BA204,A:A,J:J)</f>
        <v>#NAME?</v>
      </c>
      <c r="BD204" s="75" t="e">
        <f aca="false">_xlfn.xlookup(BA204,A:A,M:M)+_xlfn.xlookup(BA204,A:A,N:N)</f>
        <v>#NAME?</v>
      </c>
      <c r="BE204" s="75" t="e">
        <f aca="false">_xlfn.xlookup(BA204,A152:A1140,AA152:AA1140)</f>
        <v>#NAME?</v>
      </c>
    </row>
    <row r="205" customFormat="false" ht="16.4" hidden="false" customHeight="false" outlineLevel="0" collapsed="false">
      <c r="A205" s="241" t="s">
        <v>1347</v>
      </c>
      <c r="B205" s="1" t="s">
        <v>1057</v>
      </c>
      <c r="C205" s="292" t="n">
        <f aca="false">'Liste WO'!C197</f>
        <v>0</v>
      </c>
      <c r="D205" s="241" t="n">
        <f aca="false">'Liste WO'!D197</f>
        <v>320</v>
      </c>
      <c r="E205" s="241" t="n">
        <f aca="false">'Liste WO'!E197</f>
        <v>0</v>
      </c>
      <c r="F205" s="241" t="e">
        <f aca="false">_xlfn.xlookup(E205,Clients!B:B,Clients!C:C)</f>
        <v>#NAME?</v>
      </c>
      <c r="G205" s="241" t="n">
        <f aca="false">_xlfn.xlookup(D205,'PO Client'!$A:$A,'PO Client'!$F:$F,FALSE())</f>
        <v>0</v>
      </c>
      <c r="H205" s="251" t="n">
        <f aca="false">'Liste WO'!I197</f>
        <v>0</v>
      </c>
      <c r="I205" s="251" t="n">
        <f aca="false">'Liste WO'!J197</f>
        <v>0</v>
      </c>
      <c r="J205" s="244" t="n">
        <f aca="false">'Liste WO'!L197</f>
        <v>0</v>
      </c>
      <c r="K205" s="245"/>
      <c r="L205" s="245"/>
      <c r="M205" s="245"/>
      <c r="N205" s="245"/>
      <c r="O205" s="245"/>
      <c r="P205" s="246"/>
      <c r="Q205" s="219"/>
      <c r="R205" s="247"/>
      <c r="S205" s="272"/>
      <c r="T205" s="248" t="n">
        <f aca="false">_xlfn.xlookup(I205,'Prix MP'!A:A,'Prix MP'!U:U, 0)</f>
        <v>0</v>
      </c>
      <c r="U205" s="249" t="n">
        <f aca="false">(M205+N205)*T205</f>
        <v>0</v>
      </c>
      <c r="V205" s="249" t="n">
        <f aca="false">(K205-M205-L205)*T205</f>
        <v>0</v>
      </c>
      <c r="W205" s="250" t="str">
        <f aca="false">IFERROR((K205-M205-L205)/K205,"")</f>
        <v/>
      </c>
      <c r="X205" s="249" t="n">
        <f aca="false">20.6577/85*O205</f>
        <v>0</v>
      </c>
      <c r="Y205" s="249" t="n">
        <f aca="false">19.2*P205</f>
        <v>0</v>
      </c>
      <c r="Z205" s="249" t="n">
        <f aca="false">125000/52/40*Q205</f>
        <v>0</v>
      </c>
      <c r="AA205" s="249" t="n">
        <f aca="false">(M205+N205)*T205+R205+V205+X205+Y205+Z205</f>
        <v>0</v>
      </c>
      <c r="AB205" s="285" t="e">
        <f aca="false">_xlfn.xlookup(H205,'Prix vente'!A:A,'Prix vente'!X:X, "")</f>
        <v>#NAME?</v>
      </c>
      <c r="AC205" s="285" t="e">
        <f aca="false">_xlfn.xlookup(H205,'Prix vente'!A:A,'Prix vente'!Z:Z, "")</f>
        <v>#NAME?</v>
      </c>
      <c r="AD205" s="249" t="n">
        <f aca="false">IFERROR(IF(AC205="CAD",(M205+N205)*AB205,(M205+N205)*AB205*S205),0)</f>
        <v>0</v>
      </c>
      <c r="AE205" s="249" t="n">
        <f aca="false">AD205-AA205</f>
        <v>0</v>
      </c>
      <c r="AF205" s="273" t="str">
        <f aca="false">IFERROR(1-AA205/AD205,"")</f>
        <v/>
      </c>
      <c r="AG205" s="252" t="n">
        <f aca="false">((M205+N205)*T205+V205)</f>
        <v>0</v>
      </c>
      <c r="AH205" s="273" t="str">
        <f aca="false">IFERROR(AG205/AD205,"")</f>
        <v/>
      </c>
      <c r="AI205" s="273" t="str">
        <f aca="false">IFERROR(IF(AD205=0,"S",""),"S")</f>
        <v>S</v>
      </c>
      <c r="AK205" s="15" t="e">
        <v>#NAME?</v>
      </c>
      <c r="AL205" s="15" t="e">
        <f aca="false">_xlfn.xlookup(AK205,A:A,F:F)</f>
        <v>#NAME?</v>
      </c>
      <c r="AM205" s="15" t="e">
        <f aca="false">_xlfn.xlookup(AK205,A:A,J:J)</f>
        <v>#NAME?</v>
      </c>
      <c r="AN205" s="15" t="e">
        <f aca="false">_xlfn.xlookup(AK205,A:A,M:M)+_xlfn.xlookup(AK205,A:A,N:N)</f>
        <v>#NAME?</v>
      </c>
      <c r="AO205" s="223" t="e">
        <f aca="false">_xlfn.xlookup(AK205,A:A,AG:AG)</f>
        <v>#NAME?</v>
      </c>
      <c r="AP205" s="223" t="e">
        <f aca="false">_xlfn.xlookup(AK205,A:A,AD:AD)</f>
        <v>#NAME?</v>
      </c>
      <c r="AQ205" s="223" t="e">
        <f aca="false">_xlfn.xlookup(AK205,A:A,AE:AE)</f>
        <v>#NAME?</v>
      </c>
      <c r="AX205" s="288"/>
      <c r="AY205" s="288"/>
      <c r="AZ205" s="288"/>
      <c r="BB205" s="257" t="e">
        <f aca="false">_xlfn.xlookup(BA205,A:A,F:F)</f>
        <v>#NAME?</v>
      </c>
      <c r="BC205" s="15" t="e">
        <f aca="false">_xlfn.xlookup(BA205,A:A,J:J)</f>
        <v>#NAME?</v>
      </c>
      <c r="BD205" s="75" t="e">
        <f aca="false">_xlfn.xlookup(BA205,A:A,M:M)+_xlfn.xlookup(BA205,A:A,N:N)</f>
        <v>#NAME?</v>
      </c>
      <c r="BE205" s="75" t="e">
        <f aca="false">_xlfn.xlookup(BA205,A153:A1141,AA153:AA1141)</f>
        <v>#NAME?</v>
      </c>
    </row>
    <row r="206" customFormat="false" ht="16.4" hidden="false" customHeight="false" outlineLevel="0" collapsed="false">
      <c r="A206" s="241" t="s">
        <v>1348</v>
      </c>
      <c r="B206" s="1" t="s">
        <v>1057</v>
      </c>
      <c r="C206" s="292" t="n">
        <f aca="false">'Liste WO'!C198</f>
        <v>0</v>
      </c>
      <c r="D206" s="241" t="n">
        <f aca="false">'Liste WO'!D198</f>
        <v>321</v>
      </c>
      <c r="E206" s="241" t="n">
        <f aca="false">'Liste WO'!E198</f>
        <v>0</v>
      </c>
      <c r="F206" s="241" t="e">
        <f aca="false">_xlfn.xlookup(E206,Clients!B:B,Clients!C:C)</f>
        <v>#NAME?</v>
      </c>
      <c r="G206" s="241" t="n">
        <f aca="false">_xlfn.xlookup(D206,'PO Client'!$A:$A,'PO Client'!$F:$F,FALSE())</f>
        <v>0</v>
      </c>
      <c r="H206" s="251" t="n">
        <f aca="false">'Liste WO'!I198</f>
        <v>0</v>
      </c>
      <c r="I206" s="251" t="n">
        <f aca="false">'Liste WO'!J198</f>
        <v>0</v>
      </c>
      <c r="J206" s="244" t="n">
        <f aca="false">'Liste WO'!L198</f>
        <v>0</v>
      </c>
      <c r="K206" s="245"/>
      <c r="L206" s="245"/>
      <c r="M206" s="245"/>
      <c r="N206" s="245"/>
      <c r="O206" s="245"/>
      <c r="P206" s="246"/>
      <c r="Q206" s="219"/>
      <c r="R206" s="247"/>
      <c r="S206" s="272"/>
      <c r="T206" s="248" t="n">
        <f aca="false">_xlfn.xlookup(I206,'Prix MP'!A:A,'Prix MP'!U:U, 0)</f>
        <v>0</v>
      </c>
      <c r="U206" s="249" t="n">
        <f aca="false">(M206+N206)*T206</f>
        <v>0</v>
      </c>
      <c r="V206" s="249" t="n">
        <f aca="false">(K206-M206-L206)*T206</f>
        <v>0</v>
      </c>
      <c r="W206" s="250" t="str">
        <f aca="false">IFERROR((K206-M206-L206)/K206,"")</f>
        <v/>
      </c>
      <c r="X206" s="249" t="n">
        <f aca="false">20.6577/85*O206</f>
        <v>0</v>
      </c>
      <c r="Y206" s="249" t="n">
        <f aca="false">19.2*P206</f>
        <v>0</v>
      </c>
      <c r="Z206" s="249" t="n">
        <f aca="false">125000/52/40*Q206</f>
        <v>0</v>
      </c>
      <c r="AA206" s="249" t="n">
        <f aca="false">(M206+N206)*T206+R206+V206+X206+Y206+Z206</f>
        <v>0</v>
      </c>
      <c r="AB206" s="285" t="e">
        <f aca="false">_xlfn.xlookup(H206,'Prix vente'!A:A,'Prix vente'!X:X, "")</f>
        <v>#NAME?</v>
      </c>
      <c r="AC206" s="285" t="e">
        <f aca="false">_xlfn.xlookup(H206,'Prix vente'!A:A,'Prix vente'!Z:Z, "")</f>
        <v>#NAME?</v>
      </c>
      <c r="AD206" s="249" t="n">
        <f aca="false">IFERROR(IF(AC206="CAD",(M206+N206)*AB206,(M206+N206)*AB206*S206),0)</f>
        <v>0</v>
      </c>
      <c r="AE206" s="249" t="n">
        <f aca="false">AD206-AA206</f>
        <v>0</v>
      </c>
      <c r="AF206" s="273" t="str">
        <f aca="false">IFERROR(1-AA206/AD206,"")</f>
        <v/>
      </c>
      <c r="AG206" s="252" t="n">
        <f aca="false">((M206+N206)*T206+V206)</f>
        <v>0</v>
      </c>
      <c r="AH206" s="273" t="str">
        <f aca="false">IFERROR(AG206/AD206,"")</f>
        <v/>
      </c>
      <c r="AI206" s="273" t="str">
        <f aca="false">IFERROR(IF(AD206=0,"S",""),"S")</f>
        <v>S</v>
      </c>
      <c r="AK206" s="15" t="e">
        <v>#NAME?</v>
      </c>
      <c r="AL206" s="15" t="e">
        <f aca="false">_xlfn.xlookup(AK206,A:A,F:F)</f>
        <v>#NAME?</v>
      </c>
      <c r="AM206" s="15" t="e">
        <f aca="false">_xlfn.xlookup(AK206,A:A,J:J)</f>
        <v>#NAME?</v>
      </c>
      <c r="AN206" s="15" t="e">
        <f aca="false">_xlfn.xlookup(AK206,A:A,M:M)+_xlfn.xlookup(AK206,A:A,N:N)</f>
        <v>#NAME?</v>
      </c>
      <c r="AO206" s="223" t="e">
        <f aca="false">_xlfn.xlookup(AK206,A:A,AG:AG)</f>
        <v>#NAME?</v>
      </c>
      <c r="AP206" s="223" t="e">
        <f aca="false">_xlfn.xlookup(AK206,A:A,AD:AD)</f>
        <v>#NAME?</v>
      </c>
      <c r="AQ206" s="223" t="e">
        <f aca="false">_xlfn.xlookup(AK206,A:A,AE:AE)</f>
        <v>#NAME?</v>
      </c>
      <c r="AX206" s="288"/>
      <c r="AY206" s="288"/>
      <c r="AZ206" s="288"/>
      <c r="BB206" s="257" t="e">
        <f aca="false">_xlfn.xlookup(BA206,A:A,F:F)</f>
        <v>#NAME?</v>
      </c>
      <c r="BC206" s="15" t="e">
        <f aca="false">_xlfn.xlookup(BA206,A:A,J:J)</f>
        <v>#NAME?</v>
      </c>
      <c r="BD206" s="75" t="e">
        <f aca="false">_xlfn.xlookup(BA206,A:A,M:M)+_xlfn.xlookup(BA206,A:A,N:N)</f>
        <v>#NAME?</v>
      </c>
      <c r="BE206" s="75" t="e">
        <f aca="false">_xlfn.xlookup(BA206,A154:A1142,AA154:AA1142)</f>
        <v>#NAME?</v>
      </c>
    </row>
    <row r="207" customFormat="false" ht="16.4" hidden="false" customHeight="false" outlineLevel="0" collapsed="false">
      <c r="A207" s="241" t="s">
        <v>1349</v>
      </c>
      <c r="B207" s="1" t="s">
        <v>1057</v>
      </c>
      <c r="C207" s="292" t="n">
        <f aca="false">'Liste WO'!C199</f>
        <v>0</v>
      </c>
      <c r="D207" s="241" t="n">
        <f aca="false">'Liste WO'!D199</f>
        <v>322</v>
      </c>
      <c r="E207" s="241" t="n">
        <f aca="false">'Liste WO'!E199</f>
        <v>0</v>
      </c>
      <c r="F207" s="241" t="e">
        <f aca="false">_xlfn.xlookup(E207,Clients!B:B,Clients!C:C)</f>
        <v>#NAME?</v>
      </c>
      <c r="G207" s="241" t="n">
        <f aca="false">_xlfn.xlookup(D207,'PO Client'!$A:$A,'PO Client'!$F:$F,FALSE())</f>
        <v>0</v>
      </c>
      <c r="H207" s="251" t="n">
        <f aca="false">'Liste WO'!I199</f>
        <v>0</v>
      </c>
      <c r="I207" s="251" t="n">
        <f aca="false">'Liste WO'!J199</f>
        <v>0</v>
      </c>
      <c r="J207" s="244" t="n">
        <f aca="false">'Liste WO'!L199</f>
        <v>0</v>
      </c>
      <c r="K207" s="245"/>
      <c r="L207" s="245"/>
      <c r="M207" s="245"/>
      <c r="N207" s="245"/>
      <c r="O207" s="245"/>
      <c r="P207" s="246"/>
      <c r="Q207" s="219"/>
      <c r="R207" s="247"/>
      <c r="S207" s="272"/>
      <c r="T207" s="248" t="n">
        <f aca="false">_xlfn.xlookup(I207,'Prix MP'!A:A,'Prix MP'!U:U, 0)</f>
        <v>0</v>
      </c>
      <c r="U207" s="249" t="n">
        <f aca="false">(M207+N207)*T207</f>
        <v>0</v>
      </c>
      <c r="V207" s="249" t="n">
        <f aca="false">(K207-M207-L207)*T207</f>
        <v>0</v>
      </c>
      <c r="W207" s="250" t="str">
        <f aca="false">IFERROR((K207-M207-L207)/K207,"")</f>
        <v/>
      </c>
      <c r="X207" s="249" t="n">
        <f aca="false">20.6577/85*O207</f>
        <v>0</v>
      </c>
      <c r="Y207" s="249" t="n">
        <f aca="false">19.2*P207</f>
        <v>0</v>
      </c>
      <c r="Z207" s="249" t="n">
        <f aca="false">125000/52/40*Q207</f>
        <v>0</v>
      </c>
      <c r="AA207" s="249" t="n">
        <f aca="false">(M207+N207)*T207+R207+V207+X207+Y207+Z207</f>
        <v>0</v>
      </c>
      <c r="AB207" s="285" t="e">
        <f aca="false">_xlfn.xlookup(H207,'Prix vente'!A:A,'Prix vente'!X:X, "")</f>
        <v>#NAME?</v>
      </c>
      <c r="AC207" s="285" t="e">
        <f aca="false">_xlfn.xlookup(H207,'Prix vente'!A:A,'Prix vente'!Z:Z, "")</f>
        <v>#NAME?</v>
      </c>
      <c r="AD207" s="249" t="n">
        <f aca="false">IFERROR(IF(AC207="CAD",(M207+N207)*AB207,(M207+N207)*AB207*S207),0)</f>
        <v>0</v>
      </c>
      <c r="AE207" s="249" t="n">
        <f aca="false">AD207-AA207</f>
        <v>0</v>
      </c>
      <c r="AF207" s="273" t="str">
        <f aca="false">IFERROR(1-AA207/AD207,"")</f>
        <v/>
      </c>
      <c r="AG207" s="252" t="n">
        <f aca="false">((M207+N207)*T207+V207)</f>
        <v>0</v>
      </c>
      <c r="AH207" s="273" t="str">
        <f aca="false">IFERROR(AG207/AD207,"")</f>
        <v/>
      </c>
      <c r="AI207" s="273" t="str">
        <f aca="false">IFERROR(IF(AD207=0,"S",""),"S")</f>
        <v>S</v>
      </c>
      <c r="AK207" s="15" t="e">
        <v>#NAME?</v>
      </c>
      <c r="AL207" s="15" t="e">
        <f aca="false">_xlfn.xlookup(AK207,A:A,F:F)</f>
        <v>#NAME?</v>
      </c>
      <c r="AM207" s="15" t="e">
        <f aca="false">_xlfn.xlookup(AK207,A:A,J:J)</f>
        <v>#NAME?</v>
      </c>
      <c r="AN207" s="15" t="e">
        <f aca="false">_xlfn.xlookup(AK207,A:A,M:M)+_xlfn.xlookup(AK207,A:A,N:N)</f>
        <v>#NAME?</v>
      </c>
      <c r="AO207" s="223" t="e">
        <f aca="false">_xlfn.xlookup(AK207,A:A,AG:AG)</f>
        <v>#NAME?</v>
      </c>
      <c r="AP207" s="223" t="e">
        <f aca="false">_xlfn.xlookup(AK207,A:A,AD:AD)</f>
        <v>#NAME?</v>
      </c>
      <c r="AQ207" s="223" t="e">
        <f aca="false">_xlfn.xlookup(AK207,A:A,AE:AE)</f>
        <v>#NAME?</v>
      </c>
      <c r="AX207" s="288"/>
      <c r="AY207" s="288"/>
      <c r="AZ207" s="288"/>
      <c r="BB207" s="257" t="e">
        <f aca="false">_xlfn.xlookup(BA207,A:A,F:F)</f>
        <v>#NAME?</v>
      </c>
      <c r="BC207" s="15" t="e">
        <f aca="false">_xlfn.xlookup(BA207,A:A,J:J)</f>
        <v>#NAME?</v>
      </c>
      <c r="BD207" s="75" t="e">
        <f aca="false">_xlfn.xlookup(BA207,A:A,M:M)+_xlfn.xlookup(BA207,A:A,N:N)</f>
        <v>#NAME?</v>
      </c>
      <c r="BE207" s="75" t="e">
        <f aca="false">_xlfn.xlookup(BA207,A155:A1143,AA155:AA1143)</f>
        <v>#NAME?</v>
      </c>
    </row>
    <row r="208" customFormat="false" ht="16.4" hidden="false" customHeight="false" outlineLevel="0" collapsed="false">
      <c r="A208" s="241" t="s">
        <v>1350</v>
      </c>
      <c r="B208" s="1" t="s">
        <v>1057</v>
      </c>
      <c r="C208" s="292" t="n">
        <f aca="false">'Liste WO'!C200</f>
        <v>0</v>
      </c>
      <c r="D208" s="241" t="n">
        <f aca="false">'Liste WO'!D200</f>
        <v>323</v>
      </c>
      <c r="E208" s="241" t="n">
        <f aca="false">'Liste WO'!E200</f>
        <v>0</v>
      </c>
      <c r="F208" s="241" t="e">
        <f aca="false">_xlfn.xlookup(E208,Clients!B:B,Clients!C:C)</f>
        <v>#NAME?</v>
      </c>
      <c r="G208" s="241" t="n">
        <f aca="false">_xlfn.xlookup(D208,'PO Client'!$A:$A,'PO Client'!$F:$F,FALSE())</f>
        <v>0</v>
      </c>
      <c r="H208" s="251" t="n">
        <f aca="false">'Liste WO'!I200</f>
        <v>0</v>
      </c>
      <c r="I208" s="251" t="n">
        <f aca="false">'Liste WO'!J200</f>
        <v>0</v>
      </c>
      <c r="J208" s="244" t="e">
        <f aca="false">'Liste WO'!L200</f>
        <v>#NAME?</v>
      </c>
      <c r="K208" s="245"/>
      <c r="L208" s="245"/>
      <c r="M208" s="245"/>
      <c r="N208" s="245"/>
      <c r="O208" s="245"/>
      <c r="P208" s="246"/>
      <c r="Q208" s="219"/>
      <c r="R208" s="247"/>
      <c r="S208" s="272"/>
      <c r="T208" s="248" t="n">
        <f aca="false">_xlfn.xlookup(I208,'Prix MP'!A:A,'Prix MP'!U:U, 0)</f>
        <v>0</v>
      </c>
      <c r="U208" s="249" t="n">
        <f aca="false">(M208+N208)*T208</f>
        <v>0</v>
      </c>
      <c r="V208" s="249" t="n">
        <f aca="false">(K208-M208-L208)*T208</f>
        <v>0</v>
      </c>
      <c r="W208" s="250" t="str">
        <f aca="false">IFERROR((K208-M208-L208)/K208,"")</f>
        <v/>
      </c>
      <c r="X208" s="249" t="n">
        <f aca="false">20.6577/85*O208</f>
        <v>0</v>
      </c>
      <c r="Y208" s="249" t="n">
        <f aca="false">19.2*P208</f>
        <v>0</v>
      </c>
      <c r="Z208" s="249" t="n">
        <f aca="false">125000/52/40*Q208</f>
        <v>0</v>
      </c>
      <c r="AA208" s="249" t="n">
        <f aca="false">(M208+N208)*T208+R208+V208+X208+Y208+Z208</f>
        <v>0</v>
      </c>
      <c r="AB208" s="285" t="e">
        <f aca="false">_xlfn.xlookup(H208,'Prix vente'!A:A,'Prix vente'!X:X, "")</f>
        <v>#NAME?</v>
      </c>
      <c r="AC208" s="285" t="e">
        <f aca="false">_xlfn.xlookup(H208,'Prix vente'!A:A,'Prix vente'!Z:Z, "")</f>
        <v>#NAME?</v>
      </c>
      <c r="AD208" s="249" t="n">
        <f aca="false">IFERROR(IF(AC208="CAD",(M208+N208)*AB208,(M208+N208)*AB208*S208),0)</f>
        <v>0</v>
      </c>
      <c r="AE208" s="249" t="n">
        <f aca="false">AD208-AA208</f>
        <v>0</v>
      </c>
      <c r="AF208" s="273" t="str">
        <f aca="false">IFERROR(1-AA208/AD208,"")</f>
        <v/>
      </c>
      <c r="AG208" s="252" t="n">
        <f aca="false">((M208+N208)*T208+V208)</f>
        <v>0</v>
      </c>
      <c r="AH208" s="273" t="str">
        <f aca="false">IFERROR(AG208/AD208,"")</f>
        <v/>
      </c>
      <c r="AI208" s="273" t="str">
        <f aca="false">IFERROR(IF(AD208=0,"S",""),"S")</f>
        <v>S</v>
      </c>
      <c r="AK208" s="15" t="e">
        <v>#NAME?</v>
      </c>
      <c r="AL208" s="15" t="e">
        <f aca="false">_xlfn.xlookup(AK208,A:A,F:F)</f>
        <v>#NAME?</v>
      </c>
      <c r="AM208" s="15" t="e">
        <f aca="false">_xlfn.xlookup(AK208,A:A,J:J)</f>
        <v>#NAME?</v>
      </c>
      <c r="AN208" s="15" t="e">
        <f aca="false">_xlfn.xlookup(AK208,A:A,M:M)+_xlfn.xlookup(AK208,A:A,N:N)</f>
        <v>#NAME?</v>
      </c>
      <c r="AO208" s="223" t="e">
        <f aca="false">_xlfn.xlookup(AK208,A:A,AG:AG)</f>
        <v>#NAME?</v>
      </c>
      <c r="AP208" s="223" t="e">
        <f aca="false">_xlfn.xlookup(AK208,A:A,AD:AD)</f>
        <v>#NAME?</v>
      </c>
      <c r="AQ208" s="223" t="e">
        <f aca="false">_xlfn.xlookup(AK208,A:A,AE:AE)</f>
        <v>#NAME?</v>
      </c>
      <c r="AX208" s="288"/>
      <c r="AY208" s="288"/>
      <c r="AZ208" s="288"/>
      <c r="BB208" s="257" t="e">
        <f aca="false">_xlfn.xlookup(BA208,A:A,F:F)</f>
        <v>#NAME?</v>
      </c>
      <c r="BC208" s="15" t="e">
        <f aca="false">_xlfn.xlookup(BA208,A:A,J:J)</f>
        <v>#NAME?</v>
      </c>
      <c r="BD208" s="75" t="e">
        <f aca="false">_xlfn.xlookup(BA208,A:A,M:M)+_xlfn.xlookup(BA208,A:A,N:N)</f>
        <v>#NAME?</v>
      </c>
      <c r="BE208" s="75" t="e">
        <f aca="false">_xlfn.xlookup(BA208,A156:A1144,AA156:AA1144)</f>
        <v>#NAME?</v>
      </c>
    </row>
    <row r="209" customFormat="false" ht="16.4" hidden="false" customHeight="false" outlineLevel="0" collapsed="false">
      <c r="A209" s="241" t="s">
        <v>1351</v>
      </c>
      <c r="B209" s="1" t="s">
        <v>1057</v>
      </c>
      <c r="C209" s="292" t="n">
        <f aca="false">'Liste WO'!C201</f>
        <v>0</v>
      </c>
      <c r="D209" s="241" t="n">
        <f aca="false">'Liste WO'!D201</f>
        <v>324</v>
      </c>
      <c r="E209" s="241" t="n">
        <f aca="false">'Liste WO'!E201</f>
        <v>0</v>
      </c>
      <c r="F209" s="241" t="e">
        <f aca="false">_xlfn.xlookup(E209,Clients!B:B,Clients!C:C)</f>
        <v>#NAME?</v>
      </c>
      <c r="G209" s="241" t="n">
        <f aca="false">_xlfn.xlookup(D209,'PO Client'!$A:$A,'PO Client'!$F:$F,FALSE())</f>
        <v>0</v>
      </c>
      <c r="H209" s="251" t="n">
        <f aca="false">'Liste WO'!I201</f>
        <v>0</v>
      </c>
      <c r="I209" s="251" t="n">
        <f aca="false">'Liste WO'!J201</f>
        <v>0</v>
      </c>
      <c r="J209" s="244" t="n">
        <f aca="false">'Liste WO'!L201</f>
        <v>0</v>
      </c>
      <c r="K209" s="245"/>
      <c r="L209" s="245"/>
      <c r="M209" s="245"/>
      <c r="N209" s="245"/>
      <c r="O209" s="245"/>
      <c r="P209" s="246"/>
      <c r="Q209" s="219"/>
      <c r="R209" s="247"/>
      <c r="S209" s="272"/>
      <c r="T209" s="248" t="n">
        <f aca="false">_xlfn.xlookup(I209,'Prix MP'!A:A,'Prix MP'!U:U, 0)</f>
        <v>0</v>
      </c>
      <c r="U209" s="249" t="n">
        <f aca="false">(M209+N209)*T209</f>
        <v>0</v>
      </c>
      <c r="V209" s="249" t="n">
        <f aca="false">(K209-M209-L209)*T209</f>
        <v>0</v>
      </c>
      <c r="W209" s="250" t="str">
        <f aca="false">IFERROR((K209-M209-L209)/K209,"")</f>
        <v/>
      </c>
      <c r="X209" s="249" t="n">
        <f aca="false">20.6577/85*O209</f>
        <v>0</v>
      </c>
      <c r="Y209" s="249" t="n">
        <f aca="false">19.2*P209</f>
        <v>0</v>
      </c>
      <c r="Z209" s="249" t="n">
        <f aca="false">125000/52/40*Q209</f>
        <v>0</v>
      </c>
      <c r="AA209" s="249" t="n">
        <f aca="false">(M209+N209)*T209+R209+V209+X209+Y209+Z209</f>
        <v>0</v>
      </c>
      <c r="AB209" s="285" t="e">
        <f aca="false">_xlfn.xlookup(H209,'Prix vente'!A:A,'Prix vente'!X:X, "")</f>
        <v>#NAME?</v>
      </c>
      <c r="AC209" s="285" t="e">
        <f aca="false">_xlfn.xlookup(H209,'Prix vente'!A:A,'Prix vente'!Z:Z, "")</f>
        <v>#NAME?</v>
      </c>
      <c r="AD209" s="249" t="n">
        <f aca="false">IFERROR(IF(AC209="CAD",(M209+N209)*AB209,(M209+N209)*AB209*S209),0)</f>
        <v>0</v>
      </c>
      <c r="AE209" s="249" t="n">
        <f aca="false">AD209-AA209</f>
        <v>0</v>
      </c>
      <c r="AF209" s="273" t="str">
        <f aca="false">IFERROR(1-AA209/AD209,"")</f>
        <v/>
      </c>
      <c r="AG209" s="252" t="n">
        <f aca="false">((M209+N209)*T209+V209)</f>
        <v>0</v>
      </c>
      <c r="AH209" s="273" t="str">
        <f aca="false">IFERROR(AG209/AD209,"")</f>
        <v/>
      </c>
      <c r="AI209" s="273" t="str">
        <f aca="false">IFERROR(IF(AD209=0,"S",""),"S")</f>
        <v>S</v>
      </c>
      <c r="AK209" s="15" t="e">
        <v>#NAME?</v>
      </c>
      <c r="AL209" s="15" t="e">
        <f aca="false">_xlfn.xlookup(AK209,A:A,F:F)</f>
        <v>#NAME?</v>
      </c>
      <c r="AM209" s="15" t="e">
        <f aca="false">_xlfn.xlookup(AK209,A:A,J:J)</f>
        <v>#NAME?</v>
      </c>
      <c r="AN209" s="15" t="e">
        <f aca="false">_xlfn.xlookup(AK209,A:A,M:M)+_xlfn.xlookup(AK209,A:A,N:N)</f>
        <v>#NAME?</v>
      </c>
      <c r="AO209" s="223" t="e">
        <f aca="false">_xlfn.xlookup(AK209,A:A,AG:AG)</f>
        <v>#NAME?</v>
      </c>
      <c r="AP209" s="223" t="e">
        <f aca="false">_xlfn.xlookup(AK209,A:A,AD:AD)</f>
        <v>#NAME?</v>
      </c>
      <c r="AQ209" s="223" t="e">
        <f aca="false">_xlfn.xlookup(AK209,A:A,AE:AE)</f>
        <v>#NAME?</v>
      </c>
      <c r="AX209" s="288"/>
      <c r="AY209" s="288"/>
      <c r="AZ209" s="288"/>
      <c r="BB209" s="257" t="e">
        <f aca="false">_xlfn.xlookup(BA209,A:A,F:F)</f>
        <v>#NAME?</v>
      </c>
      <c r="BC209" s="15" t="e">
        <f aca="false">_xlfn.xlookup(BA209,A:A,J:J)</f>
        <v>#NAME?</v>
      </c>
      <c r="BD209" s="75" t="e">
        <f aca="false">_xlfn.xlookup(BA209,A:A,M:M)+_xlfn.xlookup(BA209,A:A,N:N)</f>
        <v>#NAME?</v>
      </c>
      <c r="BE209" s="75" t="e">
        <f aca="false">_xlfn.xlookup(BA209,A157:A1145,AA157:AA1145)</f>
        <v>#NAME?</v>
      </c>
    </row>
    <row r="210" customFormat="false" ht="16.4" hidden="false" customHeight="false" outlineLevel="0" collapsed="false">
      <c r="A210" s="241" t="s">
        <v>1352</v>
      </c>
      <c r="B210" s="1" t="s">
        <v>1057</v>
      </c>
      <c r="C210" s="292" t="n">
        <f aca="false">'Liste WO'!C202</f>
        <v>0</v>
      </c>
      <c r="D210" s="241" t="n">
        <f aca="false">'Liste WO'!D202</f>
        <v>325</v>
      </c>
      <c r="E210" s="241" t="n">
        <f aca="false">'Liste WO'!E202</f>
        <v>0</v>
      </c>
      <c r="F210" s="241" t="e">
        <f aca="false">_xlfn.xlookup(E210,Clients!B:B,Clients!C:C)</f>
        <v>#NAME?</v>
      </c>
      <c r="G210" s="241" t="n">
        <f aca="false">_xlfn.xlookup(D210,'PO Client'!$A:$A,'PO Client'!$F:$F,FALSE())</f>
        <v>0</v>
      </c>
      <c r="H210" s="251" t="n">
        <f aca="false">'Liste WO'!I202</f>
        <v>0</v>
      </c>
      <c r="I210" s="251" t="n">
        <f aca="false">'Liste WO'!J202</f>
        <v>0</v>
      </c>
      <c r="J210" s="244" t="n">
        <f aca="false">'Liste WO'!L202</f>
        <v>0</v>
      </c>
      <c r="K210" s="245"/>
      <c r="L210" s="245"/>
      <c r="M210" s="245"/>
      <c r="N210" s="245"/>
      <c r="O210" s="245"/>
      <c r="P210" s="246"/>
      <c r="Q210" s="219"/>
      <c r="R210" s="247"/>
      <c r="S210" s="272"/>
      <c r="T210" s="248" t="n">
        <f aca="false">_xlfn.xlookup(I210,'Prix MP'!A:A,'Prix MP'!U:U, 0)</f>
        <v>0</v>
      </c>
      <c r="U210" s="249" t="n">
        <f aca="false">(M210+N210)*T210</f>
        <v>0</v>
      </c>
      <c r="V210" s="249" t="n">
        <f aca="false">(K210-M210-L210)*T210</f>
        <v>0</v>
      </c>
      <c r="W210" s="250" t="str">
        <f aca="false">IFERROR((K210-M210-L210)/K210,"")</f>
        <v/>
      </c>
      <c r="X210" s="249" t="n">
        <f aca="false">20.6577/85*O210</f>
        <v>0</v>
      </c>
      <c r="Y210" s="249" t="n">
        <f aca="false">19.2*P210</f>
        <v>0</v>
      </c>
      <c r="Z210" s="249" t="n">
        <f aca="false">125000/52/40*Q210</f>
        <v>0</v>
      </c>
      <c r="AA210" s="249" t="n">
        <f aca="false">(M210+N210)*T210+R210+V210+X210+Y210+Z210</f>
        <v>0</v>
      </c>
      <c r="AB210" s="285" t="e">
        <f aca="false">_xlfn.xlookup(H210,'Prix vente'!A:A,'Prix vente'!X:X, "")</f>
        <v>#NAME?</v>
      </c>
      <c r="AC210" s="285" t="e">
        <f aca="false">_xlfn.xlookup(H210,'Prix vente'!A:A,'Prix vente'!Z:Z, "")</f>
        <v>#NAME?</v>
      </c>
      <c r="AD210" s="249" t="n">
        <f aca="false">IFERROR(IF(AC210="CAD",(M210+N210)*AB210,(M210+N210)*AB210*S210),0)</f>
        <v>0</v>
      </c>
      <c r="AE210" s="249" t="n">
        <f aca="false">AD210-AA210</f>
        <v>0</v>
      </c>
      <c r="AF210" s="273" t="str">
        <f aca="false">IFERROR(1-AA210/AD210,"")</f>
        <v/>
      </c>
      <c r="AG210" s="252" t="n">
        <f aca="false">((M210+N210)*T210+V210)</f>
        <v>0</v>
      </c>
      <c r="AH210" s="273" t="str">
        <f aca="false">IFERROR(AG210/AD210,"")</f>
        <v/>
      </c>
      <c r="AI210" s="273" t="str">
        <f aca="false">IFERROR(IF(AD210=0,"S",""),"S")</f>
        <v>S</v>
      </c>
      <c r="AK210" s="15" t="e">
        <v>#NAME?</v>
      </c>
      <c r="AL210" s="15" t="e">
        <f aca="false">_xlfn.xlookup(AK210,A:A,F:F)</f>
        <v>#NAME?</v>
      </c>
      <c r="AM210" s="15" t="e">
        <f aca="false">_xlfn.xlookup(AK210,A:A,J:J)</f>
        <v>#NAME?</v>
      </c>
      <c r="AN210" s="15" t="e">
        <f aca="false">_xlfn.xlookup(AK210,A:A,M:M)+_xlfn.xlookup(AK210,A:A,N:N)</f>
        <v>#NAME?</v>
      </c>
      <c r="AO210" s="223" t="e">
        <f aca="false">_xlfn.xlookup(AK210,A:A,AG:AG)</f>
        <v>#NAME?</v>
      </c>
      <c r="AP210" s="223" t="e">
        <f aca="false">_xlfn.xlookup(AK210,A:A,AD:AD)</f>
        <v>#NAME?</v>
      </c>
      <c r="AQ210" s="223" t="e">
        <f aca="false">_xlfn.xlookup(AK210,A:A,AE:AE)</f>
        <v>#NAME?</v>
      </c>
      <c r="AX210" s="288"/>
      <c r="AY210" s="288"/>
      <c r="AZ210" s="288"/>
      <c r="BB210" s="257" t="e">
        <f aca="false">_xlfn.xlookup(BA210,A:A,F:F)</f>
        <v>#NAME?</v>
      </c>
      <c r="BC210" s="15" t="e">
        <f aca="false">_xlfn.xlookup(BA210,A:A,J:J)</f>
        <v>#NAME?</v>
      </c>
      <c r="BD210" s="75" t="e">
        <f aca="false">_xlfn.xlookup(BA210,A:A,M:M)+_xlfn.xlookup(BA210,A:A,N:N)</f>
        <v>#NAME?</v>
      </c>
      <c r="BE210" s="75" t="e">
        <f aca="false">_xlfn.xlookup(BA210,A158:A1146,AA158:AA1146)</f>
        <v>#NAME?</v>
      </c>
    </row>
    <row r="211" customFormat="false" ht="16.4" hidden="false" customHeight="false" outlineLevel="0" collapsed="false">
      <c r="A211" s="241" t="s">
        <v>1353</v>
      </c>
      <c r="B211" s="1" t="s">
        <v>1057</v>
      </c>
      <c r="C211" s="292" t="n">
        <f aca="false">'Liste WO'!C203</f>
        <v>0</v>
      </c>
      <c r="D211" s="241" t="n">
        <f aca="false">'Liste WO'!D203</f>
        <v>326</v>
      </c>
      <c r="E211" s="241" t="n">
        <f aca="false">'Liste WO'!E203</f>
        <v>0</v>
      </c>
      <c r="F211" s="241" t="e">
        <f aca="false">_xlfn.xlookup(E211,Clients!B:B,Clients!C:C)</f>
        <v>#NAME?</v>
      </c>
      <c r="G211" s="241" t="n">
        <f aca="false">_xlfn.xlookup(D211,'PO Client'!$A:$A,'PO Client'!$F:$F,FALSE())</f>
        <v>0</v>
      </c>
      <c r="H211" s="251" t="n">
        <f aca="false">'Liste WO'!I203</f>
        <v>0</v>
      </c>
      <c r="I211" s="251" t="n">
        <f aca="false">'Liste WO'!J203</f>
        <v>0</v>
      </c>
      <c r="J211" s="244" t="n">
        <f aca="false">'Liste WO'!L203</f>
        <v>0</v>
      </c>
      <c r="K211" s="245"/>
      <c r="L211" s="245"/>
      <c r="M211" s="245"/>
      <c r="N211" s="245"/>
      <c r="O211" s="245"/>
      <c r="P211" s="246"/>
      <c r="Q211" s="219"/>
      <c r="R211" s="247"/>
      <c r="S211" s="272"/>
      <c r="T211" s="248" t="n">
        <f aca="false">_xlfn.xlookup(I211,'Prix MP'!A:A,'Prix MP'!U:U, 0)</f>
        <v>0</v>
      </c>
      <c r="U211" s="249" t="n">
        <f aca="false">(M211+N211)*T211</f>
        <v>0</v>
      </c>
      <c r="V211" s="249" t="n">
        <f aca="false">(K211-M211-L211)*T211</f>
        <v>0</v>
      </c>
      <c r="W211" s="250" t="str">
        <f aca="false">IFERROR((K211-M211-L211)/K211,"")</f>
        <v/>
      </c>
      <c r="X211" s="249" t="n">
        <f aca="false">20.6577/85*O211</f>
        <v>0</v>
      </c>
      <c r="Y211" s="249" t="n">
        <f aca="false">19.2*P211</f>
        <v>0</v>
      </c>
      <c r="Z211" s="249" t="n">
        <f aca="false">125000/52/40*Q211</f>
        <v>0</v>
      </c>
      <c r="AA211" s="249" t="n">
        <f aca="false">(M211+N211)*T211+R211+V211+X211+Y211+Z211</f>
        <v>0</v>
      </c>
      <c r="AB211" s="285" t="e">
        <f aca="false">_xlfn.xlookup(H211,'Prix vente'!A:A,'Prix vente'!X:X, "")</f>
        <v>#NAME?</v>
      </c>
      <c r="AC211" s="285" t="e">
        <f aca="false">_xlfn.xlookup(H211,'Prix vente'!A:A,'Prix vente'!Z:Z, "")</f>
        <v>#NAME?</v>
      </c>
      <c r="AD211" s="249" t="n">
        <f aca="false">IFERROR(IF(AC211="CAD",(M211+N211)*AB211,(M211+N211)*AB211*S211),0)</f>
        <v>0</v>
      </c>
      <c r="AE211" s="249" t="n">
        <f aca="false">AD211-AA211</f>
        <v>0</v>
      </c>
      <c r="AF211" s="273" t="str">
        <f aca="false">IFERROR(1-AA211/AD211,"")</f>
        <v/>
      </c>
      <c r="AG211" s="252" t="n">
        <f aca="false">((M211+N211)*T211+V211)</f>
        <v>0</v>
      </c>
      <c r="AH211" s="273" t="str">
        <f aca="false">IFERROR(AG211/AD211,"")</f>
        <v/>
      </c>
      <c r="AI211" s="273" t="str">
        <f aca="false">IFERROR(IF(AD211=0,"S",""),"S")</f>
        <v>S</v>
      </c>
      <c r="AK211" s="15" t="e">
        <v>#NAME?</v>
      </c>
      <c r="AL211" s="15" t="e">
        <f aca="false">_xlfn.xlookup(AK211,A:A,F:F)</f>
        <v>#NAME?</v>
      </c>
      <c r="AM211" s="15" t="e">
        <f aca="false">_xlfn.xlookup(AK211,A:A,J:J)</f>
        <v>#NAME?</v>
      </c>
      <c r="AN211" s="15" t="e">
        <f aca="false">_xlfn.xlookup(AK211,A:A,M:M)+_xlfn.xlookup(AK211,A:A,N:N)</f>
        <v>#NAME?</v>
      </c>
      <c r="AO211" s="223" t="e">
        <f aca="false">_xlfn.xlookup(AK211,A:A,AG:AG)</f>
        <v>#NAME?</v>
      </c>
      <c r="AP211" s="223" t="e">
        <f aca="false">_xlfn.xlookup(AK211,A:A,AD:AD)</f>
        <v>#NAME?</v>
      </c>
      <c r="AQ211" s="223" t="e">
        <f aca="false">_xlfn.xlookup(AK211,A:A,AE:AE)</f>
        <v>#NAME?</v>
      </c>
      <c r="AX211" s="288"/>
      <c r="AY211" s="288"/>
      <c r="AZ211" s="288"/>
      <c r="BB211" s="257" t="e">
        <f aca="false">_xlfn.xlookup(BA211,A:A,F:F)</f>
        <v>#NAME?</v>
      </c>
      <c r="BC211" s="15" t="e">
        <f aca="false">_xlfn.xlookup(BA211,A:A,J:J)</f>
        <v>#NAME?</v>
      </c>
      <c r="BD211" s="75" t="e">
        <f aca="false">_xlfn.xlookup(BA211,A:A,M:M)+_xlfn.xlookup(BA211,A:A,N:N)</f>
        <v>#NAME?</v>
      </c>
      <c r="BE211" s="75" t="e">
        <f aca="false">_xlfn.xlookup(BA211,A159:A1147,AA159:AA1147)</f>
        <v>#NAME?</v>
      </c>
    </row>
    <row r="212" customFormat="false" ht="16.4" hidden="false" customHeight="false" outlineLevel="0" collapsed="false">
      <c r="A212" s="241" t="s">
        <v>1354</v>
      </c>
      <c r="B212" s="1" t="s">
        <v>1057</v>
      </c>
      <c r="C212" s="292" t="n">
        <f aca="false">'Liste WO'!C204</f>
        <v>0</v>
      </c>
      <c r="D212" s="241" t="n">
        <f aca="false">'Liste WO'!D204</f>
        <v>327</v>
      </c>
      <c r="E212" s="241" t="n">
        <f aca="false">'Liste WO'!E204</f>
        <v>0</v>
      </c>
      <c r="F212" s="241" t="e">
        <f aca="false">_xlfn.xlookup(E212,Clients!B:B,Clients!C:C)</f>
        <v>#NAME?</v>
      </c>
      <c r="G212" s="241" t="n">
        <f aca="false">_xlfn.xlookup(D212,'PO Client'!$A:$A,'PO Client'!$F:$F,FALSE())</f>
        <v>0</v>
      </c>
      <c r="H212" s="251" t="n">
        <f aca="false">'Liste WO'!I204</f>
        <v>0</v>
      </c>
      <c r="I212" s="251" t="n">
        <f aca="false">'Liste WO'!J204</f>
        <v>0</v>
      </c>
      <c r="J212" s="244" t="e">
        <f aca="false">'Liste WO'!L204</f>
        <v>#NAME?</v>
      </c>
      <c r="K212" s="245"/>
      <c r="L212" s="245"/>
      <c r="M212" s="245"/>
      <c r="N212" s="245"/>
      <c r="O212" s="245"/>
      <c r="P212" s="246"/>
      <c r="Q212" s="219"/>
      <c r="R212" s="247"/>
      <c r="S212" s="272"/>
      <c r="T212" s="248" t="n">
        <f aca="false">_xlfn.xlookup(I212,'Prix MP'!A:A,'Prix MP'!U:U, 0)</f>
        <v>0</v>
      </c>
      <c r="U212" s="249" t="n">
        <f aca="false">(M212+N212)*T212</f>
        <v>0</v>
      </c>
      <c r="V212" s="249" t="n">
        <f aca="false">(K212-M212-L212)*T212</f>
        <v>0</v>
      </c>
      <c r="W212" s="250" t="str">
        <f aca="false">IFERROR((K212-M212-L212)/K212,"")</f>
        <v/>
      </c>
      <c r="X212" s="249" t="n">
        <f aca="false">20.6577/85*O212</f>
        <v>0</v>
      </c>
      <c r="Y212" s="249" t="n">
        <f aca="false">19.2*P212</f>
        <v>0</v>
      </c>
      <c r="Z212" s="249" t="n">
        <f aca="false">125000/52/40*Q212</f>
        <v>0</v>
      </c>
      <c r="AA212" s="249" t="n">
        <f aca="false">(M212+N212)*T212+R212+V212+X212+Y212+Z212</f>
        <v>0</v>
      </c>
      <c r="AB212" s="285" t="e">
        <f aca="false">_xlfn.xlookup(H212,'Prix vente'!A:A,'Prix vente'!X:X, "")</f>
        <v>#NAME?</v>
      </c>
      <c r="AC212" s="285" t="e">
        <f aca="false">_xlfn.xlookup(H212,'Prix vente'!A:A,'Prix vente'!Z:Z, "")</f>
        <v>#NAME?</v>
      </c>
      <c r="AD212" s="249" t="n">
        <f aca="false">IFERROR(IF(AC212="CAD",(M212+N212)*AB212,(M212+N212)*AB212*S212),0)</f>
        <v>0</v>
      </c>
      <c r="AE212" s="249" t="n">
        <f aca="false">AD212-AA212</f>
        <v>0</v>
      </c>
      <c r="AF212" s="273" t="str">
        <f aca="false">IFERROR(1-AA212/AD212,"")</f>
        <v/>
      </c>
      <c r="AG212" s="252" t="n">
        <f aca="false">((M212+N212)*T212+V212)</f>
        <v>0</v>
      </c>
      <c r="AH212" s="273" t="str">
        <f aca="false">IFERROR(AG212/AD212,"")</f>
        <v/>
      </c>
      <c r="AI212" s="273" t="str">
        <f aca="false">IFERROR(IF(AD212=0,"S",""),"S")</f>
        <v>S</v>
      </c>
      <c r="AK212" s="15" t="e">
        <v>#NAME?</v>
      </c>
      <c r="AL212" s="15" t="e">
        <f aca="false">_xlfn.xlookup(AK212,A:A,F:F)</f>
        <v>#NAME?</v>
      </c>
      <c r="AM212" s="15" t="e">
        <f aca="false">_xlfn.xlookup(AK212,A:A,J:J)</f>
        <v>#NAME?</v>
      </c>
      <c r="AN212" s="15" t="e">
        <f aca="false">_xlfn.xlookup(AK212,A:A,M:M)+_xlfn.xlookup(AK212,A:A,N:N)</f>
        <v>#NAME?</v>
      </c>
      <c r="AO212" s="223" t="e">
        <f aca="false">_xlfn.xlookup(AK212,A:A,AG:AG)</f>
        <v>#NAME?</v>
      </c>
      <c r="AP212" s="223" t="e">
        <f aca="false">_xlfn.xlookup(AK212,A:A,AD:AD)</f>
        <v>#NAME?</v>
      </c>
      <c r="AQ212" s="223" t="e">
        <f aca="false">_xlfn.xlookup(AK212,A:A,AE:AE)</f>
        <v>#NAME?</v>
      </c>
      <c r="AX212" s="288"/>
      <c r="AY212" s="288"/>
      <c r="AZ212" s="288"/>
      <c r="BB212" s="257" t="e">
        <f aca="false">_xlfn.xlookup(BA212,A:A,F:F)</f>
        <v>#NAME?</v>
      </c>
      <c r="BC212" s="15" t="e">
        <f aca="false">_xlfn.xlookup(BA212,A:A,J:J)</f>
        <v>#NAME?</v>
      </c>
      <c r="BD212" s="75" t="e">
        <f aca="false">_xlfn.xlookup(BA212,A:A,M:M)+_xlfn.xlookup(BA212,A:A,N:N)</f>
        <v>#NAME?</v>
      </c>
      <c r="BE212" s="75" t="e">
        <f aca="false">_xlfn.xlookup(BA212,A160:A1148,AA160:AA1148)</f>
        <v>#NAME?</v>
      </c>
    </row>
    <row r="213" customFormat="false" ht="16.4" hidden="false" customHeight="false" outlineLevel="0" collapsed="false">
      <c r="A213" s="241" t="s">
        <v>1355</v>
      </c>
      <c r="B213" s="1" t="s">
        <v>1057</v>
      </c>
      <c r="C213" s="292" t="n">
        <f aca="false">'Liste WO'!C205</f>
        <v>0</v>
      </c>
      <c r="D213" s="241" t="n">
        <f aca="false">'Liste WO'!D205</f>
        <v>328</v>
      </c>
      <c r="E213" s="241" t="n">
        <f aca="false">'Liste WO'!E205</f>
        <v>0</v>
      </c>
      <c r="F213" s="241" t="e">
        <f aca="false">_xlfn.xlookup(E213,Clients!B:B,Clients!C:C)</f>
        <v>#NAME?</v>
      </c>
      <c r="G213" s="241" t="n">
        <f aca="false">_xlfn.xlookup(D213,'PO Client'!$A:$A,'PO Client'!$F:$F,FALSE())</f>
        <v>0</v>
      </c>
      <c r="H213" s="251" t="n">
        <f aca="false">'Liste WO'!I205</f>
        <v>0</v>
      </c>
      <c r="I213" s="251" t="n">
        <f aca="false">'Liste WO'!J205</f>
        <v>0</v>
      </c>
      <c r="J213" s="244" t="n">
        <f aca="false">'Liste WO'!L205</f>
        <v>0</v>
      </c>
      <c r="K213" s="245"/>
      <c r="L213" s="245"/>
      <c r="M213" s="245"/>
      <c r="N213" s="245"/>
      <c r="O213" s="245"/>
      <c r="P213" s="246"/>
      <c r="Q213" s="219"/>
      <c r="R213" s="247"/>
      <c r="S213" s="272"/>
      <c r="T213" s="248" t="n">
        <f aca="false">_xlfn.xlookup(I213,'Prix MP'!A:A,'Prix MP'!U:U, 0)</f>
        <v>0</v>
      </c>
      <c r="U213" s="249" t="n">
        <f aca="false">(M213+N213)*T213</f>
        <v>0</v>
      </c>
      <c r="V213" s="249" t="n">
        <f aca="false">(K213-M213-L213)*T213</f>
        <v>0</v>
      </c>
      <c r="W213" s="250" t="str">
        <f aca="false">IFERROR((K213-M213-L213)/K213,"")</f>
        <v/>
      </c>
      <c r="X213" s="249" t="n">
        <f aca="false">20.6577/85*O213</f>
        <v>0</v>
      </c>
      <c r="Y213" s="249" t="n">
        <f aca="false">19.2*P213</f>
        <v>0</v>
      </c>
      <c r="Z213" s="249" t="n">
        <f aca="false">125000/52/40*Q213</f>
        <v>0</v>
      </c>
      <c r="AA213" s="249" t="n">
        <f aca="false">(M213+N213)*T213+R213+V213+X213+Y213+Z213</f>
        <v>0</v>
      </c>
      <c r="AB213" s="285" t="e">
        <f aca="false">_xlfn.xlookup(H213,'Prix vente'!A:A,'Prix vente'!X:X, "")</f>
        <v>#NAME?</v>
      </c>
      <c r="AC213" s="285" t="e">
        <f aca="false">_xlfn.xlookup(H213,'Prix vente'!A:A,'Prix vente'!Z:Z, "")</f>
        <v>#NAME?</v>
      </c>
      <c r="AD213" s="249" t="n">
        <f aca="false">IFERROR(IF(AC213="CAD",(M213+N213)*AB213,(M213+N213)*AB213*S213),0)</f>
        <v>0</v>
      </c>
      <c r="AE213" s="249" t="n">
        <f aca="false">AD213-AA213</f>
        <v>0</v>
      </c>
      <c r="AF213" s="273" t="str">
        <f aca="false">IFERROR(1-AA213/AD213,"")</f>
        <v/>
      </c>
      <c r="AG213" s="252" t="n">
        <f aca="false">((M213+N213)*T213+V213)</f>
        <v>0</v>
      </c>
      <c r="AH213" s="273" t="str">
        <f aca="false">IFERROR(AG213/AD213,"")</f>
        <v/>
      </c>
      <c r="AI213" s="273" t="str">
        <f aca="false">IFERROR(IF(AD213=0,"S",""),"S")</f>
        <v>S</v>
      </c>
      <c r="AK213" s="15" t="e">
        <v>#NAME?</v>
      </c>
      <c r="AL213" s="15" t="e">
        <f aca="false">_xlfn.xlookup(AK213,A:A,F:F)</f>
        <v>#NAME?</v>
      </c>
      <c r="AM213" s="15" t="e">
        <f aca="false">_xlfn.xlookup(AK213,A:A,J:J)</f>
        <v>#NAME?</v>
      </c>
      <c r="AN213" s="15" t="e">
        <f aca="false">_xlfn.xlookup(AK213,A:A,M:M)+_xlfn.xlookup(AK213,A:A,N:N)</f>
        <v>#NAME?</v>
      </c>
      <c r="AO213" s="223" t="e">
        <f aca="false">_xlfn.xlookup(AK213,A:A,AG:AG)</f>
        <v>#NAME?</v>
      </c>
      <c r="AP213" s="223" t="e">
        <f aca="false">_xlfn.xlookup(AK213,A:A,AD:AD)</f>
        <v>#NAME?</v>
      </c>
      <c r="AQ213" s="223" t="e">
        <f aca="false">_xlfn.xlookup(AK213,A:A,AE:AE)</f>
        <v>#NAME?</v>
      </c>
      <c r="AX213" s="288"/>
      <c r="AY213" s="288"/>
      <c r="AZ213" s="288"/>
      <c r="BB213" s="257" t="e">
        <f aca="false">_xlfn.xlookup(BA213,A:A,F:F)</f>
        <v>#NAME?</v>
      </c>
      <c r="BC213" s="15" t="e">
        <f aca="false">_xlfn.xlookup(BA213,A:A,J:J)</f>
        <v>#NAME?</v>
      </c>
      <c r="BD213" s="75" t="e">
        <f aca="false">_xlfn.xlookup(BA213,A:A,M:M)+_xlfn.xlookup(BA213,A:A,N:N)</f>
        <v>#NAME?</v>
      </c>
      <c r="BE213" s="75" t="e">
        <f aca="false">_xlfn.xlookup(BA213,A161:A1149,AA161:AA1149)</f>
        <v>#NAME?</v>
      </c>
    </row>
    <row r="214" customFormat="false" ht="16.4" hidden="false" customHeight="false" outlineLevel="0" collapsed="false">
      <c r="A214" s="241" t="s">
        <v>1356</v>
      </c>
      <c r="B214" s="1" t="s">
        <v>1057</v>
      </c>
      <c r="C214" s="292" t="n">
        <f aca="false">'Liste WO'!C206</f>
        <v>0</v>
      </c>
      <c r="D214" s="241" t="n">
        <f aca="false">'Liste WO'!D206</f>
        <v>329</v>
      </c>
      <c r="E214" s="241" t="n">
        <f aca="false">'Liste WO'!E206</f>
        <v>0</v>
      </c>
      <c r="F214" s="241" t="e">
        <f aca="false">_xlfn.xlookup(E214,Clients!B:B,Clients!C:C)</f>
        <v>#NAME?</v>
      </c>
      <c r="G214" s="241" t="n">
        <f aca="false">_xlfn.xlookup(D214,'PO Client'!$A:$A,'PO Client'!$F:$F,FALSE())</f>
        <v>0</v>
      </c>
      <c r="H214" s="251" t="n">
        <f aca="false">'Liste WO'!I206</f>
        <v>0</v>
      </c>
      <c r="I214" s="251" t="n">
        <f aca="false">'Liste WO'!J206</f>
        <v>0</v>
      </c>
      <c r="J214" s="244" t="n">
        <f aca="false">'Liste WO'!L206</f>
        <v>0</v>
      </c>
      <c r="K214" s="245"/>
      <c r="L214" s="245"/>
      <c r="M214" s="245"/>
      <c r="N214" s="245"/>
      <c r="O214" s="245"/>
      <c r="P214" s="246"/>
      <c r="Q214" s="219"/>
      <c r="R214" s="247"/>
      <c r="S214" s="272"/>
      <c r="T214" s="248" t="n">
        <f aca="false">_xlfn.xlookup(I214,'Prix MP'!A:A,'Prix MP'!U:U, 0)</f>
        <v>0</v>
      </c>
      <c r="U214" s="249" t="n">
        <f aca="false">(M214+N214)*T214</f>
        <v>0</v>
      </c>
      <c r="V214" s="249" t="n">
        <f aca="false">(K214-M214-L214)*T214</f>
        <v>0</v>
      </c>
      <c r="W214" s="250" t="str">
        <f aca="false">IFERROR((K214-M214-L214)/K214,"")</f>
        <v/>
      </c>
      <c r="X214" s="249" t="n">
        <f aca="false">20.6577/85*O214</f>
        <v>0</v>
      </c>
      <c r="Y214" s="249" t="n">
        <f aca="false">19.2*P214</f>
        <v>0</v>
      </c>
      <c r="Z214" s="249" t="n">
        <f aca="false">125000/52/40*Q214</f>
        <v>0</v>
      </c>
      <c r="AA214" s="249" t="n">
        <f aca="false">(M214+N214)*T214+R214+V214+X214+Y214+Z214</f>
        <v>0</v>
      </c>
      <c r="AB214" s="285" t="e">
        <f aca="false">_xlfn.xlookup(H214,'Prix vente'!A:A,'Prix vente'!X:X, "")</f>
        <v>#NAME?</v>
      </c>
      <c r="AC214" s="285" t="e">
        <f aca="false">_xlfn.xlookup(H214,'Prix vente'!A:A,'Prix vente'!Z:Z, "")</f>
        <v>#NAME?</v>
      </c>
      <c r="AD214" s="249" t="n">
        <f aca="false">IFERROR(IF(AC214="CAD",(M214+N214)*AB214,(M214+N214)*AB214*S214),0)</f>
        <v>0</v>
      </c>
      <c r="AE214" s="249" t="n">
        <f aca="false">AD214-AA214</f>
        <v>0</v>
      </c>
      <c r="AF214" s="273" t="str">
        <f aca="false">IFERROR(1-AA214/AD214,"")</f>
        <v/>
      </c>
      <c r="AG214" s="252" t="n">
        <f aca="false">((M214+N214)*T214+V214)</f>
        <v>0</v>
      </c>
      <c r="AH214" s="273" t="str">
        <f aca="false">IFERROR(AG214/AD214,"")</f>
        <v/>
      </c>
      <c r="AI214" s="273" t="str">
        <f aca="false">IFERROR(IF(AD214=0,"S",""),"S")</f>
        <v>S</v>
      </c>
      <c r="AK214" s="15" t="e">
        <v>#NAME?</v>
      </c>
      <c r="AL214" s="15" t="e">
        <f aca="false">_xlfn.xlookup(AK214,A:A,F:F)</f>
        <v>#NAME?</v>
      </c>
      <c r="AM214" s="15" t="e">
        <f aca="false">_xlfn.xlookup(AK214,A:A,J:J)</f>
        <v>#NAME?</v>
      </c>
      <c r="AN214" s="15" t="e">
        <f aca="false">_xlfn.xlookup(AK214,A:A,M:M)+_xlfn.xlookup(AK214,A:A,N:N)</f>
        <v>#NAME?</v>
      </c>
      <c r="AO214" s="223" t="e">
        <f aca="false">_xlfn.xlookup(AK214,A:A,AG:AG)</f>
        <v>#NAME?</v>
      </c>
      <c r="AP214" s="223" t="e">
        <f aca="false">_xlfn.xlookup(AK214,A:A,AD:AD)</f>
        <v>#NAME?</v>
      </c>
      <c r="AQ214" s="223" t="e">
        <f aca="false">_xlfn.xlookup(AK214,A:A,AE:AE)</f>
        <v>#NAME?</v>
      </c>
      <c r="AX214" s="288"/>
      <c r="AY214" s="288"/>
      <c r="AZ214" s="288"/>
      <c r="BB214" s="257" t="e">
        <f aca="false">_xlfn.xlookup(BA214,A:A,F:F)</f>
        <v>#NAME?</v>
      </c>
      <c r="BC214" s="15" t="e">
        <f aca="false">_xlfn.xlookup(BA214,A:A,J:J)</f>
        <v>#NAME?</v>
      </c>
      <c r="BD214" s="75" t="e">
        <f aca="false">_xlfn.xlookup(BA214,A:A,M:M)+_xlfn.xlookup(BA214,A:A,N:N)</f>
        <v>#NAME?</v>
      </c>
      <c r="BE214" s="75" t="e">
        <f aca="false">_xlfn.xlookup(BA214,A162:A1150,AA162:AA1150)</f>
        <v>#NAME?</v>
      </c>
    </row>
    <row r="215" customFormat="false" ht="16.4" hidden="false" customHeight="false" outlineLevel="0" collapsed="false">
      <c r="A215" s="241" t="s">
        <v>1357</v>
      </c>
      <c r="B215" s="1" t="s">
        <v>1057</v>
      </c>
      <c r="C215" s="292" t="n">
        <f aca="false">'Liste WO'!C207</f>
        <v>0</v>
      </c>
      <c r="D215" s="241" t="n">
        <f aca="false">'Liste WO'!D207</f>
        <v>330</v>
      </c>
      <c r="E215" s="241" t="n">
        <f aca="false">'Liste WO'!E207</f>
        <v>0</v>
      </c>
      <c r="F215" s="241" t="e">
        <f aca="false">_xlfn.xlookup(E215,Clients!B:B,Clients!C:C)</f>
        <v>#NAME?</v>
      </c>
      <c r="G215" s="241" t="n">
        <f aca="false">_xlfn.xlookup(D215,'PO Client'!$A:$A,'PO Client'!$F:$F,FALSE())</f>
        <v>0</v>
      </c>
      <c r="H215" s="251" t="n">
        <f aca="false">'Liste WO'!I207</f>
        <v>0</v>
      </c>
      <c r="I215" s="251" t="n">
        <f aca="false">'Liste WO'!J207</f>
        <v>0</v>
      </c>
      <c r="J215" s="244" t="n">
        <f aca="false">'Liste WO'!L207</f>
        <v>0</v>
      </c>
      <c r="K215" s="245"/>
      <c r="L215" s="245"/>
      <c r="M215" s="245"/>
      <c r="N215" s="245"/>
      <c r="O215" s="245"/>
      <c r="P215" s="246"/>
      <c r="Q215" s="219"/>
      <c r="R215" s="247"/>
      <c r="S215" s="272"/>
      <c r="T215" s="248" t="n">
        <f aca="false">_xlfn.xlookup(I215,'Prix MP'!A:A,'Prix MP'!U:U, 0)</f>
        <v>0</v>
      </c>
      <c r="U215" s="249" t="n">
        <f aca="false">(M215+N215)*T215</f>
        <v>0</v>
      </c>
      <c r="V215" s="249" t="n">
        <f aca="false">(K215-M215-L215)*T215</f>
        <v>0</v>
      </c>
      <c r="W215" s="250" t="str">
        <f aca="false">IFERROR((K215-M215-L215)/K215,"")</f>
        <v/>
      </c>
      <c r="X215" s="249" t="n">
        <f aca="false">20.6577/85*O215</f>
        <v>0</v>
      </c>
      <c r="Y215" s="249" t="n">
        <f aca="false">19.2*P215</f>
        <v>0</v>
      </c>
      <c r="Z215" s="249" t="n">
        <f aca="false">125000/52/40*Q215</f>
        <v>0</v>
      </c>
      <c r="AA215" s="249" t="n">
        <f aca="false">(M215+N215)*T215+R215+V215+X215+Y215+Z215</f>
        <v>0</v>
      </c>
      <c r="AB215" s="285" t="e">
        <f aca="false">_xlfn.xlookup(H215,'Prix vente'!A:A,'Prix vente'!X:X, "")</f>
        <v>#NAME?</v>
      </c>
      <c r="AC215" s="285" t="e">
        <f aca="false">_xlfn.xlookup(H215,'Prix vente'!A:A,'Prix vente'!Z:Z, "")</f>
        <v>#NAME?</v>
      </c>
      <c r="AD215" s="249" t="n">
        <f aca="false">IFERROR(IF(AC215="CAD",(M215+N215)*AB215,(M215+N215)*AB215*S215),0)</f>
        <v>0</v>
      </c>
      <c r="AE215" s="249" t="n">
        <f aca="false">AD215-AA215</f>
        <v>0</v>
      </c>
      <c r="AF215" s="273" t="str">
        <f aca="false">IFERROR(1-AA215/AD215,"")</f>
        <v/>
      </c>
      <c r="AG215" s="252" t="n">
        <f aca="false">((M215+N215)*T215+V215)</f>
        <v>0</v>
      </c>
      <c r="AH215" s="273" t="str">
        <f aca="false">IFERROR(AG215/AD215,"")</f>
        <v/>
      </c>
      <c r="AI215" s="273" t="str">
        <f aca="false">IFERROR(IF(AD215=0,"S",""),"S")</f>
        <v>S</v>
      </c>
      <c r="AK215" s="15" t="e">
        <v>#NAME?</v>
      </c>
      <c r="AL215" s="15" t="e">
        <f aca="false">_xlfn.xlookup(AK215,A:A,F:F)</f>
        <v>#NAME?</v>
      </c>
      <c r="AM215" s="15" t="e">
        <f aca="false">_xlfn.xlookup(AK215,A:A,J:J)</f>
        <v>#NAME?</v>
      </c>
      <c r="AN215" s="15" t="e">
        <f aca="false">_xlfn.xlookup(AK215,A:A,M:M)+_xlfn.xlookup(AK215,A:A,N:N)</f>
        <v>#NAME?</v>
      </c>
      <c r="AO215" s="223" t="e">
        <f aca="false">_xlfn.xlookup(AK215,A:A,AG:AG)</f>
        <v>#NAME?</v>
      </c>
      <c r="AP215" s="223" t="e">
        <f aca="false">_xlfn.xlookup(AK215,A:A,AD:AD)</f>
        <v>#NAME?</v>
      </c>
      <c r="AQ215" s="223" t="e">
        <f aca="false">_xlfn.xlookup(AK215,A:A,AE:AE)</f>
        <v>#NAME?</v>
      </c>
      <c r="AX215" s="288"/>
      <c r="AY215" s="288"/>
      <c r="AZ215" s="288"/>
      <c r="BB215" s="257" t="e">
        <f aca="false">_xlfn.xlookup(BA215,A:A,F:F)</f>
        <v>#NAME?</v>
      </c>
      <c r="BC215" s="15" t="e">
        <f aca="false">_xlfn.xlookup(BA215,A:A,J:J)</f>
        <v>#NAME?</v>
      </c>
      <c r="BD215" s="75" t="e">
        <f aca="false">_xlfn.xlookup(BA215,A:A,M:M)+_xlfn.xlookup(BA215,A:A,N:N)</f>
        <v>#NAME?</v>
      </c>
      <c r="BE215" s="75" t="e">
        <f aca="false">_xlfn.xlookup(BA215,A163:A1151,AA163:AA1151)</f>
        <v>#NAME?</v>
      </c>
    </row>
    <row r="216" customFormat="false" ht="16.4" hidden="false" customHeight="false" outlineLevel="0" collapsed="false">
      <c r="A216" s="241" t="s">
        <v>1358</v>
      </c>
      <c r="B216" s="1" t="s">
        <v>1057</v>
      </c>
      <c r="C216" s="292" t="n">
        <f aca="false">'Liste WO'!C208</f>
        <v>0</v>
      </c>
      <c r="D216" s="241" t="n">
        <f aca="false">'Liste WO'!D208</f>
        <v>331</v>
      </c>
      <c r="E216" s="241" t="n">
        <f aca="false">'Liste WO'!E208</f>
        <v>0</v>
      </c>
      <c r="F216" s="241" t="e">
        <f aca="false">_xlfn.xlookup(E216,Clients!B:B,Clients!C:C)</f>
        <v>#NAME?</v>
      </c>
      <c r="G216" s="241" t="n">
        <f aca="false">_xlfn.xlookup(D216,'PO Client'!$A:$A,'PO Client'!$F:$F,FALSE())</f>
        <v>0</v>
      </c>
      <c r="H216" s="251" t="n">
        <f aca="false">'Liste WO'!I208</f>
        <v>0</v>
      </c>
      <c r="I216" s="251" t="n">
        <f aca="false">'Liste WO'!J208</f>
        <v>0</v>
      </c>
      <c r="J216" s="244" t="e">
        <f aca="false">'Liste WO'!L208</f>
        <v>#NAME?</v>
      </c>
      <c r="K216" s="245"/>
      <c r="L216" s="245"/>
      <c r="M216" s="245"/>
      <c r="N216" s="245"/>
      <c r="O216" s="245"/>
      <c r="P216" s="246"/>
      <c r="Q216" s="219"/>
      <c r="R216" s="247"/>
      <c r="S216" s="272"/>
      <c r="T216" s="248" t="n">
        <f aca="false">_xlfn.xlookup(I216,'Prix MP'!A:A,'Prix MP'!U:U, 0)</f>
        <v>0</v>
      </c>
      <c r="U216" s="249" t="n">
        <f aca="false">(M216+N216)*T216</f>
        <v>0</v>
      </c>
      <c r="V216" s="249" t="n">
        <f aca="false">(K216-M216-L216)*T216</f>
        <v>0</v>
      </c>
      <c r="W216" s="250" t="str">
        <f aca="false">IFERROR((K216-M216-L216)/K216,"")</f>
        <v/>
      </c>
      <c r="X216" s="249" t="n">
        <f aca="false">20.6577/85*O216</f>
        <v>0</v>
      </c>
      <c r="Y216" s="249" t="n">
        <f aca="false">19.2*P216</f>
        <v>0</v>
      </c>
      <c r="Z216" s="249" t="n">
        <f aca="false">125000/52/40*Q216</f>
        <v>0</v>
      </c>
      <c r="AA216" s="249" t="n">
        <f aca="false">(M216+N216)*T216+R216+V216+X216+Y216+Z216</f>
        <v>0</v>
      </c>
      <c r="AB216" s="285" t="e">
        <f aca="false">_xlfn.xlookup(H216,'Prix vente'!A:A,'Prix vente'!X:X, "")</f>
        <v>#NAME?</v>
      </c>
      <c r="AC216" s="285" t="e">
        <f aca="false">_xlfn.xlookup(H216,'Prix vente'!A:A,'Prix vente'!Z:Z, "")</f>
        <v>#NAME?</v>
      </c>
      <c r="AD216" s="249" t="n">
        <f aca="false">IFERROR(IF(AC216="CAD",(M216+N216)*AB216,(M216+N216)*AB216*S216),0)</f>
        <v>0</v>
      </c>
      <c r="AE216" s="249" t="n">
        <f aca="false">AD216-AA216</f>
        <v>0</v>
      </c>
      <c r="AF216" s="273" t="str">
        <f aca="false">IFERROR(1-AA216/AD216,"")</f>
        <v/>
      </c>
      <c r="AG216" s="252" t="n">
        <f aca="false">((M216+N216)*T216+V216)</f>
        <v>0</v>
      </c>
      <c r="AH216" s="273" t="str">
        <f aca="false">IFERROR(AG216/AD216,"")</f>
        <v/>
      </c>
      <c r="AI216" s="273" t="str">
        <f aca="false">IFERROR(IF(AD216=0,"S",""),"S")</f>
        <v>S</v>
      </c>
      <c r="AK216" s="15" t="e">
        <v>#NAME?</v>
      </c>
      <c r="AL216" s="15" t="e">
        <f aca="false">_xlfn.xlookup(AK216,A:A,F:F)</f>
        <v>#NAME?</v>
      </c>
      <c r="AM216" s="15" t="e">
        <f aca="false">_xlfn.xlookup(AK216,A:A,J:J)</f>
        <v>#NAME?</v>
      </c>
      <c r="AN216" s="15" t="e">
        <f aca="false">_xlfn.xlookup(AK216,A:A,M:M)+_xlfn.xlookup(AK216,A:A,N:N)</f>
        <v>#NAME?</v>
      </c>
      <c r="AO216" s="223" t="e">
        <f aca="false">_xlfn.xlookup(AK216,A:A,AG:AG)</f>
        <v>#NAME?</v>
      </c>
      <c r="AP216" s="223" t="e">
        <f aca="false">_xlfn.xlookup(AK216,A:A,AD:AD)</f>
        <v>#NAME?</v>
      </c>
      <c r="AQ216" s="223" t="e">
        <f aca="false">_xlfn.xlookup(AK216,A:A,AE:AE)</f>
        <v>#NAME?</v>
      </c>
      <c r="AX216" s="288"/>
      <c r="AY216" s="288"/>
      <c r="AZ216" s="288"/>
      <c r="BB216" s="257" t="e">
        <f aca="false">_xlfn.xlookup(BA216,A:A,F:F)</f>
        <v>#NAME?</v>
      </c>
      <c r="BC216" s="15" t="e">
        <f aca="false">_xlfn.xlookup(BA216,A:A,J:J)</f>
        <v>#NAME?</v>
      </c>
      <c r="BD216" s="75" t="e">
        <f aca="false">_xlfn.xlookup(BA216,A:A,M:M)+_xlfn.xlookup(BA216,A:A,N:N)</f>
        <v>#NAME?</v>
      </c>
      <c r="BE216" s="75" t="e">
        <f aca="false">_xlfn.xlookup(BA216,A164:A1152,AA164:AA1152)</f>
        <v>#NAME?</v>
      </c>
    </row>
    <row r="217" customFormat="false" ht="16.4" hidden="false" customHeight="false" outlineLevel="0" collapsed="false">
      <c r="A217" s="241" t="s">
        <v>1359</v>
      </c>
      <c r="B217" s="1" t="s">
        <v>1057</v>
      </c>
      <c r="C217" s="292" t="n">
        <f aca="false">'Liste WO'!C209</f>
        <v>0</v>
      </c>
      <c r="D217" s="241" t="n">
        <f aca="false">'Liste WO'!D209</f>
        <v>332</v>
      </c>
      <c r="E217" s="241" t="n">
        <f aca="false">'Liste WO'!E209</f>
        <v>0</v>
      </c>
      <c r="F217" s="241" t="e">
        <f aca="false">_xlfn.xlookup(E217,Clients!B:B,Clients!C:C)</f>
        <v>#NAME?</v>
      </c>
      <c r="G217" s="241" t="n">
        <f aca="false">_xlfn.xlookup(D217,'PO Client'!$A:$A,'PO Client'!$F:$F,FALSE())</f>
        <v>0</v>
      </c>
      <c r="H217" s="251" t="n">
        <f aca="false">'Liste WO'!I209</f>
        <v>0</v>
      </c>
      <c r="I217" s="251" t="n">
        <f aca="false">'Liste WO'!J209</f>
        <v>0</v>
      </c>
      <c r="J217" s="244" t="n">
        <f aca="false">'Liste WO'!L209</f>
        <v>0</v>
      </c>
      <c r="K217" s="245"/>
      <c r="L217" s="245"/>
      <c r="M217" s="245"/>
      <c r="N217" s="245"/>
      <c r="O217" s="245"/>
      <c r="P217" s="246"/>
      <c r="Q217" s="219"/>
      <c r="R217" s="247"/>
      <c r="S217" s="272"/>
      <c r="T217" s="248" t="n">
        <f aca="false">_xlfn.xlookup(I217,'Prix MP'!A:A,'Prix MP'!U:U, 0)</f>
        <v>0</v>
      </c>
      <c r="U217" s="249" t="n">
        <f aca="false">(M217+N217)*T217</f>
        <v>0</v>
      </c>
      <c r="V217" s="249" t="n">
        <f aca="false">(K217-M217-L217)*T217</f>
        <v>0</v>
      </c>
      <c r="W217" s="250" t="str">
        <f aca="false">IFERROR((K217-M217-L217)/K217,"")</f>
        <v/>
      </c>
      <c r="X217" s="249" t="n">
        <f aca="false">20.6577/85*O217</f>
        <v>0</v>
      </c>
      <c r="Y217" s="249" t="n">
        <f aca="false">19.2*P217</f>
        <v>0</v>
      </c>
      <c r="Z217" s="249" t="n">
        <f aca="false">125000/52/40*Q217</f>
        <v>0</v>
      </c>
      <c r="AA217" s="249" t="n">
        <f aca="false">(M217+N217)*T217+R217+V217+X217+Y217+Z217</f>
        <v>0</v>
      </c>
      <c r="AB217" s="285" t="e">
        <f aca="false">_xlfn.xlookup(H217,'Prix vente'!A:A,'Prix vente'!X:X, "")</f>
        <v>#NAME?</v>
      </c>
      <c r="AC217" s="285" t="e">
        <f aca="false">_xlfn.xlookup(H217,'Prix vente'!A:A,'Prix vente'!Z:Z, "")</f>
        <v>#NAME?</v>
      </c>
      <c r="AD217" s="249" t="n">
        <f aca="false">IFERROR(IF(AC217="CAD",(M217+N217)*AB217,(M217+N217)*AB217*S217),0)</f>
        <v>0</v>
      </c>
      <c r="AE217" s="249" t="n">
        <f aca="false">AD217-AA217</f>
        <v>0</v>
      </c>
      <c r="AF217" s="273" t="str">
        <f aca="false">IFERROR(1-AA217/AD217,"")</f>
        <v/>
      </c>
      <c r="AG217" s="252" t="n">
        <f aca="false">((M217+N217)*T217+V217)</f>
        <v>0</v>
      </c>
      <c r="AH217" s="273" t="str">
        <f aca="false">IFERROR(AG217/AD217,"")</f>
        <v/>
      </c>
      <c r="AI217" s="273" t="str">
        <f aca="false">IFERROR(IF(AD217=0,"S",""),"S")</f>
        <v>S</v>
      </c>
      <c r="AK217" s="15" t="e">
        <v>#NAME?</v>
      </c>
      <c r="AL217" s="15" t="e">
        <f aca="false">_xlfn.xlookup(AK217,A:A,F:F)</f>
        <v>#NAME?</v>
      </c>
      <c r="AM217" s="15" t="e">
        <f aca="false">_xlfn.xlookup(AK217,A:A,J:J)</f>
        <v>#NAME?</v>
      </c>
      <c r="AN217" s="15" t="e">
        <f aca="false">_xlfn.xlookup(AK217,A:A,M:M)+_xlfn.xlookup(AK217,A:A,N:N)</f>
        <v>#NAME?</v>
      </c>
      <c r="AO217" s="223" t="e">
        <f aca="false">_xlfn.xlookup(AK217,A:A,AG:AG)</f>
        <v>#NAME?</v>
      </c>
      <c r="AP217" s="223" t="e">
        <f aca="false">_xlfn.xlookup(AK217,A:A,AD:AD)</f>
        <v>#NAME?</v>
      </c>
      <c r="AQ217" s="223" t="e">
        <f aca="false">_xlfn.xlookup(AK217,A:A,AE:AE)</f>
        <v>#NAME?</v>
      </c>
      <c r="AX217" s="288"/>
      <c r="AY217" s="288"/>
      <c r="AZ217" s="288"/>
      <c r="BB217" s="257" t="e">
        <f aca="false">_xlfn.xlookup(BA217,A:A,F:F)</f>
        <v>#NAME?</v>
      </c>
      <c r="BC217" s="15" t="e">
        <f aca="false">_xlfn.xlookup(BA217,A:A,J:J)</f>
        <v>#NAME?</v>
      </c>
      <c r="BD217" s="75" t="e">
        <f aca="false">_xlfn.xlookup(BA217,A:A,M:M)+_xlfn.xlookup(BA217,A:A,N:N)</f>
        <v>#NAME?</v>
      </c>
      <c r="BE217" s="75" t="e">
        <f aca="false">_xlfn.xlookup(BA217,A165:A1153,AA165:AA1153)</f>
        <v>#NAME?</v>
      </c>
    </row>
    <row r="218" customFormat="false" ht="16.4" hidden="false" customHeight="false" outlineLevel="0" collapsed="false">
      <c r="A218" s="241" t="s">
        <v>1360</v>
      </c>
      <c r="B218" s="1" t="s">
        <v>1057</v>
      </c>
      <c r="C218" s="292" t="n">
        <f aca="false">'Liste WO'!C210</f>
        <v>0</v>
      </c>
      <c r="D218" s="241" t="n">
        <f aca="false">'Liste WO'!D210</f>
        <v>333</v>
      </c>
      <c r="E218" s="241" t="n">
        <f aca="false">'Liste WO'!E210</f>
        <v>0</v>
      </c>
      <c r="F218" s="241" t="e">
        <f aca="false">_xlfn.xlookup(E218,Clients!B:B,Clients!C:C)</f>
        <v>#NAME?</v>
      </c>
      <c r="G218" s="241" t="n">
        <f aca="false">_xlfn.xlookup(D218,'PO Client'!$A:$A,'PO Client'!$F:$F,FALSE())</f>
        <v>0</v>
      </c>
      <c r="H218" s="251" t="n">
        <f aca="false">'Liste WO'!I210</f>
        <v>0</v>
      </c>
      <c r="I218" s="251" t="n">
        <f aca="false">'Liste WO'!J210</f>
        <v>0</v>
      </c>
      <c r="J218" s="244" t="n">
        <f aca="false">'Liste WO'!L210</f>
        <v>0</v>
      </c>
      <c r="K218" s="245"/>
      <c r="L218" s="245"/>
      <c r="M218" s="245"/>
      <c r="N218" s="245"/>
      <c r="O218" s="245"/>
      <c r="P218" s="246"/>
      <c r="Q218" s="219"/>
      <c r="R218" s="247"/>
      <c r="S218" s="272"/>
      <c r="T218" s="248" t="n">
        <f aca="false">_xlfn.xlookup(I218,'Prix MP'!A:A,'Prix MP'!U:U, 0)</f>
        <v>0</v>
      </c>
      <c r="U218" s="249" t="n">
        <f aca="false">(M218+N218)*T218</f>
        <v>0</v>
      </c>
      <c r="V218" s="249" t="n">
        <f aca="false">(K218-M218-L218)*T218</f>
        <v>0</v>
      </c>
      <c r="W218" s="250" t="str">
        <f aca="false">IFERROR((K218-M218-L218)/K218,"")</f>
        <v/>
      </c>
      <c r="X218" s="249" t="n">
        <f aca="false">20.6577/85*O218</f>
        <v>0</v>
      </c>
      <c r="Y218" s="249" t="n">
        <f aca="false">19.2*P218</f>
        <v>0</v>
      </c>
      <c r="Z218" s="249" t="n">
        <f aca="false">125000/52/40*Q218</f>
        <v>0</v>
      </c>
      <c r="AA218" s="249" t="n">
        <f aca="false">(M218+N218)*T218+R218+V218+X218+Y218+Z218</f>
        <v>0</v>
      </c>
      <c r="AB218" s="285" t="e">
        <f aca="false">_xlfn.xlookup(H218,'Prix vente'!A:A,'Prix vente'!X:X, "")</f>
        <v>#NAME?</v>
      </c>
      <c r="AC218" s="285" t="e">
        <f aca="false">_xlfn.xlookup(H218,'Prix vente'!A:A,'Prix vente'!Z:Z, "")</f>
        <v>#NAME?</v>
      </c>
      <c r="AD218" s="249" t="n">
        <f aca="false">IFERROR(IF(AC218="CAD",(M218+N218)*AB218,(M218+N218)*AB218*S218),0)</f>
        <v>0</v>
      </c>
      <c r="AE218" s="249" t="n">
        <f aca="false">AD218-AA218</f>
        <v>0</v>
      </c>
      <c r="AF218" s="273" t="str">
        <f aca="false">IFERROR(1-AA218/AD218,"")</f>
        <v/>
      </c>
      <c r="AG218" s="252" t="n">
        <f aca="false">((M218+N218)*T218+V218)</f>
        <v>0</v>
      </c>
      <c r="AH218" s="273" t="str">
        <f aca="false">IFERROR(AG218/AD218,"")</f>
        <v/>
      </c>
      <c r="AI218" s="273" t="str">
        <f aca="false">IFERROR(IF(AD218=0,"S",""),"S")</f>
        <v>S</v>
      </c>
      <c r="AK218" s="15" t="e">
        <v>#NAME?</v>
      </c>
      <c r="AL218" s="15" t="e">
        <f aca="false">_xlfn.xlookup(AK218,A:A,F:F)</f>
        <v>#NAME?</v>
      </c>
      <c r="AM218" s="15" t="e">
        <f aca="false">_xlfn.xlookup(AK218,A:A,J:J)</f>
        <v>#NAME?</v>
      </c>
      <c r="AN218" s="15" t="e">
        <f aca="false">_xlfn.xlookup(AK218,A:A,M:M)+_xlfn.xlookup(AK218,A:A,N:N)</f>
        <v>#NAME?</v>
      </c>
      <c r="AO218" s="223" t="e">
        <f aca="false">_xlfn.xlookup(AK218,A:A,AG:AG)</f>
        <v>#NAME?</v>
      </c>
      <c r="AP218" s="223" t="e">
        <f aca="false">_xlfn.xlookup(AK218,A:A,AD:AD)</f>
        <v>#NAME?</v>
      </c>
      <c r="AQ218" s="223" t="e">
        <f aca="false">_xlfn.xlookup(AK218,A:A,AE:AE)</f>
        <v>#NAME?</v>
      </c>
      <c r="AX218" s="288"/>
      <c r="AY218" s="288"/>
      <c r="AZ218" s="288"/>
      <c r="BB218" s="257" t="e">
        <f aca="false">_xlfn.xlookup(BA218,A:A,F:F)</f>
        <v>#NAME?</v>
      </c>
      <c r="BC218" s="15" t="e">
        <f aca="false">_xlfn.xlookup(BA218,A:A,J:J)</f>
        <v>#NAME?</v>
      </c>
      <c r="BD218" s="75" t="e">
        <f aca="false">_xlfn.xlookup(BA218,A:A,M:M)+_xlfn.xlookup(BA218,A:A,N:N)</f>
        <v>#NAME?</v>
      </c>
      <c r="BE218" s="75" t="e">
        <f aca="false">_xlfn.xlookup(BA218,A166:A1154,AA166:AA1154)</f>
        <v>#NAME?</v>
      </c>
    </row>
    <row r="219" customFormat="false" ht="16.4" hidden="false" customHeight="false" outlineLevel="0" collapsed="false">
      <c r="A219" s="241" t="s">
        <v>1361</v>
      </c>
      <c r="B219" s="1" t="s">
        <v>1057</v>
      </c>
      <c r="C219" s="292" t="n">
        <f aca="false">'Liste WO'!C211</f>
        <v>0</v>
      </c>
      <c r="D219" s="241" t="n">
        <f aca="false">'Liste WO'!D211</f>
        <v>334</v>
      </c>
      <c r="E219" s="241" t="n">
        <f aca="false">'Liste WO'!E211</f>
        <v>0</v>
      </c>
      <c r="F219" s="241" t="e">
        <f aca="false">_xlfn.xlookup(E219,Clients!B:B,Clients!C:C)</f>
        <v>#NAME?</v>
      </c>
      <c r="G219" s="241" t="n">
        <f aca="false">_xlfn.xlookup(D219,'PO Client'!$A:$A,'PO Client'!$F:$F,FALSE())</f>
        <v>0</v>
      </c>
      <c r="H219" s="251" t="n">
        <f aca="false">'Liste WO'!I211</f>
        <v>0</v>
      </c>
      <c r="I219" s="251" t="n">
        <f aca="false">'Liste WO'!J211</f>
        <v>0</v>
      </c>
      <c r="J219" s="244" t="n">
        <f aca="false">'Liste WO'!L211</f>
        <v>0</v>
      </c>
      <c r="K219" s="245"/>
      <c r="L219" s="245"/>
      <c r="M219" s="245"/>
      <c r="N219" s="245"/>
      <c r="O219" s="245"/>
      <c r="P219" s="246"/>
      <c r="Q219" s="219"/>
      <c r="R219" s="247"/>
      <c r="S219" s="272"/>
      <c r="T219" s="248" t="n">
        <f aca="false">_xlfn.xlookup(I219,'Prix MP'!A:A,'Prix MP'!U:U, 0)</f>
        <v>0</v>
      </c>
      <c r="U219" s="249" t="n">
        <f aca="false">(M219+N219)*T219</f>
        <v>0</v>
      </c>
      <c r="V219" s="249" t="n">
        <f aca="false">(K219-M219-L219)*T219</f>
        <v>0</v>
      </c>
      <c r="W219" s="250" t="str">
        <f aca="false">IFERROR((K219-M219-L219)/K219,"")</f>
        <v/>
      </c>
      <c r="X219" s="249" t="n">
        <f aca="false">20.6577/85*O219</f>
        <v>0</v>
      </c>
      <c r="Y219" s="249" t="n">
        <f aca="false">19.2*P219</f>
        <v>0</v>
      </c>
      <c r="Z219" s="249" t="n">
        <f aca="false">125000/52/40*Q219</f>
        <v>0</v>
      </c>
      <c r="AA219" s="249" t="n">
        <f aca="false">(M219+N219)*T219+R219+V219+X219+Y219+Z219</f>
        <v>0</v>
      </c>
      <c r="AB219" s="285" t="e">
        <f aca="false">_xlfn.xlookup(H219,'Prix vente'!A:A,'Prix vente'!X:X, "")</f>
        <v>#NAME?</v>
      </c>
      <c r="AC219" s="285" t="e">
        <f aca="false">_xlfn.xlookup(H219,'Prix vente'!A:A,'Prix vente'!Z:Z, "")</f>
        <v>#NAME?</v>
      </c>
      <c r="AD219" s="249" t="n">
        <f aca="false">IFERROR(IF(AC219="CAD",(M219+N219)*AB219,(M219+N219)*AB219*S219),0)</f>
        <v>0</v>
      </c>
      <c r="AE219" s="249" t="n">
        <f aca="false">AD219-AA219</f>
        <v>0</v>
      </c>
      <c r="AF219" s="273" t="str">
        <f aca="false">IFERROR(1-AA219/AD219,"")</f>
        <v/>
      </c>
      <c r="AG219" s="252" t="n">
        <f aca="false">((M219+N219)*T219+V219)</f>
        <v>0</v>
      </c>
      <c r="AH219" s="273" t="str">
        <f aca="false">IFERROR(AG219/AD219,"")</f>
        <v/>
      </c>
      <c r="AI219" s="273" t="str">
        <f aca="false">IFERROR(IF(AD219=0,"S",""),"S")</f>
        <v>S</v>
      </c>
      <c r="AK219" s="15" t="e">
        <v>#NAME?</v>
      </c>
      <c r="AL219" s="15" t="e">
        <f aca="false">_xlfn.xlookup(AK219,A:A,F:F)</f>
        <v>#NAME?</v>
      </c>
      <c r="AM219" s="15" t="e">
        <f aca="false">_xlfn.xlookup(AK219,A:A,J:J)</f>
        <v>#NAME?</v>
      </c>
      <c r="AN219" s="15" t="e">
        <f aca="false">_xlfn.xlookup(AK219,A:A,M:M)+_xlfn.xlookup(AK219,A:A,N:N)</f>
        <v>#NAME?</v>
      </c>
      <c r="AO219" s="223" t="e">
        <f aca="false">_xlfn.xlookup(AK219,A:A,AG:AG)</f>
        <v>#NAME?</v>
      </c>
      <c r="AP219" s="223" t="e">
        <f aca="false">_xlfn.xlookup(AK219,A:A,AD:AD)</f>
        <v>#NAME?</v>
      </c>
      <c r="AQ219" s="223" t="e">
        <f aca="false">_xlfn.xlookup(AK219,A:A,AE:AE)</f>
        <v>#NAME?</v>
      </c>
      <c r="AX219" s="288"/>
      <c r="AY219" s="288"/>
      <c r="AZ219" s="288"/>
      <c r="BB219" s="257" t="e">
        <f aca="false">_xlfn.xlookup(BA219,A:A,F:F)</f>
        <v>#NAME?</v>
      </c>
      <c r="BC219" s="15" t="e">
        <f aca="false">_xlfn.xlookup(BA219,A:A,J:J)</f>
        <v>#NAME?</v>
      </c>
      <c r="BD219" s="75" t="e">
        <f aca="false">_xlfn.xlookup(BA219,A:A,M:M)+_xlfn.xlookup(BA219,A:A,N:N)</f>
        <v>#NAME?</v>
      </c>
      <c r="BE219" s="75" t="e">
        <f aca="false">_xlfn.xlookup(BA219,A167:A1155,AA167:AA1155)</f>
        <v>#NAME?</v>
      </c>
    </row>
    <row r="220" customFormat="false" ht="16.4" hidden="false" customHeight="false" outlineLevel="0" collapsed="false">
      <c r="A220" s="241" t="s">
        <v>1362</v>
      </c>
      <c r="B220" s="1" t="s">
        <v>1057</v>
      </c>
      <c r="C220" s="292" t="n">
        <f aca="false">'Liste WO'!C212</f>
        <v>0</v>
      </c>
      <c r="D220" s="241" t="n">
        <f aca="false">'Liste WO'!D212</f>
        <v>335</v>
      </c>
      <c r="E220" s="241" t="n">
        <f aca="false">'Liste WO'!E212</f>
        <v>0</v>
      </c>
      <c r="F220" s="241" t="e">
        <f aca="false">_xlfn.xlookup(E220,Clients!B:B,Clients!C:C)</f>
        <v>#NAME?</v>
      </c>
      <c r="G220" s="241" t="n">
        <f aca="false">_xlfn.xlookup(D220,'PO Client'!$A:$A,'PO Client'!$F:$F,FALSE())</f>
        <v>0</v>
      </c>
      <c r="H220" s="251" t="n">
        <f aca="false">'Liste WO'!I212</f>
        <v>0</v>
      </c>
      <c r="I220" s="251" t="n">
        <f aca="false">'Liste WO'!J212</f>
        <v>0</v>
      </c>
      <c r="J220" s="244" t="e">
        <f aca="false">'Liste WO'!L212</f>
        <v>#NAME?</v>
      </c>
      <c r="K220" s="245"/>
      <c r="L220" s="245"/>
      <c r="M220" s="245"/>
      <c r="N220" s="245"/>
      <c r="O220" s="245"/>
      <c r="P220" s="246"/>
      <c r="Q220" s="219"/>
      <c r="R220" s="247"/>
      <c r="S220" s="272"/>
      <c r="T220" s="248" t="n">
        <f aca="false">_xlfn.xlookup(I220,'Prix MP'!A:A,'Prix MP'!U:U, 0)</f>
        <v>0</v>
      </c>
      <c r="U220" s="249" t="n">
        <f aca="false">(M220+N220)*T220</f>
        <v>0</v>
      </c>
      <c r="V220" s="249" t="n">
        <f aca="false">(K220-M220-L220)*T220</f>
        <v>0</v>
      </c>
      <c r="W220" s="250" t="str">
        <f aca="false">IFERROR((K220-M220-L220)/K220,"")</f>
        <v/>
      </c>
      <c r="X220" s="249" t="n">
        <f aca="false">20.6577/85*O220</f>
        <v>0</v>
      </c>
      <c r="Y220" s="249" t="n">
        <f aca="false">19.2*P220</f>
        <v>0</v>
      </c>
      <c r="Z220" s="249" t="n">
        <f aca="false">125000/52/40*Q220</f>
        <v>0</v>
      </c>
      <c r="AA220" s="249" t="n">
        <f aca="false">(M220+N220)*T220+R220+V220+X220+Y220+Z220</f>
        <v>0</v>
      </c>
      <c r="AB220" s="285" t="e">
        <f aca="false">_xlfn.xlookup(H220,'Prix vente'!A:A,'Prix vente'!X:X, "")</f>
        <v>#NAME?</v>
      </c>
      <c r="AC220" s="285" t="e">
        <f aca="false">_xlfn.xlookup(H220,'Prix vente'!A:A,'Prix vente'!Z:Z, "")</f>
        <v>#NAME?</v>
      </c>
      <c r="AD220" s="249" t="n">
        <f aca="false">IFERROR(IF(AC220="CAD",(M220+N220)*AB220,(M220+N220)*AB220*S220),0)</f>
        <v>0</v>
      </c>
      <c r="AE220" s="249" t="n">
        <f aca="false">AD220-AA220</f>
        <v>0</v>
      </c>
      <c r="AF220" s="273" t="str">
        <f aca="false">IFERROR(1-AA220/AD220,"")</f>
        <v/>
      </c>
      <c r="AG220" s="252" t="n">
        <f aca="false">((M220+N220)*T220+V220)</f>
        <v>0</v>
      </c>
      <c r="AH220" s="273" t="str">
        <f aca="false">IFERROR(AG220/AD220,"")</f>
        <v/>
      </c>
      <c r="AI220" s="273" t="str">
        <f aca="false">IFERROR(IF(AD220=0,"S",""),"S")</f>
        <v>S</v>
      </c>
      <c r="AK220" s="15" t="e">
        <v>#NAME?</v>
      </c>
      <c r="AL220" s="15" t="e">
        <f aca="false">_xlfn.xlookup(AK220,A:A,F:F)</f>
        <v>#NAME?</v>
      </c>
      <c r="AM220" s="15" t="e">
        <f aca="false">_xlfn.xlookup(AK220,A:A,J:J)</f>
        <v>#NAME?</v>
      </c>
      <c r="AN220" s="15" t="e">
        <f aca="false">_xlfn.xlookup(AK220,A:A,M:M)+_xlfn.xlookup(AK220,A:A,N:N)</f>
        <v>#NAME?</v>
      </c>
      <c r="AO220" s="223" t="e">
        <f aca="false">_xlfn.xlookup(AK220,A:A,AG:AG)</f>
        <v>#NAME?</v>
      </c>
      <c r="AP220" s="223" t="e">
        <f aca="false">_xlfn.xlookup(AK220,A:A,AD:AD)</f>
        <v>#NAME?</v>
      </c>
      <c r="AQ220" s="223" t="e">
        <f aca="false">_xlfn.xlookup(AK220,A:A,AE:AE)</f>
        <v>#NAME?</v>
      </c>
      <c r="AX220" s="288"/>
      <c r="AY220" s="288"/>
      <c r="AZ220" s="288"/>
      <c r="BB220" s="257" t="e">
        <f aca="false">_xlfn.xlookup(BA220,A:A,F:F)</f>
        <v>#NAME?</v>
      </c>
      <c r="BC220" s="15" t="e">
        <f aca="false">_xlfn.xlookup(BA220,A:A,J:J)</f>
        <v>#NAME?</v>
      </c>
      <c r="BD220" s="75" t="e">
        <f aca="false">_xlfn.xlookup(BA220,A:A,M:M)+_xlfn.xlookup(BA220,A:A,N:N)</f>
        <v>#NAME?</v>
      </c>
      <c r="BE220" s="75" t="e">
        <f aca="false">_xlfn.xlookup(BA220,A168:A1156,AA168:AA1156)</f>
        <v>#NAME?</v>
      </c>
    </row>
    <row r="221" customFormat="false" ht="16.4" hidden="false" customHeight="false" outlineLevel="0" collapsed="false">
      <c r="A221" s="241" t="s">
        <v>1363</v>
      </c>
      <c r="B221" s="1" t="s">
        <v>1057</v>
      </c>
      <c r="C221" s="292" t="n">
        <f aca="false">'Liste WO'!C213</f>
        <v>0</v>
      </c>
      <c r="D221" s="241" t="n">
        <f aca="false">'Liste WO'!D213</f>
        <v>336</v>
      </c>
      <c r="E221" s="241" t="n">
        <f aca="false">'Liste WO'!E213</f>
        <v>0</v>
      </c>
      <c r="F221" s="241" t="e">
        <f aca="false">_xlfn.xlookup(E221,Clients!B:B,Clients!C:C)</f>
        <v>#NAME?</v>
      </c>
      <c r="G221" s="241" t="n">
        <f aca="false">_xlfn.xlookup(D221,'PO Client'!$A:$A,'PO Client'!$F:$F,FALSE())</f>
        <v>0</v>
      </c>
      <c r="H221" s="251" t="n">
        <f aca="false">'Liste WO'!I213</f>
        <v>0</v>
      </c>
      <c r="I221" s="251" t="n">
        <f aca="false">'Liste WO'!J213</f>
        <v>0</v>
      </c>
      <c r="J221" s="244" t="n">
        <f aca="false">'Liste WO'!L213</f>
        <v>0</v>
      </c>
      <c r="K221" s="245"/>
      <c r="L221" s="245"/>
      <c r="M221" s="245"/>
      <c r="N221" s="245"/>
      <c r="O221" s="245"/>
      <c r="P221" s="246"/>
      <c r="Q221" s="219"/>
      <c r="R221" s="247"/>
      <c r="S221" s="272"/>
      <c r="T221" s="248" t="n">
        <f aca="false">_xlfn.xlookup(I221,'Prix MP'!A:A,'Prix MP'!U:U, 0)</f>
        <v>0</v>
      </c>
      <c r="U221" s="249" t="n">
        <f aca="false">(M221+N221)*T221</f>
        <v>0</v>
      </c>
      <c r="V221" s="249" t="n">
        <f aca="false">(K221-M221-L221)*T221</f>
        <v>0</v>
      </c>
      <c r="W221" s="250" t="str">
        <f aca="false">IFERROR((K221-M221-L221)/K221,"")</f>
        <v/>
      </c>
      <c r="X221" s="249" t="n">
        <f aca="false">20.6577/85*O221</f>
        <v>0</v>
      </c>
      <c r="Y221" s="249" t="n">
        <f aca="false">19.2*P221</f>
        <v>0</v>
      </c>
      <c r="Z221" s="249" t="n">
        <f aca="false">125000/52/40*Q221</f>
        <v>0</v>
      </c>
      <c r="AA221" s="249" t="n">
        <f aca="false">(M221+N221)*T221+R221+V221+X221+Y221+Z221</f>
        <v>0</v>
      </c>
      <c r="AB221" s="285" t="e">
        <f aca="false">_xlfn.xlookup(H221,'Prix vente'!A:A,'Prix vente'!X:X, "")</f>
        <v>#NAME?</v>
      </c>
      <c r="AC221" s="285" t="e">
        <f aca="false">_xlfn.xlookup(H221,'Prix vente'!A:A,'Prix vente'!Z:Z, "")</f>
        <v>#NAME?</v>
      </c>
      <c r="AD221" s="249" t="n">
        <f aca="false">IFERROR(IF(AC221="CAD",(M221+N221)*AB221,(M221+N221)*AB221*S221),0)</f>
        <v>0</v>
      </c>
      <c r="AE221" s="249" t="n">
        <f aca="false">AD221-AA221</f>
        <v>0</v>
      </c>
      <c r="AF221" s="273" t="str">
        <f aca="false">IFERROR(1-AA221/AD221,"")</f>
        <v/>
      </c>
      <c r="AG221" s="252" t="n">
        <f aca="false">((M221+N221)*T221+V221)</f>
        <v>0</v>
      </c>
      <c r="AH221" s="273" t="str">
        <f aca="false">IFERROR(AG221/AD221,"")</f>
        <v/>
      </c>
      <c r="AI221" s="273" t="str">
        <f aca="false">IFERROR(IF(AD221=0,"S",""),"S")</f>
        <v>S</v>
      </c>
      <c r="AK221" s="15" t="e">
        <v>#NAME?</v>
      </c>
      <c r="AL221" s="15" t="e">
        <f aca="false">_xlfn.xlookup(AK221,A:A,F:F)</f>
        <v>#NAME?</v>
      </c>
      <c r="AM221" s="15" t="e">
        <f aca="false">_xlfn.xlookup(AK221,A:A,J:J)</f>
        <v>#NAME?</v>
      </c>
      <c r="AN221" s="15" t="e">
        <f aca="false">_xlfn.xlookup(AK221,A:A,M:M)+_xlfn.xlookup(AK221,A:A,N:N)</f>
        <v>#NAME?</v>
      </c>
      <c r="AO221" s="223" t="e">
        <f aca="false">_xlfn.xlookup(AK221,A:A,AG:AG)</f>
        <v>#NAME?</v>
      </c>
      <c r="AP221" s="223" t="e">
        <f aca="false">_xlfn.xlookup(AK221,A:A,AD:AD)</f>
        <v>#NAME?</v>
      </c>
      <c r="AQ221" s="223" t="e">
        <f aca="false">_xlfn.xlookup(AK221,A:A,AE:AE)</f>
        <v>#NAME?</v>
      </c>
      <c r="AX221" s="288"/>
      <c r="AY221" s="288"/>
      <c r="AZ221" s="288"/>
      <c r="BB221" s="257" t="e">
        <f aca="false">_xlfn.xlookup(BA221,A:A,F:F)</f>
        <v>#NAME?</v>
      </c>
      <c r="BC221" s="15" t="e">
        <f aca="false">_xlfn.xlookup(BA221,A:A,J:J)</f>
        <v>#NAME?</v>
      </c>
      <c r="BD221" s="75" t="e">
        <f aca="false">_xlfn.xlookup(BA221,A:A,M:M)+_xlfn.xlookup(BA221,A:A,N:N)</f>
        <v>#NAME?</v>
      </c>
      <c r="BE221" s="75" t="e">
        <f aca="false">_xlfn.xlookup(BA221,A169:A1157,AA169:AA1157)</f>
        <v>#NAME?</v>
      </c>
    </row>
    <row r="222" customFormat="false" ht="16.4" hidden="false" customHeight="false" outlineLevel="0" collapsed="false">
      <c r="A222" s="241" t="s">
        <v>1364</v>
      </c>
      <c r="B222" s="1" t="s">
        <v>1057</v>
      </c>
      <c r="C222" s="292" t="n">
        <f aca="false">'Liste WO'!C214</f>
        <v>0</v>
      </c>
      <c r="D222" s="241" t="n">
        <f aca="false">'Liste WO'!D214</f>
        <v>337</v>
      </c>
      <c r="E222" s="241" t="n">
        <f aca="false">'Liste WO'!E214</f>
        <v>0</v>
      </c>
      <c r="F222" s="241" t="e">
        <f aca="false">_xlfn.xlookup(E222,Clients!B:B,Clients!C:C)</f>
        <v>#NAME?</v>
      </c>
      <c r="G222" s="241" t="n">
        <f aca="false">_xlfn.xlookup(D222,'PO Client'!$A:$A,'PO Client'!$F:$F,FALSE())</f>
        <v>0</v>
      </c>
      <c r="H222" s="251" t="n">
        <f aca="false">'Liste WO'!I214</f>
        <v>0</v>
      </c>
      <c r="I222" s="251" t="n">
        <f aca="false">'Liste WO'!J214</f>
        <v>0</v>
      </c>
      <c r="J222" s="244" t="n">
        <f aca="false">'Liste WO'!L214</f>
        <v>0</v>
      </c>
      <c r="K222" s="245"/>
      <c r="L222" s="245"/>
      <c r="M222" s="245"/>
      <c r="N222" s="245"/>
      <c r="O222" s="245"/>
      <c r="P222" s="246"/>
      <c r="Q222" s="219"/>
      <c r="R222" s="247"/>
      <c r="S222" s="272"/>
      <c r="T222" s="248" t="n">
        <f aca="false">_xlfn.xlookup(I222,'Prix MP'!A:A,'Prix MP'!U:U, 0)</f>
        <v>0</v>
      </c>
      <c r="U222" s="249" t="n">
        <f aca="false">(M222+N222)*T222</f>
        <v>0</v>
      </c>
      <c r="V222" s="249" t="n">
        <f aca="false">(K222-M222-L222)*T222</f>
        <v>0</v>
      </c>
      <c r="W222" s="250" t="str">
        <f aca="false">IFERROR((K222-M222-L222)/K222,"")</f>
        <v/>
      </c>
      <c r="X222" s="249" t="n">
        <f aca="false">20.6577/85*O222</f>
        <v>0</v>
      </c>
      <c r="Y222" s="249" t="n">
        <f aca="false">19.2*P222</f>
        <v>0</v>
      </c>
      <c r="Z222" s="249" t="n">
        <f aca="false">125000/52/40*Q222</f>
        <v>0</v>
      </c>
      <c r="AA222" s="249" t="n">
        <f aca="false">(M222+N222)*T222+R222+V222+X222+Y222+Z222</f>
        <v>0</v>
      </c>
      <c r="AB222" s="285" t="e">
        <f aca="false">_xlfn.xlookup(H222,'Prix vente'!A:A,'Prix vente'!X:X, "")</f>
        <v>#NAME?</v>
      </c>
      <c r="AC222" s="285" t="e">
        <f aca="false">_xlfn.xlookup(H222,'Prix vente'!A:A,'Prix vente'!Z:Z, "")</f>
        <v>#NAME?</v>
      </c>
      <c r="AD222" s="249" t="n">
        <f aca="false">IFERROR(IF(AC222="CAD",(M222+N222)*AB222,(M222+N222)*AB222*S222),0)</f>
        <v>0</v>
      </c>
      <c r="AE222" s="249" t="n">
        <f aca="false">AD222-AA222</f>
        <v>0</v>
      </c>
      <c r="AF222" s="273" t="str">
        <f aca="false">IFERROR(1-AA222/AD222,"")</f>
        <v/>
      </c>
      <c r="AG222" s="252" t="n">
        <f aca="false">((M222+N222)*T222+V222)</f>
        <v>0</v>
      </c>
      <c r="AH222" s="273" t="str">
        <f aca="false">IFERROR(AG222/AD222,"")</f>
        <v/>
      </c>
      <c r="AI222" s="273" t="str">
        <f aca="false">IFERROR(IF(AD222=0,"S",""),"S")</f>
        <v>S</v>
      </c>
      <c r="AK222" s="15" t="e">
        <v>#NAME?</v>
      </c>
      <c r="AL222" s="15" t="e">
        <f aca="false">_xlfn.xlookup(AK222,A:A,F:F)</f>
        <v>#NAME?</v>
      </c>
      <c r="AM222" s="15" t="e">
        <f aca="false">_xlfn.xlookup(AK222,A:A,J:J)</f>
        <v>#NAME?</v>
      </c>
      <c r="AN222" s="15" t="e">
        <f aca="false">_xlfn.xlookup(AK222,A:A,M:M)+_xlfn.xlookup(AK222,A:A,N:N)</f>
        <v>#NAME?</v>
      </c>
      <c r="AO222" s="223" t="e">
        <f aca="false">_xlfn.xlookup(AK222,A:A,AG:AG)</f>
        <v>#NAME?</v>
      </c>
      <c r="AP222" s="223" t="e">
        <f aca="false">_xlfn.xlookup(AK222,A:A,AD:AD)</f>
        <v>#NAME?</v>
      </c>
      <c r="AQ222" s="223" t="e">
        <f aca="false">_xlfn.xlookup(AK222,A:A,AE:AE)</f>
        <v>#NAME?</v>
      </c>
      <c r="AX222" s="288"/>
      <c r="AY222" s="288"/>
      <c r="AZ222" s="288"/>
      <c r="BB222" s="257" t="e">
        <f aca="false">_xlfn.xlookup(BA222,A:A,F:F)</f>
        <v>#NAME?</v>
      </c>
      <c r="BC222" s="15" t="e">
        <f aca="false">_xlfn.xlookup(BA222,A:A,J:J)</f>
        <v>#NAME?</v>
      </c>
      <c r="BD222" s="75" t="e">
        <f aca="false">_xlfn.xlookup(BA222,A:A,M:M)+_xlfn.xlookup(BA222,A:A,N:N)</f>
        <v>#NAME?</v>
      </c>
      <c r="BE222" s="75" t="e">
        <f aca="false">_xlfn.xlookup(BA222,A170:A1158,AA170:AA1158)</f>
        <v>#NAME?</v>
      </c>
    </row>
    <row r="223" customFormat="false" ht="16.4" hidden="false" customHeight="false" outlineLevel="0" collapsed="false">
      <c r="A223" s="241" t="s">
        <v>1365</v>
      </c>
      <c r="B223" s="1" t="s">
        <v>1057</v>
      </c>
      <c r="C223" s="292" t="n">
        <f aca="false">'Liste WO'!C215</f>
        <v>0</v>
      </c>
      <c r="D223" s="241" t="n">
        <f aca="false">'Liste WO'!D215</f>
        <v>338</v>
      </c>
      <c r="E223" s="241" t="n">
        <f aca="false">'Liste WO'!E215</f>
        <v>0</v>
      </c>
      <c r="F223" s="241" t="e">
        <f aca="false">_xlfn.xlookup(E223,Clients!B:B,Clients!C:C)</f>
        <v>#NAME?</v>
      </c>
      <c r="G223" s="241" t="n">
        <f aca="false">_xlfn.xlookup(D223,'PO Client'!$A:$A,'PO Client'!$F:$F,FALSE())</f>
        <v>0</v>
      </c>
      <c r="H223" s="251" t="n">
        <f aca="false">'Liste WO'!I215</f>
        <v>0</v>
      </c>
      <c r="I223" s="251" t="n">
        <f aca="false">'Liste WO'!J215</f>
        <v>0</v>
      </c>
      <c r="J223" s="244" t="n">
        <f aca="false">'Liste WO'!L215</f>
        <v>0</v>
      </c>
      <c r="K223" s="245"/>
      <c r="L223" s="245"/>
      <c r="M223" s="245"/>
      <c r="N223" s="245"/>
      <c r="O223" s="245"/>
      <c r="P223" s="246"/>
      <c r="Q223" s="219"/>
      <c r="R223" s="247"/>
      <c r="S223" s="272"/>
      <c r="T223" s="248" t="n">
        <f aca="false">_xlfn.xlookup(I223,'Prix MP'!A:A,'Prix MP'!U:U, 0)</f>
        <v>0</v>
      </c>
      <c r="U223" s="249" t="n">
        <f aca="false">(M223+N223)*T223</f>
        <v>0</v>
      </c>
      <c r="V223" s="249" t="n">
        <f aca="false">(K223-M223-L223)*T223</f>
        <v>0</v>
      </c>
      <c r="W223" s="250" t="str">
        <f aca="false">IFERROR((K223-M223-L223)/K223,"")</f>
        <v/>
      </c>
      <c r="X223" s="249" t="n">
        <f aca="false">20.6577/85*O223</f>
        <v>0</v>
      </c>
      <c r="Y223" s="249" t="n">
        <f aca="false">19.2*P223</f>
        <v>0</v>
      </c>
      <c r="Z223" s="249" t="n">
        <f aca="false">125000/52/40*Q223</f>
        <v>0</v>
      </c>
      <c r="AA223" s="249" t="n">
        <f aca="false">(M223+N223)*T223+R223+V223+X223+Y223+Z223</f>
        <v>0</v>
      </c>
      <c r="AB223" s="285" t="e">
        <f aca="false">_xlfn.xlookup(H223,'Prix vente'!A:A,'Prix vente'!X:X, "")</f>
        <v>#NAME?</v>
      </c>
      <c r="AC223" s="285" t="e">
        <f aca="false">_xlfn.xlookup(H223,'Prix vente'!A:A,'Prix vente'!Z:Z, "")</f>
        <v>#NAME?</v>
      </c>
      <c r="AD223" s="249" t="n">
        <f aca="false">IFERROR(IF(AC223="CAD",(M223+N223)*AB223,(M223+N223)*AB223*S223),0)</f>
        <v>0</v>
      </c>
      <c r="AE223" s="249" t="n">
        <f aca="false">AD223-AA223</f>
        <v>0</v>
      </c>
      <c r="AF223" s="273" t="str">
        <f aca="false">IFERROR(1-AA223/AD223,"")</f>
        <v/>
      </c>
      <c r="AG223" s="252" t="n">
        <f aca="false">((M223+N223)*T223+V223)</f>
        <v>0</v>
      </c>
      <c r="AH223" s="273" t="str">
        <f aca="false">IFERROR(AG223/AD223,"")</f>
        <v/>
      </c>
      <c r="AI223" s="273" t="str">
        <f aca="false">IFERROR(IF(AD223=0,"S",""),"S")</f>
        <v>S</v>
      </c>
      <c r="AK223" s="15" t="e">
        <v>#NAME?</v>
      </c>
      <c r="AL223" s="15" t="e">
        <f aca="false">_xlfn.xlookup(AK223,A:A,F:F)</f>
        <v>#NAME?</v>
      </c>
      <c r="AM223" s="15" t="e">
        <f aca="false">_xlfn.xlookup(AK223,A:A,J:J)</f>
        <v>#NAME?</v>
      </c>
      <c r="AN223" s="15" t="e">
        <f aca="false">_xlfn.xlookup(AK223,A:A,M:M)+_xlfn.xlookup(AK223,A:A,N:N)</f>
        <v>#NAME?</v>
      </c>
      <c r="AO223" s="223" t="e">
        <f aca="false">_xlfn.xlookup(AK223,A:A,AG:AG)</f>
        <v>#NAME?</v>
      </c>
      <c r="AP223" s="223" t="e">
        <f aca="false">_xlfn.xlookup(AK223,A:A,AD:AD)</f>
        <v>#NAME?</v>
      </c>
      <c r="AQ223" s="223" t="e">
        <f aca="false">_xlfn.xlookup(AK223,A:A,AE:AE)</f>
        <v>#NAME?</v>
      </c>
      <c r="AX223" s="288"/>
      <c r="AY223" s="288"/>
      <c r="AZ223" s="288"/>
      <c r="BB223" s="257" t="e">
        <f aca="false">_xlfn.xlookup(BA223,A:A,F:F)</f>
        <v>#NAME?</v>
      </c>
      <c r="BC223" s="15" t="e">
        <f aca="false">_xlfn.xlookup(BA223,A:A,J:J)</f>
        <v>#NAME?</v>
      </c>
      <c r="BD223" s="75" t="e">
        <f aca="false">_xlfn.xlookup(BA223,A:A,M:M)+_xlfn.xlookup(BA223,A:A,N:N)</f>
        <v>#NAME?</v>
      </c>
      <c r="BE223" s="75" t="e">
        <f aca="false">_xlfn.xlookup(BA223,A171:A1159,AA171:AA1159)</f>
        <v>#NAME?</v>
      </c>
    </row>
    <row r="224" customFormat="false" ht="16.4" hidden="false" customHeight="false" outlineLevel="0" collapsed="false">
      <c r="A224" s="241" t="s">
        <v>1366</v>
      </c>
      <c r="B224" s="1" t="s">
        <v>1057</v>
      </c>
      <c r="C224" s="292" t="n">
        <f aca="false">'Liste WO'!C216</f>
        <v>0</v>
      </c>
      <c r="D224" s="241" t="n">
        <f aca="false">'Liste WO'!D216</f>
        <v>339</v>
      </c>
      <c r="E224" s="241" t="n">
        <f aca="false">'Liste WO'!E216</f>
        <v>0</v>
      </c>
      <c r="F224" s="241" t="e">
        <f aca="false">_xlfn.xlookup(E224,Clients!B:B,Clients!C:C)</f>
        <v>#NAME?</v>
      </c>
      <c r="G224" s="241" t="n">
        <f aca="false">_xlfn.xlookup(D224,'PO Client'!$A:$A,'PO Client'!$F:$F,FALSE())</f>
        <v>0</v>
      </c>
      <c r="H224" s="251" t="n">
        <f aca="false">'Liste WO'!I216</f>
        <v>0</v>
      </c>
      <c r="I224" s="251" t="n">
        <f aca="false">'Liste WO'!J216</f>
        <v>0</v>
      </c>
      <c r="J224" s="244" t="e">
        <f aca="false">'Liste WO'!L216</f>
        <v>#NAME?</v>
      </c>
      <c r="K224" s="245"/>
      <c r="L224" s="245"/>
      <c r="M224" s="245"/>
      <c r="N224" s="245"/>
      <c r="O224" s="245"/>
      <c r="P224" s="246"/>
      <c r="Q224" s="219"/>
      <c r="R224" s="247"/>
      <c r="S224" s="272"/>
      <c r="T224" s="248" t="n">
        <f aca="false">_xlfn.xlookup(I224,'Prix MP'!A:A,'Prix MP'!U:U, 0)</f>
        <v>0</v>
      </c>
      <c r="U224" s="249" t="n">
        <f aca="false">(M224+N224)*T224</f>
        <v>0</v>
      </c>
      <c r="V224" s="249" t="n">
        <f aca="false">(K224-M224-L224)*T224</f>
        <v>0</v>
      </c>
      <c r="W224" s="250" t="str">
        <f aca="false">IFERROR((K224-M224-L224)/K224,"")</f>
        <v/>
      </c>
      <c r="X224" s="249" t="n">
        <f aca="false">20.6577/85*O224</f>
        <v>0</v>
      </c>
      <c r="Y224" s="249" t="n">
        <f aca="false">19.2*P224</f>
        <v>0</v>
      </c>
      <c r="Z224" s="249" t="n">
        <f aca="false">125000/52/40*Q224</f>
        <v>0</v>
      </c>
      <c r="AA224" s="249" t="n">
        <f aca="false">(M224+N224)*T224+R224+V224+X224+Y224+Z224</f>
        <v>0</v>
      </c>
      <c r="AB224" s="285" t="e">
        <f aca="false">_xlfn.xlookup(H224,'Prix vente'!A:A,'Prix vente'!X:X, "")</f>
        <v>#NAME?</v>
      </c>
      <c r="AC224" s="285" t="e">
        <f aca="false">_xlfn.xlookup(H224,'Prix vente'!A:A,'Prix vente'!Z:Z, "")</f>
        <v>#NAME?</v>
      </c>
      <c r="AD224" s="249" t="n">
        <f aca="false">IFERROR(IF(AC224="CAD",(M224+N224)*AB224,(M224+N224)*AB224*S224),0)</f>
        <v>0</v>
      </c>
      <c r="AE224" s="249" t="n">
        <f aca="false">AD224-AA224</f>
        <v>0</v>
      </c>
      <c r="AF224" s="273" t="str">
        <f aca="false">IFERROR(1-AA224/AD224,"")</f>
        <v/>
      </c>
      <c r="AG224" s="252" t="n">
        <f aca="false">((M224+N224)*T224+V224)</f>
        <v>0</v>
      </c>
      <c r="AH224" s="273" t="str">
        <f aca="false">IFERROR(AG224/AD224,"")</f>
        <v/>
      </c>
      <c r="AI224" s="273" t="str">
        <f aca="false">IFERROR(IF(AD224=0,"S",""),"S")</f>
        <v>S</v>
      </c>
      <c r="AK224" s="15" t="e">
        <v>#NAME?</v>
      </c>
      <c r="AL224" s="15" t="e">
        <f aca="false">_xlfn.xlookup(AK224,A:A,F:F)</f>
        <v>#NAME?</v>
      </c>
      <c r="AM224" s="15" t="e">
        <f aca="false">_xlfn.xlookup(AK224,A:A,J:J)</f>
        <v>#NAME?</v>
      </c>
      <c r="AN224" s="15" t="e">
        <f aca="false">_xlfn.xlookup(AK224,A:A,M:M)+_xlfn.xlookup(AK224,A:A,N:N)</f>
        <v>#NAME?</v>
      </c>
      <c r="AO224" s="223" t="e">
        <f aca="false">_xlfn.xlookup(AK224,A:A,AG:AG)</f>
        <v>#NAME?</v>
      </c>
      <c r="AP224" s="223" t="e">
        <f aca="false">_xlfn.xlookup(AK224,A:A,AD:AD)</f>
        <v>#NAME?</v>
      </c>
      <c r="AQ224" s="223" t="e">
        <f aca="false">_xlfn.xlookup(AK224,A:A,AE:AE)</f>
        <v>#NAME?</v>
      </c>
      <c r="AX224" s="288"/>
      <c r="AY224" s="288"/>
      <c r="AZ224" s="288"/>
      <c r="BB224" s="257" t="e">
        <f aca="false">_xlfn.xlookup(BA224,A:A,F:F)</f>
        <v>#NAME?</v>
      </c>
      <c r="BC224" s="15" t="e">
        <f aca="false">_xlfn.xlookup(BA224,A:A,J:J)</f>
        <v>#NAME?</v>
      </c>
      <c r="BD224" s="75" t="e">
        <f aca="false">_xlfn.xlookup(BA224,A:A,M:M)+_xlfn.xlookup(BA224,A:A,N:N)</f>
        <v>#NAME?</v>
      </c>
      <c r="BE224" s="75" t="e">
        <f aca="false">_xlfn.xlookup(BA224,A172:A1160,AA172:AA1160)</f>
        <v>#NAME?</v>
      </c>
    </row>
    <row r="225" customFormat="false" ht="16.4" hidden="false" customHeight="false" outlineLevel="0" collapsed="false">
      <c r="A225" s="241" t="s">
        <v>1367</v>
      </c>
      <c r="B225" s="1" t="s">
        <v>1057</v>
      </c>
      <c r="C225" s="292" t="n">
        <f aca="false">'Liste WO'!C217</f>
        <v>0</v>
      </c>
      <c r="D225" s="241" t="n">
        <f aca="false">'Liste WO'!D217</f>
        <v>340</v>
      </c>
      <c r="E225" s="241" t="n">
        <f aca="false">'Liste WO'!E217</f>
        <v>0</v>
      </c>
      <c r="F225" s="241" t="e">
        <f aca="false">_xlfn.xlookup(E225,Clients!B:B,Clients!C:C)</f>
        <v>#NAME?</v>
      </c>
      <c r="G225" s="241" t="n">
        <f aca="false">_xlfn.xlookup(D225,'PO Client'!$A:$A,'PO Client'!$F:$F,FALSE())</f>
        <v>0</v>
      </c>
      <c r="H225" s="251" t="n">
        <f aca="false">'Liste WO'!I217</f>
        <v>0</v>
      </c>
      <c r="I225" s="251" t="n">
        <f aca="false">'Liste WO'!J217</f>
        <v>0</v>
      </c>
      <c r="J225" s="244" t="n">
        <f aca="false">'Liste WO'!L217</f>
        <v>0</v>
      </c>
      <c r="K225" s="245"/>
      <c r="L225" s="245"/>
      <c r="M225" s="245"/>
      <c r="N225" s="245"/>
      <c r="O225" s="245"/>
      <c r="P225" s="246"/>
      <c r="Q225" s="219"/>
      <c r="R225" s="247"/>
      <c r="S225" s="272"/>
      <c r="T225" s="248" t="n">
        <f aca="false">_xlfn.xlookup(I225,'Prix MP'!A:A,'Prix MP'!U:U, 0)</f>
        <v>0</v>
      </c>
      <c r="U225" s="249" t="n">
        <f aca="false">(M225+N225)*T225</f>
        <v>0</v>
      </c>
      <c r="V225" s="249" t="n">
        <f aca="false">(K225-M225-L225)*T225</f>
        <v>0</v>
      </c>
      <c r="W225" s="250" t="str">
        <f aca="false">IFERROR((K225-M225-L225)/K225,"")</f>
        <v/>
      </c>
      <c r="X225" s="249" t="n">
        <f aca="false">20.6577/85*O225</f>
        <v>0</v>
      </c>
      <c r="Y225" s="249" t="n">
        <f aca="false">19.2*P225</f>
        <v>0</v>
      </c>
      <c r="Z225" s="249" t="n">
        <f aca="false">125000/52/40*Q225</f>
        <v>0</v>
      </c>
      <c r="AA225" s="249" t="n">
        <f aca="false">(M225+N225)*T225+R225+V225+X225+Y225+Z225</f>
        <v>0</v>
      </c>
      <c r="AB225" s="285" t="e">
        <f aca="false">_xlfn.xlookup(H225,'Prix vente'!A:A,'Prix vente'!X:X, "")</f>
        <v>#NAME?</v>
      </c>
      <c r="AC225" s="285" t="e">
        <f aca="false">_xlfn.xlookup(H225,'Prix vente'!A:A,'Prix vente'!Z:Z, "")</f>
        <v>#NAME?</v>
      </c>
      <c r="AD225" s="249" t="n">
        <f aca="false">IFERROR(IF(AC225="CAD",(M225+N225)*AB225,(M225+N225)*AB225*S225),0)</f>
        <v>0</v>
      </c>
      <c r="AE225" s="249" t="n">
        <f aca="false">AD225-AA225</f>
        <v>0</v>
      </c>
      <c r="AF225" s="273" t="str">
        <f aca="false">IFERROR(1-AA225/AD225,"")</f>
        <v/>
      </c>
      <c r="AG225" s="252" t="n">
        <f aca="false">((M225+N225)*T225+V225)</f>
        <v>0</v>
      </c>
      <c r="AH225" s="273" t="str">
        <f aca="false">IFERROR(AG225/AD225,"")</f>
        <v/>
      </c>
      <c r="AI225" s="273" t="str">
        <f aca="false">IFERROR(IF(AD225=0,"S",""),"S")</f>
        <v>S</v>
      </c>
      <c r="AK225" s="15" t="e">
        <v>#NAME?</v>
      </c>
      <c r="AL225" s="15" t="e">
        <f aca="false">_xlfn.xlookup(AK225,A:A,F:F)</f>
        <v>#NAME?</v>
      </c>
      <c r="AM225" s="15" t="e">
        <f aca="false">_xlfn.xlookup(AK225,A:A,J:J)</f>
        <v>#NAME?</v>
      </c>
      <c r="AN225" s="15" t="e">
        <f aca="false">_xlfn.xlookup(AK225,A:A,M:M)+_xlfn.xlookup(AK225,A:A,N:N)</f>
        <v>#NAME?</v>
      </c>
      <c r="AO225" s="223" t="e">
        <f aca="false">_xlfn.xlookup(AK225,A:A,AG:AG)</f>
        <v>#NAME?</v>
      </c>
      <c r="AP225" s="223" t="e">
        <f aca="false">_xlfn.xlookup(AK225,A:A,AD:AD)</f>
        <v>#NAME?</v>
      </c>
      <c r="AQ225" s="223" t="e">
        <f aca="false">_xlfn.xlookup(AK225,A:A,AE:AE)</f>
        <v>#NAME?</v>
      </c>
      <c r="AX225" s="288"/>
      <c r="AY225" s="288"/>
      <c r="AZ225" s="288"/>
      <c r="BB225" s="257" t="e">
        <f aca="false">_xlfn.xlookup(BA225,A:A,F:F)</f>
        <v>#NAME?</v>
      </c>
      <c r="BC225" s="15" t="e">
        <f aca="false">_xlfn.xlookup(BA225,A:A,J:J)</f>
        <v>#NAME?</v>
      </c>
      <c r="BD225" s="75" t="e">
        <f aca="false">_xlfn.xlookup(BA225,A:A,M:M)+_xlfn.xlookup(BA225,A:A,N:N)</f>
        <v>#NAME?</v>
      </c>
      <c r="BE225" s="75" t="e">
        <f aca="false">_xlfn.xlookup(BA225,A173:A1161,AA173:AA1161)</f>
        <v>#NAME?</v>
      </c>
    </row>
    <row r="226" customFormat="false" ht="16.4" hidden="false" customHeight="false" outlineLevel="0" collapsed="false">
      <c r="A226" s="241" t="s">
        <v>1368</v>
      </c>
      <c r="B226" s="1" t="s">
        <v>1057</v>
      </c>
      <c r="C226" s="292" t="n">
        <f aca="false">'Liste WO'!C218</f>
        <v>0</v>
      </c>
      <c r="D226" s="241" t="n">
        <f aca="false">'Liste WO'!D218</f>
        <v>341</v>
      </c>
      <c r="E226" s="241" t="n">
        <f aca="false">'Liste WO'!E218</f>
        <v>0</v>
      </c>
      <c r="F226" s="241" t="e">
        <f aca="false">_xlfn.xlookup(E226,Clients!B:B,Clients!C:C)</f>
        <v>#NAME?</v>
      </c>
      <c r="G226" s="241" t="n">
        <f aca="false">_xlfn.xlookup(D226,'PO Client'!$A:$A,'PO Client'!$F:$F,FALSE())</f>
        <v>0</v>
      </c>
      <c r="H226" s="251" t="n">
        <f aca="false">'Liste WO'!I218</f>
        <v>0</v>
      </c>
      <c r="I226" s="251" t="n">
        <f aca="false">'Liste WO'!J218</f>
        <v>0</v>
      </c>
      <c r="J226" s="244" t="n">
        <f aca="false">'Liste WO'!L218</f>
        <v>0</v>
      </c>
      <c r="K226" s="245"/>
      <c r="L226" s="245"/>
      <c r="M226" s="245"/>
      <c r="N226" s="245"/>
      <c r="O226" s="245"/>
      <c r="P226" s="246"/>
      <c r="Q226" s="219"/>
      <c r="R226" s="247"/>
      <c r="S226" s="272"/>
      <c r="T226" s="248" t="n">
        <f aca="false">_xlfn.xlookup(I226,'Prix MP'!A:A,'Prix MP'!U:U, 0)</f>
        <v>0</v>
      </c>
      <c r="U226" s="249" t="n">
        <f aca="false">(M226+N226)*T226</f>
        <v>0</v>
      </c>
      <c r="V226" s="249" t="n">
        <f aca="false">(K226-M226-L226)*T226</f>
        <v>0</v>
      </c>
      <c r="W226" s="250" t="str">
        <f aca="false">IFERROR((K226-M226-L226)/K226,"")</f>
        <v/>
      </c>
      <c r="X226" s="249" t="n">
        <f aca="false">20.6577/85*O226</f>
        <v>0</v>
      </c>
      <c r="Y226" s="249" t="n">
        <f aca="false">19.2*P226</f>
        <v>0</v>
      </c>
      <c r="Z226" s="249" t="n">
        <f aca="false">125000/52/40*Q226</f>
        <v>0</v>
      </c>
      <c r="AA226" s="249" t="n">
        <f aca="false">(M226+N226)*T226+R226+V226+X226+Y226+Z226</f>
        <v>0</v>
      </c>
      <c r="AB226" s="285" t="e">
        <f aca="false">_xlfn.xlookup(H226,'Prix vente'!A:A,'Prix vente'!X:X, "")</f>
        <v>#NAME?</v>
      </c>
      <c r="AC226" s="285" t="e">
        <f aca="false">_xlfn.xlookup(H226,'Prix vente'!A:A,'Prix vente'!Z:Z, "")</f>
        <v>#NAME?</v>
      </c>
      <c r="AD226" s="249" t="n">
        <f aca="false">IFERROR(IF(AC226="CAD",(M226+N226)*AB226,(M226+N226)*AB226*S226),0)</f>
        <v>0</v>
      </c>
      <c r="AE226" s="249" t="n">
        <f aca="false">AD226-AA226</f>
        <v>0</v>
      </c>
      <c r="AF226" s="273" t="str">
        <f aca="false">IFERROR(1-AA226/AD226,"")</f>
        <v/>
      </c>
      <c r="AG226" s="252" t="n">
        <f aca="false">((M226+N226)*T226+V226)</f>
        <v>0</v>
      </c>
      <c r="AH226" s="273" t="str">
        <f aca="false">IFERROR(AG226/AD226,"")</f>
        <v/>
      </c>
      <c r="AI226" s="273" t="str">
        <f aca="false">IFERROR(IF(AD226=0,"S",""),"S")</f>
        <v>S</v>
      </c>
      <c r="AK226" s="15" t="e">
        <v>#NAME?</v>
      </c>
      <c r="AL226" s="15" t="e">
        <f aca="false">_xlfn.xlookup(AK226,A:A,F:F)</f>
        <v>#NAME?</v>
      </c>
      <c r="AM226" s="15" t="e">
        <f aca="false">_xlfn.xlookup(AK226,A:A,J:J)</f>
        <v>#NAME?</v>
      </c>
      <c r="AN226" s="15" t="e">
        <f aca="false">_xlfn.xlookup(AK226,A:A,M:M)+_xlfn.xlookup(AK226,A:A,N:N)</f>
        <v>#NAME?</v>
      </c>
      <c r="AO226" s="223" t="e">
        <f aca="false">_xlfn.xlookup(AK226,A:A,AG:AG)</f>
        <v>#NAME?</v>
      </c>
      <c r="AP226" s="223" t="e">
        <f aca="false">_xlfn.xlookup(AK226,A:A,AD:AD)</f>
        <v>#NAME?</v>
      </c>
      <c r="AQ226" s="223" t="e">
        <f aca="false">_xlfn.xlookup(AK226,A:A,AE:AE)</f>
        <v>#NAME?</v>
      </c>
      <c r="AX226" s="288"/>
      <c r="AY226" s="288"/>
      <c r="AZ226" s="288"/>
      <c r="BB226" s="257" t="e">
        <f aca="false">_xlfn.xlookup(BA226,A:A,F:F)</f>
        <v>#NAME?</v>
      </c>
      <c r="BC226" s="15" t="e">
        <f aca="false">_xlfn.xlookup(BA226,A:A,J:J)</f>
        <v>#NAME?</v>
      </c>
      <c r="BD226" s="75" t="e">
        <f aca="false">_xlfn.xlookup(BA226,A:A,M:M)+_xlfn.xlookup(BA226,A:A,N:N)</f>
        <v>#NAME?</v>
      </c>
      <c r="BE226" s="75" t="e">
        <f aca="false">_xlfn.xlookup(BA226,A174:A1162,AA174:AA1162)</f>
        <v>#NAME?</v>
      </c>
    </row>
    <row r="227" customFormat="false" ht="16.4" hidden="false" customHeight="false" outlineLevel="0" collapsed="false">
      <c r="A227" s="241" t="s">
        <v>1452</v>
      </c>
      <c r="B227" s="1" t="e">
        <f aca="false">'liste wo'!#ref!</f>
        <v>#VALUE!</v>
      </c>
      <c r="C227" s="292" t="e">
        <f aca="false">'liste wo'!#ref!</f>
        <v>#VALUE!</v>
      </c>
      <c r="D227" s="241" t="e">
        <f aca="false">'liste wo'!#ref!</f>
        <v>#VALUE!</v>
      </c>
      <c r="E227" s="241" t="e">
        <f aca="false">'liste wo'!#ref!</f>
        <v>#VALUE!</v>
      </c>
      <c r="F227" s="241" t="e">
        <f aca="false">_xlfn.xlookup(E227,Clients!B:B,Clients!C:C)</f>
        <v>#NAME?</v>
      </c>
      <c r="G227" s="241" t="e">
        <f aca="false">_xlfn.xlookup(D227,'PO Client'!$A:$A,'PO Client'!$F:$F,FALSE())</f>
        <v>#NAME?</v>
      </c>
      <c r="H227" s="251" t="e">
        <f aca="false">'liste wo'!#ref!</f>
        <v>#VALUE!</v>
      </c>
      <c r="I227" s="251" t="e">
        <f aca="false">'liste wo'!#ref!</f>
        <v>#VALUE!</v>
      </c>
      <c r="J227" s="244" t="e">
        <f aca="false">'liste wo'!#ref!</f>
        <v>#VALUE!</v>
      </c>
      <c r="K227" s="245"/>
      <c r="L227" s="245"/>
      <c r="M227" s="245"/>
      <c r="N227" s="245"/>
      <c r="O227" s="245"/>
      <c r="P227" s="246"/>
      <c r="Q227" s="219"/>
      <c r="R227" s="247"/>
      <c r="S227" s="272"/>
      <c r="T227" s="248" t="e">
        <f aca="false">_xlfn.xlookup(I227,'Prix MP'!A:A,'Prix MP'!U:U, 0)</f>
        <v>#NAME?</v>
      </c>
      <c r="U227" s="249" t="e">
        <f aca="false">(M227+N227)*T227</f>
        <v>#NAME?</v>
      </c>
      <c r="V227" s="249" t="e">
        <f aca="false">(K227-M227-L227)*T227</f>
        <v>#NAME?</v>
      </c>
      <c r="W227" s="250" t="str">
        <f aca="false">IFERROR((K227-M227-L227)/K227,"")</f>
        <v/>
      </c>
      <c r="X227" s="249" t="n">
        <f aca="false">20.6577/85*O227</f>
        <v>0</v>
      </c>
      <c r="Y227" s="249" t="n">
        <f aca="false">19.2*P227</f>
        <v>0</v>
      </c>
      <c r="Z227" s="249" t="n">
        <f aca="false">125000/52/40*Q227</f>
        <v>0</v>
      </c>
      <c r="AA227" s="249" t="e">
        <f aca="false">(M227+N227)*T227+R227+V227+X227+Y227+Z227</f>
        <v>#NAME?</v>
      </c>
      <c r="AB227" s="285" t="e">
        <f aca="false">_xlfn.xlookup(H227,'Prix vente'!A:A,'Prix vente'!X:X, "")</f>
        <v>#NAME?</v>
      </c>
      <c r="AC227" s="285" t="e">
        <f aca="false">_xlfn.xlookup(H227,'Prix vente'!A:A,'Prix vente'!Z:Z, "")</f>
        <v>#NAME?</v>
      </c>
      <c r="AD227" s="249" t="n">
        <f aca="false">IFERROR(IF(AC227="CAD",(M227+N227)*AB227,(M227+N227)*AB227*S227),0)</f>
        <v>0</v>
      </c>
      <c r="AE227" s="249" t="e">
        <f aca="false">AD227-AA227</f>
        <v>#NAME?</v>
      </c>
      <c r="AF227" s="273" t="str">
        <f aca="false">IFERROR(1-AA227/AD227,"")</f>
        <v/>
      </c>
      <c r="AG227" s="252" t="e">
        <f aca="false">((M227+N227)*T227+V227)</f>
        <v>#NAME?</v>
      </c>
      <c r="AH227" s="273" t="str">
        <f aca="false">IFERROR(AG227/AD227,"")</f>
        <v/>
      </c>
      <c r="AI227" s="273" t="str">
        <f aca="false">IFERROR(IF(AD227=0,"S",""),"S")</f>
        <v>S</v>
      </c>
      <c r="AK227" s="15" t="e">
        <v>#NAME?</v>
      </c>
      <c r="AL227" s="15" t="e">
        <f aca="false">_xlfn.xlookup(AK227,A:A,F:F)</f>
        <v>#NAME?</v>
      </c>
      <c r="AM227" s="15" t="e">
        <f aca="false">_xlfn.xlookup(AK227,A:A,J:J)</f>
        <v>#NAME?</v>
      </c>
      <c r="AN227" s="15" t="e">
        <f aca="false">_xlfn.xlookup(AK227,A:A,M:M)+_xlfn.xlookup(AK227,A:A,N:N)</f>
        <v>#NAME?</v>
      </c>
      <c r="AO227" s="223" t="e">
        <f aca="false">_xlfn.xlookup(AK227,A:A,AG:AG)</f>
        <v>#NAME?</v>
      </c>
      <c r="AP227" s="223" t="e">
        <f aca="false">_xlfn.xlookup(AK227,A:A,AD:AD)</f>
        <v>#NAME?</v>
      </c>
      <c r="AQ227" s="223" t="e">
        <f aca="false">_xlfn.xlookup(AK227,A:A,AE:AE)</f>
        <v>#NAME?</v>
      </c>
      <c r="AX227" s="288"/>
      <c r="AY227" s="288"/>
      <c r="AZ227" s="288"/>
      <c r="BB227" s="257" t="e">
        <f aca="false">_xlfn.xlookup(BA227,A:A,F:F)</f>
        <v>#NAME?</v>
      </c>
      <c r="BC227" s="15" t="e">
        <f aca="false">_xlfn.xlookup(BA227,A:A,J:J)</f>
        <v>#NAME?</v>
      </c>
      <c r="BD227" s="75" t="e">
        <f aca="false">_xlfn.xlookup(BA227,A:A,M:M)+_xlfn.xlookup(BA227,A:A,N:N)</f>
        <v>#NAME?</v>
      </c>
      <c r="BE227" s="75" t="e">
        <f aca="false">_xlfn.xlookup(BA227,A175:A1163,AA175:AA1163)</f>
        <v>#NAME?</v>
      </c>
    </row>
    <row r="228" customFormat="false" ht="16.4" hidden="false" customHeight="false" outlineLevel="0" collapsed="false">
      <c r="A228" s="241" t="s">
        <v>1453</v>
      </c>
      <c r="B228" s="1" t="n">
        <f aca="false">'Liste WO'!B219</f>
        <v>0</v>
      </c>
      <c r="C228" s="292" t="n">
        <f aca="false">'Liste WO'!C219</f>
        <v>0</v>
      </c>
      <c r="D228" s="241" t="n">
        <f aca="false">'Liste WO'!D219</f>
        <v>0</v>
      </c>
      <c r="E228" s="241" t="n">
        <f aca="false">'Liste WO'!E219</f>
        <v>0</v>
      </c>
      <c r="F228" s="241" t="e">
        <f aca="false">_xlfn.xlookup(E228,Clients!B:B,Clients!C:C)</f>
        <v>#NAME?</v>
      </c>
      <c r="G228" s="241" t="e">
        <f aca="false">_xlfn.xlookup(D228,'PO Client'!$A:$A,'PO Client'!$F:$F,FALSE())</f>
        <v>#NAME?</v>
      </c>
      <c r="H228" s="251" t="n">
        <f aca="false">'Liste WO'!I219</f>
        <v>0</v>
      </c>
      <c r="I228" s="251" t="n">
        <f aca="false">'Liste WO'!J219</f>
        <v>0</v>
      </c>
      <c r="J228" s="244" t="n">
        <f aca="false">'Liste WO'!L219</f>
        <v>0</v>
      </c>
      <c r="K228" s="245"/>
      <c r="L228" s="245"/>
      <c r="M228" s="245"/>
      <c r="N228" s="245"/>
      <c r="O228" s="245"/>
      <c r="P228" s="246"/>
      <c r="Q228" s="219"/>
      <c r="R228" s="247"/>
      <c r="S228" s="272"/>
      <c r="T228" s="248" t="n">
        <f aca="false">_xlfn.xlookup(I228,'Prix MP'!A:A,'Prix MP'!U:U, 0)</f>
        <v>0</v>
      </c>
      <c r="U228" s="249" t="n">
        <f aca="false">(M228+N228)*T228</f>
        <v>0</v>
      </c>
      <c r="V228" s="249" t="n">
        <f aca="false">(K228-M228-L228)*T228</f>
        <v>0</v>
      </c>
      <c r="W228" s="250" t="str">
        <f aca="false">IFERROR((K228-M228-L228)/K228,"")</f>
        <v/>
      </c>
      <c r="X228" s="249" t="n">
        <f aca="false">20.6577/85*O228</f>
        <v>0</v>
      </c>
      <c r="Y228" s="249" t="n">
        <f aca="false">19.2*P228</f>
        <v>0</v>
      </c>
      <c r="Z228" s="249" t="n">
        <f aca="false">125000/52/40*Q228</f>
        <v>0</v>
      </c>
      <c r="AA228" s="249" t="n">
        <f aca="false">(M228+N228)*T228+R228+V228+X228+Y228+Z228</f>
        <v>0</v>
      </c>
      <c r="AB228" s="285" t="e">
        <f aca="false">_xlfn.xlookup(H228,'Prix vente'!A:A,'Prix vente'!X:X, "")</f>
        <v>#NAME?</v>
      </c>
      <c r="AC228" s="285" t="e">
        <f aca="false">_xlfn.xlookup(H228,'Prix vente'!A:A,'Prix vente'!Z:Z, "")</f>
        <v>#NAME?</v>
      </c>
      <c r="AD228" s="249" t="n">
        <f aca="false">IFERROR(IF(AC228="CAD",(M228+N228)*AB228,(M228+N228)*AB228*S228),0)</f>
        <v>0</v>
      </c>
      <c r="AE228" s="249" t="n">
        <f aca="false">AD228-AA228</f>
        <v>0</v>
      </c>
      <c r="AF228" s="273" t="str">
        <f aca="false">IFERROR(1-AA228/AD228,"")</f>
        <v/>
      </c>
      <c r="AG228" s="252" t="n">
        <f aca="false">((M228+N228)*T228+V228)</f>
        <v>0</v>
      </c>
      <c r="AH228" s="273" t="str">
        <f aca="false">IFERROR(AG228/AD228,"")</f>
        <v/>
      </c>
      <c r="AI228" s="273" t="str">
        <f aca="false">IFERROR(IF(AD228=0,"S",""),"S")</f>
        <v>S</v>
      </c>
      <c r="AK228" s="15" t="e">
        <v>#NAME?</v>
      </c>
      <c r="AL228" s="15" t="e">
        <f aca="false">_xlfn.xlookup(AK228,A:A,F:F)</f>
        <v>#NAME?</v>
      </c>
      <c r="AM228" s="15" t="e">
        <f aca="false">_xlfn.xlookup(AK228,A:A,J:J)</f>
        <v>#NAME?</v>
      </c>
      <c r="AN228" s="15" t="e">
        <f aca="false">_xlfn.xlookup(AK228,A:A,M:M)+_xlfn.xlookup(AK228,A:A,N:N)</f>
        <v>#NAME?</v>
      </c>
      <c r="AO228" s="223" t="e">
        <f aca="false">_xlfn.xlookup(AK228,A:A,AG:AG)</f>
        <v>#NAME?</v>
      </c>
      <c r="AP228" s="223" t="e">
        <f aca="false">_xlfn.xlookup(AK228,A:A,AD:AD)</f>
        <v>#NAME?</v>
      </c>
      <c r="AQ228" s="223" t="e">
        <f aca="false">_xlfn.xlookup(AK228,A:A,AE:AE)</f>
        <v>#NAME?</v>
      </c>
      <c r="AX228" s="288"/>
      <c r="AY228" s="288"/>
      <c r="AZ228" s="288"/>
      <c r="BB228" s="257" t="e">
        <f aca="false">_xlfn.xlookup(BA228,A:A,F:F)</f>
        <v>#NAME?</v>
      </c>
      <c r="BC228" s="15" t="e">
        <f aca="false">_xlfn.xlookup(BA228,A:A,J:J)</f>
        <v>#NAME?</v>
      </c>
      <c r="BD228" s="75" t="e">
        <f aca="false">_xlfn.xlookup(BA228,A:A,M:M)+_xlfn.xlookup(BA228,A:A,N:N)</f>
        <v>#NAME?</v>
      </c>
      <c r="BE228" s="75" t="e">
        <f aca="false">_xlfn.xlookup(BA228,A176:A1164,AA176:AA1164)</f>
        <v>#NAME?</v>
      </c>
    </row>
    <row r="229" customFormat="false" ht="16.4" hidden="false" customHeight="false" outlineLevel="0" collapsed="false">
      <c r="A229" s="241" t="s">
        <v>1454</v>
      </c>
      <c r="B229" s="1" t="n">
        <f aca="false">'Liste WO'!B220</f>
        <v>0</v>
      </c>
      <c r="C229" s="292" t="n">
        <f aca="false">'Liste WO'!C220</f>
        <v>0</v>
      </c>
      <c r="D229" s="241" t="n">
        <f aca="false">'Liste WO'!D220</f>
        <v>0</v>
      </c>
      <c r="E229" s="241" t="n">
        <f aca="false">'Liste WO'!E220</f>
        <v>0</v>
      </c>
      <c r="F229" s="241" t="e">
        <f aca="false">_xlfn.xlookup(E229,Clients!B:B,Clients!C:C)</f>
        <v>#NAME?</v>
      </c>
      <c r="G229" s="241" t="e">
        <f aca="false">_xlfn.xlookup(D229,'PO Client'!$A:$A,'PO Client'!$F:$F,FALSE())</f>
        <v>#NAME?</v>
      </c>
      <c r="H229" s="251" t="n">
        <f aca="false">'Liste WO'!I220</f>
        <v>0</v>
      </c>
      <c r="I229" s="251" t="n">
        <f aca="false">'Liste WO'!J220</f>
        <v>0</v>
      </c>
      <c r="J229" s="244" t="n">
        <f aca="false">'Liste WO'!L220</f>
        <v>0</v>
      </c>
      <c r="K229" s="245"/>
      <c r="L229" s="245"/>
      <c r="M229" s="245"/>
      <c r="N229" s="245"/>
      <c r="O229" s="245"/>
      <c r="P229" s="246"/>
      <c r="Q229" s="219"/>
      <c r="R229" s="247"/>
      <c r="S229" s="272"/>
      <c r="T229" s="248" t="n">
        <f aca="false">_xlfn.xlookup(I229,'Prix MP'!A:A,'Prix MP'!U:U, 0)</f>
        <v>0</v>
      </c>
      <c r="U229" s="249" t="n">
        <f aca="false">(M229+N229)*T229</f>
        <v>0</v>
      </c>
      <c r="V229" s="249" t="n">
        <f aca="false">(K229-M229-L229)*T229</f>
        <v>0</v>
      </c>
      <c r="W229" s="250" t="str">
        <f aca="false">IFERROR((K229-M229-L229)/K229,"")</f>
        <v/>
      </c>
      <c r="X229" s="249" t="n">
        <f aca="false">20.6577/85*O229</f>
        <v>0</v>
      </c>
      <c r="Y229" s="249" t="n">
        <f aca="false">19.2*P229</f>
        <v>0</v>
      </c>
      <c r="Z229" s="249" t="n">
        <f aca="false">125000/52/40*Q229</f>
        <v>0</v>
      </c>
      <c r="AA229" s="249" t="n">
        <f aca="false">(M229+N229)*T229+R229+V229+X229+Y229+Z229</f>
        <v>0</v>
      </c>
      <c r="AB229" s="285" t="e">
        <f aca="false">_xlfn.xlookup(H229,'Prix vente'!A:A,'Prix vente'!X:X, "")</f>
        <v>#NAME?</v>
      </c>
      <c r="AC229" s="285" t="e">
        <f aca="false">_xlfn.xlookup(H229,'Prix vente'!A:A,'Prix vente'!Z:Z, "")</f>
        <v>#NAME?</v>
      </c>
      <c r="AD229" s="249" t="n">
        <f aca="false">IFERROR(IF(AC229="CAD",(M229+N229)*AB229,(M229+N229)*AB229*S229),0)</f>
        <v>0</v>
      </c>
      <c r="AE229" s="249" t="n">
        <f aca="false">AD229-AA229</f>
        <v>0</v>
      </c>
      <c r="AF229" s="273" t="str">
        <f aca="false">IFERROR(1-AA229/AD229,"")</f>
        <v/>
      </c>
      <c r="AG229" s="252" t="n">
        <f aca="false">((M229+N229)*T229+V229)</f>
        <v>0</v>
      </c>
      <c r="AH229" s="273" t="str">
        <f aca="false">IFERROR(AG229/AD229,"")</f>
        <v/>
      </c>
      <c r="AI229" s="273" t="str">
        <f aca="false">IFERROR(IF(AD229=0,"S",""),"S")</f>
        <v>S</v>
      </c>
      <c r="AK229" s="15" t="e">
        <v>#NAME?</v>
      </c>
      <c r="AL229" s="15" t="e">
        <f aca="false">_xlfn.xlookup(AK229,A:A,F:F)</f>
        <v>#NAME?</v>
      </c>
      <c r="AM229" s="15" t="e">
        <f aca="false">_xlfn.xlookup(AK229,A:A,J:J)</f>
        <v>#NAME?</v>
      </c>
      <c r="AN229" s="15" t="e">
        <f aca="false">_xlfn.xlookup(AK229,A:A,M:M)+_xlfn.xlookup(AK229,A:A,N:N)</f>
        <v>#NAME?</v>
      </c>
      <c r="AO229" s="223" t="e">
        <f aca="false">_xlfn.xlookup(AK229,A:A,AG:AG)</f>
        <v>#NAME?</v>
      </c>
      <c r="AP229" s="223" t="e">
        <f aca="false">_xlfn.xlookup(AK229,A:A,AD:AD)</f>
        <v>#NAME?</v>
      </c>
      <c r="AQ229" s="223" t="e">
        <f aca="false">_xlfn.xlookup(AK229,A:A,AE:AE)</f>
        <v>#NAME?</v>
      </c>
      <c r="AX229" s="288"/>
      <c r="AY229" s="288"/>
      <c r="AZ229" s="288"/>
      <c r="BB229" s="257" t="e">
        <f aca="false">_xlfn.xlookup(BA229,A:A,F:F)</f>
        <v>#NAME?</v>
      </c>
      <c r="BC229" s="15" t="e">
        <f aca="false">_xlfn.xlookup(BA229,A:A,J:J)</f>
        <v>#NAME?</v>
      </c>
      <c r="BD229" s="75" t="e">
        <f aca="false">_xlfn.xlookup(BA229,A:A,M:M)+_xlfn.xlookup(BA229,A:A,N:N)</f>
        <v>#NAME?</v>
      </c>
      <c r="BE229" s="75" t="e">
        <f aca="false">_xlfn.xlookup(BA229,A177:A1165,AA177:AA1165)</f>
        <v>#NAME?</v>
      </c>
    </row>
    <row r="230" customFormat="false" ht="16.4" hidden="false" customHeight="false" outlineLevel="0" collapsed="false">
      <c r="A230" s="241" t="s">
        <v>1455</v>
      </c>
      <c r="B230" s="1" t="n">
        <f aca="false">'Liste WO'!B221</f>
        <v>0</v>
      </c>
      <c r="C230" s="292" t="n">
        <f aca="false">'Liste WO'!C221</f>
        <v>0</v>
      </c>
      <c r="D230" s="241" t="n">
        <f aca="false">'Liste WO'!D221</f>
        <v>0</v>
      </c>
      <c r="E230" s="241" t="n">
        <f aca="false">'Liste WO'!E221</f>
        <v>0</v>
      </c>
      <c r="F230" s="241" t="e">
        <f aca="false">_xlfn.xlookup(E230,Clients!B:B,Clients!C:C)</f>
        <v>#NAME?</v>
      </c>
      <c r="G230" s="241" t="e">
        <f aca="false">_xlfn.xlookup(D230,'PO Client'!$A:$A,'PO Client'!$F:$F,FALSE())</f>
        <v>#NAME?</v>
      </c>
      <c r="H230" s="251" t="n">
        <f aca="false">'Liste WO'!I221</f>
        <v>0</v>
      </c>
      <c r="I230" s="251" t="n">
        <f aca="false">'Liste WO'!J221</f>
        <v>0</v>
      </c>
      <c r="J230" s="244" t="n">
        <f aca="false">'Liste WO'!L221</f>
        <v>0</v>
      </c>
      <c r="K230" s="245"/>
      <c r="L230" s="245"/>
      <c r="M230" s="245"/>
      <c r="N230" s="245"/>
      <c r="O230" s="245"/>
      <c r="P230" s="246"/>
      <c r="Q230" s="219"/>
      <c r="R230" s="247"/>
      <c r="S230" s="272"/>
      <c r="T230" s="248" t="n">
        <f aca="false">_xlfn.xlookup(I230,'Prix MP'!A:A,'Prix MP'!U:U, 0)</f>
        <v>0</v>
      </c>
      <c r="U230" s="249" t="n">
        <f aca="false">(M230+N230)*T230</f>
        <v>0</v>
      </c>
      <c r="V230" s="249" t="n">
        <f aca="false">(K230-M230-L230)*T230</f>
        <v>0</v>
      </c>
      <c r="W230" s="250" t="str">
        <f aca="false">IFERROR((K230-M230-L230)/K230,"")</f>
        <v/>
      </c>
      <c r="X230" s="249" t="n">
        <f aca="false">20.6577/85*O230</f>
        <v>0</v>
      </c>
      <c r="Y230" s="249" t="n">
        <f aca="false">19.2*P230</f>
        <v>0</v>
      </c>
      <c r="Z230" s="249" t="n">
        <f aca="false">125000/52/40*Q230</f>
        <v>0</v>
      </c>
      <c r="AA230" s="249" t="n">
        <f aca="false">(M230+N230)*T230+R230+V230+X230+Y230+Z230</f>
        <v>0</v>
      </c>
      <c r="AB230" s="285" t="e">
        <f aca="false">_xlfn.xlookup(H230,'Prix vente'!A:A,'Prix vente'!X:X, "")</f>
        <v>#NAME?</v>
      </c>
      <c r="AC230" s="285" t="e">
        <f aca="false">_xlfn.xlookup(H230,'Prix vente'!A:A,'Prix vente'!Z:Z, "")</f>
        <v>#NAME?</v>
      </c>
      <c r="AD230" s="249" t="n">
        <f aca="false">IFERROR(IF(AC230="CAD",(M230+N230)*AB230,(M230+N230)*AB230*S230),0)</f>
        <v>0</v>
      </c>
      <c r="AE230" s="249" t="n">
        <f aca="false">AD230-AA230</f>
        <v>0</v>
      </c>
      <c r="AF230" s="273" t="str">
        <f aca="false">IFERROR(1-AA230/AD230,"")</f>
        <v/>
      </c>
      <c r="AG230" s="252" t="n">
        <f aca="false">((M230+N230)*T230+V230)</f>
        <v>0</v>
      </c>
      <c r="AH230" s="273" t="str">
        <f aca="false">IFERROR(AG230/AD230,"")</f>
        <v/>
      </c>
      <c r="AI230" s="273" t="str">
        <f aca="false">IFERROR(IF(AD230=0,"S",""),"S")</f>
        <v>S</v>
      </c>
      <c r="AK230" s="15" t="e">
        <v>#NAME?</v>
      </c>
      <c r="AL230" s="15" t="e">
        <f aca="false">_xlfn.xlookup(AK230,A:A,F:F)</f>
        <v>#NAME?</v>
      </c>
      <c r="AM230" s="15" t="e">
        <f aca="false">_xlfn.xlookup(AK230,A:A,J:J)</f>
        <v>#NAME?</v>
      </c>
      <c r="AN230" s="15" t="e">
        <f aca="false">_xlfn.xlookup(AK230,A:A,M:M)+_xlfn.xlookup(AK230,A:A,N:N)</f>
        <v>#NAME?</v>
      </c>
      <c r="AO230" s="223" t="e">
        <f aca="false">_xlfn.xlookup(AK230,A:A,AG:AG)</f>
        <v>#NAME?</v>
      </c>
      <c r="AP230" s="223" t="e">
        <f aca="false">_xlfn.xlookup(AK230,A:A,AD:AD)</f>
        <v>#NAME?</v>
      </c>
      <c r="AQ230" s="223" t="e">
        <f aca="false">_xlfn.xlookup(AK230,A:A,AE:AE)</f>
        <v>#NAME?</v>
      </c>
      <c r="AX230" s="288"/>
      <c r="AY230" s="288"/>
      <c r="AZ230" s="288"/>
      <c r="BB230" s="257" t="e">
        <f aca="false">_xlfn.xlookup(BA230,A:A,F:F)</f>
        <v>#NAME?</v>
      </c>
      <c r="BC230" s="15" t="e">
        <f aca="false">_xlfn.xlookup(BA230,A:A,J:J)</f>
        <v>#NAME?</v>
      </c>
      <c r="BD230" s="75" t="e">
        <f aca="false">_xlfn.xlookup(BA230,A:A,M:M)+_xlfn.xlookup(BA230,A:A,N:N)</f>
        <v>#NAME?</v>
      </c>
      <c r="BE230" s="75" t="e">
        <f aca="false">_xlfn.xlookup(BA230,A178:A1166,AA178:AA1166)</f>
        <v>#NAME?</v>
      </c>
    </row>
    <row r="231" customFormat="false" ht="16.4" hidden="false" customHeight="false" outlineLevel="0" collapsed="false">
      <c r="A231" s="241" t="s">
        <v>1456</v>
      </c>
      <c r="B231" s="1" t="n">
        <f aca="false">'Liste WO'!B222</f>
        <v>0</v>
      </c>
      <c r="C231" s="292" t="n">
        <f aca="false">'Liste WO'!C222</f>
        <v>0</v>
      </c>
      <c r="D231" s="241" t="n">
        <f aca="false">'Liste WO'!D222</f>
        <v>0</v>
      </c>
      <c r="E231" s="241" t="n">
        <f aca="false">'Liste WO'!E222</f>
        <v>0</v>
      </c>
      <c r="F231" s="241" t="e">
        <f aca="false">_xlfn.xlookup(E231,Clients!B:B,Clients!C:C)</f>
        <v>#NAME?</v>
      </c>
      <c r="G231" s="241" t="e">
        <f aca="false">_xlfn.xlookup(D231,'PO Client'!$A:$A,'PO Client'!$F:$F,FALSE())</f>
        <v>#NAME?</v>
      </c>
      <c r="H231" s="251" t="n">
        <f aca="false">'Liste WO'!I222</f>
        <v>0</v>
      </c>
      <c r="I231" s="251" t="n">
        <f aca="false">'Liste WO'!J222</f>
        <v>0</v>
      </c>
      <c r="J231" s="244" t="n">
        <f aca="false">'Liste WO'!L222</f>
        <v>0</v>
      </c>
      <c r="K231" s="245"/>
      <c r="L231" s="245"/>
      <c r="M231" s="245"/>
      <c r="N231" s="245"/>
      <c r="O231" s="245"/>
      <c r="P231" s="246"/>
      <c r="Q231" s="219"/>
      <c r="R231" s="247"/>
      <c r="S231" s="272"/>
      <c r="T231" s="248" t="n">
        <f aca="false">_xlfn.xlookup(I231,'Prix MP'!A:A,'Prix MP'!U:U, 0)</f>
        <v>0</v>
      </c>
      <c r="U231" s="249" t="n">
        <f aca="false">(M231+N231)*T231</f>
        <v>0</v>
      </c>
      <c r="V231" s="249" t="n">
        <f aca="false">(K231-M231-L231)*T231</f>
        <v>0</v>
      </c>
      <c r="W231" s="250" t="str">
        <f aca="false">IFERROR((K231-M231-L231)/K231,"")</f>
        <v/>
      </c>
      <c r="X231" s="249" t="n">
        <f aca="false">20.6577/85*O231</f>
        <v>0</v>
      </c>
      <c r="Y231" s="249" t="n">
        <f aca="false">19.2*P231</f>
        <v>0</v>
      </c>
      <c r="Z231" s="249" t="n">
        <f aca="false">125000/52/40*Q231</f>
        <v>0</v>
      </c>
      <c r="AA231" s="249" t="n">
        <f aca="false">(M231+N231)*T231+R231+V231+X231+Y231+Z231</f>
        <v>0</v>
      </c>
      <c r="AB231" s="285" t="e">
        <f aca="false">_xlfn.xlookup(H231,'Prix vente'!A:A,'Prix vente'!X:X, "")</f>
        <v>#NAME?</v>
      </c>
      <c r="AC231" s="285" t="e">
        <f aca="false">_xlfn.xlookup(H231,'Prix vente'!A:A,'Prix vente'!Z:Z, "")</f>
        <v>#NAME?</v>
      </c>
      <c r="AD231" s="249" t="n">
        <f aca="false">IFERROR(IF(AC231="CAD",(M231+N231)*AB231,(M231+N231)*AB231*S231),0)</f>
        <v>0</v>
      </c>
      <c r="AE231" s="249" t="n">
        <f aca="false">AD231-AA231</f>
        <v>0</v>
      </c>
      <c r="AF231" s="273" t="str">
        <f aca="false">IFERROR(1-AA231/AD231,"")</f>
        <v/>
      </c>
      <c r="AG231" s="252" t="n">
        <f aca="false">((M231+N231)*T231+V231)</f>
        <v>0</v>
      </c>
      <c r="AH231" s="273" t="str">
        <f aca="false">IFERROR(AG231/AD231,"")</f>
        <v/>
      </c>
      <c r="AI231" s="273" t="str">
        <f aca="false">IFERROR(IF(AD231=0,"S",""),"S")</f>
        <v>S</v>
      </c>
      <c r="AK231" s="15" t="e">
        <v>#NAME?</v>
      </c>
      <c r="AL231" s="15" t="e">
        <f aca="false">_xlfn.xlookup(AK231,A:A,F:F)</f>
        <v>#NAME?</v>
      </c>
      <c r="AM231" s="15" t="e">
        <f aca="false">_xlfn.xlookup(AK231,A:A,J:J)</f>
        <v>#NAME?</v>
      </c>
      <c r="AN231" s="15" t="e">
        <f aca="false">_xlfn.xlookup(AK231,A:A,M:M)+_xlfn.xlookup(AK231,A:A,N:N)</f>
        <v>#NAME?</v>
      </c>
      <c r="AO231" s="223" t="e">
        <f aca="false">_xlfn.xlookup(AK231,A:A,AG:AG)</f>
        <v>#NAME?</v>
      </c>
      <c r="AP231" s="223" t="e">
        <f aca="false">_xlfn.xlookup(AK231,A:A,AD:AD)</f>
        <v>#NAME?</v>
      </c>
      <c r="AQ231" s="223" t="e">
        <f aca="false">_xlfn.xlookup(AK231,A:A,AE:AE)</f>
        <v>#NAME?</v>
      </c>
      <c r="AX231" s="288"/>
      <c r="AY231" s="288"/>
      <c r="AZ231" s="288"/>
      <c r="BB231" s="257" t="e">
        <f aca="false">_xlfn.xlookup(BA231,A:A,F:F)</f>
        <v>#NAME?</v>
      </c>
      <c r="BC231" s="15" t="e">
        <f aca="false">_xlfn.xlookup(BA231,A:A,J:J)</f>
        <v>#NAME?</v>
      </c>
      <c r="BD231" s="75" t="e">
        <f aca="false">_xlfn.xlookup(BA231,A:A,M:M)+_xlfn.xlookup(BA231,A:A,N:N)</f>
        <v>#NAME?</v>
      </c>
      <c r="BE231" s="75" t="e">
        <f aca="false">_xlfn.xlookup(BA231,A179:A1167,AA179:AA1167)</f>
        <v>#NAME?</v>
      </c>
    </row>
    <row r="232" customFormat="false" ht="16.4" hidden="false" customHeight="false" outlineLevel="0" collapsed="false">
      <c r="A232" s="241" t="s">
        <v>1457</v>
      </c>
      <c r="B232" s="1" t="n">
        <f aca="false">'Liste WO'!B223</f>
        <v>0</v>
      </c>
      <c r="C232" s="292" t="n">
        <f aca="false">'Liste WO'!C223</f>
        <v>0</v>
      </c>
      <c r="D232" s="241" t="n">
        <f aca="false">'Liste WO'!D223</f>
        <v>0</v>
      </c>
      <c r="E232" s="241" t="n">
        <f aca="false">'Liste WO'!E223</f>
        <v>0</v>
      </c>
      <c r="F232" s="241" t="e">
        <f aca="false">_xlfn.xlookup(E232,Clients!B:B,Clients!C:C)</f>
        <v>#NAME?</v>
      </c>
      <c r="G232" s="241" t="e">
        <f aca="false">_xlfn.xlookup(D232,'PO Client'!$A:$A,'PO Client'!$F:$F,FALSE())</f>
        <v>#NAME?</v>
      </c>
      <c r="H232" s="251" t="n">
        <f aca="false">'Liste WO'!I223</f>
        <v>0</v>
      </c>
      <c r="I232" s="251" t="n">
        <f aca="false">'Liste WO'!J223</f>
        <v>0</v>
      </c>
      <c r="J232" s="244" t="n">
        <f aca="false">'Liste WO'!L223</f>
        <v>0</v>
      </c>
      <c r="K232" s="245"/>
      <c r="L232" s="245"/>
      <c r="M232" s="245"/>
      <c r="N232" s="245"/>
      <c r="O232" s="245"/>
      <c r="P232" s="246"/>
      <c r="Q232" s="219"/>
      <c r="R232" s="247"/>
      <c r="S232" s="272"/>
      <c r="T232" s="248" t="n">
        <f aca="false">_xlfn.xlookup(I232,'Prix MP'!A:A,'Prix MP'!U:U, 0)</f>
        <v>0</v>
      </c>
      <c r="U232" s="249" t="n">
        <f aca="false">(M232+N232)*T232</f>
        <v>0</v>
      </c>
      <c r="V232" s="249" t="n">
        <f aca="false">(K232-M232-L232)*T232</f>
        <v>0</v>
      </c>
      <c r="W232" s="250" t="str">
        <f aca="false">IFERROR((K232-M232-L232)/K232,"")</f>
        <v/>
      </c>
      <c r="X232" s="249" t="n">
        <f aca="false">20.6577/85*O232</f>
        <v>0</v>
      </c>
      <c r="Y232" s="249" t="n">
        <f aca="false">19.2*P232</f>
        <v>0</v>
      </c>
      <c r="Z232" s="249" t="n">
        <f aca="false">125000/52/40*Q232</f>
        <v>0</v>
      </c>
      <c r="AA232" s="249" t="n">
        <f aca="false">(M232+N232)*T232+R232+V232+X232+Y232+Z232</f>
        <v>0</v>
      </c>
      <c r="AB232" s="285" t="e">
        <f aca="false">_xlfn.xlookup(H232,'Prix vente'!A:A,'Prix vente'!X:X, "")</f>
        <v>#NAME?</v>
      </c>
      <c r="AC232" s="285" t="e">
        <f aca="false">_xlfn.xlookup(H232,'Prix vente'!A:A,'Prix vente'!Z:Z, "")</f>
        <v>#NAME?</v>
      </c>
      <c r="AD232" s="249" t="n">
        <f aca="false">IFERROR(IF(AC232="CAD",(M232+N232)*AB232,(M232+N232)*AB232*S232),0)</f>
        <v>0</v>
      </c>
      <c r="AE232" s="249" t="n">
        <f aca="false">AD232-AA232</f>
        <v>0</v>
      </c>
      <c r="AF232" s="273" t="str">
        <f aca="false">IFERROR(1-AA232/AD232,"")</f>
        <v/>
      </c>
      <c r="AG232" s="252" t="n">
        <f aca="false">((M232+N232)*T232+V232)</f>
        <v>0</v>
      </c>
      <c r="AH232" s="273" t="str">
        <f aca="false">IFERROR(AG232/AD232,"")</f>
        <v/>
      </c>
      <c r="AI232" s="273" t="str">
        <f aca="false">IFERROR(IF(AD232=0,"S",""),"S")</f>
        <v>S</v>
      </c>
      <c r="AK232" s="15" t="e">
        <v>#NAME?</v>
      </c>
      <c r="AL232" s="15" t="e">
        <f aca="false">_xlfn.xlookup(AK232,A:A,F:F)</f>
        <v>#NAME?</v>
      </c>
      <c r="AM232" s="15" t="e">
        <f aca="false">_xlfn.xlookup(AK232,A:A,J:J)</f>
        <v>#NAME?</v>
      </c>
      <c r="AN232" s="15" t="e">
        <f aca="false">_xlfn.xlookup(AK232,A:A,M:M)+_xlfn.xlookup(AK232,A:A,N:N)</f>
        <v>#NAME?</v>
      </c>
      <c r="AO232" s="223" t="e">
        <f aca="false">_xlfn.xlookup(AK232,A:A,AG:AG)</f>
        <v>#NAME?</v>
      </c>
      <c r="AP232" s="223" t="e">
        <f aca="false">_xlfn.xlookup(AK232,A:A,AD:AD)</f>
        <v>#NAME?</v>
      </c>
      <c r="AQ232" s="223" t="e">
        <f aca="false">_xlfn.xlookup(AK232,A:A,AE:AE)</f>
        <v>#NAME?</v>
      </c>
      <c r="AX232" s="288"/>
      <c r="AY232" s="288"/>
      <c r="AZ232" s="288"/>
      <c r="BB232" s="257" t="e">
        <f aca="false">_xlfn.xlookup(BA232,A:A,F:F)</f>
        <v>#NAME?</v>
      </c>
      <c r="BC232" s="15" t="e">
        <f aca="false">_xlfn.xlookup(BA232,A:A,J:J)</f>
        <v>#NAME?</v>
      </c>
      <c r="BD232" s="75" t="e">
        <f aca="false">_xlfn.xlookup(BA232,A:A,M:M)+_xlfn.xlookup(BA232,A:A,N:N)</f>
        <v>#NAME?</v>
      </c>
      <c r="BE232" s="75" t="e">
        <f aca="false">_xlfn.xlookup(BA232,A180:A1168,AA180:AA1168)</f>
        <v>#NAME?</v>
      </c>
    </row>
    <row r="233" customFormat="false" ht="16.4" hidden="false" customHeight="false" outlineLevel="0" collapsed="false">
      <c r="A233" s="241" t="s">
        <v>1458</v>
      </c>
      <c r="B233" s="1" t="n">
        <f aca="false">'Liste WO'!B224</f>
        <v>0</v>
      </c>
      <c r="C233" s="292" t="n">
        <f aca="false">'Liste WO'!C224</f>
        <v>0</v>
      </c>
      <c r="D233" s="241" t="n">
        <f aca="false">'Liste WO'!D224</f>
        <v>0</v>
      </c>
      <c r="E233" s="241" t="n">
        <f aca="false">'Liste WO'!E224</f>
        <v>0</v>
      </c>
      <c r="F233" s="241" t="e">
        <f aca="false">_xlfn.xlookup(E233,Clients!B:B,Clients!C:C)</f>
        <v>#NAME?</v>
      </c>
      <c r="G233" s="241" t="e">
        <f aca="false">_xlfn.xlookup(D233,'PO Client'!$A:$A,'PO Client'!$F:$F,FALSE())</f>
        <v>#NAME?</v>
      </c>
      <c r="H233" s="251" t="n">
        <f aca="false">'Liste WO'!I224</f>
        <v>0</v>
      </c>
      <c r="I233" s="251" t="n">
        <f aca="false">'Liste WO'!J224</f>
        <v>0</v>
      </c>
      <c r="J233" s="244" t="n">
        <f aca="false">'Liste WO'!L224</f>
        <v>0</v>
      </c>
      <c r="K233" s="245"/>
      <c r="L233" s="245"/>
      <c r="M233" s="245"/>
      <c r="N233" s="245"/>
      <c r="O233" s="245"/>
      <c r="P233" s="246"/>
      <c r="Q233" s="219"/>
      <c r="R233" s="247"/>
      <c r="S233" s="272"/>
      <c r="T233" s="248" t="n">
        <f aca="false">_xlfn.xlookup(I233,'Prix MP'!A:A,'Prix MP'!U:U, 0)</f>
        <v>0</v>
      </c>
      <c r="U233" s="249" t="n">
        <f aca="false">(M233+N233)*T233</f>
        <v>0</v>
      </c>
      <c r="V233" s="249" t="n">
        <f aca="false">(K233-M233-L233)*T233</f>
        <v>0</v>
      </c>
      <c r="W233" s="250" t="str">
        <f aca="false">IFERROR((K233-M233-L233)/K233,"")</f>
        <v/>
      </c>
      <c r="X233" s="249" t="n">
        <f aca="false">20.6577/85*O233</f>
        <v>0</v>
      </c>
      <c r="Y233" s="249" t="n">
        <f aca="false">19.2*P233</f>
        <v>0</v>
      </c>
      <c r="Z233" s="249" t="n">
        <f aca="false">125000/52/40*Q233</f>
        <v>0</v>
      </c>
      <c r="AA233" s="249" t="n">
        <f aca="false">(M233+N233)*T233+R233+V233+X233+Y233+Z233</f>
        <v>0</v>
      </c>
      <c r="AB233" s="285" t="e">
        <f aca="false">_xlfn.xlookup(H233,'Prix vente'!A:A,'Prix vente'!X:X, "")</f>
        <v>#NAME?</v>
      </c>
      <c r="AC233" s="285" t="e">
        <f aca="false">_xlfn.xlookup(H233,'Prix vente'!A:A,'Prix vente'!Z:Z, "")</f>
        <v>#NAME?</v>
      </c>
      <c r="AD233" s="249" t="n">
        <f aca="false">IFERROR(IF(AC233="CAD",(M233+N233)*AB233,(M233+N233)*AB233*S233),0)</f>
        <v>0</v>
      </c>
      <c r="AE233" s="249" t="n">
        <f aca="false">AD233-AA233</f>
        <v>0</v>
      </c>
      <c r="AF233" s="273" t="str">
        <f aca="false">IFERROR(1-AA233/AD233,"")</f>
        <v/>
      </c>
      <c r="AG233" s="252" t="n">
        <f aca="false">((M233+N233)*T233+V233)</f>
        <v>0</v>
      </c>
      <c r="AH233" s="273" t="str">
        <f aca="false">IFERROR(AG233/AD233,"")</f>
        <v/>
      </c>
      <c r="AI233" s="273" t="str">
        <f aca="false">IFERROR(IF(AD233=0,"S",""),"S")</f>
        <v>S</v>
      </c>
      <c r="AK233" s="15" t="e">
        <v>#NAME?</v>
      </c>
      <c r="AL233" s="15" t="e">
        <f aca="false">_xlfn.xlookup(AK233,A:A,F:F)</f>
        <v>#NAME?</v>
      </c>
      <c r="AM233" s="15" t="e">
        <f aca="false">_xlfn.xlookup(AK233,A:A,J:J)</f>
        <v>#NAME?</v>
      </c>
      <c r="AN233" s="15" t="e">
        <f aca="false">_xlfn.xlookup(AK233,A:A,M:M)+_xlfn.xlookup(AK233,A:A,N:N)</f>
        <v>#NAME?</v>
      </c>
      <c r="AO233" s="223" t="e">
        <f aca="false">_xlfn.xlookup(AK233,A:A,AG:AG)</f>
        <v>#NAME?</v>
      </c>
      <c r="AP233" s="223" t="e">
        <f aca="false">_xlfn.xlookup(AK233,A:A,AD:AD)</f>
        <v>#NAME?</v>
      </c>
      <c r="AQ233" s="223" t="e">
        <f aca="false">_xlfn.xlookup(AK233,A:A,AE:AE)</f>
        <v>#NAME?</v>
      </c>
      <c r="AX233" s="288"/>
      <c r="AY233" s="288"/>
      <c r="AZ233" s="288"/>
      <c r="BB233" s="257" t="e">
        <f aca="false">_xlfn.xlookup(BA233,A:A,F:F)</f>
        <v>#NAME?</v>
      </c>
      <c r="BC233" s="15" t="e">
        <f aca="false">_xlfn.xlookup(BA233,A:A,J:J)</f>
        <v>#NAME?</v>
      </c>
      <c r="BD233" s="75" t="e">
        <f aca="false">_xlfn.xlookup(BA233,A:A,M:M)+_xlfn.xlookup(BA233,A:A,N:N)</f>
        <v>#NAME?</v>
      </c>
      <c r="BE233" s="75" t="e">
        <f aca="false">_xlfn.xlookup(BA233,A181:A1169,AA181:AA1169)</f>
        <v>#NAME?</v>
      </c>
    </row>
    <row r="234" customFormat="false" ht="16.4" hidden="false" customHeight="false" outlineLevel="0" collapsed="false">
      <c r="A234" s="241" t="s">
        <v>1459</v>
      </c>
      <c r="B234" s="1" t="n">
        <f aca="false">'Liste WO'!B225</f>
        <v>0</v>
      </c>
      <c r="C234" s="292" t="n">
        <f aca="false">'Liste WO'!C225</f>
        <v>0</v>
      </c>
      <c r="D234" s="241" t="n">
        <f aca="false">'Liste WO'!D225</f>
        <v>0</v>
      </c>
      <c r="E234" s="241" t="n">
        <f aca="false">'Liste WO'!E225</f>
        <v>0</v>
      </c>
      <c r="F234" s="241" t="e">
        <f aca="false">_xlfn.xlookup(E234,Clients!B:B,Clients!C:C)</f>
        <v>#NAME?</v>
      </c>
      <c r="G234" s="241" t="e">
        <f aca="false">_xlfn.xlookup(D234,'PO Client'!$A:$A,'PO Client'!$F:$F,FALSE())</f>
        <v>#NAME?</v>
      </c>
      <c r="H234" s="251" t="n">
        <f aca="false">'Liste WO'!I225</f>
        <v>0</v>
      </c>
      <c r="I234" s="251" t="n">
        <f aca="false">'Liste WO'!J225</f>
        <v>0</v>
      </c>
      <c r="J234" s="244" t="n">
        <f aca="false">'Liste WO'!L225</f>
        <v>0</v>
      </c>
      <c r="K234" s="245"/>
      <c r="L234" s="245"/>
      <c r="M234" s="245"/>
      <c r="N234" s="245"/>
      <c r="O234" s="245"/>
      <c r="P234" s="246"/>
      <c r="Q234" s="219"/>
      <c r="R234" s="247"/>
      <c r="S234" s="272"/>
      <c r="T234" s="248" t="n">
        <f aca="false">_xlfn.xlookup(I234,'Prix MP'!A:A,'Prix MP'!U:U, 0)</f>
        <v>0</v>
      </c>
      <c r="U234" s="249" t="n">
        <f aca="false">(M234+N234)*T234</f>
        <v>0</v>
      </c>
      <c r="V234" s="249" t="n">
        <f aca="false">(K234-M234-L234)*T234</f>
        <v>0</v>
      </c>
      <c r="W234" s="250" t="str">
        <f aca="false">IFERROR((K234-M234-L234)/K234,"")</f>
        <v/>
      </c>
      <c r="X234" s="249" t="n">
        <f aca="false">20.6577/85*O234</f>
        <v>0</v>
      </c>
      <c r="Y234" s="249" t="n">
        <f aca="false">19.2*P234</f>
        <v>0</v>
      </c>
      <c r="Z234" s="249" t="n">
        <f aca="false">125000/52/40*Q234</f>
        <v>0</v>
      </c>
      <c r="AA234" s="249" t="n">
        <f aca="false">(M234+N234)*T234+R234+V234+X234+Y234+Z234</f>
        <v>0</v>
      </c>
      <c r="AB234" s="285" t="e">
        <f aca="false">_xlfn.xlookup(H234,'Prix vente'!A:A,'Prix vente'!X:X, "")</f>
        <v>#NAME?</v>
      </c>
      <c r="AC234" s="285" t="e">
        <f aca="false">_xlfn.xlookup(H234,'Prix vente'!A:A,'Prix vente'!Z:Z, "")</f>
        <v>#NAME?</v>
      </c>
      <c r="AD234" s="249" t="n">
        <f aca="false">IFERROR(IF(AC234="CAD",(M234+N234)*AB234,(M234+N234)*AB234*S234),0)</f>
        <v>0</v>
      </c>
      <c r="AE234" s="249" t="n">
        <f aca="false">AD234-AA234</f>
        <v>0</v>
      </c>
      <c r="AF234" s="273" t="str">
        <f aca="false">IFERROR(1-AA234/AD234,"")</f>
        <v/>
      </c>
      <c r="AG234" s="252" t="n">
        <f aca="false">((M234+N234)*T234+V234)</f>
        <v>0</v>
      </c>
      <c r="AH234" s="273" t="str">
        <f aca="false">IFERROR(AG234/AD234,"")</f>
        <v/>
      </c>
      <c r="AI234" s="273" t="str">
        <f aca="false">IFERROR(IF(AD234=0,"S",""),"S")</f>
        <v>S</v>
      </c>
      <c r="AK234" s="15" t="e">
        <v>#NAME?</v>
      </c>
      <c r="AL234" s="15" t="e">
        <f aca="false">_xlfn.xlookup(AK234,A:A,F:F)</f>
        <v>#NAME?</v>
      </c>
      <c r="AM234" s="15" t="e">
        <f aca="false">_xlfn.xlookup(AK234,A:A,J:J)</f>
        <v>#NAME?</v>
      </c>
      <c r="AN234" s="15" t="e">
        <f aca="false">_xlfn.xlookup(AK234,A:A,M:M)+_xlfn.xlookup(AK234,A:A,N:N)</f>
        <v>#NAME?</v>
      </c>
      <c r="AO234" s="223" t="e">
        <f aca="false">_xlfn.xlookup(AK234,A:A,AG:AG)</f>
        <v>#NAME?</v>
      </c>
      <c r="AP234" s="223" t="e">
        <f aca="false">_xlfn.xlookup(AK234,A:A,AD:AD)</f>
        <v>#NAME?</v>
      </c>
      <c r="AQ234" s="223" t="e">
        <f aca="false">_xlfn.xlookup(AK234,A:A,AE:AE)</f>
        <v>#NAME?</v>
      </c>
      <c r="AX234" s="288"/>
      <c r="AY234" s="288"/>
      <c r="AZ234" s="288"/>
      <c r="BB234" s="257" t="e">
        <f aca="false">_xlfn.xlookup(BA234,A:A,F:F)</f>
        <v>#NAME?</v>
      </c>
      <c r="BC234" s="15" t="e">
        <f aca="false">_xlfn.xlookup(BA234,A:A,J:J)</f>
        <v>#NAME?</v>
      </c>
      <c r="BD234" s="75" t="e">
        <f aca="false">_xlfn.xlookup(BA234,A:A,M:M)+_xlfn.xlookup(BA234,A:A,N:N)</f>
        <v>#NAME?</v>
      </c>
      <c r="BE234" s="75" t="e">
        <f aca="false">_xlfn.xlookup(BA234,A182:A1170,AA182:AA1170)</f>
        <v>#NAME?</v>
      </c>
    </row>
    <row r="235" customFormat="false" ht="16.4" hidden="false" customHeight="false" outlineLevel="0" collapsed="false">
      <c r="A235" s="241" t="s">
        <v>1460</v>
      </c>
      <c r="B235" s="1" t="n">
        <f aca="false">'Liste WO'!B226</f>
        <v>0</v>
      </c>
      <c r="C235" s="292" t="n">
        <f aca="false">'Liste WO'!C226</f>
        <v>0</v>
      </c>
      <c r="D235" s="241" t="n">
        <f aca="false">'Liste WO'!D226</f>
        <v>0</v>
      </c>
      <c r="E235" s="241" t="n">
        <f aca="false">'Liste WO'!E226</f>
        <v>0</v>
      </c>
      <c r="F235" s="241" t="e">
        <f aca="false">_xlfn.xlookup(E235,Clients!B:B,Clients!C:C)</f>
        <v>#NAME?</v>
      </c>
      <c r="G235" s="241" t="e">
        <f aca="false">_xlfn.xlookup(D235,'PO Client'!$A:$A,'PO Client'!$F:$F,FALSE())</f>
        <v>#NAME?</v>
      </c>
      <c r="H235" s="251" t="n">
        <f aca="false">'Liste WO'!I226</f>
        <v>0</v>
      </c>
      <c r="I235" s="251" t="n">
        <f aca="false">'Liste WO'!J226</f>
        <v>0</v>
      </c>
      <c r="J235" s="244" t="n">
        <f aca="false">'Liste WO'!L226</f>
        <v>0</v>
      </c>
      <c r="K235" s="245"/>
      <c r="L235" s="245"/>
      <c r="M235" s="245"/>
      <c r="N235" s="245"/>
      <c r="O235" s="245"/>
      <c r="P235" s="246"/>
      <c r="Q235" s="219"/>
      <c r="R235" s="247"/>
      <c r="S235" s="272"/>
      <c r="T235" s="248" t="n">
        <f aca="false">_xlfn.xlookup(I235,'Prix MP'!A:A,'Prix MP'!U:U, 0)</f>
        <v>0</v>
      </c>
      <c r="U235" s="249" t="n">
        <f aca="false">(M235+N235)*T235</f>
        <v>0</v>
      </c>
      <c r="V235" s="249" t="n">
        <f aca="false">(K235-M235-L235)*T235</f>
        <v>0</v>
      </c>
      <c r="W235" s="250" t="str">
        <f aca="false">IFERROR((K235-M235-L235)/K235,"")</f>
        <v/>
      </c>
      <c r="X235" s="249" t="n">
        <f aca="false">20.6577/85*O235</f>
        <v>0</v>
      </c>
      <c r="Y235" s="249" t="n">
        <f aca="false">19.2*P235</f>
        <v>0</v>
      </c>
      <c r="Z235" s="249" t="n">
        <f aca="false">125000/52/40*Q235</f>
        <v>0</v>
      </c>
      <c r="AA235" s="249" t="n">
        <f aca="false">(M235+N235)*T235+R235+V235+X235+Y235+Z235</f>
        <v>0</v>
      </c>
      <c r="AB235" s="285" t="e">
        <f aca="false">_xlfn.xlookup(H235,'Prix vente'!A:A,'Prix vente'!X:X, "")</f>
        <v>#NAME?</v>
      </c>
      <c r="AC235" s="285" t="e">
        <f aca="false">_xlfn.xlookup(H235,'Prix vente'!A:A,'Prix vente'!Z:Z, "")</f>
        <v>#NAME?</v>
      </c>
      <c r="AD235" s="249" t="n">
        <f aca="false">IFERROR(IF(AC235="CAD",(M235+N235)*AB235,(M235+N235)*AB235*S235),0)</f>
        <v>0</v>
      </c>
      <c r="AE235" s="249" t="n">
        <f aca="false">AD235-AA235</f>
        <v>0</v>
      </c>
      <c r="AF235" s="273" t="str">
        <f aca="false">IFERROR(1-AA235/AD235,"")</f>
        <v/>
      </c>
      <c r="AG235" s="252" t="n">
        <f aca="false">((M235+N235)*T235+V235)</f>
        <v>0</v>
      </c>
      <c r="AH235" s="273" t="str">
        <f aca="false">IFERROR(AG235/AD235,"")</f>
        <v/>
      </c>
      <c r="AI235" s="273" t="str">
        <f aca="false">IFERROR(IF(AD235=0,"S",""),"S")</f>
        <v>S</v>
      </c>
      <c r="AK235" s="15" t="e">
        <v>#NAME?</v>
      </c>
      <c r="AL235" s="15" t="e">
        <f aca="false">_xlfn.xlookup(AK235,A:A,F:F)</f>
        <v>#NAME?</v>
      </c>
      <c r="AM235" s="15" t="e">
        <f aca="false">_xlfn.xlookup(AK235,A:A,J:J)</f>
        <v>#NAME?</v>
      </c>
      <c r="AN235" s="15" t="e">
        <f aca="false">_xlfn.xlookup(AK235,A:A,M:M)+_xlfn.xlookup(AK235,A:A,N:N)</f>
        <v>#NAME?</v>
      </c>
      <c r="AO235" s="223" t="e">
        <f aca="false">_xlfn.xlookup(AK235,A:A,AG:AG)</f>
        <v>#NAME?</v>
      </c>
      <c r="AP235" s="223" t="e">
        <f aca="false">_xlfn.xlookup(AK235,A:A,AD:AD)</f>
        <v>#NAME?</v>
      </c>
      <c r="AQ235" s="223" t="e">
        <f aca="false">_xlfn.xlookup(AK235,A:A,AE:AE)</f>
        <v>#NAME?</v>
      </c>
      <c r="AX235" s="288"/>
      <c r="AY235" s="288"/>
      <c r="AZ235" s="288"/>
      <c r="BB235" s="257" t="e">
        <f aca="false">_xlfn.xlookup(BA235,A:A,F:F)</f>
        <v>#NAME?</v>
      </c>
      <c r="BC235" s="15" t="e">
        <f aca="false">_xlfn.xlookup(BA235,A:A,J:J)</f>
        <v>#NAME?</v>
      </c>
      <c r="BD235" s="75" t="e">
        <f aca="false">_xlfn.xlookup(BA235,A:A,M:M)+_xlfn.xlookup(BA235,A:A,N:N)</f>
        <v>#NAME?</v>
      </c>
      <c r="BE235" s="75" t="e">
        <f aca="false">_xlfn.xlookup(BA235,A183:A1171,AA183:AA1171)</f>
        <v>#NAME?</v>
      </c>
    </row>
    <row r="236" customFormat="false" ht="16.4" hidden="false" customHeight="false" outlineLevel="0" collapsed="false">
      <c r="A236" s="241" t="s">
        <v>1461</v>
      </c>
      <c r="B236" s="1" t="n">
        <f aca="false">'Liste WO'!B227</f>
        <v>0</v>
      </c>
      <c r="C236" s="292" t="n">
        <f aca="false">'Liste WO'!C227</f>
        <v>0</v>
      </c>
      <c r="D236" s="241" t="n">
        <f aca="false">'Liste WO'!D227</f>
        <v>0</v>
      </c>
      <c r="E236" s="241" t="n">
        <f aca="false">'Liste WO'!E227</f>
        <v>0</v>
      </c>
      <c r="F236" s="241" t="e">
        <f aca="false">_xlfn.xlookup(E236,Clients!B:B,Clients!C:C)</f>
        <v>#NAME?</v>
      </c>
      <c r="G236" s="241" t="e">
        <f aca="false">_xlfn.xlookup(D236,'PO Client'!$A:$A,'PO Client'!$F:$F,FALSE())</f>
        <v>#NAME?</v>
      </c>
      <c r="H236" s="251" t="n">
        <f aca="false">'Liste WO'!I227</f>
        <v>0</v>
      </c>
      <c r="I236" s="251" t="n">
        <f aca="false">'Liste WO'!J227</f>
        <v>0</v>
      </c>
      <c r="J236" s="244" t="n">
        <f aca="false">'Liste WO'!L227</f>
        <v>0</v>
      </c>
      <c r="K236" s="245"/>
      <c r="L236" s="245"/>
      <c r="M236" s="245"/>
      <c r="N236" s="245"/>
      <c r="O236" s="245"/>
      <c r="P236" s="246"/>
      <c r="Q236" s="219"/>
      <c r="R236" s="247"/>
      <c r="S236" s="272"/>
      <c r="T236" s="248" t="n">
        <f aca="false">_xlfn.xlookup(I236,'Prix MP'!A:A,'Prix MP'!U:U, 0)</f>
        <v>0</v>
      </c>
      <c r="U236" s="249" t="n">
        <f aca="false">(M236+N236)*T236</f>
        <v>0</v>
      </c>
      <c r="V236" s="249" t="n">
        <f aca="false">(K236-M236-L236)*T236</f>
        <v>0</v>
      </c>
      <c r="W236" s="250" t="str">
        <f aca="false">IFERROR((K236-M236-L236)/K236,"")</f>
        <v/>
      </c>
      <c r="X236" s="249" t="n">
        <f aca="false">20.6577/85*O236</f>
        <v>0</v>
      </c>
      <c r="Y236" s="249" t="n">
        <f aca="false">19.2*P236</f>
        <v>0</v>
      </c>
      <c r="Z236" s="249" t="n">
        <f aca="false">125000/52/40*Q236</f>
        <v>0</v>
      </c>
      <c r="AA236" s="249" t="n">
        <f aca="false">(M236+N236)*T236+R236+V236+X236+Y236+Z236</f>
        <v>0</v>
      </c>
      <c r="AB236" s="285" t="e">
        <f aca="false">_xlfn.xlookup(H236,'Prix vente'!A:A,'Prix vente'!X:X, "")</f>
        <v>#NAME?</v>
      </c>
      <c r="AC236" s="285" t="e">
        <f aca="false">_xlfn.xlookup(H236,'Prix vente'!A:A,'Prix vente'!Z:Z, "")</f>
        <v>#NAME?</v>
      </c>
      <c r="AD236" s="249" t="n">
        <f aca="false">IFERROR(IF(AC236="CAD",(M236+N236)*AB236,(M236+N236)*AB236*S236),0)</f>
        <v>0</v>
      </c>
      <c r="AE236" s="249" t="n">
        <f aca="false">AD236-AA236</f>
        <v>0</v>
      </c>
      <c r="AF236" s="273" t="str">
        <f aca="false">IFERROR(1-AA236/AD236,"")</f>
        <v/>
      </c>
      <c r="AG236" s="252" t="n">
        <f aca="false">((M236+N236)*T236+V236)</f>
        <v>0</v>
      </c>
      <c r="AH236" s="273" t="str">
        <f aca="false">IFERROR(AG236/AD236,"")</f>
        <v/>
      </c>
      <c r="AI236" s="273" t="str">
        <f aca="false">IFERROR(IF(AD236=0,"S",""),"S")</f>
        <v>S</v>
      </c>
      <c r="AK236" s="15" t="e">
        <v>#NAME?</v>
      </c>
      <c r="AL236" s="15" t="e">
        <f aca="false">_xlfn.xlookup(AK236,A:A,F:F)</f>
        <v>#NAME?</v>
      </c>
      <c r="AM236" s="15" t="e">
        <f aca="false">_xlfn.xlookup(AK236,A:A,J:J)</f>
        <v>#NAME?</v>
      </c>
      <c r="AN236" s="15" t="e">
        <f aca="false">_xlfn.xlookup(AK236,A:A,M:M)+_xlfn.xlookup(AK236,A:A,N:N)</f>
        <v>#NAME?</v>
      </c>
      <c r="AO236" s="223" t="e">
        <f aca="false">_xlfn.xlookup(AK236,A:A,AG:AG)</f>
        <v>#NAME?</v>
      </c>
      <c r="AP236" s="223" t="e">
        <f aca="false">_xlfn.xlookup(AK236,A:A,AD:AD)</f>
        <v>#NAME?</v>
      </c>
      <c r="AQ236" s="223" t="e">
        <f aca="false">_xlfn.xlookup(AK236,A:A,AE:AE)</f>
        <v>#NAME?</v>
      </c>
      <c r="AX236" s="288"/>
      <c r="AY236" s="288"/>
      <c r="AZ236" s="288"/>
      <c r="BB236" s="257" t="e">
        <f aca="false">_xlfn.xlookup(BA236,A:A,F:F)</f>
        <v>#NAME?</v>
      </c>
      <c r="BC236" s="15" t="e">
        <f aca="false">_xlfn.xlookup(BA236,A:A,J:J)</f>
        <v>#NAME?</v>
      </c>
      <c r="BD236" s="75" t="e">
        <f aca="false">_xlfn.xlookup(BA236,A:A,M:M)+_xlfn.xlookup(BA236,A:A,N:N)</f>
        <v>#NAME?</v>
      </c>
      <c r="BE236" s="75" t="e">
        <f aca="false">_xlfn.xlookup(BA236,A184:A1172,AA184:AA1172)</f>
        <v>#NAME?</v>
      </c>
    </row>
    <row r="237" customFormat="false" ht="16.4" hidden="false" customHeight="false" outlineLevel="0" collapsed="false">
      <c r="A237" s="241" t="s">
        <v>1462</v>
      </c>
      <c r="B237" s="1" t="n">
        <f aca="false">'Liste WO'!B228</f>
        <v>0</v>
      </c>
      <c r="C237" s="292" t="n">
        <f aca="false">'Liste WO'!C228</f>
        <v>0</v>
      </c>
      <c r="D237" s="241" t="n">
        <f aca="false">'Liste WO'!D228</f>
        <v>0</v>
      </c>
      <c r="E237" s="241" t="n">
        <f aca="false">'Liste WO'!E228</f>
        <v>0</v>
      </c>
      <c r="F237" s="241" t="e">
        <f aca="false">_xlfn.xlookup(E237,Clients!B:B,Clients!C:C)</f>
        <v>#NAME?</v>
      </c>
      <c r="G237" s="241" t="e">
        <f aca="false">_xlfn.xlookup(D237,'PO Client'!$A:$A,'PO Client'!$F:$F,FALSE())</f>
        <v>#NAME?</v>
      </c>
      <c r="H237" s="251" t="n">
        <f aca="false">'Liste WO'!I228</f>
        <v>0</v>
      </c>
      <c r="I237" s="251" t="n">
        <f aca="false">'Liste WO'!J228</f>
        <v>0</v>
      </c>
      <c r="J237" s="244" t="n">
        <f aca="false">'Liste WO'!L228</f>
        <v>0</v>
      </c>
      <c r="K237" s="245"/>
      <c r="L237" s="245"/>
      <c r="M237" s="245"/>
      <c r="N237" s="245"/>
      <c r="O237" s="245"/>
      <c r="P237" s="246"/>
      <c r="Q237" s="219"/>
      <c r="R237" s="247"/>
      <c r="S237" s="272"/>
      <c r="T237" s="248" t="n">
        <f aca="false">_xlfn.xlookup(I237,'Prix MP'!A:A,'Prix MP'!U:U, 0)</f>
        <v>0</v>
      </c>
      <c r="U237" s="249" t="n">
        <f aca="false">(M237+N237)*T237</f>
        <v>0</v>
      </c>
      <c r="V237" s="249" t="n">
        <f aca="false">(K237-M237-L237)*T237</f>
        <v>0</v>
      </c>
      <c r="W237" s="250" t="str">
        <f aca="false">IFERROR((K237-M237-L237)/K237,"")</f>
        <v/>
      </c>
      <c r="X237" s="249" t="n">
        <f aca="false">20.6577/85*O237</f>
        <v>0</v>
      </c>
      <c r="Y237" s="249" t="n">
        <f aca="false">19.2*P237</f>
        <v>0</v>
      </c>
      <c r="Z237" s="249" t="n">
        <f aca="false">125000/52/40*Q237</f>
        <v>0</v>
      </c>
      <c r="AA237" s="249" t="n">
        <f aca="false">(M237+N237)*T237+R237+V237+X237+Y237+Z237</f>
        <v>0</v>
      </c>
      <c r="AB237" s="285" t="e">
        <f aca="false">_xlfn.xlookup(H237,'Prix vente'!A:A,'Prix vente'!X:X, "")</f>
        <v>#NAME?</v>
      </c>
      <c r="AC237" s="285" t="e">
        <f aca="false">_xlfn.xlookup(H237,'Prix vente'!A:A,'Prix vente'!Z:Z, "")</f>
        <v>#NAME?</v>
      </c>
      <c r="AD237" s="249" t="n">
        <f aca="false">IFERROR(IF(AC237="CAD",(M237+N237)*AB237,(M237+N237)*AB237*S237),0)</f>
        <v>0</v>
      </c>
      <c r="AE237" s="249" t="n">
        <f aca="false">AD237-AA237</f>
        <v>0</v>
      </c>
      <c r="AF237" s="273" t="str">
        <f aca="false">IFERROR(1-AA237/AD237,"")</f>
        <v/>
      </c>
      <c r="AG237" s="252" t="n">
        <f aca="false">((M237+N237)*T237+V237)</f>
        <v>0</v>
      </c>
      <c r="AH237" s="273" t="str">
        <f aca="false">IFERROR(AG237/AD237,"")</f>
        <v/>
      </c>
      <c r="AI237" s="273" t="str">
        <f aca="false">IFERROR(IF(AD237=0,"S",""),"S")</f>
        <v>S</v>
      </c>
      <c r="AK237" s="15" t="e">
        <v>#NAME?</v>
      </c>
      <c r="AL237" s="15" t="e">
        <f aca="false">_xlfn.xlookup(AK237,A:A,F:F)</f>
        <v>#NAME?</v>
      </c>
      <c r="AM237" s="15" t="e">
        <f aca="false">_xlfn.xlookup(AK237,A:A,J:J)</f>
        <v>#NAME?</v>
      </c>
      <c r="AN237" s="15" t="e">
        <f aca="false">_xlfn.xlookup(AK237,A:A,M:M)+_xlfn.xlookup(AK237,A:A,N:N)</f>
        <v>#NAME?</v>
      </c>
      <c r="AO237" s="223" t="e">
        <f aca="false">_xlfn.xlookup(AK237,A:A,AG:AG)</f>
        <v>#NAME?</v>
      </c>
      <c r="AP237" s="223" t="e">
        <f aca="false">_xlfn.xlookup(AK237,A:A,AD:AD)</f>
        <v>#NAME?</v>
      </c>
      <c r="AQ237" s="223" t="e">
        <f aca="false">_xlfn.xlookup(AK237,A:A,AE:AE)</f>
        <v>#NAME?</v>
      </c>
      <c r="AX237" s="288"/>
      <c r="AY237" s="288"/>
      <c r="AZ237" s="288"/>
      <c r="BB237" s="257" t="e">
        <f aca="false">_xlfn.xlookup(BA237,A:A,F:F)</f>
        <v>#NAME?</v>
      </c>
      <c r="BC237" s="15" t="e">
        <f aca="false">_xlfn.xlookup(BA237,A:A,J:J)</f>
        <v>#NAME?</v>
      </c>
      <c r="BD237" s="75" t="e">
        <f aca="false">_xlfn.xlookup(BA237,A:A,M:M)+_xlfn.xlookup(BA237,A:A,N:N)</f>
        <v>#NAME?</v>
      </c>
      <c r="BE237" s="75" t="e">
        <f aca="false">_xlfn.xlookup(BA237,A185:A1173,AA185:AA1173)</f>
        <v>#NAME?</v>
      </c>
    </row>
    <row r="238" customFormat="false" ht="16.4" hidden="false" customHeight="false" outlineLevel="0" collapsed="false">
      <c r="A238" s="241" t="s">
        <v>1463</v>
      </c>
      <c r="B238" s="1" t="n">
        <f aca="false">'Liste WO'!B229</f>
        <v>0</v>
      </c>
      <c r="C238" s="292" t="n">
        <f aca="false">'Liste WO'!C229</f>
        <v>0</v>
      </c>
      <c r="D238" s="241" t="n">
        <f aca="false">'Liste WO'!D229</f>
        <v>0</v>
      </c>
      <c r="E238" s="241" t="n">
        <f aca="false">'Liste WO'!E229</f>
        <v>0</v>
      </c>
      <c r="F238" s="241" t="e">
        <f aca="false">_xlfn.xlookup(E238,Clients!B:B,Clients!C:C)</f>
        <v>#NAME?</v>
      </c>
      <c r="G238" s="241" t="e">
        <f aca="false">_xlfn.xlookup(D238,'PO Client'!$A:$A,'PO Client'!$F:$F,FALSE())</f>
        <v>#NAME?</v>
      </c>
      <c r="H238" s="251" t="n">
        <f aca="false">'Liste WO'!I229</f>
        <v>0</v>
      </c>
      <c r="I238" s="251" t="n">
        <f aca="false">'Liste WO'!J229</f>
        <v>0</v>
      </c>
      <c r="J238" s="244" t="n">
        <f aca="false">'Liste WO'!L229</f>
        <v>0</v>
      </c>
      <c r="K238" s="245"/>
      <c r="L238" s="245"/>
      <c r="M238" s="245"/>
      <c r="N238" s="245"/>
      <c r="O238" s="245"/>
      <c r="P238" s="246"/>
      <c r="Q238" s="219"/>
      <c r="R238" s="247"/>
      <c r="S238" s="272"/>
      <c r="T238" s="248" t="n">
        <f aca="false">_xlfn.xlookup(I238,'Prix MP'!A:A,'Prix MP'!U:U, 0)</f>
        <v>0</v>
      </c>
      <c r="U238" s="249" t="n">
        <f aca="false">(M238+N238)*T238</f>
        <v>0</v>
      </c>
      <c r="V238" s="249" t="n">
        <f aca="false">(K238-M238-L238)*T238</f>
        <v>0</v>
      </c>
      <c r="W238" s="250" t="str">
        <f aca="false">IFERROR((K238-M238-L238)/K238,"")</f>
        <v/>
      </c>
      <c r="X238" s="249" t="n">
        <f aca="false">20.6577/85*O238</f>
        <v>0</v>
      </c>
      <c r="Y238" s="249" t="n">
        <f aca="false">19.2*P238</f>
        <v>0</v>
      </c>
      <c r="Z238" s="249" t="n">
        <f aca="false">125000/52/40*Q238</f>
        <v>0</v>
      </c>
      <c r="AA238" s="249" t="n">
        <f aca="false">(M238+N238)*T238+R238+V238+X238+Y238+Z238</f>
        <v>0</v>
      </c>
      <c r="AB238" s="285" t="e">
        <f aca="false">_xlfn.xlookup(H238,'Prix vente'!A:A,'Prix vente'!X:X, "")</f>
        <v>#NAME?</v>
      </c>
      <c r="AC238" s="285" t="e">
        <f aca="false">_xlfn.xlookup(H238,'Prix vente'!A:A,'Prix vente'!Z:Z, "")</f>
        <v>#NAME?</v>
      </c>
      <c r="AD238" s="249" t="n">
        <f aca="false">IFERROR(IF(AC238="CAD",(M238+N238)*AB238,(M238+N238)*AB238*S238),0)</f>
        <v>0</v>
      </c>
      <c r="AE238" s="249" t="n">
        <f aca="false">AD238-AA238</f>
        <v>0</v>
      </c>
      <c r="AF238" s="273" t="str">
        <f aca="false">IFERROR(1-AA238/AD238,"")</f>
        <v/>
      </c>
      <c r="AG238" s="252" t="n">
        <f aca="false">((M238+N238)*T238+V238)</f>
        <v>0</v>
      </c>
      <c r="AH238" s="273" t="str">
        <f aca="false">IFERROR(AG238/AD238,"")</f>
        <v/>
      </c>
      <c r="AI238" s="273" t="str">
        <f aca="false">IFERROR(IF(AD238=0,"S",""),"S")</f>
        <v>S</v>
      </c>
      <c r="AK238" s="15" t="e">
        <v>#NAME?</v>
      </c>
      <c r="AL238" s="15" t="e">
        <f aca="false">_xlfn.xlookup(AK238,A:A,F:F)</f>
        <v>#NAME?</v>
      </c>
      <c r="AM238" s="15" t="e">
        <f aca="false">_xlfn.xlookup(AK238,A:A,J:J)</f>
        <v>#NAME?</v>
      </c>
      <c r="AN238" s="15" t="e">
        <f aca="false">_xlfn.xlookup(AK238,A:A,M:M)+_xlfn.xlookup(AK238,A:A,N:N)</f>
        <v>#NAME?</v>
      </c>
      <c r="AO238" s="223" t="e">
        <f aca="false">_xlfn.xlookup(AK238,A:A,AG:AG)</f>
        <v>#NAME?</v>
      </c>
      <c r="AP238" s="223" t="e">
        <f aca="false">_xlfn.xlookup(AK238,A:A,AD:AD)</f>
        <v>#NAME?</v>
      </c>
      <c r="AQ238" s="223" t="e">
        <f aca="false">_xlfn.xlookup(AK238,A:A,AE:AE)</f>
        <v>#NAME?</v>
      </c>
      <c r="AX238" s="288"/>
      <c r="AY238" s="288"/>
      <c r="AZ238" s="288"/>
      <c r="BB238" s="257" t="e">
        <f aca="false">_xlfn.xlookup(BA238,A:A,F:F)</f>
        <v>#NAME?</v>
      </c>
      <c r="BC238" s="15" t="e">
        <f aca="false">_xlfn.xlookup(BA238,A:A,J:J)</f>
        <v>#NAME?</v>
      </c>
      <c r="BD238" s="75" t="e">
        <f aca="false">_xlfn.xlookup(BA238,A:A,M:M)+_xlfn.xlookup(BA238,A:A,N:N)</f>
        <v>#NAME?</v>
      </c>
      <c r="BE238" s="75" t="e">
        <f aca="false">_xlfn.xlookup(BA238,A186:A1174,AA186:AA1174)</f>
        <v>#NAME?</v>
      </c>
    </row>
    <row r="239" customFormat="false" ht="16.4" hidden="false" customHeight="false" outlineLevel="0" collapsed="false">
      <c r="A239" s="241" t="s">
        <v>1464</v>
      </c>
      <c r="B239" s="1" t="n">
        <f aca="false">'Liste WO'!B230</f>
        <v>0</v>
      </c>
      <c r="C239" s="292" t="n">
        <f aca="false">'Liste WO'!C230</f>
        <v>0</v>
      </c>
      <c r="D239" s="241" t="n">
        <f aca="false">'Liste WO'!D230</f>
        <v>0</v>
      </c>
      <c r="E239" s="241" t="n">
        <f aca="false">'Liste WO'!E230</f>
        <v>0</v>
      </c>
      <c r="F239" s="241" t="e">
        <f aca="false">_xlfn.xlookup(E239,Clients!B:B,Clients!C:C)</f>
        <v>#NAME?</v>
      </c>
      <c r="G239" s="241" t="e">
        <f aca="false">_xlfn.xlookup(D239,'PO Client'!$A:$A,'PO Client'!$F:$F,FALSE())</f>
        <v>#NAME?</v>
      </c>
      <c r="H239" s="251" t="n">
        <f aca="false">'Liste WO'!I230</f>
        <v>0</v>
      </c>
      <c r="I239" s="251" t="n">
        <f aca="false">'Liste WO'!J230</f>
        <v>0</v>
      </c>
      <c r="J239" s="244" t="n">
        <f aca="false">'Liste WO'!L230</f>
        <v>0</v>
      </c>
      <c r="K239" s="245"/>
      <c r="L239" s="245"/>
      <c r="M239" s="245"/>
      <c r="N239" s="245"/>
      <c r="O239" s="245"/>
      <c r="P239" s="246"/>
      <c r="Q239" s="219"/>
      <c r="R239" s="247"/>
      <c r="S239" s="272"/>
      <c r="T239" s="248" t="n">
        <f aca="false">_xlfn.xlookup(I239,'Prix MP'!A:A,'Prix MP'!U:U, 0)</f>
        <v>0</v>
      </c>
      <c r="U239" s="249" t="n">
        <f aca="false">(M239+N239)*T239</f>
        <v>0</v>
      </c>
      <c r="V239" s="249" t="n">
        <f aca="false">(K239-M239-L239)*T239</f>
        <v>0</v>
      </c>
      <c r="W239" s="250" t="str">
        <f aca="false">IFERROR((K239-M239-L239)/K239,"")</f>
        <v/>
      </c>
      <c r="X239" s="249" t="n">
        <f aca="false">20.6577/85*O239</f>
        <v>0</v>
      </c>
      <c r="Y239" s="249" t="n">
        <f aca="false">19.2*P239</f>
        <v>0</v>
      </c>
      <c r="Z239" s="249" t="n">
        <f aca="false">125000/52/40*Q239</f>
        <v>0</v>
      </c>
      <c r="AA239" s="249" t="n">
        <f aca="false">(M239+N239)*T239+R239+V239+X239+Y239+Z239</f>
        <v>0</v>
      </c>
      <c r="AB239" s="285" t="e">
        <f aca="false">_xlfn.xlookup(H239,'Prix vente'!A:A,'Prix vente'!X:X, "")</f>
        <v>#NAME?</v>
      </c>
      <c r="AC239" s="285" t="e">
        <f aca="false">_xlfn.xlookup(H239,'Prix vente'!A:A,'Prix vente'!Z:Z, "")</f>
        <v>#NAME?</v>
      </c>
      <c r="AD239" s="249" t="n">
        <f aca="false">IFERROR(IF(AC239="CAD",(M239+N239)*AB239,(M239+N239)*AB239*S239),0)</f>
        <v>0</v>
      </c>
      <c r="AE239" s="249" t="n">
        <f aca="false">AD239-AA239</f>
        <v>0</v>
      </c>
      <c r="AF239" s="273" t="str">
        <f aca="false">IFERROR(1-AA239/AD239,"")</f>
        <v/>
      </c>
      <c r="AG239" s="252" t="n">
        <f aca="false">((M239+N239)*T239+V239)</f>
        <v>0</v>
      </c>
      <c r="AH239" s="273" t="str">
        <f aca="false">IFERROR(AG239/AD239,"")</f>
        <v/>
      </c>
      <c r="AI239" s="273" t="str">
        <f aca="false">IFERROR(IF(AD239=0,"S",""),"S")</f>
        <v>S</v>
      </c>
      <c r="AK239" s="15" t="e">
        <v>#NAME?</v>
      </c>
      <c r="AL239" s="15" t="e">
        <f aca="false">_xlfn.xlookup(AK239,A:A,F:F)</f>
        <v>#NAME?</v>
      </c>
      <c r="AM239" s="15" t="e">
        <f aca="false">_xlfn.xlookup(AK239,A:A,J:J)</f>
        <v>#NAME?</v>
      </c>
      <c r="AN239" s="15" t="e">
        <f aca="false">_xlfn.xlookup(AK239,A:A,M:M)+_xlfn.xlookup(AK239,A:A,N:N)</f>
        <v>#NAME?</v>
      </c>
      <c r="AO239" s="223" t="e">
        <f aca="false">_xlfn.xlookup(AK239,A:A,AG:AG)</f>
        <v>#NAME?</v>
      </c>
      <c r="AP239" s="223" t="e">
        <f aca="false">_xlfn.xlookup(AK239,A:A,AD:AD)</f>
        <v>#NAME?</v>
      </c>
      <c r="AQ239" s="223" t="e">
        <f aca="false">_xlfn.xlookup(AK239,A:A,AE:AE)</f>
        <v>#NAME?</v>
      </c>
      <c r="AX239" s="288"/>
      <c r="AY239" s="288"/>
      <c r="AZ239" s="288"/>
      <c r="BB239" s="257" t="e">
        <f aca="false">_xlfn.xlookup(BA239,A:A,F:F)</f>
        <v>#NAME?</v>
      </c>
      <c r="BC239" s="15" t="e">
        <f aca="false">_xlfn.xlookup(BA239,A:A,J:J)</f>
        <v>#NAME?</v>
      </c>
      <c r="BD239" s="75" t="e">
        <f aca="false">_xlfn.xlookup(BA239,A:A,M:M)+_xlfn.xlookup(BA239,A:A,N:N)</f>
        <v>#NAME?</v>
      </c>
      <c r="BE239" s="75" t="e">
        <f aca="false">_xlfn.xlookup(BA239,A187:A1175,AA187:AA1175)</f>
        <v>#NAME?</v>
      </c>
    </row>
    <row r="240" customFormat="false" ht="16.4" hidden="false" customHeight="false" outlineLevel="0" collapsed="false">
      <c r="A240" s="241" t="s">
        <v>1465</v>
      </c>
      <c r="B240" s="1" t="n">
        <f aca="false">'Liste WO'!B231</f>
        <v>0</v>
      </c>
      <c r="C240" s="292" t="n">
        <f aca="false">'Liste WO'!C231</f>
        <v>0</v>
      </c>
      <c r="D240" s="241" t="n">
        <f aca="false">'Liste WO'!D231</f>
        <v>0</v>
      </c>
      <c r="E240" s="241" t="n">
        <f aca="false">'Liste WO'!E231</f>
        <v>0</v>
      </c>
      <c r="F240" s="241" t="e">
        <f aca="false">_xlfn.xlookup(E240,Clients!B:B,Clients!C:C)</f>
        <v>#NAME?</v>
      </c>
      <c r="G240" s="241" t="e">
        <f aca="false">_xlfn.xlookup(D240,'PO Client'!$A:$A,'PO Client'!$F:$F,FALSE())</f>
        <v>#NAME?</v>
      </c>
      <c r="H240" s="251" t="n">
        <f aca="false">'Liste WO'!I231</f>
        <v>0</v>
      </c>
      <c r="I240" s="251" t="n">
        <f aca="false">'Liste WO'!J231</f>
        <v>0</v>
      </c>
      <c r="J240" s="244" t="n">
        <f aca="false">'Liste WO'!L231</f>
        <v>0</v>
      </c>
      <c r="K240" s="245"/>
      <c r="L240" s="245"/>
      <c r="M240" s="245"/>
      <c r="N240" s="245"/>
      <c r="O240" s="245"/>
      <c r="P240" s="246"/>
      <c r="Q240" s="219"/>
      <c r="R240" s="247"/>
      <c r="S240" s="272"/>
      <c r="T240" s="248" t="n">
        <f aca="false">_xlfn.xlookup(I240,'Prix MP'!A:A,'Prix MP'!U:U, 0)</f>
        <v>0</v>
      </c>
      <c r="U240" s="249" t="n">
        <f aca="false">(M240+N240)*T240</f>
        <v>0</v>
      </c>
      <c r="V240" s="249" t="n">
        <f aca="false">(K240-M240-L240)*T240</f>
        <v>0</v>
      </c>
      <c r="W240" s="250" t="str">
        <f aca="false">IFERROR((K240-M240-L240)/K240,"")</f>
        <v/>
      </c>
      <c r="X240" s="249" t="n">
        <f aca="false">20.6577/85*O240</f>
        <v>0</v>
      </c>
      <c r="Y240" s="249" t="n">
        <f aca="false">19.2*P240</f>
        <v>0</v>
      </c>
      <c r="Z240" s="249" t="n">
        <f aca="false">125000/52/40*Q240</f>
        <v>0</v>
      </c>
      <c r="AA240" s="249" t="n">
        <f aca="false">(M240+N240)*T240+R240+V240+X240+Y240+Z240</f>
        <v>0</v>
      </c>
      <c r="AB240" s="285" t="e">
        <f aca="false">_xlfn.xlookup(H240,'Prix vente'!A:A,'Prix vente'!X:X, "")</f>
        <v>#NAME?</v>
      </c>
      <c r="AC240" s="285" t="e">
        <f aca="false">_xlfn.xlookup(H240,'Prix vente'!A:A,'Prix vente'!Z:Z, "")</f>
        <v>#NAME?</v>
      </c>
      <c r="AD240" s="249" t="n">
        <f aca="false">IFERROR(IF(AC240="CAD",(M240+N240)*AB240,(M240+N240)*AB240*S240),0)</f>
        <v>0</v>
      </c>
      <c r="AE240" s="249" t="n">
        <f aca="false">AD240-AA240</f>
        <v>0</v>
      </c>
      <c r="AF240" s="273" t="str">
        <f aca="false">IFERROR(1-AA240/AD240,"")</f>
        <v/>
      </c>
      <c r="AG240" s="252" t="n">
        <f aca="false">((M240+N240)*T240+V240)</f>
        <v>0</v>
      </c>
      <c r="AH240" s="273" t="str">
        <f aca="false">IFERROR(AG240/AD240,"")</f>
        <v/>
      </c>
      <c r="AI240" s="273" t="str">
        <f aca="false">IFERROR(IF(AD240=0,"S",""),"S")</f>
        <v>S</v>
      </c>
      <c r="AK240" s="15" t="e">
        <v>#NAME?</v>
      </c>
      <c r="AL240" s="15" t="e">
        <f aca="false">_xlfn.xlookup(AK240,A:A,F:F)</f>
        <v>#NAME?</v>
      </c>
      <c r="AM240" s="15" t="e">
        <f aca="false">_xlfn.xlookup(AK240,A:A,J:J)</f>
        <v>#NAME?</v>
      </c>
      <c r="AN240" s="15" t="e">
        <f aca="false">_xlfn.xlookup(AK240,A:A,M:M)+_xlfn.xlookup(AK240,A:A,N:N)</f>
        <v>#NAME?</v>
      </c>
      <c r="AO240" s="223" t="e">
        <f aca="false">_xlfn.xlookup(AK240,A:A,AG:AG)</f>
        <v>#NAME?</v>
      </c>
      <c r="AP240" s="223" t="e">
        <f aca="false">_xlfn.xlookup(AK240,A:A,AD:AD)</f>
        <v>#NAME?</v>
      </c>
      <c r="AQ240" s="223" t="e">
        <f aca="false">_xlfn.xlookup(AK240,A:A,AE:AE)</f>
        <v>#NAME?</v>
      </c>
      <c r="AX240" s="288"/>
      <c r="AY240" s="288"/>
      <c r="AZ240" s="288"/>
      <c r="BB240" s="257" t="e">
        <f aca="false">_xlfn.xlookup(BA240,A:A,F:F)</f>
        <v>#NAME?</v>
      </c>
      <c r="BC240" s="15" t="e">
        <f aca="false">_xlfn.xlookup(BA240,A:A,J:J)</f>
        <v>#NAME?</v>
      </c>
      <c r="BD240" s="75" t="e">
        <f aca="false">_xlfn.xlookup(BA240,A:A,M:M)+_xlfn.xlookup(BA240,A:A,N:N)</f>
        <v>#NAME?</v>
      </c>
      <c r="BE240" s="75" t="e">
        <f aca="false">_xlfn.xlookup(BA240,A188:A1176,AA188:AA1176)</f>
        <v>#NAME?</v>
      </c>
    </row>
    <row r="241" customFormat="false" ht="16.4" hidden="false" customHeight="false" outlineLevel="0" collapsed="false">
      <c r="A241" s="241" t="s">
        <v>1466</v>
      </c>
      <c r="B241" s="1" t="n">
        <f aca="false">'Liste WO'!B232</f>
        <v>0</v>
      </c>
      <c r="C241" s="292" t="n">
        <f aca="false">'Liste WO'!C232</f>
        <v>0</v>
      </c>
      <c r="D241" s="241" t="n">
        <f aca="false">'Liste WO'!D232</f>
        <v>0</v>
      </c>
      <c r="E241" s="241" t="n">
        <f aca="false">'Liste WO'!E232</f>
        <v>0</v>
      </c>
      <c r="F241" s="241" t="e">
        <f aca="false">_xlfn.xlookup(E241,Clients!B:B,Clients!C:C)</f>
        <v>#NAME?</v>
      </c>
      <c r="G241" s="241" t="e">
        <f aca="false">_xlfn.xlookup(D241,'PO Client'!$A:$A,'PO Client'!$F:$F,FALSE())</f>
        <v>#NAME?</v>
      </c>
      <c r="H241" s="251" t="n">
        <f aca="false">'Liste WO'!I232</f>
        <v>0</v>
      </c>
      <c r="I241" s="251" t="n">
        <f aca="false">'Liste WO'!J232</f>
        <v>0</v>
      </c>
      <c r="J241" s="244" t="n">
        <f aca="false">'Liste WO'!L232</f>
        <v>0</v>
      </c>
      <c r="K241" s="245"/>
      <c r="L241" s="245"/>
      <c r="M241" s="245"/>
      <c r="N241" s="245"/>
      <c r="O241" s="245"/>
      <c r="P241" s="246"/>
      <c r="Q241" s="219"/>
      <c r="R241" s="247"/>
      <c r="S241" s="272"/>
      <c r="T241" s="248" t="n">
        <f aca="false">_xlfn.xlookup(I241,'Prix MP'!A:A,'Prix MP'!U:U, 0)</f>
        <v>0</v>
      </c>
      <c r="U241" s="249" t="n">
        <f aca="false">(M241+N241)*T241</f>
        <v>0</v>
      </c>
      <c r="V241" s="249" t="n">
        <f aca="false">(K241-M241-L241)*T241</f>
        <v>0</v>
      </c>
      <c r="W241" s="250" t="str">
        <f aca="false">IFERROR((K241-M241-L241)/K241,"")</f>
        <v/>
      </c>
      <c r="X241" s="249" t="n">
        <f aca="false">20.6577/85*O241</f>
        <v>0</v>
      </c>
      <c r="Y241" s="249" t="n">
        <f aca="false">19.2*P241</f>
        <v>0</v>
      </c>
      <c r="Z241" s="249" t="n">
        <f aca="false">125000/52/40*Q241</f>
        <v>0</v>
      </c>
      <c r="AA241" s="249" t="n">
        <f aca="false">(M241+N241)*T241+R241+V241+X241+Y241+Z241</f>
        <v>0</v>
      </c>
      <c r="AB241" s="285" t="e">
        <f aca="false">_xlfn.xlookup(H241,'Prix vente'!A:A,'Prix vente'!X:X, "")</f>
        <v>#NAME?</v>
      </c>
      <c r="AC241" s="285" t="e">
        <f aca="false">_xlfn.xlookup(H241,'Prix vente'!A:A,'Prix vente'!Z:Z, "")</f>
        <v>#NAME?</v>
      </c>
      <c r="AD241" s="249" t="n">
        <f aca="false">IFERROR(IF(AC241="CAD",(M241+N241)*AB241,(M241+N241)*AB241*S241),0)</f>
        <v>0</v>
      </c>
      <c r="AE241" s="249" t="n">
        <f aca="false">AD241-AA241</f>
        <v>0</v>
      </c>
      <c r="AF241" s="273" t="str">
        <f aca="false">IFERROR(1-AA241/AD241,"")</f>
        <v/>
      </c>
      <c r="AG241" s="252" t="n">
        <f aca="false">((M241+N241)*T241+V241)</f>
        <v>0</v>
      </c>
      <c r="AH241" s="273" t="str">
        <f aca="false">IFERROR(AG241/AD241,"")</f>
        <v/>
      </c>
      <c r="AI241" s="273" t="str">
        <f aca="false">IFERROR(IF(AD241=0,"S",""),"S")</f>
        <v>S</v>
      </c>
      <c r="AK241" s="15" t="e">
        <v>#NAME?</v>
      </c>
      <c r="AL241" s="15" t="e">
        <f aca="false">_xlfn.xlookup(AK241,A:A,F:F)</f>
        <v>#NAME?</v>
      </c>
      <c r="AM241" s="15" t="e">
        <f aca="false">_xlfn.xlookup(AK241,A:A,J:J)</f>
        <v>#NAME?</v>
      </c>
      <c r="AN241" s="15" t="e">
        <f aca="false">_xlfn.xlookup(AK241,A:A,M:M)+_xlfn.xlookup(AK241,A:A,N:N)</f>
        <v>#NAME?</v>
      </c>
      <c r="AO241" s="223" t="e">
        <f aca="false">_xlfn.xlookup(AK241,A:A,AG:AG)</f>
        <v>#NAME?</v>
      </c>
      <c r="AP241" s="223" t="e">
        <f aca="false">_xlfn.xlookup(AK241,A:A,AD:AD)</f>
        <v>#NAME?</v>
      </c>
      <c r="AQ241" s="223" t="e">
        <f aca="false">_xlfn.xlookup(AK241,A:A,AE:AE)</f>
        <v>#NAME?</v>
      </c>
      <c r="AX241" s="288"/>
      <c r="AY241" s="288"/>
      <c r="AZ241" s="288"/>
      <c r="BB241" s="257" t="e">
        <f aca="false">_xlfn.xlookup(BA241,A:A,F:F)</f>
        <v>#NAME?</v>
      </c>
      <c r="BC241" s="15" t="e">
        <f aca="false">_xlfn.xlookup(BA241,A:A,J:J)</f>
        <v>#NAME?</v>
      </c>
      <c r="BD241" s="75" t="e">
        <f aca="false">_xlfn.xlookup(BA241,A:A,M:M)+_xlfn.xlookup(BA241,A:A,N:N)</f>
        <v>#NAME?</v>
      </c>
      <c r="BE241" s="75" t="e">
        <f aca="false">_xlfn.xlookup(BA241,A189:A1177,AA189:AA1177)</f>
        <v>#NAME?</v>
      </c>
    </row>
    <row r="242" customFormat="false" ht="16.4" hidden="false" customHeight="false" outlineLevel="0" collapsed="false">
      <c r="A242" s="241" t="s">
        <v>1467</v>
      </c>
      <c r="B242" s="1" t="n">
        <f aca="false">'Liste WO'!B233</f>
        <v>0</v>
      </c>
      <c r="C242" s="292" t="n">
        <f aca="false">'Liste WO'!C233</f>
        <v>0</v>
      </c>
      <c r="D242" s="241" t="n">
        <f aca="false">'Liste WO'!D233</f>
        <v>0</v>
      </c>
      <c r="E242" s="241" t="n">
        <f aca="false">'Liste WO'!E233</f>
        <v>0</v>
      </c>
      <c r="F242" s="241" t="e">
        <f aca="false">_xlfn.xlookup(E242,Clients!B:B,Clients!C:C)</f>
        <v>#NAME?</v>
      </c>
      <c r="G242" s="241" t="e">
        <f aca="false">_xlfn.xlookup(D242,'PO Client'!$A:$A,'PO Client'!$F:$F,FALSE())</f>
        <v>#NAME?</v>
      </c>
      <c r="H242" s="251" t="n">
        <f aca="false">'Liste WO'!I233</f>
        <v>0</v>
      </c>
      <c r="I242" s="251" t="n">
        <f aca="false">'Liste WO'!J233</f>
        <v>0</v>
      </c>
      <c r="J242" s="244" t="n">
        <f aca="false">'Liste WO'!L233</f>
        <v>0</v>
      </c>
      <c r="K242" s="245"/>
      <c r="L242" s="245"/>
      <c r="M242" s="245"/>
      <c r="N242" s="245"/>
      <c r="O242" s="245"/>
      <c r="P242" s="246"/>
      <c r="Q242" s="219"/>
      <c r="R242" s="247"/>
      <c r="S242" s="272"/>
      <c r="T242" s="248" t="n">
        <f aca="false">_xlfn.xlookup(I242,'Prix MP'!A:A,'Prix MP'!U:U, 0)</f>
        <v>0</v>
      </c>
      <c r="U242" s="249" t="n">
        <f aca="false">(M242+N242)*T242</f>
        <v>0</v>
      </c>
      <c r="V242" s="249" t="n">
        <f aca="false">(K242-M242-L242)*T242</f>
        <v>0</v>
      </c>
      <c r="W242" s="250" t="str">
        <f aca="false">IFERROR((K242-M242-L242)/K242,"")</f>
        <v/>
      </c>
      <c r="X242" s="249" t="n">
        <f aca="false">20.6577/85*O242</f>
        <v>0</v>
      </c>
      <c r="Y242" s="249" t="n">
        <f aca="false">19.2*P242</f>
        <v>0</v>
      </c>
      <c r="Z242" s="249" t="n">
        <f aca="false">125000/52/40*Q242</f>
        <v>0</v>
      </c>
      <c r="AA242" s="249" t="n">
        <f aca="false">(M242+N242)*T242+R242+V242+X242+Y242+Z242</f>
        <v>0</v>
      </c>
      <c r="AB242" s="285" t="e">
        <f aca="false">_xlfn.xlookup(H242,'Prix vente'!A:A,'Prix vente'!X:X, "")</f>
        <v>#NAME?</v>
      </c>
      <c r="AC242" s="285" t="e">
        <f aca="false">_xlfn.xlookup(H242,'Prix vente'!A:A,'Prix vente'!Z:Z, "")</f>
        <v>#NAME?</v>
      </c>
      <c r="AD242" s="249" t="n">
        <f aca="false">IFERROR(IF(AC242="CAD",(M242+N242)*AB242,(M242+N242)*AB242*S242),0)</f>
        <v>0</v>
      </c>
      <c r="AE242" s="249" t="n">
        <f aca="false">AD242-AA242</f>
        <v>0</v>
      </c>
      <c r="AF242" s="273" t="str">
        <f aca="false">IFERROR(1-AA242/AD242,"")</f>
        <v/>
      </c>
      <c r="AG242" s="252" t="n">
        <f aca="false">((M242+N242)*T242+V242)</f>
        <v>0</v>
      </c>
      <c r="AH242" s="273" t="str">
        <f aca="false">IFERROR(AG242/AD242,"")</f>
        <v/>
      </c>
      <c r="AI242" s="273" t="str">
        <f aca="false">IFERROR(IF(AD242=0,"S",""),"S")</f>
        <v>S</v>
      </c>
      <c r="AK242" s="15" t="e">
        <v>#NAME?</v>
      </c>
      <c r="AL242" s="15" t="e">
        <f aca="false">_xlfn.xlookup(AK242,A:A,F:F)</f>
        <v>#NAME?</v>
      </c>
      <c r="AM242" s="15" t="e">
        <f aca="false">_xlfn.xlookup(AK242,A:A,J:J)</f>
        <v>#NAME?</v>
      </c>
      <c r="AN242" s="15" t="e">
        <f aca="false">_xlfn.xlookup(AK242,A:A,M:M)+_xlfn.xlookup(AK242,A:A,N:N)</f>
        <v>#NAME?</v>
      </c>
      <c r="AO242" s="223" t="e">
        <f aca="false">_xlfn.xlookup(AK242,A:A,AG:AG)</f>
        <v>#NAME?</v>
      </c>
      <c r="AP242" s="223" t="e">
        <f aca="false">_xlfn.xlookup(AK242,A:A,AD:AD)</f>
        <v>#NAME?</v>
      </c>
      <c r="AQ242" s="223" t="e">
        <f aca="false">_xlfn.xlookup(AK242,A:A,AE:AE)</f>
        <v>#NAME?</v>
      </c>
      <c r="AX242" s="288"/>
      <c r="AY242" s="288"/>
      <c r="AZ242" s="288"/>
      <c r="BB242" s="257" t="e">
        <f aca="false">_xlfn.xlookup(BA242,A:A,F:F)</f>
        <v>#NAME?</v>
      </c>
      <c r="BC242" s="15" t="e">
        <f aca="false">_xlfn.xlookup(BA242,A:A,J:J)</f>
        <v>#NAME?</v>
      </c>
      <c r="BD242" s="75" t="e">
        <f aca="false">_xlfn.xlookup(BA242,A:A,M:M)+_xlfn.xlookup(BA242,A:A,N:N)</f>
        <v>#NAME?</v>
      </c>
      <c r="BE242" s="75" t="e">
        <f aca="false">_xlfn.xlookup(BA242,A190:A1178,AA190:AA1178)</f>
        <v>#NAME?</v>
      </c>
    </row>
    <row r="243" customFormat="false" ht="16.4" hidden="false" customHeight="false" outlineLevel="0" collapsed="false">
      <c r="A243" s="241" t="s">
        <v>1468</v>
      </c>
      <c r="B243" s="1" t="n">
        <f aca="false">'Liste WO'!B234</f>
        <v>0</v>
      </c>
      <c r="C243" s="292" t="n">
        <f aca="false">'Liste WO'!C234</f>
        <v>0</v>
      </c>
      <c r="D243" s="241" t="n">
        <f aca="false">'Liste WO'!D234</f>
        <v>0</v>
      </c>
      <c r="E243" s="241" t="n">
        <f aca="false">'Liste WO'!E234</f>
        <v>0</v>
      </c>
      <c r="F243" s="241" t="e">
        <f aca="false">_xlfn.xlookup(E243,Clients!B:B,Clients!C:C)</f>
        <v>#NAME?</v>
      </c>
      <c r="G243" s="241" t="e">
        <f aca="false">_xlfn.xlookup(D243,'PO Client'!$A:$A,'PO Client'!$F:$F,FALSE())</f>
        <v>#NAME?</v>
      </c>
      <c r="H243" s="251" t="n">
        <f aca="false">'Liste WO'!I234</f>
        <v>0</v>
      </c>
      <c r="I243" s="251" t="n">
        <f aca="false">'Liste WO'!J234</f>
        <v>0</v>
      </c>
      <c r="J243" s="244" t="n">
        <f aca="false">'Liste WO'!L234</f>
        <v>0</v>
      </c>
      <c r="K243" s="245"/>
      <c r="L243" s="245"/>
      <c r="M243" s="245"/>
      <c r="N243" s="245"/>
      <c r="O243" s="245"/>
      <c r="P243" s="246"/>
      <c r="Q243" s="219"/>
      <c r="R243" s="247"/>
      <c r="S243" s="272"/>
      <c r="T243" s="248" t="n">
        <f aca="false">_xlfn.xlookup(I243,'Prix MP'!A:A,'Prix MP'!U:U, 0)</f>
        <v>0</v>
      </c>
      <c r="U243" s="249" t="n">
        <f aca="false">(M243+N243)*T243</f>
        <v>0</v>
      </c>
      <c r="V243" s="249" t="n">
        <f aca="false">(K243-M243-L243)*T243</f>
        <v>0</v>
      </c>
      <c r="W243" s="250" t="str">
        <f aca="false">IFERROR((K243-M243-L243)/K243,"")</f>
        <v/>
      </c>
      <c r="X243" s="249" t="n">
        <f aca="false">20.6577/85*O243</f>
        <v>0</v>
      </c>
      <c r="Y243" s="249" t="n">
        <f aca="false">19.2*P243</f>
        <v>0</v>
      </c>
      <c r="Z243" s="249" t="n">
        <f aca="false">125000/52/40*Q243</f>
        <v>0</v>
      </c>
      <c r="AA243" s="249" t="n">
        <f aca="false">(M243+N243)*T243+R243+V243+X243+Y243+Z243</f>
        <v>0</v>
      </c>
      <c r="AB243" s="285" t="e">
        <f aca="false">_xlfn.xlookup(H243,'Prix vente'!A:A,'Prix vente'!X:X, "")</f>
        <v>#NAME?</v>
      </c>
      <c r="AC243" s="285" t="e">
        <f aca="false">_xlfn.xlookup(H243,'Prix vente'!A:A,'Prix vente'!Z:Z, "")</f>
        <v>#NAME?</v>
      </c>
      <c r="AD243" s="249" t="n">
        <f aca="false">IFERROR(IF(AC243="CAD",(M243+N243)*AB243,(M243+N243)*AB243*S243),0)</f>
        <v>0</v>
      </c>
      <c r="AE243" s="249" t="n">
        <f aca="false">AD243-AA243</f>
        <v>0</v>
      </c>
      <c r="AF243" s="273" t="str">
        <f aca="false">IFERROR(1-AA243/AD243,"")</f>
        <v/>
      </c>
      <c r="AG243" s="252" t="n">
        <f aca="false">((M243+N243)*T243+V243)</f>
        <v>0</v>
      </c>
      <c r="AH243" s="273" t="str">
        <f aca="false">IFERROR(AG243/AD243,"")</f>
        <v/>
      </c>
      <c r="AI243" s="273" t="str">
        <f aca="false">IFERROR(IF(AD243=0,"S",""),"S")</f>
        <v>S</v>
      </c>
      <c r="AK243" s="15" t="e">
        <v>#NAME?</v>
      </c>
      <c r="AL243" s="15" t="e">
        <f aca="false">_xlfn.xlookup(AK243,A:A,F:F)</f>
        <v>#NAME?</v>
      </c>
      <c r="AM243" s="15" t="e">
        <f aca="false">_xlfn.xlookup(AK243,A:A,J:J)</f>
        <v>#NAME?</v>
      </c>
      <c r="AN243" s="15" t="e">
        <f aca="false">_xlfn.xlookup(AK243,A:A,M:M)+_xlfn.xlookup(AK243,A:A,N:N)</f>
        <v>#NAME?</v>
      </c>
      <c r="AO243" s="223" t="e">
        <f aca="false">_xlfn.xlookup(AK243,A:A,AG:AG)</f>
        <v>#NAME?</v>
      </c>
      <c r="AP243" s="223" t="e">
        <f aca="false">_xlfn.xlookup(AK243,A:A,AD:AD)</f>
        <v>#NAME?</v>
      </c>
      <c r="AQ243" s="223" t="e">
        <f aca="false">_xlfn.xlookup(AK243,A:A,AE:AE)</f>
        <v>#NAME?</v>
      </c>
      <c r="AX243" s="288"/>
      <c r="AY243" s="288"/>
      <c r="AZ243" s="288"/>
      <c r="BB243" s="257" t="e">
        <f aca="false">_xlfn.xlookup(BA243,A:A,F:F)</f>
        <v>#NAME?</v>
      </c>
      <c r="BC243" s="15" t="e">
        <f aca="false">_xlfn.xlookup(BA243,A:A,J:J)</f>
        <v>#NAME?</v>
      </c>
      <c r="BD243" s="75" t="e">
        <f aca="false">_xlfn.xlookup(BA243,A:A,M:M)+_xlfn.xlookup(BA243,A:A,N:N)</f>
        <v>#NAME?</v>
      </c>
      <c r="BE243" s="75" t="e">
        <f aca="false">_xlfn.xlookup(BA243,A191:A1179,AA191:AA1179)</f>
        <v>#NAME?</v>
      </c>
    </row>
    <row r="244" customFormat="false" ht="16.4" hidden="false" customHeight="false" outlineLevel="0" collapsed="false">
      <c r="A244" s="241" t="s">
        <v>1469</v>
      </c>
      <c r="B244" s="1" t="n">
        <f aca="false">'Liste WO'!B235</f>
        <v>0</v>
      </c>
      <c r="C244" s="292" t="n">
        <f aca="false">'Liste WO'!C235</f>
        <v>0</v>
      </c>
      <c r="D244" s="241" t="n">
        <f aca="false">'Liste WO'!D235</f>
        <v>0</v>
      </c>
      <c r="E244" s="241" t="n">
        <f aca="false">'Liste WO'!E235</f>
        <v>0</v>
      </c>
      <c r="F244" s="241" t="e">
        <f aca="false">_xlfn.xlookup(E244,Clients!B:B,Clients!C:C)</f>
        <v>#NAME?</v>
      </c>
      <c r="G244" s="241" t="e">
        <f aca="false">_xlfn.xlookup(D244,'PO Client'!$A:$A,'PO Client'!$F:$F,FALSE())</f>
        <v>#NAME?</v>
      </c>
      <c r="H244" s="251" t="n">
        <f aca="false">'Liste WO'!I235</f>
        <v>0</v>
      </c>
      <c r="I244" s="251" t="n">
        <f aca="false">'Liste WO'!J235</f>
        <v>0</v>
      </c>
      <c r="J244" s="244" t="n">
        <f aca="false">'Liste WO'!L235</f>
        <v>0</v>
      </c>
      <c r="K244" s="245"/>
      <c r="L244" s="245"/>
      <c r="M244" s="245"/>
      <c r="N244" s="245"/>
      <c r="O244" s="245"/>
      <c r="P244" s="246"/>
      <c r="Q244" s="219"/>
      <c r="R244" s="247"/>
      <c r="S244" s="272"/>
      <c r="T244" s="248" t="n">
        <f aca="false">_xlfn.xlookup(I244,'Prix MP'!A:A,'Prix MP'!U:U, 0)</f>
        <v>0</v>
      </c>
      <c r="U244" s="249" t="n">
        <f aca="false">(M244+N244)*T244</f>
        <v>0</v>
      </c>
      <c r="V244" s="249" t="n">
        <f aca="false">(K244-M244-L244)*T244</f>
        <v>0</v>
      </c>
      <c r="W244" s="250" t="str">
        <f aca="false">IFERROR((K244-M244-L244)/K244,"")</f>
        <v/>
      </c>
      <c r="X244" s="249" t="n">
        <f aca="false">20.6577/85*O244</f>
        <v>0</v>
      </c>
      <c r="Y244" s="249" t="n">
        <f aca="false">19.2*P244</f>
        <v>0</v>
      </c>
      <c r="Z244" s="249" t="n">
        <f aca="false">125000/52/40*Q244</f>
        <v>0</v>
      </c>
      <c r="AA244" s="249" t="n">
        <f aca="false">(M244+N244)*T244+R244+V244+X244+Y244+Z244</f>
        <v>0</v>
      </c>
      <c r="AB244" s="285" t="e">
        <f aca="false">_xlfn.xlookup(H244,'Prix vente'!A:A,'Prix vente'!X:X, "")</f>
        <v>#NAME?</v>
      </c>
      <c r="AC244" s="285" t="e">
        <f aca="false">_xlfn.xlookup(H244,'Prix vente'!A:A,'Prix vente'!Z:Z, "")</f>
        <v>#NAME?</v>
      </c>
      <c r="AD244" s="249" t="n">
        <f aca="false">IFERROR(IF(AC244="CAD",(M244+N244)*AB244,(M244+N244)*AB244*S244),0)</f>
        <v>0</v>
      </c>
      <c r="AE244" s="249" t="n">
        <f aca="false">AD244-AA244</f>
        <v>0</v>
      </c>
      <c r="AF244" s="273" t="str">
        <f aca="false">IFERROR(1-AA244/AD244,"")</f>
        <v/>
      </c>
      <c r="AG244" s="252" t="n">
        <f aca="false">((M244+N244)*T244+V244)</f>
        <v>0</v>
      </c>
      <c r="AH244" s="273" t="str">
        <f aca="false">IFERROR(AG244/AD244,"")</f>
        <v/>
      </c>
      <c r="AI244" s="273" t="str">
        <f aca="false">IFERROR(IF(AD244=0,"S",""),"S")</f>
        <v>S</v>
      </c>
      <c r="AK244" s="15" t="e">
        <v>#NAME?</v>
      </c>
      <c r="AL244" s="15" t="e">
        <f aca="false">_xlfn.xlookup(AK244,A:A,F:F)</f>
        <v>#NAME?</v>
      </c>
      <c r="AM244" s="15" t="e">
        <f aca="false">_xlfn.xlookup(AK244,A:A,J:J)</f>
        <v>#NAME?</v>
      </c>
      <c r="AN244" s="15" t="e">
        <f aca="false">_xlfn.xlookup(AK244,A:A,M:M)+_xlfn.xlookup(AK244,A:A,N:N)</f>
        <v>#NAME?</v>
      </c>
      <c r="AO244" s="223" t="e">
        <f aca="false">_xlfn.xlookup(AK244,A:A,AG:AG)</f>
        <v>#NAME?</v>
      </c>
      <c r="AP244" s="223" t="e">
        <f aca="false">_xlfn.xlookup(AK244,A:A,AD:AD)</f>
        <v>#NAME?</v>
      </c>
      <c r="AQ244" s="223" t="e">
        <f aca="false">_xlfn.xlookup(AK244,A:A,AE:AE)</f>
        <v>#NAME?</v>
      </c>
      <c r="AX244" s="288"/>
      <c r="AY244" s="288"/>
      <c r="AZ244" s="288"/>
      <c r="BB244" s="257" t="e">
        <f aca="false">_xlfn.xlookup(BA244,A:A,F:F)</f>
        <v>#NAME?</v>
      </c>
      <c r="BC244" s="15" t="e">
        <f aca="false">_xlfn.xlookup(BA244,A:A,J:J)</f>
        <v>#NAME?</v>
      </c>
      <c r="BD244" s="75" t="e">
        <f aca="false">_xlfn.xlookup(BA244,A:A,M:M)+_xlfn.xlookup(BA244,A:A,N:N)</f>
        <v>#NAME?</v>
      </c>
      <c r="BE244" s="75" t="e">
        <f aca="false">_xlfn.xlookup(BA244,A192:A1180,AA192:AA1180)</f>
        <v>#NAME?</v>
      </c>
    </row>
    <row r="245" customFormat="false" ht="16.4" hidden="false" customHeight="false" outlineLevel="0" collapsed="false">
      <c r="A245" s="241" t="s">
        <v>1470</v>
      </c>
      <c r="B245" s="1" t="n">
        <f aca="false">'Liste WO'!B236</f>
        <v>0</v>
      </c>
      <c r="C245" s="292" t="n">
        <f aca="false">'Liste WO'!C236</f>
        <v>0</v>
      </c>
      <c r="D245" s="241" t="n">
        <f aca="false">'Liste WO'!D236</f>
        <v>0</v>
      </c>
      <c r="E245" s="241" t="n">
        <f aca="false">'Liste WO'!E236</f>
        <v>0</v>
      </c>
      <c r="F245" s="241" t="e">
        <f aca="false">_xlfn.xlookup(E245,Clients!B:B,Clients!C:C)</f>
        <v>#NAME?</v>
      </c>
      <c r="G245" s="241" t="e">
        <f aca="false">_xlfn.xlookup(D245,'PO Client'!$A:$A,'PO Client'!$F:$F,FALSE())</f>
        <v>#NAME?</v>
      </c>
      <c r="H245" s="251" t="n">
        <f aca="false">'Liste WO'!I236</f>
        <v>0</v>
      </c>
      <c r="I245" s="251" t="n">
        <f aca="false">'Liste WO'!J236</f>
        <v>0</v>
      </c>
      <c r="J245" s="244" t="n">
        <f aca="false">'Liste WO'!L236</f>
        <v>0</v>
      </c>
      <c r="K245" s="245"/>
      <c r="L245" s="245"/>
      <c r="M245" s="245"/>
      <c r="N245" s="245"/>
      <c r="O245" s="245"/>
      <c r="P245" s="246"/>
      <c r="Q245" s="219"/>
      <c r="R245" s="247"/>
      <c r="S245" s="272"/>
      <c r="T245" s="248" t="n">
        <f aca="false">_xlfn.xlookup(I245,'Prix MP'!A:A,'Prix MP'!U:U, 0)</f>
        <v>0</v>
      </c>
      <c r="U245" s="249" t="n">
        <f aca="false">(M245+N245)*T245</f>
        <v>0</v>
      </c>
      <c r="V245" s="249" t="n">
        <f aca="false">(K245-M245-L245)*T245</f>
        <v>0</v>
      </c>
      <c r="W245" s="250" t="str">
        <f aca="false">IFERROR((K245-M245-L245)/K245,"")</f>
        <v/>
      </c>
      <c r="X245" s="249" t="n">
        <f aca="false">20.6577/85*O245</f>
        <v>0</v>
      </c>
      <c r="Y245" s="249" t="n">
        <f aca="false">19.2*P245</f>
        <v>0</v>
      </c>
      <c r="Z245" s="249" t="n">
        <f aca="false">125000/52/40*Q245</f>
        <v>0</v>
      </c>
      <c r="AA245" s="249" t="n">
        <f aca="false">(M245+N245)*T245+R245+V245+X245+Y245+Z245</f>
        <v>0</v>
      </c>
      <c r="AB245" s="285" t="e">
        <f aca="false">_xlfn.xlookup(H245,'Prix vente'!A:A,'Prix vente'!X:X, "")</f>
        <v>#NAME?</v>
      </c>
      <c r="AC245" s="285" t="e">
        <f aca="false">_xlfn.xlookup(H245,'Prix vente'!A:A,'Prix vente'!Z:Z, "")</f>
        <v>#NAME?</v>
      </c>
      <c r="AD245" s="249" t="n">
        <f aca="false">IFERROR(IF(AC245="CAD",(M245+N245)*AB245,(M245+N245)*AB245*S245),0)</f>
        <v>0</v>
      </c>
      <c r="AE245" s="249" t="n">
        <f aca="false">AD245-AA245</f>
        <v>0</v>
      </c>
      <c r="AF245" s="273" t="str">
        <f aca="false">IFERROR(1-AA245/AD245,"")</f>
        <v/>
      </c>
      <c r="AG245" s="252" t="n">
        <f aca="false">((M245+N245)*T245+V245)</f>
        <v>0</v>
      </c>
      <c r="AH245" s="273" t="str">
        <f aca="false">IFERROR(AG245/AD245,"")</f>
        <v/>
      </c>
      <c r="AI245" s="273" t="str">
        <f aca="false">IFERROR(IF(AD245=0,"S",""),"S")</f>
        <v>S</v>
      </c>
      <c r="AK245" s="15" t="e">
        <v>#NAME?</v>
      </c>
      <c r="AL245" s="15" t="e">
        <f aca="false">_xlfn.xlookup(AK245,A:A,F:F)</f>
        <v>#NAME?</v>
      </c>
      <c r="AM245" s="15" t="e">
        <f aca="false">_xlfn.xlookup(AK245,A:A,J:J)</f>
        <v>#NAME?</v>
      </c>
      <c r="AN245" s="15" t="e">
        <f aca="false">_xlfn.xlookup(AK245,A:A,M:M)+_xlfn.xlookup(AK245,A:A,N:N)</f>
        <v>#NAME?</v>
      </c>
      <c r="AO245" s="223" t="e">
        <f aca="false">_xlfn.xlookup(AK245,A:A,AG:AG)</f>
        <v>#NAME?</v>
      </c>
      <c r="AP245" s="223" t="e">
        <f aca="false">_xlfn.xlookup(AK245,A:A,AD:AD)</f>
        <v>#NAME?</v>
      </c>
      <c r="AQ245" s="223" t="e">
        <f aca="false">_xlfn.xlookup(AK245,A:A,AE:AE)</f>
        <v>#NAME?</v>
      </c>
      <c r="AX245" s="288"/>
      <c r="AY245" s="288"/>
      <c r="AZ245" s="288"/>
      <c r="BB245" s="257" t="e">
        <f aca="false">_xlfn.xlookup(BA245,A:A,F:F)</f>
        <v>#NAME?</v>
      </c>
      <c r="BC245" s="15" t="e">
        <f aca="false">_xlfn.xlookup(BA245,A:A,J:J)</f>
        <v>#NAME?</v>
      </c>
      <c r="BD245" s="75" t="e">
        <f aca="false">_xlfn.xlookup(BA245,A:A,M:M)+_xlfn.xlookup(BA245,A:A,N:N)</f>
        <v>#NAME?</v>
      </c>
      <c r="BE245" s="75" t="e">
        <f aca="false">_xlfn.xlookup(BA245,A193:A1181,AA193:AA1181)</f>
        <v>#NAME?</v>
      </c>
    </row>
    <row r="246" customFormat="false" ht="16.4" hidden="false" customHeight="false" outlineLevel="0" collapsed="false">
      <c r="A246" s="241" t="s">
        <v>1471</v>
      </c>
      <c r="B246" s="1" t="n">
        <f aca="false">'Liste WO'!B237</f>
        <v>0</v>
      </c>
      <c r="C246" s="292" t="n">
        <f aca="false">'Liste WO'!C237</f>
        <v>0</v>
      </c>
      <c r="D246" s="241" t="n">
        <f aca="false">'Liste WO'!D237</f>
        <v>0</v>
      </c>
      <c r="E246" s="241" t="n">
        <f aca="false">'Liste WO'!E237</f>
        <v>0</v>
      </c>
      <c r="F246" s="241" t="e">
        <f aca="false">_xlfn.xlookup(E246,Clients!B:B,Clients!C:C)</f>
        <v>#NAME?</v>
      </c>
      <c r="G246" s="241" t="e">
        <f aca="false">_xlfn.xlookup(D246,'PO Client'!$A:$A,'PO Client'!$F:$F,FALSE())</f>
        <v>#NAME?</v>
      </c>
      <c r="H246" s="251" t="n">
        <f aca="false">'Liste WO'!I237</f>
        <v>0</v>
      </c>
      <c r="I246" s="251" t="n">
        <f aca="false">'Liste WO'!J237</f>
        <v>0</v>
      </c>
      <c r="J246" s="244" t="n">
        <f aca="false">'Liste WO'!L237</f>
        <v>0</v>
      </c>
      <c r="K246" s="245"/>
      <c r="L246" s="245"/>
      <c r="M246" s="245"/>
      <c r="N246" s="245"/>
      <c r="O246" s="245"/>
      <c r="P246" s="246"/>
      <c r="Q246" s="219"/>
      <c r="R246" s="247"/>
      <c r="S246" s="272"/>
      <c r="T246" s="248" t="n">
        <f aca="false">_xlfn.xlookup(I246,'Prix MP'!A:A,'Prix MP'!U:U, 0)</f>
        <v>0</v>
      </c>
      <c r="U246" s="249" t="n">
        <f aca="false">(M246+N246)*T246</f>
        <v>0</v>
      </c>
      <c r="V246" s="249" t="n">
        <f aca="false">(K246-M246-L246)*T246</f>
        <v>0</v>
      </c>
      <c r="W246" s="250" t="str">
        <f aca="false">IFERROR((K246-M246-L246)/K246,"")</f>
        <v/>
      </c>
      <c r="X246" s="249" t="n">
        <f aca="false">20.6577/85*O246</f>
        <v>0</v>
      </c>
      <c r="Y246" s="249" t="n">
        <f aca="false">19.2*P246</f>
        <v>0</v>
      </c>
      <c r="Z246" s="249" t="n">
        <f aca="false">125000/52/40*Q246</f>
        <v>0</v>
      </c>
      <c r="AA246" s="249" t="n">
        <f aca="false">(M246+N246)*T246+R246+V246+X246+Y246+Z246</f>
        <v>0</v>
      </c>
      <c r="AB246" s="285" t="e">
        <f aca="false">_xlfn.xlookup(H246,'Prix vente'!A:A,'Prix vente'!X:X, "")</f>
        <v>#NAME?</v>
      </c>
      <c r="AC246" s="285" t="e">
        <f aca="false">_xlfn.xlookup(H246,'Prix vente'!A:A,'Prix vente'!Z:Z, "")</f>
        <v>#NAME?</v>
      </c>
      <c r="AD246" s="249" t="n">
        <f aca="false">IFERROR(IF(AC246="CAD",(M246+N246)*AB246,(M246+N246)*AB246*S246),0)</f>
        <v>0</v>
      </c>
      <c r="AE246" s="249" t="n">
        <f aca="false">AD246-AA246</f>
        <v>0</v>
      </c>
      <c r="AF246" s="273" t="str">
        <f aca="false">IFERROR(1-AA246/AD246,"")</f>
        <v/>
      </c>
      <c r="AG246" s="252" t="n">
        <f aca="false">((M246+N246)*T246+V246)</f>
        <v>0</v>
      </c>
      <c r="AH246" s="273" t="str">
        <f aca="false">IFERROR(AG246/AD246,"")</f>
        <v/>
      </c>
      <c r="AI246" s="273" t="str">
        <f aca="false">IFERROR(IF(AD246=0,"S",""),"S")</f>
        <v>S</v>
      </c>
      <c r="AK246" s="15" t="e">
        <v>#NAME?</v>
      </c>
      <c r="AL246" s="15" t="e">
        <f aca="false">_xlfn.xlookup(AK246,A:A,F:F)</f>
        <v>#NAME?</v>
      </c>
      <c r="AM246" s="15" t="e">
        <f aca="false">_xlfn.xlookup(AK246,A:A,J:J)</f>
        <v>#NAME?</v>
      </c>
      <c r="AN246" s="15" t="e">
        <f aca="false">_xlfn.xlookup(AK246,A:A,M:M)+_xlfn.xlookup(AK246,A:A,N:N)</f>
        <v>#NAME?</v>
      </c>
      <c r="AO246" s="223" t="e">
        <f aca="false">_xlfn.xlookup(AK246,A:A,AG:AG)</f>
        <v>#NAME?</v>
      </c>
      <c r="AP246" s="223" t="e">
        <f aca="false">_xlfn.xlookup(AK246,A:A,AD:AD)</f>
        <v>#NAME?</v>
      </c>
      <c r="AQ246" s="223" t="e">
        <f aca="false">_xlfn.xlookup(AK246,A:A,AE:AE)</f>
        <v>#NAME?</v>
      </c>
      <c r="AX246" s="288"/>
      <c r="AY246" s="288"/>
      <c r="AZ246" s="288"/>
      <c r="BB246" s="257" t="e">
        <f aca="false">_xlfn.xlookup(BA246,A:A,F:F)</f>
        <v>#NAME?</v>
      </c>
      <c r="BC246" s="15" t="e">
        <f aca="false">_xlfn.xlookup(BA246,A:A,J:J)</f>
        <v>#NAME?</v>
      </c>
      <c r="BD246" s="75" t="e">
        <f aca="false">_xlfn.xlookup(BA246,A:A,M:M)+_xlfn.xlookup(BA246,A:A,N:N)</f>
        <v>#NAME?</v>
      </c>
      <c r="BE246" s="75" t="e">
        <f aca="false">_xlfn.xlookup(BA246,A194:A1182,AA194:AA1182)</f>
        <v>#NAME?</v>
      </c>
    </row>
    <row r="247" customFormat="false" ht="16.4" hidden="false" customHeight="false" outlineLevel="0" collapsed="false">
      <c r="A247" s="241" t="s">
        <v>1472</v>
      </c>
      <c r="B247" s="1" t="n">
        <f aca="false">'Liste WO'!B238</f>
        <v>0</v>
      </c>
      <c r="C247" s="292" t="n">
        <f aca="false">'Liste WO'!C238</f>
        <v>0</v>
      </c>
      <c r="D247" s="241" t="n">
        <f aca="false">'Liste WO'!D238</f>
        <v>0</v>
      </c>
      <c r="E247" s="241" t="n">
        <f aca="false">'Liste WO'!E238</f>
        <v>0</v>
      </c>
      <c r="F247" s="241" t="e">
        <f aca="false">_xlfn.xlookup(E247,Clients!B:B,Clients!C:C)</f>
        <v>#NAME?</v>
      </c>
      <c r="G247" s="241" t="e">
        <f aca="false">_xlfn.xlookup(D247,'PO Client'!$A:$A,'PO Client'!$F:$F,FALSE())</f>
        <v>#NAME?</v>
      </c>
      <c r="H247" s="251" t="n">
        <f aca="false">'Liste WO'!I238</f>
        <v>0</v>
      </c>
      <c r="I247" s="251" t="n">
        <f aca="false">'Liste WO'!J238</f>
        <v>0</v>
      </c>
      <c r="J247" s="244" t="n">
        <f aca="false">'Liste WO'!L238</f>
        <v>0</v>
      </c>
      <c r="K247" s="245"/>
      <c r="L247" s="245"/>
      <c r="M247" s="245"/>
      <c r="N247" s="245"/>
      <c r="O247" s="245"/>
      <c r="P247" s="246"/>
      <c r="Q247" s="219"/>
      <c r="R247" s="247"/>
      <c r="S247" s="272"/>
      <c r="T247" s="248" t="n">
        <f aca="false">_xlfn.xlookup(I247,'Prix MP'!A:A,'Prix MP'!U:U, 0)</f>
        <v>0</v>
      </c>
      <c r="U247" s="249" t="n">
        <f aca="false">(M247+N247)*T247</f>
        <v>0</v>
      </c>
      <c r="V247" s="249" t="n">
        <f aca="false">(K247-M247-L247)*T247</f>
        <v>0</v>
      </c>
      <c r="W247" s="250" t="str">
        <f aca="false">IFERROR((K247-M247-L247)/K247,"")</f>
        <v/>
      </c>
      <c r="X247" s="249" t="n">
        <f aca="false">20.6577/85*O247</f>
        <v>0</v>
      </c>
      <c r="Y247" s="249" t="n">
        <f aca="false">19.2*P247</f>
        <v>0</v>
      </c>
      <c r="Z247" s="249" t="n">
        <f aca="false">125000/52/40*Q247</f>
        <v>0</v>
      </c>
      <c r="AA247" s="249" t="n">
        <f aca="false">(M247+N247)*T247+R247+V247+X247+Y247+Z247</f>
        <v>0</v>
      </c>
      <c r="AB247" s="285" t="e">
        <f aca="false">_xlfn.xlookup(H247,'Prix vente'!A:A,'Prix vente'!X:X, "")</f>
        <v>#NAME?</v>
      </c>
      <c r="AC247" s="285" t="e">
        <f aca="false">_xlfn.xlookup(H247,'Prix vente'!A:A,'Prix vente'!Z:Z, "")</f>
        <v>#NAME?</v>
      </c>
      <c r="AD247" s="249" t="n">
        <f aca="false">IFERROR(IF(AC247="CAD",(M247+N247)*AB247,(M247+N247)*AB247*S247),0)</f>
        <v>0</v>
      </c>
      <c r="AE247" s="249" t="n">
        <f aca="false">AD247-AA247</f>
        <v>0</v>
      </c>
      <c r="AF247" s="273" t="str">
        <f aca="false">IFERROR(1-AA247/AD247,"")</f>
        <v/>
      </c>
      <c r="AG247" s="252" t="n">
        <f aca="false">((M247+N247)*T247+V247)</f>
        <v>0</v>
      </c>
      <c r="AH247" s="273" t="str">
        <f aca="false">IFERROR(AG247/AD247,"")</f>
        <v/>
      </c>
      <c r="AI247" s="273" t="str">
        <f aca="false">IFERROR(IF(AD247=0,"S",""),"S")</f>
        <v>S</v>
      </c>
      <c r="AK247" s="15" t="e">
        <v>#NAME?</v>
      </c>
      <c r="AL247" s="15" t="e">
        <f aca="false">_xlfn.xlookup(AK247,A:A,F:F)</f>
        <v>#NAME?</v>
      </c>
      <c r="AM247" s="15" t="e">
        <f aca="false">_xlfn.xlookup(AK247,A:A,J:J)</f>
        <v>#NAME?</v>
      </c>
      <c r="AN247" s="15" t="e">
        <f aca="false">_xlfn.xlookup(AK247,A:A,M:M)+_xlfn.xlookup(AK247,A:A,N:N)</f>
        <v>#NAME?</v>
      </c>
      <c r="AO247" s="223" t="e">
        <f aca="false">_xlfn.xlookup(AK247,A:A,AG:AG)</f>
        <v>#NAME?</v>
      </c>
      <c r="AP247" s="223" t="e">
        <f aca="false">_xlfn.xlookup(AK247,A:A,AD:AD)</f>
        <v>#NAME?</v>
      </c>
      <c r="AQ247" s="223" t="e">
        <f aca="false">_xlfn.xlookup(AK247,A:A,AE:AE)</f>
        <v>#NAME?</v>
      </c>
      <c r="AX247" s="288"/>
      <c r="AY247" s="288"/>
      <c r="AZ247" s="288"/>
      <c r="BB247" s="257" t="e">
        <f aca="false">_xlfn.xlookup(BA247,A:A,F:F)</f>
        <v>#NAME?</v>
      </c>
      <c r="BC247" s="15" t="e">
        <f aca="false">_xlfn.xlookup(BA247,A:A,J:J)</f>
        <v>#NAME?</v>
      </c>
      <c r="BD247" s="75" t="e">
        <f aca="false">_xlfn.xlookup(BA247,A:A,M:M)+_xlfn.xlookup(BA247,A:A,N:N)</f>
        <v>#NAME?</v>
      </c>
      <c r="BE247" s="75" t="e">
        <f aca="false">_xlfn.xlookup(BA247,A195:A1183,AA195:AA1183)</f>
        <v>#NAME?</v>
      </c>
    </row>
    <row r="248" customFormat="false" ht="16.4" hidden="false" customHeight="false" outlineLevel="0" collapsed="false">
      <c r="A248" s="241" t="s">
        <v>1473</v>
      </c>
      <c r="B248" s="1" t="n">
        <f aca="false">'Liste WO'!B239</f>
        <v>0</v>
      </c>
      <c r="C248" s="292" t="n">
        <f aca="false">'Liste WO'!C239</f>
        <v>0</v>
      </c>
      <c r="D248" s="241" t="n">
        <f aca="false">'Liste WO'!D239</f>
        <v>0</v>
      </c>
      <c r="E248" s="241" t="n">
        <f aca="false">'Liste WO'!E239</f>
        <v>0</v>
      </c>
      <c r="F248" s="241" t="e">
        <f aca="false">_xlfn.xlookup(E248,Clients!B:B,Clients!C:C)</f>
        <v>#NAME?</v>
      </c>
      <c r="G248" s="241" t="e">
        <f aca="false">_xlfn.xlookup(D248,'PO Client'!$A:$A,'PO Client'!$F:$F,FALSE())</f>
        <v>#NAME?</v>
      </c>
      <c r="H248" s="251" t="n">
        <f aca="false">'Liste WO'!I239</f>
        <v>0</v>
      </c>
      <c r="I248" s="251" t="n">
        <f aca="false">'Liste WO'!J239</f>
        <v>0</v>
      </c>
      <c r="J248" s="244" t="n">
        <f aca="false">'Liste WO'!L239</f>
        <v>0</v>
      </c>
      <c r="K248" s="245"/>
      <c r="L248" s="245"/>
      <c r="M248" s="245"/>
      <c r="N248" s="245"/>
      <c r="O248" s="245"/>
      <c r="P248" s="246"/>
      <c r="Q248" s="219"/>
      <c r="R248" s="247"/>
      <c r="S248" s="272"/>
      <c r="T248" s="248" t="n">
        <f aca="false">_xlfn.xlookup(I248,'Prix MP'!A:A,'Prix MP'!U:U, 0)</f>
        <v>0</v>
      </c>
      <c r="U248" s="249" t="n">
        <f aca="false">(M248+N248)*T248</f>
        <v>0</v>
      </c>
      <c r="V248" s="249" t="n">
        <f aca="false">(K248-M248-L248)*T248</f>
        <v>0</v>
      </c>
      <c r="W248" s="250" t="str">
        <f aca="false">IFERROR((K248-M248-L248)/K248,"")</f>
        <v/>
      </c>
      <c r="X248" s="249" t="n">
        <f aca="false">20.6577/85*O248</f>
        <v>0</v>
      </c>
      <c r="Y248" s="249" t="n">
        <f aca="false">19.2*P248</f>
        <v>0</v>
      </c>
      <c r="Z248" s="249" t="n">
        <f aca="false">125000/52/40*Q248</f>
        <v>0</v>
      </c>
      <c r="AA248" s="249" t="n">
        <f aca="false">(M248+N248)*T248+R248+V248+X248+Y248+Z248</f>
        <v>0</v>
      </c>
      <c r="AB248" s="285" t="e">
        <f aca="false">_xlfn.xlookup(H248,'Prix vente'!A:A,'Prix vente'!X:X, "")</f>
        <v>#NAME?</v>
      </c>
      <c r="AC248" s="285" t="e">
        <f aca="false">_xlfn.xlookup(H248,'Prix vente'!A:A,'Prix vente'!Z:Z, "")</f>
        <v>#NAME?</v>
      </c>
      <c r="AD248" s="249" t="n">
        <f aca="false">IFERROR(IF(AC248="CAD",(M248+N248)*AB248,(M248+N248)*AB248*S248),0)</f>
        <v>0</v>
      </c>
      <c r="AE248" s="249" t="n">
        <f aca="false">AD248-AA248</f>
        <v>0</v>
      </c>
      <c r="AF248" s="273" t="str">
        <f aca="false">IFERROR(1-AA248/AD248,"")</f>
        <v/>
      </c>
      <c r="AG248" s="252" t="n">
        <f aca="false">((M248+N248)*T248+V248)</f>
        <v>0</v>
      </c>
      <c r="AH248" s="273" t="str">
        <f aca="false">IFERROR(AG248/AD248,"")</f>
        <v/>
      </c>
      <c r="AI248" s="273" t="str">
        <f aca="false">IFERROR(IF(AD248=0,"S",""),"S")</f>
        <v>S</v>
      </c>
      <c r="AK248" s="15" t="e">
        <v>#NAME?</v>
      </c>
      <c r="AL248" s="15" t="e">
        <f aca="false">_xlfn.xlookup(AK248,A:A,F:F)</f>
        <v>#NAME?</v>
      </c>
      <c r="AM248" s="15" t="e">
        <f aca="false">_xlfn.xlookup(AK248,A:A,J:J)</f>
        <v>#NAME?</v>
      </c>
      <c r="AN248" s="15" t="e">
        <f aca="false">_xlfn.xlookup(AK248,A:A,M:M)+_xlfn.xlookup(AK248,A:A,N:N)</f>
        <v>#NAME?</v>
      </c>
      <c r="AO248" s="223" t="e">
        <f aca="false">_xlfn.xlookup(AK248,A:A,AG:AG)</f>
        <v>#NAME?</v>
      </c>
      <c r="AP248" s="223" t="e">
        <f aca="false">_xlfn.xlookup(AK248,A:A,AD:AD)</f>
        <v>#NAME?</v>
      </c>
      <c r="AQ248" s="223" t="e">
        <f aca="false">_xlfn.xlookup(AK248,A:A,AE:AE)</f>
        <v>#NAME?</v>
      </c>
      <c r="AX248" s="288"/>
      <c r="AY248" s="288"/>
      <c r="AZ248" s="288"/>
      <c r="BB248" s="257" t="e">
        <f aca="false">_xlfn.xlookup(BA248,A:A,F:F)</f>
        <v>#NAME?</v>
      </c>
      <c r="BC248" s="15" t="e">
        <f aca="false">_xlfn.xlookup(BA248,A:A,J:J)</f>
        <v>#NAME?</v>
      </c>
      <c r="BD248" s="75" t="e">
        <f aca="false">_xlfn.xlookup(BA248,A:A,M:M)+_xlfn.xlookup(BA248,A:A,N:N)</f>
        <v>#NAME?</v>
      </c>
      <c r="BE248" s="75" t="e">
        <f aca="false">_xlfn.xlookup(BA248,A196:A1184,AA196:AA1184)</f>
        <v>#NAME?</v>
      </c>
    </row>
    <row r="249" customFormat="false" ht="16.4" hidden="false" customHeight="false" outlineLevel="0" collapsed="false">
      <c r="A249" s="241" t="s">
        <v>1474</v>
      </c>
      <c r="B249" s="1" t="n">
        <f aca="false">'Liste WO'!B240</f>
        <v>0</v>
      </c>
      <c r="C249" s="292" t="n">
        <f aca="false">'Liste WO'!C240</f>
        <v>0</v>
      </c>
      <c r="D249" s="241" t="n">
        <f aca="false">'Liste WO'!D240</f>
        <v>0</v>
      </c>
      <c r="E249" s="241" t="n">
        <f aca="false">'Liste WO'!E240</f>
        <v>0</v>
      </c>
      <c r="F249" s="241" t="e">
        <f aca="false">_xlfn.xlookup(E249,Clients!B:B,Clients!C:C)</f>
        <v>#NAME?</v>
      </c>
      <c r="G249" s="241" t="e">
        <f aca="false">_xlfn.xlookup(D249,'PO Client'!$A:$A,'PO Client'!$F:$F,FALSE())</f>
        <v>#NAME?</v>
      </c>
      <c r="H249" s="251" t="n">
        <f aca="false">'Liste WO'!I240</f>
        <v>0</v>
      </c>
      <c r="I249" s="251" t="n">
        <f aca="false">'Liste WO'!J240</f>
        <v>0</v>
      </c>
      <c r="J249" s="244" t="n">
        <f aca="false">'Liste WO'!L240</f>
        <v>0</v>
      </c>
      <c r="K249" s="245"/>
      <c r="L249" s="245"/>
      <c r="M249" s="245"/>
      <c r="N249" s="245"/>
      <c r="O249" s="245"/>
      <c r="P249" s="246"/>
      <c r="Q249" s="219"/>
      <c r="R249" s="247"/>
      <c r="S249" s="272"/>
      <c r="T249" s="248" t="n">
        <f aca="false">_xlfn.xlookup(I249,'Prix MP'!A:A,'Prix MP'!U:U, 0)</f>
        <v>0</v>
      </c>
      <c r="U249" s="249" t="n">
        <f aca="false">(M249+N249)*T249</f>
        <v>0</v>
      </c>
      <c r="V249" s="249" t="n">
        <f aca="false">(K249-M249-L249)*T249</f>
        <v>0</v>
      </c>
      <c r="W249" s="250" t="str">
        <f aca="false">IFERROR((K249-M249-L249)/K249,"")</f>
        <v/>
      </c>
      <c r="X249" s="249" t="n">
        <f aca="false">20.6577/85*O249</f>
        <v>0</v>
      </c>
      <c r="Y249" s="249" t="n">
        <f aca="false">19.2*P249</f>
        <v>0</v>
      </c>
      <c r="Z249" s="249" t="n">
        <f aca="false">125000/52/40*Q249</f>
        <v>0</v>
      </c>
      <c r="AA249" s="249" t="n">
        <f aca="false">(M249+N249)*T249+R249+V249+X249+Y249+Z249</f>
        <v>0</v>
      </c>
      <c r="AB249" s="285" t="e">
        <f aca="false">_xlfn.xlookup(H249,'Prix vente'!A:A,'Prix vente'!X:X, "")</f>
        <v>#NAME?</v>
      </c>
      <c r="AC249" s="285" t="e">
        <f aca="false">_xlfn.xlookup(H249,'Prix vente'!A:A,'Prix vente'!Z:Z, "")</f>
        <v>#NAME?</v>
      </c>
      <c r="AD249" s="249" t="n">
        <f aca="false">IFERROR(IF(AC249="CAD",(M249+N249)*AB249,(M249+N249)*AB249*S249),0)</f>
        <v>0</v>
      </c>
      <c r="AE249" s="249" t="n">
        <f aca="false">AD249-AA249</f>
        <v>0</v>
      </c>
      <c r="AF249" s="273" t="str">
        <f aca="false">IFERROR(1-AA249/AD249,"")</f>
        <v/>
      </c>
      <c r="AG249" s="252" t="n">
        <f aca="false">((M249+N249)*T249+V249)</f>
        <v>0</v>
      </c>
      <c r="AH249" s="273" t="str">
        <f aca="false">IFERROR(AG249/AD249,"")</f>
        <v/>
      </c>
      <c r="AI249" s="273" t="str">
        <f aca="false">IFERROR(IF(AD249=0,"S",""),"S")</f>
        <v>S</v>
      </c>
      <c r="AK249" s="15" t="e">
        <v>#NAME?</v>
      </c>
      <c r="AL249" s="15" t="e">
        <f aca="false">_xlfn.xlookup(AK249,A:A,F:F)</f>
        <v>#NAME?</v>
      </c>
      <c r="AM249" s="15" t="e">
        <f aca="false">_xlfn.xlookup(AK249,A:A,J:J)</f>
        <v>#NAME?</v>
      </c>
      <c r="AN249" s="15" t="e">
        <f aca="false">_xlfn.xlookup(AK249,A:A,M:M)+_xlfn.xlookup(AK249,A:A,N:N)</f>
        <v>#NAME?</v>
      </c>
      <c r="AO249" s="223" t="e">
        <f aca="false">_xlfn.xlookup(AK249,A:A,AG:AG)</f>
        <v>#NAME?</v>
      </c>
      <c r="AP249" s="223" t="e">
        <f aca="false">_xlfn.xlookup(AK249,A:A,AD:AD)</f>
        <v>#NAME?</v>
      </c>
      <c r="AQ249" s="223" t="e">
        <f aca="false">_xlfn.xlookup(AK249,A:A,AE:AE)</f>
        <v>#NAME?</v>
      </c>
      <c r="AX249" s="288"/>
      <c r="AY249" s="288"/>
      <c r="AZ249" s="288"/>
      <c r="BB249" s="257" t="e">
        <f aca="false">_xlfn.xlookup(BA249,A:A,F:F)</f>
        <v>#NAME?</v>
      </c>
      <c r="BC249" s="15" t="e">
        <f aca="false">_xlfn.xlookup(BA249,A:A,J:J)</f>
        <v>#NAME?</v>
      </c>
      <c r="BD249" s="75" t="e">
        <f aca="false">_xlfn.xlookup(BA249,A:A,M:M)+_xlfn.xlookup(BA249,A:A,N:N)</f>
        <v>#NAME?</v>
      </c>
      <c r="BE249" s="75" t="e">
        <f aca="false">_xlfn.xlookup(BA249,A197:A1185,AA197:AA1185)</f>
        <v>#NAME?</v>
      </c>
    </row>
    <row r="250" customFormat="false" ht="16.4" hidden="false" customHeight="false" outlineLevel="0" collapsed="false">
      <c r="A250" s="241" t="s">
        <v>1475</v>
      </c>
      <c r="B250" s="1" t="n">
        <f aca="false">'Liste WO'!B241</f>
        <v>0</v>
      </c>
      <c r="C250" s="292" t="n">
        <f aca="false">'Liste WO'!C241</f>
        <v>0</v>
      </c>
      <c r="D250" s="241" t="n">
        <f aca="false">'Liste WO'!D241</f>
        <v>0</v>
      </c>
      <c r="E250" s="241" t="n">
        <f aca="false">'Liste WO'!E241</f>
        <v>0</v>
      </c>
      <c r="F250" s="241" t="e">
        <f aca="false">_xlfn.xlookup(E250,Clients!B:B,Clients!C:C)</f>
        <v>#NAME?</v>
      </c>
      <c r="G250" s="241" t="e">
        <f aca="false">_xlfn.xlookup(D250,'PO Client'!$A:$A,'PO Client'!$F:$F,FALSE())</f>
        <v>#NAME?</v>
      </c>
      <c r="H250" s="251" t="n">
        <f aca="false">'Liste WO'!I241</f>
        <v>0</v>
      </c>
      <c r="I250" s="251" t="n">
        <f aca="false">'Liste WO'!J241</f>
        <v>0</v>
      </c>
      <c r="J250" s="244" t="n">
        <f aca="false">'Liste WO'!L241</f>
        <v>0</v>
      </c>
      <c r="K250" s="245"/>
      <c r="L250" s="245"/>
      <c r="M250" s="245"/>
      <c r="N250" s="245"/>
      <c r="O250" s="245"/>
      <c r="P250" s="246"/>
      <c r="Q250" s="219"/>
      <c r="R250" s="247"/>
      <c r="S250" s="272"/>
      <c r="T250" s="248" t="n">
        <f aca="false">_xlfn.xlookup(I250,'Prix MP'!A:A,'Prix MP'!U:U, 0)</f>
        <v>0</v>
      </c>
      <c r="U250" s="249" t="n">
        <f aca="false">(M250+N250)*T250</f>
        <v>0</v>
      </c>
      <c r="V250" s="249" t="n">
        <f aca="false">(K250-M250-L250)*T250</f>
        <v>0</v>
      </c>
      <c r="W250" s="250" t="str">
        <f aca="false">IFERROR((K250-M250-L250)/K250,"")</f>
        <v/>
      </c>
      <c r="X250" s="249" t="n">
        <f aca="false">20.6577/85*O250</f>
        <v>0</v>
      </c>
      <c r="Y250" s="249" t="n">
        <f aca="false">19.2*P250</f>
        <v>0</v>
      </c>
      <c r="Z250" s="249" t="n">
        <f aca="false">125000/52/40*Q250</f>
        <v>0</v>
      </c>
      <c r="AA250" s="249" t="n">
        <f aca="false">(M250+N250)*T250+R250+V250+X250+Y250+Z250</f>
        <v>0</v>
      </c>
      <c r="AB250" s="285" t="e">
        <f aca="false">_xlfn.xlookup(H250,'Prix vente'!A:A,'Prix vente'!X:X, "")</f>
        <v>#NAME?</v>
      </c>
      <c r="AC250" s="285" t="e">
        <f aca="false">_xlfn.xlookup(H250,'Prix vente'!A:A,'Prix vente'!Z:Z, "")</f>
        <v>#NAME?</v>
      </c>
      <c r="AD250" s="249" t="n">
        <f aca="false">IFERROR(IF(AC250="CAD",(M250+N250)*AB250,(M250+N250)*AB250*S250),0)</f>
        <v>0</v>
      </c>
      <c r="AE250" s="249" t="n">
        <f aca="false">AD250-AA250</f>
        <v>0</v>
      </c>
      <c r="AF250" s="273" t="str">
        <f aca="false">IFERROR(1-AA250/AD250,"")</f>
        <v/>
      </c>
      <c r="AG250" s="252" t="n">
        <f aca="false">((M250+N250)*T250+V250)</f>
        <v>0</v>
      </c>
      <c r="AH250" s="273" t="str">
        <f aca="false">IFERROR(AG250/AD250,"")</f>
        <v/>
      </c>
      <c r="AI250" s="273" t="str">
        <f aca="false">IFERROR(IF(AD250=0,"S",""),"S")</f>
        <v>S</v>
      </c>
      <c r="AK250" s="15" t="e">
        <v>#NAME?</v>
      </c>
      <c r="AL250" s="15" t="e">
        <f aca="false">_xlfn.xlookup(AK250,A:A,F:F)</f>
        <v>#NAME?</v>
      </c>
      <c r="AM250" s="15" t="e">
        <f aca="false">_xlfn.xlookup(AK250,A:A,J:J)</f>
        <v>#NAME?</v>
      </c>
      <c r="AN250" s="15" t="e">
        <f aca="false">_xlfn.xlookup(AK250,A:A,M:M)+_xlfn.xlookup(AK250,A:A,N:N)</f>
        <v>#NAME?</v>
      </c>
      <c r="AO250" s="223" t="e">
        <f aca="false">_xlfn.xlookup(AK250,A:A,AG:AG)</f>
        <v>#NAME?</v>
      </c>
      <c r="AP250" s="223" t="e">
        <f aca="false">_xlfn.xlookup(AK250,A:A,AD:AD)</f>
        <v>#NAME?</v>
      </c>
      <c r="AQ250" s="223" t="e">
        <f aca="false">_xlfn.xlookup(AK250,A:A,AE:AE)</f>
        <v>#NAME?</v>
      </c>
      <c r="AX250" s="288"/>
      <c r="AY250" s="288"/>
      <c r="AZ250" s="288"/>
      <c r="BB250" s="257" t="e">
        <f aca="false">_xlfn.xlookup(BA250,A:A,F:F)</f>
        <v>#NAME?</v>
      </c>
      <c r="BC250" s="15" t="e">
        <f aca="false">_xlfn.xlookup(BA250,A:A,J:J)</f>
        <v>#NAME?</v>
      </c>
      <c r="BD250" s="75" t="e">
        <f aca="false">_xlfn.xlookup(BA250,A:A,M:M)+_xlfn.xlookup(BA250,A:A,N:N)</f>
        <v>#NAME?</v>
      </c>
      <c r="BE250" s="75" t="e">
        <f aca="false">_xlfn.xlookup(BA250,A198:A1186,AA198:AA1186)</f>
        <v>#NAME?</v>
      </c>
    </row>
    <row r="251" customFormat="false" ht="16.4" hidden="false" customHeight="false" outlineLevel="0" collapsed="false">
      <c r="A251" s="241" t="s">
        <v>1476</v>
      </c>
      <c r="B251" s="1" t="n">
        <f aca="false">'Liste WO'!B242</f>
        <v>0</v>
      </c>
      <c r="C251" s="292" t="n">
        <f aca="false">'Liste WO'!C242</f>
        <v>0</v>
      </c>
      <c r="D251" s="241" t="n">
        <f aca="false">'Liste WO'!D242</f>
        <v>0</v>
      </c>
      <c r="E251" s="241" t="n">
        <f aca="false">'Liste WO'!E242</f>
        <v>0</v>
      </c>
      <c r="F251" s="241" t="e">
        <f aca="false">_xlfn.xlookup(E251,Clients!B:B,Clients!C:C)</f>
        <v>#NAME?</v>
      </c>
      <c r="G251" s="241" t="e">
        <f aca="false">_xlfn.xlookup(D251,'PO Client'!$A:$A,'PO Client'!$F:$F,FALSE())</f>
        <v>#NAME?</v>
      </c>
      <c r="H251" s="251" t="n">
        <f aca="false">'Liste WO'!I242</f>
        <v>0</v>
      </c>
      <c r="I251" s="251" t="n">
        <f aca="false">'Liste WO'!J242</f>
        <v>0</v>
      </c>
      <c r="J251" s="244" t="n">
        <f aca="false">'Liste WO'!L242</f>
        <v>0</v>
      </c>
      <c r="K251" s="245"/>
      <c r="L251" s="245"/>
      <c r="M251" s="245"/>
      <c r="N251" s="245"/>
      <c r="O251" s="245"/>
      <c r="P251" s="246"/>
      <c r="Q251" s="219"/>
      <c r="R251" s="247"/>
      <c r="S251" s="272"/>
      <c r="T251" s="248" t="n">
        <f aca="false">_xlfn.xlookup(I251,'Prix MP'!A:A,'Prix MP'!U:U, 0)</f>
        <v>0</v>
      </c>
      <c r="U251" s="249" t="n">
        <f aca="false">(M251+N251)*T251</f>
        <v>0</v>
      </c>
      <c r="V251" s="249" t="n">
        <f aca="false">(K251-M251-L251)*T251</f>
        <v>0</v>
      </c>
      <c r="W251" s="250" t="str">
        <f aca="false">IFERROR((K251-M251-L251)/K251,"")</f>
        <v/>
      </c>
      <c r="X251" s="249" t="n">
        <f aca="false">20.6577/85*O251</f>
        <v>0</v>
      </c>
      <c r="Y251" s="249" t="n">
        <f aca="false">19.2*P251</f>
        <v>0</v>
      </c>
      <c r="Z251" s="249" t="n">
        <f aca="false">125000/52/40*Q251</f>
        <v>0</v>
      </c>
      <c r="AA251" s="249" t="n">
        <f aca="false">(M251+N251)*T251+R251+V251+X251+Y251+Z251</f>
        <v>0</v>
      </c>
      <c r="AB251" s="285" t="e">
        <f aca="false">_xlfn.xlookup(H251,'Prix vente'!A:A,'Prix vente'!X:X, "")</f>
        <v>#NAME?</v>
      </c>
      <c r="AC251" s="285" t="e">
        <f aca="false">_xlfn.xlookup(H251,'Prix vente'!A:A,'Prix vente'!Z:Z, "")</f>
        <v>#NAME?</v>
      </c>
      <c r="AD251" s="249" t="n">
        <f aca="false">IFERROR(IF(AC251="CAD",(M251+N251)*AB251,(M251+N251)*AB251*S251),0)</f>
        <v>0</v>
      </c>
      <c r="AE251" s="249" t="n">
        <f aca="false">AD251-AA251</f>
        <v>0</v>
      </c>
      <c r="AF251" s="273" t="str">
        <f aca="false">IFERROR(1-AA251/AD251,"")</f>
        <v/>
      </c>
      <c r="AG251" s="252" t="n">
        <f aca="false">((M251+N251)*T251+V251)</f>
        <v>0</v>
      </c>
      <c r="AH251" s="273" t="str">
        <f aca="false">IFERROR(AG251/AD251,"")</f>
        <v/>
      </c>
      <c r="AI251" s="273" t="str">
        <f aca="false">IFERROR(IF(AD251=0,"S",""),"S")</f>
        <v>S</v>
      </c>
      <c r="AK251" s="15" t="e">
        <v>#NAME?</v>
      </c>
      <c r="AL251" s="15" t="e">
        <f aca="false">_xlfn.xlookup(AK251,A:A,F:F)</f>
        <v>#NAME?</v>
      </c>
      <c r="AM251" s="15" t="e">
        <f aca="false">_xlfn.xlookup(AK251,A:A,J:J)</f>
        <v>#NAME?</v>
      </c>
      <c r="AN251" s="15" t="e">
        <f aca="false">_xlfn.xlookup(AK251,A:A,M:M)+_xlfn.xlookup(AK251,A:A,N:N)</f>
        <v>#NAME?</v>
      </c>
      <c r="AO251" s="223" t="e">
        <f aca="false">_xlfn.xlookup(AK251,A:A,AG:AG)</f>
        <v>#NAME?</v>
      </c>
      <c r="AP251" s="223" t="e">
        <f aca="false">_xlfn.xlookup(AK251,A:A,AD:AD)</f>
        <v>#NAME?</v>
      </c>
      <c r="AQ251" s="223" t="e">
        <f aca="false">_xlfn.xlookup(AK251,A:A,AE:AE)</f>
        <v>#NAME?</v>
      </c>
      <c r="AX251" s="288"/>
      <c r="AY251" s="288"/>
      <c r="AZ251" s="288"/>
      <c r="BB251" s="257" t="e">
        <f aca="false">_xlfn.xlookup(BA251,A:A,F:F)</f>
        <v>#NAME?</v>
      </c>
      <c r="BC251" s="15" t="e">
        <f aca="false">_xlfn.xlookup(BA251,A:A,J:J)</f>
        <v>#NAME?</v>
      </c>
      <c r="BD251" s="75" t="e">
        <f aca="false">_xlfn.xlookup(BA251,A:A,M:M)+_xlfn.xlookup(BA251,A:A,N:N)</f>
        <v>#NAME?</v>
      </c>
      <c r="BE251" s="75" t="e">
        <f aca="false">_xlfn.xlookup(BA251,A199:A1187,AA199:AA1187)</f>
        <v>#NAME?</v>
      </c>
    </row>
    <row r="252" customFormat="false" ht="16.4" hidden="false" customHeight="false" outlineLevel="0" collapsed="false">
      <c r="A252" s="241" t="s">
        <v>1477</v>
      </c>
      <c r="B252" s="1" t="n">
        <f aca="false">'Liste WO'!B243</f>
        <v>0</v>
      </c>
      <c r="C252" s="292" t="n">
        <f aca="false">'Liste WO'!C243</f>
        <v>0</v>
      </c>
      <c r="D252" s="241" t="n">
        <f aca="false">'Liste WO'!D243</f>
        <v>0</v>
      </c>
      <c r="E252" s="241" t="n">
        <f aca="false">'Liste WO'!E243</f>
        <v>0</v>
      </c>
      <c r="F252" s="241" t="e">
        <f aca="false">_xlfn.xlookup(E252,Clients!B:B,Clients!C:C)</f>
        <v>#NAME?</v>
      </c>
      <c r="G252" s="241" t="e">
        <f aca="false">_xlfn.xlookup(D252,'PO Client'!$A:$A,'PO Client'!$F:$F,FALSE())</f>
        <v>#NAME?</v>
      </c>
      <c r="H252" s="251" t="n">
        <f aca="false">'Liste WO'!I243</f>
        <v>0</v>
      </c>
      <c r="I252" s="251" t="n">
        <f aca="false">'Liste WO'!J243</f>
        <v>0</v>
      </c>
      <c r="J252" s="244" t="n">
        <f aca="false">'Liste WO'!L243</f>
        <v>0</v>
      </c>
      <c r="K252" s="245"/>
      <c r="L252" s="245"/>
      <c r="M252" s="245"/>
      <c r="N252" s="245"/>
      <c r="O252" s="245"/>
      <c r="P252" s="246"/>
      <c r="Q252" s="219"/>
      <c r="R252" s="247"/>
      <c r="S252" s="272"/>
      <c r="T252" s="248" t="n">
        <f aca="false">_xlfn.xlookup(I252,'Prix MP'!A:A,'Prix MP'!U:U, 0)</f>
        <v>0</v>
      </c>
      <c r="U252" s="249" t="n">
        <f aca="false">(M252+N252)*T252</f>
        <v>0</v>
      </c>
      <c r="V252" s="249" t="n">
        <f aca="false">(K252-M252-L252)*T252</f>
        <v>0</v>
      </c>
      <c r="W252" s="250" t="str">
        <f aca="false">IFERROR((K252-M252-L252)/K252,"")</f>
        <v/>
      </c>
      <c r="X252" s="249" t="n">
        <f aca="false">20.6577/85*O252</f>
        <v>0</v>
      </c>
      <c r="Y252" s="249" t="n">
        <f aca="false">19.2*P252</f>
        <v>0</v>
      </c>
      <c r="Z252" s="249" t="n">
        <f aca="false">125000/52/40*Q252</f>
        <v>0</v>
      </c>
      <c r="AA252" s="249" t="n">
        <f aca="false">(M252+N252)*T252+R252+V252+X252+Y252+Z252</f>
        <v>0</v>
      </c>
      <c r="AB252" s="285" t="e">
        <f aca="false">_xlfn.xlookup(H252,'Prix vente'!A:A,'Prix vente'!X:X, "")</f>
        <v>#NAME?</v>
      </c>
      <c r="AC252" s="285" t="e">
        <f aca="false">_xlfn.xlookup(H252,'Prix vente'!A:A,'Prix vente'!Z:Z, "")</f>
        <v>#NAME?</v>
      </c>
      <c r="AD252" s="249" t="n">
        <f aca="false">IFERROR(IF(AC252="CAD",(M252+N252)*AB252,(M252+N252)*AB252*S252),0)</f>
        <v>0</v>
      </c>
      <c r="AE252" s="249" t="n">
        <f aca="false">AD252-AA252</f>
        <v>0</v>
      </c>
      <c r="AF252" s="273" t="str">
        <f aca="false">IFERROR(1-AA252/AD252,"")</f>
        <v/>
      </c>
      <c r="AG252" s="252" t="n">
        <f aca="false">((M252+N252)*T252+V252)</f>
        <v>0</v>
      </c>
      <c r="AH252" s="273" t="str">
        <f aca="false">IFERROR(AG252/AD252,"")</f>
        <v/>
      </c>
      <c r="AI252" s="273" t="str">
        <f aca="false">IFERROR(IF(AD252=0,"S",""),"S")</f>
        <v>S</v>
      </c>
      <c r="AK252" s="15" t="e">
        <v>#NAME?</v>
      </c>
      <c r="AL252" s="15" t="e">
        <f aca="false">_xlfn.xlookup(AK252,A:A,F:F)</f>
        <v>#NAME?</v>
      </c>
      <c r="AM252" s="15" t="e">
        <f aca="false">_xlfn.xlookup(AK252,A:A,J:J)</f>
        <v>#NAME?</v>
      </c>
      <c r="AN252" s="15" t="e">
        <f aca="false">_xlfn.xlookup(AK252,A:A,M:M)+_xlfn.xlookup(AK252,A:A,N:N)</f>
        <v>#NAME?</v>
      </c>
      <c r="AO252" s="223" t="e">
        <f aca="false">_xlfn.xlookup(AK252,A:A,AG:AG)</f>
        <v>#NAME?</v>
      </c>
      <c r="AP252" s="223" t="e">
        <f aca="false">_xlfn.xlookup(AK252,A:A,AD:AD)</f>
        <v>#NAME?</v>
      </c>
      <c r="AQ252" s="223" t="e">
        <f aca="false">_xlfn.xlookup(AK252,A:A,AE:AE)</f>
        <v>#NAME?</v>
      </c>
      <c r="AX252" s="288"/>
      <c r="AY252" s="288"/>
      <c r="AZ252" s="288"/>
      <c r="BB252" s="257" t="e">
        <f aca="false">_xlfn.xlookup(BA252,A:A,F:F)</f>
        <v>#NAME?</v>
      </c>
      <c r="BC252" s="15" t="e">
        <f aca="false">_xlfn.xlookup(BA252,A:A,J:J)</f>
        <v>#NAME?</v>
      </c>
      <c r="BD252" s="75" t="e">
        <f aca="false">_xlfn.xlookup(BA252,A:A,M:M)+_xlfn.xlookup(BA252,A:A,N:N)</f>
        <v>#NAME?</v>
      </c>
      <c r="BE252" s="75" t="e">
        <f aca="false">_xlfn.xlookup(BA252,A200:A1188,AA200:AA1188)</f>
        <v>#NAME?</v>
      </c>
    </row>
    <row r="253" customFormat="false" ht="16.4" hidden="false" customHeight="false" outlineLevel="0" collapsed="false">
      <c r="A253" s="241" t="s">
        <v>1478</v>
      </c>
      <c r="B253" s="1" t="n">
        <f aca="false">'Liste WO'!B244</f>
        <v>0</v>
      </c>
      <c r="C253" s="292" t="n">
        <f aca="false">'Liste WO'!C244</f>
        <v>0</v>
      </c>
      <c r="D253" s="241" t="n">
        <f aca="false">'Liste WO'!D244</f>
        <v>0</v>
      </c>
      <c r="E253" s="241" t="n">
        <f aca="false">'Liste WO'!E244</f>
        <v>0</v>
      </c>
      <c r="F253" s="241" t="e">
        <f aca="false">_xlfn.xlookup(E253,Clients!B:B,Clients!C:C)</f>
        <v>#NAME?</v>
      </c>
      <c r="G253" s="241" t="e">
        <f aca="false">_xlfn.xlookup(D253,'PO Client'!$A:$A,'PO Client'!$F:$F,FALSE())</f>
        <v>#NAME?</v>
      </c>
      <c r="H253" s="251" t="n">
        <f aca="false">'Liste WO'!I244</f>
        <v>0</v>
      </c>
      <c r="I253" s="251" t="n">
        <f aca="false">'Liste WO'!J244</f>
        <v>0</v>
      </c>
      <c r="J253" s="244" t="n">
        <f aca="false">'Liste WO'!L244</f>
        <v>0</v>
      </c>
      <c r="K253" s="245"/>
      <c r="L253" s="245"/>
      <c r="M253" s="245"/>
      <c r="N253" s="245"/>
      <c r="O253" s="245"/>
      <c r="P253" s="246"/>
      <c r="Q253" s="219"/>
      <c r="R253" s="247"/>
      <c r="S253" s="272"/>
      <c r="T253" s="248" t="n">
        <f aca="false">_xlfn.xlookup(I253,'Prix MP'!A:A,'Prix MP'!U:U, 0)</f>
        <v>0</v>
      </c>
      <c r="U253" s="249" t="n">
        <f aca="false">(M253+N253)*T253</f>
        <v>0</v>
      </c>
      <c r="V253" s="249" t="n">
        <f aca="false">(K253-M253-L253)*T253</f>
        <v>0</v>
      </c>
      <c r="W253" s="250" t="str">
        <f aca="false">IFERROR((K253-M253-L253)/K253,"")</f>
        <v/>
      </c>
      <c r="X253" s="249" t="n">
        <f aca="false">20.6577/85*O253</f>
        <v>0</v>
      </c>
      <c r="Y253" s="249" t="n">
        <f aca="false">19.2*P253</f>
        <v>0</v>
      </c>
      <c r="Z253" s="249" t="n">
        <f aca="false">125000/52/40*Q253</f>
        <v>0</v>
      </c>
      <c r="AA253" s="249" t="n">
        <f aca="false">(M253+N253)*T253+R253+V253+X253+Y253+Z253</f>
        <v>0</v>
      </c>
      <c r="AB253" s="285" t="e">
        <f aca="false">_xlfn.xlookup(H253,'Prix vente'!A:A,'Prix vente'!X:X, "")</f>
        <v>#NAME?</v>
      </c>
      <c r="AC253" s="285" t="e">
        <f aca="false">_xlfn.xlookup(H253,'Prix vente'!A:A,'Prix vente'!Z:Z, "")</f>
        <v>#NAME?</v>
      </c>
      <c r="AD253" s="249" t="n">
        <f aca="false">IFERROR(IF(AC253="CAD",(M253+N253)*AB253,(M253+N253)*AB253*S253),0)</f>
        <v>0</v>
      </c>
      <c r="AE253" s="249" t="n">
        <f aca="false">AD253-AA253</f>
        <v>0</v>
      </c>
      <c r="AF253" s="273" t="str">
        <f aca="false">IFERROR(1-AA253/AD253,"")</f>
        <v/>
      </c>
      <c r="AG253" s="252" t="n">
        <f aca="false">((M253+N253)*T253+V253)</f>
        <v>0</v>
      </c>
      <c r="AH253" s="273" t="str">
        <f aca="false">IFERROR(AG253/AD253,"")</f>
        <v/>
      </c>
      <c r="AI253" s="273" t="str">
        <f aca="false">IFERROR(IF(AD253=0,"S",""),"S")</f>
        <v>S</v>
      </c>
      <c r="AK253" s="15" t="e">
        <v>#NAME?</v>
      </c>
      <c r="AL253" s="15" t="e">
        <f aca="false">_xlfn.xlookup(AK253,A:A,F:F)</f>
        <v>#NAME?</v>
      </c>
      <c r="AM253" s="15" t="e">
        <f aca="false">_xlfn.xlookup(AK253,A:A,J:J)</f>
        <v>#NAME?</v>
      </c>
      <c r="AN253" s="15" t="e">
        <f aca="false">_xlfn.xlookup(AK253,A:A,M:M)+_xlfn.xlookup(AK253,A:A,N:N)</f>
        <v>#NAME?</v>
      </c>
      <c r="AO253" s="223" t="e">
        <f aca="false">_xlfn.xlookup(AK253,A:A,AG:AG)</f>
        <v>#NAME?</v>
      </c>
      <c r="AP253" s="223" t="e">
        <f aca="false">_xlfn.xlookup(AK253,A:A,AD:AD)</f>
        <v>#NAME?</v>
      </c>
      <c r="AQ253" s="223" t="e">
        <f aca="false">_xlfn.xlookup(AK253,A:A,AE:AE)</f>
        <v>#NAME?</v>
      </c>
      <c r="AX253" s="288"/>
      <c r="AY253" s="288"/>
      <c r="AZ253" s="288"/>
      <c r="BB253" s="257" t="e">
        <f aca="false">_xlfn.xlookup(BA253,A:A,F:F)</f>
        <v>#NAME?</v>
      </c>
      <c r="BC253" s="15" t="e">
        <f aca="false">_xlfn.xlookup(BA253,A:A,J:J)</f>
        <v>#NAME?</v>
      </c>
      <c r="BD253" s="75" t="e">
        <f aca="false">_xlfn.xlookup(BA253,A:A,M:M)+_xlfn.xlookup(BA253,A:A,N:N)</f>
        <v>#NAME?</v>
      </c>
      <c r="BE253" s="75" t="e">
        <f aca="false">_xlfn.xlookup(BA253,A201:A1189,AA201:AA1189)</f>
        <v>#NAME?</v>
      </c>
    </row>
    <row r="254" customFormat="false" ht="16.4" hidden="false" customHeight="false" outlineLevel="0" collapsed="false">
      <c r="A254" s="241" t="s">
        <v>1479</v>
      </c>
      <c r="B254" s="1" t="n">
        <f aca="false">'Liste WO'!B245</f>
        <v>0</v>
      </c>
      <c r="C254" s="292" t="n">
        <f aca="false">'Liste WO'!C245</f>
        <v>0</v>
      </c>
      <c r="D254" s="241" t="n">
        <f aca="false">'Liste WO'!D245</f>
        <v>0</v>
      </c>
      <c r="E254" s="241" t="n">
        <f aca="false">'Liste WO'!E245</f>
        <v>0</v>
      </c>
      <c r="F254" s="241" t="e">
        <f aca="false">_xlfn.xlookup(E254,Clients!B:B,Clients!C:C)</f>
        <v>#NAME?</v>
      </c>
      <c r="G254" s="241" t="e">
        <f aca="false">_xlfn.xlookup(D254,'PO Client'!$A:$A,'PO Client'!$F:$F,FALSE())</f>
        <v>#NAME?</v>
      </c>
      <c r="H254" s="251" t="n">
        <f aca="false">'Liste WO'!I245</f>
        <v>0</v>
      </c>
      <c r="I254" s="251" t="n">
        <f aca="false">'Liste WO'!J245</f>
        <v>0</v>
      </c>
      <c r="J254" s="244" t="n">
        <f aca="false">'Liste WO'!L245</f>
        <v>0</v>
      </c>
      <c r="K254" s="245"/>
      <c r="L254" s="245"/>
      <c r="M254" s="245"/>
      <c r="N254" s="245"/>
      <c r="O254" s="245"/>
      <c r="P254" s="246"/>
      <c r="Q254" s="219"/>
      <c r="R254" s="247"/>
      <c r="S254" s="272"/>
      <c r="T254" s="248" t="n">
        <f aca="false">_xlfn.xlookup(I254,'Prix MP'!A:A,'Prix MP'!U:U, 0)</f>
        <v>0</v>
      </c>
      <c r="U254" s="249" t="n">
        <f aca="false">(M254+N254)*T254</f>
        <v>0</v>
      </c>
      <c r="V254" s="249" t="n">
        <f aca="false">(K254-M254-L254)*T254</f>
        <v>0</v>
      </c>
      <c r="W254" s="250" t="str">
        <f aca="false">IFERROR((K254-M254-L254)/K254,"")</f>
        <v/>
      </c>
      <c r="X254" s="249" t="n">
        <f aca="false">20.6577/85*O254</f>
        <v>0</v>
      </c>
      <c r="Y254" s="249" t="n">
        <f aca="false">19.2*P254</f>
        <v>0</v>
      </c>
      <c r="Z254" s="249" t="n">
        <f aca="false">125000/52/40*Q254</f>
        <v>0</v>
      </c>
      <c r="AA254" s="249" t="n">
        <f aca="false">(M254+N254)*T254+R254+V254+X254+Y254+Z254</f>
        <v>0</v>
      </c>
      <c r="AB254" s="285" t="e">
        <f aca="false">_xlfn.xlookup(H254,'Prix vente'!A:A,'Prix vente'!X:X, "")</f>
        <v>#NAME?</v>
      </c>
      <c r="AC254" s="285" t="e">
        <f aca="false">_xlfn.xlookup(H254,'Prix vente'!A:A,'Prix vente'!Z:Z, "")</f>
        <v>#NAME?</v>
      </c>
      <c r="AD254" s="249" t="n">
        <f aca="false">IFERROR(IF(AC254="CAD",(M254+N254)*AB254,(M254+N254)*AB254*S254),0)</f>
        <v>0</v>
      </c>
      <c r="AE254" s="249" t="n">
        <f aca="false">AD254-AA254</f>
        <v>0</v>
      </c>
      <c r="AF254" s="273" t="str">
        <f aca="false">IFERROR(1-AA254/AD254,"")</f>
        <v/>
      </c>
      <c r="AG254" s="252" t="n">
        <f aca="false">((M254+N254)*T254+V254)</f>
        <v>0</v>
      </c>
      <c r="AH254" s="273" t="str">
        <f aca="false">IFERROR(AG254/AD254,"")</f>
        <v/>
      </c>
      <c r="AI254" s="273" t="str">
        <f aca="false">IFERROR(IF(AD254=0,"S",""),"S")</f>
        <v>S</v>
      </c>
      <c r="AK254" s="15" t="e">
        <v>#NAME?</v>
      </c>
      <c r="AL254" s="15" t="e">
        <f aca="false">_xlfn.xlookup(AK254,A:A,F:F)</f>
        <v>#NAME?</v>
      </c>
      <c r="AM254" s="15" t="e">
        <f aca="false">_xlfn.xlookup(AK254,A:A,J:J)</f>
        <v>#NAME?</v>
      </c>
      <c r="AN254" s="15" t="e">
        <f aca="false">_xlfn.xlookup(AK254,A:A,M:M)+_xlfn.xlookup(AK254,A:A,N:N)</f>
        <v>#NAME?</v>
      </c>
      <c r="AO254" s="223" t="e">
        <f aca="false">_xlfn.xlookup(AK254,A:A,AG:AG)</f>
        <v>#NAME?</v>
      </c>
      <c r="AP254" s="223" t="e">
        <f aca="false">_xlfn.xlookup(AK254,A:A,AD:AD)</f>
        <v>#NAME?</v>
      </c>
      <c r="AQ254" s="223" t="e">
        <f aca="false">_xlfn.xlookup(AK254,A:A,AE:AE)</f>
        <v>#NAME?</v>
      </c>
      <c r="AX254" s="288"/>
      <c r="AY254" s="288"/>
      <c r="AZ254" s="288"/>
      <c r="BB254" s="257" t="e">
        <f aca="false">_xlfn.xlookup(BA254,A:A,F:F)</f>
        <v>#NAME?</v>
      </c>
      <c r="BC254" s="15" t="e">
        <f aca="false">_xlfn.xlookup(BA254,A:A,J:J)</f>
        <v>#NAME?</v>
      </c>
      <c r="BD254" s="75" t="e">
        <f aca="false">_xlfn.xlookup(BA254,A:A,M:M)+_xlfn.xlookup(BA254,A:A,N:N)</f>
        <v>#NAME?</v>
      </c>
      <c r="BE254" s="75" t="e">
        <f aca="false">_xlfn.xlookup(BA254,A202:A1190,AA202:AA1190)</f>
        <v>#NAME?</v>
      </c>
    </row>
    <row r="255" customFormat="false" ht="16.4" hidden="false" customHeight="false" outlineLevel="0" collapsed="false">
      <c r="A255" s="241" t="s">
        <v>1480</v>
      </c>
      <c r="B255" s="1" t="n">
        <f aca="false">'Liste WO'!B246</f>
        <v>0</v>
      </c>
      <c r="C255" s="292" t="n">
        <f aca="false">'Liste WO'!C246</f>
        <v>0</v>
      </c>
      <c r="D255" s="241" t="n">
        <f aca="false">'Liste WO'!D246</f>
        <v>0</v>
      </c>
      <c r="E255" s="241" t="n">
        <f aca="false">'Liste WO'!E246</f>
        <v>0</v>
      </c>
      <c r="F255" s="241" t="e">
        <f aca="false">_xlfn.xlookup(E255,Clients!B:B,Clients!C:C)</f>
        <v>#NAME?</v>
      </c>
      <c r="G255" s="241" t="e">
        <f aca="false">_xlfn.xlookup(D255,'PO Client'!$A:$A,'PO Client'!$F:$F,FALSE())</f>
        <v>#NAME?</v>
      </c>
      <c r="H255" s="251" t="n">
        <f aca="false">'Liste WO'!I246</f>
        <v>0</v>
      </c>
      <c r="I255" s="251" t="n">
        <f aca="false">'Liste WO'!J246</f>
        <v>0</v>
      </c>
      <c r="J255" s="244" t="n">
        <f aca="false">'Liste WO'!L246</f>
        <v>0</v>
      </c>
      <c r="K255" s="245"/>
      <c r="L255" s="245"/>
      <c r="M255" s="245"/>
      <c r="N255" s="245"/>
      <c r="O255" s="245"/>
      <c r="P255" s="246"/>
      <c r="Q255" s="219"/>
      <c r="R255" s="247"/>
      <c r="S255" s="272"/>
      <c r="T255" s="248" t="n">
        <f aca="false">_xlfn.xlookup(I255,'Prix MP'!A:A,'Prix MP'!U:U, 0)</f>
        <v>0</v>
      </c>
      <c r="U255" s="249" t="n">
        <f aca="false">(M255+N255)*T255</f>
        <v>0</v>
      </c>
      <c r="V255" s="249" t="n">
        <f aca="false">(K255-M255-L255)*T255</f>
        <v>0</v>
      </c>
      <c r="W255" s="250" t="str">
        <f aca="false">IFERROR((K255-M255-L255)/K255,"")</f>
        <v/>
      </c>
      <c r="X255" s="249" t="n">
        <f aca="false">20.6577/85*O255</f>
        <v>0</v>
      </c>
      <c r="Y255" s="249" t="n">
        <f aca="false">19.2*P255</f>
        <v>0</v>
      </c>
      <c r="Z255" s="249" t="n">
        <f aca="false">125000/52/40*Q255</f>
        <v>0</v>
      </c>
      <c r="AA255" s="249" t="n">
        <f aca="false">(M255+N255)*T255+R255+V255+X255+Y255+Z255</f>
        <v>0</v>
      </c>
      <c r="AB255" s="285" t="e">
        <f aca="false">_xlfn.xlookup(H255,'Prix vente'!A:A,'Prix vente'!X:X, "")</f>
        <v>#NAME?</v>
      </c>
      <c r="AC255" s="285" t="e">
        <f aca="false">_xlfn.xlookup(H255,'Prix vente'!A:A,'Prix vente'!Z:Z, "")</f>
        <v>#NAME?</v>
      </c>
      <c r="AD255" s="249" t="n">
        <f aca="false">IFERROR(IF(AC255="CAD",(M255+N255)*AB255,(M255+N255)*AB255*S255),0)</f>
        <v>0</v>
      </c>
      <c r="AE255" s="249" t="n">
        <f aca="false">AD255-AA255</f>
        <v>0</v>
      </c>
      <c r="AF255" s="273" t="str">
        <f aca="false">IFERROR(1-AA255/AD255,"")</f>
        <v/>
      </c>
      <c r="AG255" s="252" t="n">
        <f aca="false">((M255+N255)*T255+V255)</f>
        <v>0</v>
      </c>
      <c r="AH255" s="273" t="str">
        <f aca="false">IFERROR(AG255/AD255,"")</f>
        <v/>
      </c>
      <c r="AI255" s="273" t="str">
        <f aca="false">IFERROR(IF(AD255=0,"S",""),"S")</f>
        <v>S</v>
      </c>
      <c r="AK255" s="15" t="e">
        <v>#NAME?</v>
      </c>
      <c r="AL255" s="15" t="e">
        <f aca="false">_xlfn.xlookup(AK255,A:A,F:F)</f>
        <v>#NAME?</v>
      </c>
      <c r="AM255" s="15" t="e">
        <f aca="false">_xlfn.xlookup(AK255,A:A,J:J)</f>
        <v>#NAME?</v>
      </c>
      <c r="AN255" s="15" t="e">
        <f aca="false">_xlfn.xlookup(AK255,A:A,M:M)+_xlfn.xlookup(AK255,A:A,N:N)</f>
        <v>#NAME?</v>
      </c>
      <c r="AO255" s="223" t="e">
        <f aca="false">_xlfn.xlookup(AK255,A:A,AG:AG)</f>
        <v>#NAME?</v>
      </c>
      <c r="AP255" s="223" t="e">
        <f aca="false">_xlfn.xlookup(AK255,A:A,AD:AD)</f>
        <v>#NAME?</v>
      </c>
      <c r="AQ255" s="223" t="e">
        <f aca="false">_xlfn.xlookup(AK255,A:A,AE:AE)</f>
        <v>#NAME?</v>
      </c>
      <c r="AX255" s="288"/>
      <c r="AY255" s="288"/>
      <c r="AZ255" s="288"/>
      <c r="BB255" s="257" t="e">
        <f aca="false">_xlfn.xlookup(BA255,A:A,F:F)</f>
        <v>#NAME?</v>
      </c>
      <c r="BC255" s="15" t="e">
        <f aca="false">_xlfn.xlookup(BA255,A:A,J:J)</f>
        <v>#NAME?</v>
      </c>
      <c r="BD255" s="75" t="e">
        <f aca="false">_xlfn.xlookup(BA255,A:A,M:M)+_xlfn.xlookup(BA255,A:A,N:N)</f>
        <v>#NAME?</v>
      </c>
      <c r="BE255" s="75" t="e">
        <f aca="false">_xlfn.xlookup(BA255,A203:A1191,AA203:AA1191)</f>
        <v>#NAME?</v>
      </c>
    </row>
    <row r="256" customFormat="false" ht="16.4" hidden="false" customHeight="false" outlineLevel="0" collapsed="false">
      <c r="A256" s="241" t="s">
        <v>1481</v>
      </c>
      <c r="B256" s="1" t="n">
        <f aca="false">'Liste WO'!B247</f>
        <v>0</v>
      </c>
      <c r="C256" s="292" t="n">
        <f aca="false">'Liste WO'!C247</f>
        <v>0</v>
      </c>
      <c r="D256" s="241" t="n">
        <f aca="false">'Liste WO'!D247</f>
        <v>0</v>
      </c>
      <c r="E256" s="241" t="n">
        <f aca="false">'Liste WO'!E247</f>
        <v>0</v>
      </c>
      <c r="F256" s="241" t="e">
        <f aca="false">_xlfn.xlookup(E256,Clients!B:B,Clients!C:C)</f>
        <v>#NAME?</v>
      </c>
      <c r="G256" s="241" t="e">
        <f aca="false">_xlfn.xlookup(D256,'PO Client'!$A:$A,'PO Client'!$F:$F,FALSE())</f>
        <v>#NAME?</v>
      </c>
      <c r="H256" s="251" t="n">
        <f aca="false">'Liste WO'!I247</f>
        <v>0</v>
      </c>
      <c r="I256" s="251" t="n">
        <f aca="false">'Liste WO'!J247</f>
        <v>0</v>
      </c>
      <c r="J256" s="244" t="n">
        <f aca="false">'Liste WO'!L247</f>
        <v>0</v>
      </c>
      <c r="K256" s="245"/>
      <c r="L256" s="245"/>
      <c r="M256" s="245"/>
      <c r="N256" s="245"/>
      <c r="O256" s="245"/>
      <c r="P256" s="246"/>
      <c r="Q256" s="219"/>
      <c r="R256" s="247"/>
      <c r="S256" s="272"/>
      <c r="T256" s="248" t="n">
        <f aca="false">_xlfn.xlookup(I256,'Prix MP'!A:A,'Prix MP'!U:U, 0)</f>
        <v>0</v>
      </c>
      <c r="U256" s="249" t="n">
        <f aca="false">(M256+N256)*T256</f>
        <v>0</v>
      </c>
      <c r="V256" s="249" t="n">
        <f aca="false">(K256-M256-L256)*T256</f>
        <v>0</v>
      </c>
      <c r="W256" s="250" t="str">
        <f aca="false">IFERROR((K256-M256-L256)/K256,"")</f>
        <v/>
      </c>
      <c r="X256" s="249" t="n">
        <f aca="false">20.6577/85*O256</f>
        <v>0</v>
      </c>
      <c r="Y256" s="249" t="n">
        <f aca="false">19.2*P256</f>
        <v>0</v>
      </c>
      <c r="Z256" s="249" t="n">
        <f aca="false">125000/52/40*Q256</f>
        <v>0</v>
      </c>
      <c r="AA256" s="249" t="n">
        <f aca="false">(M256+N256)*T256+R256+V256+X256+Y256+Z256</f>
        <v>0</v>
      </c>
      <c r="AB256" s="285" t="e">
        <f aca="false">_xlfn.xlookup(H256,'Prix vente'!A:A,'Prix vente'!X:X, "")</f>
        <v>#NAME?</v>
      </c>
      <c r="AC256" s="285" t="e">
        <f aca="false">_xlfn.xlookup(H256,'Prix vente'!A:A,'Prix vente'!Z:Z, "")</f>
        <v>#NAME?</v>
      </c>
      <c r="AD256" s="249" t="n">
        <f aca="false">IFERROR(IF(AC256="CAD",(M256+N256)*AB256,(M256+N256)*AB256*S256),0)</f>
        <v>0</v>
      </c>
      <c r="AE256" s="249" t="n">
        <f aca="false">AD256-AA256</f>
        <v>0</v>
      </c>
      <c r="AF256" s="273" t="str">
        <f aca="false">IFERROR(1-AA256/AD256,"")</f>
        <v/>
      </c>
      <c r="AG256" s="252" t="n">
        <f aca="false">((M256+N256)*T256+V256)</f>
        <v>0</v>
      </c>
      <c r="AH256" s="273" t="str">
        <f aca="false">IFERROR(AG256/AD256,"")</f>
        <v/>
      </c>
      <c r="AI256" s="273" t="str">
        <f aca="false">IFERROR(IF(AD256=0,"S",""),"S")</f>
        <v>S</v>
      </c>
      <c r="AK256" s="15" t="e">
        <v>#NAME?</v>
      </c>
      <c r="AL256" s="15" t="e">
        <f aca="false">_xlfn.xlookup(AK256,A:A,F:F)</f>
        <v>#NAME?</v>
      </c>
      <c r="AM256" s="15" t="e">
        <f aca="false">_xlfn.xlookup(AK256,A:A,J:J)</f>
        <v>#NAME?</v>
      </c>
      <c r="AN256" s="15" t="e">
        <f aca="false">_xlfn.xlookup(AK256,A:A,M:M)+_xlfn.xlookup(AK256,A:A,N:N)</f>
        <v>#NAME?</v>
      </c>
      <c r="AO256" s="223" t="e">
        <f aca="false">_xlfn.xlookup(AK256,A:A,AG:AG)</f>
        <v>#NAME?</v>
      </c>
      <c r="AP256" s="223" t="e">
        <f aca="false">_xlfn.xlookup(AK256,A:A,AD:AD)</f>
        <v>#NAME?</v>
      </c>
      <c r="AQ256" s="223" t="e">
        <f aca="false">_xlfn.xlookup(AK256,A:A,AE:AE)</f>
        <v>#NAME?</v>
      </c>
      <c r="AX256" s="288"/>
      <c r="AY256" s="288"/>
      <c r="AZ256" s="288"/>
      <c r="BB256" s="257" t="e">
        <f aca="false">_xlfn.xlookup(BA256,A:A,F:F)</f>
        <v>#NAME?</v>
      </c>
      <c r="BC256" s="15" t="e">
        <f aca="false">_xlfn.xlookup(BA256,A:A,J:J)</f>
        <v>#NAME?</v>
      </c>
      <c r="BD256" s="75" t="e">
        <f aca="false">_xlfn.xlookup(BA256,A:A,M:M)+_xlfn.xlookup(BA256,A:A,N:N)</f>
        <v>#NAME?</v>
      </c>
      <c r="BE256" s="75" t="e">
        <f aca="false">_xlfn.xlookup(BA256,A204:A1192,AA204:AA1192)</f>
        <v>#NAME?</v>
      </c>
    </row>
    <row r="257" customFormat="false" ht="16.4" hidden="false" customHeight="false" outlineLevel="0" collapsed="false">
      <c r="A257" s="241" t="s">
        <v>1482</v>
      </c>
      <c r="B257" s="1" t="n">
        <f aca="false">'Liste WO'!B248</f>
        <v>0</v>
      </c>
      <c r="C257" s="292" t="n">
        <f aca="false">'Liste WO'!C248</f>
        <v>0</v>
      </c>
      <c r="D257" s="241" t="n">
        <f aca="false">'Liste WO'!D248</f>
        <v>0</v>
      </c>
      <c r="E257" s="241" t="n">
        <f aca="false">'Liste WO'!E248</f>
        <v>0</v>
      </c>
      <c r="F257" s="241" t="e">
        <f aca="false">_xlfn.xlookup(E257,Clients!B:B,Clients!C:C)</f>
        <v>#NAME?</v>
      </c>
      <c r="G257" s="241" t="e">
        <f aca="false">_xlfn.xlookup(D257,'PO Client'!$A:$A,'PO Client'!$F:$F,FALSE())</f>
        <v>#NAME?</v>
      </c>
      <c r="H257" s="251" t="n">
        <f aca="false">'Liste WO'!I248</f>
        <v>0</v>
      </c>
      <c r="I257" s="251" t="n">
        <f aca="false">'Liste WO'!J248</f>
        <v>0</v>
      </c>
      <c r="J257" s="244" t="n">
        <f aca="false">'Liste WO'!L248</f>
        <v>0</v>
      </c>
      <c r="K257" s="245"/>
      <c r="L257" s="245"/>
      <c r="M257" s="245"/>
      <c r="N257" s="245"/>
      <c r="O257" s="245"/>
      <c r="P257" s="246"/>
      <c r="Q257" s="219"/>
      <c r="R257" s="247"/>
      <c r="S257" s="272"/>
      <c r="T257" s="248" t="n">
        <f aca="false">_xlfn.xlookup(I257,'Prix MP'!A:A,'Prix MP'!U:U, 0)</f>
        <v>0</v>
      </c>
      <c r="U257" s="249" t="n">
        <f aca="false">(M257+N257)*T257</f>
        <v>0</v>
      </c>
      <c r="V257" s="249" t="n">
        <f aca="false">(K257-M257-L257)*T257</f>
        <v>0</v>
      </c>
      <c r="W257" s="250" t="str">
        <f aca="false">IFERROR((K257-M257-L257)/K257,"")</f>
        <v/>
      </c>
      <c r="X257" s="249" t="n">
        <f aca="false">20.6577/85*O257</f>
        <v>0</v>
      </c>
      <c r="Y257" s="249" t="n">
        <f aca="false">19.2*P257</f>
        <v>0</v>
      </c>
      <c r="Z257" s="249" t="n">
        <f aca="false">125000/52/40*Q257</f>
        <v>0</v>
      </c>
      <c r="AA257" s="249" t="n">
        <f aca="false">(M257+N257)*T257+R257+V257+X257+Y257+Z257</f>
        <v>0</v>
      </c>
      <c r="AB257" s="285" t="e">
        <f aca="false">_xlfn.xlookup(H257,'Prix vente'!A:A,'Prix vente'!X:X, "")</f>
        <v>#NAME?</v>
      </c>
      <c r="AC257" s="285" t="e">
        <f aca="false">_xlfn.xlookup(H257,'Prix vente'!A:A,'Prix vente'!Z:Z, "")</f>
        <v>#NAME?</v>
      </c>
      <c r="AD257" s="249" t="n">
        <f aca="false">IFERROR(IF(AC257="CAD",(M257+N257)*AB257,(M257+N257)*AB257*S257),0)</f>
        <v>0</v>
      </c>
      <c r="AE257" s="249" t="n">
        <f aca="false">AD257-AA257</f>
        <v>0</v>
      </c>
      <c r="AF257" s="273" t="str">
        <f aca="false">IFERROR(1-AA257/AD257,"")</f>
        <v/>
      </c>
      <c r="AG257" s="252" t="n">
        <f aca="false">((M257+N257)*T257+V257)</f>
        <v>0</v>
      </c>
      <c r="AH257" s="273" t="str">
        <f aca="false">IFERROR(AG257/AD257,"")</f>
        <v/>
      </c>
      <c r="AI257" s="273" t="str">
        <f aca="false">IFERROR(IF(AD257=0,"S",""),"S")</f>
        <v>S</v>
      </c>
      <c r="AK257" s="15" t="e">
        <v>#NAME?</v>
      </c>
      <c r="AL257" s="15" t="e">
        <f aca="false">_xlfn.xlookup(AK257,A:A,F:F)</f>
        <v>#NAME?</v>
      </c>
      <c r="AM257" s="15" t="e">
        <f aca="false">_xlfn.xlookup(AK257,A:A,J:J)</f>
        <v>#NAME?</v>
      </c>
      <c r="AN257" s="15" t="e">
        <f aca="false">_xlfn.xlookup(AK257,A:A,M:M)+_xlfn.xlookup(AK257,A:A,N:N)</f>
        <v>#NAME?</v>
      </c>
      <c r="AO257" s="223" t="e">
        <f aca="false">_xlfn.xlookup(AK257,A:A,AG:AG)</f>
        <v>#NAME?</v>
      </c>
      <c r="AP257" s="223" t="e">
        <f aca="false">_xlfn.xlookup(AK257,A:A,AD:AD)</f>
        <v>#NAME?</v>
      </c>
      <c r="AQ257" s="223" t="e">
        <f aca="false">_xlfn.xlookup(AK257,A:A,AE:AE)</f>
        <v>#NAME?</v>
      </c>
      <c r="AX257" s="288"/>
      <c r="AY257" s="288"/>
      <c r="AZ257" s="288"/>
      <c r="BB257" s="257" t="e">
        <f aca="false">_xlfn.xlookup(BA257,A:A,F:F)</f>
        <v>#NAME?</v>
      </c>
      <c r="BC257" s="15" t="e">
        <f aca="false">_xlfn.xlookup(BA257,A:A,J:J)</f>
        <v>#NAME?</v>
      </c>
      <c r="BD257" s="75" t="e">
        <f aca="false">_xlfn.xlookup(BA257,A:A,M:M)+_xlfn.xlookup(BA257,A:A,N:N)</f>
        <v>#NAME?</v>
      </c>
      <c r="BE257" s="75" t="e">
        <f aca="false">_xlfn.xlookup(BA257,A205:A1193,AA205:AA1193)</f>
        <v>#NAME?</v>
      </c>
    </row>
    <row r="258" customFormat="false" ht="16.4" hidden="false" customHeight="false" outlineLevel="0" collapsed="false">
      <c r="A258" s="241" t="s">
        <v>1483</v>
      </c>
      <c r="B258" s="1" t="n">
        <f aca="false">'Liste WO'!B249</f>
        <v>0</v>
      </c>
      <c r="C258" s="292" t="n">
        <f aca="false">'Liste WO'!C249</f>
        <v>0</v>
      </c>
      <c r="D258" s="241" t="n">
        <f aca="false">'Liste WO'!D249</f>
        <v>0</v>
      </c>
      <c r="E258" s="241" t="n">
        <f aca="false">'Liste WO'!E249</f>
        <v>0</v>
      </c>
      <c r="F258" s="241" t="e">
        <f aca="false">_xlfn.xlookup(E258,Clients!B:B,Clients!C:C)</f>
        <v>#NAME?</v>
      </c>
      <c r="G258" s="241" t="e">
        <f aca="false">_xlfn.xlookup(D258,'PO Client'!$A:$A,'PO Client'!$F:$F,FALSE())</f>
        <v>#NAME?</v>
      </c>
      <c r="H258" s="251" t="n">
        <f aca="false">'Liste WO'!I249</f>
        <v>0</v>
      </c>
      <c r="I258" s="251" t="n">
        <f aca="false">'Liste WO'!J249</f>
        <v>0</v>
      </c>
      <c r="J258" s="244" t="n">
        <f aca="false">'Liste WO'!L249</f>
        <v>0</v>
      </c>
      <c r="K258" s="245"/>
      <c r="L258" s="245"/>
      <c r="M258" s="245"/>
      <c r="N258" s="245"/>
      <c r="O258" s="245"/>
      <c r="P258" s="246"/>
      <c r="Q258" s="219"/>
      <c r="R258" s="247"/>
      <c r="S258" s="272"/>
      <c r="T258" s="248" t="n">
        <f aca="false">_xlfn.xlookup(I258,'Prix MP'!A:A,'Prix MP'!U:U, 0)</f>
        <v>0</v>
      </c>
      <c r="U258" s="249" t="n">
        <f aca="false">(M258+N258)*T258</f>
        <v>0</v>
      </c>
      <c r="V258" s="249" t="n">
        <f aca="false">(K258-M258-L258)*T258</f>
        <v>0</v>
      </c>
      <c r="W258" s="250" t="str">
        <f aca="false">IFERROR((K258-M258-L258)/K258,"")</f>
        <v/>
      </c>
      <c r="X258" s="249" t="n">
        <f aca="false">20.6577/85*O258</f>
        <v>0</v>
      </c>
      <c r="Y258" s="249" t="n">
        <f aca="false">19.2*P258</f>
        <v>0</v>
      </c>
      <c r="Z258" s="249" t="n">
        <f aca="false">125000/52/40*Q258</f>
        <v>0</v>
      </c>
      <c r="AA258" s="249" t="n">
        <f aca="false">(M258+N258)*T258+R258+V258+X258+Y258+Z258</f>
        <v>0</v>
      </c>
      <c r="AB258" s="285" t="e">
        <f aca="false">_xlfn.xlookup(H258,'Prix vente'!A:A,'Prix vente'!X:X, "")</f>
        <v>#NAME?</v>
      </c>
      <c r="AC258" s="285" t="e">
        <f aca="false">_xlfn.xlookup(H258,'Prix vente'!A:A,'Prix vente'!Z:Z, "")</f>
        <v>#NAME?</v>
      </c>
      <c r="AD258" s="249" t="n">
        <f aca="false">IFERROR(IF(AC258="CAD",(M258+N258)*AB258,(M258+N258)*AB258*S258),0)</f>
        <v>0</v>
      </c>
      <c r="AE258" s="249" t="n">
        <f aca="false">AD258-AA258</f>
        <v>0</v>
      </c>
      <c r="AF258" s="273" t="str">
        <f aca="false">IFERROR(1-AA258/AD258,"")</f>
        <v/>
      </c>
      <c r="AG258" s="252" t="n">
        <f aca="false">((M258+N258)*T258+V258)</f>
        <v>0</v>
      </c>
      <c r="AH258" s="273" t="str">
        <f aca="false">IFERROR(AG258/AD258,"")</f>
        <v/>
      </c>
      <c r="AI258" s="273" t="str">
        <f aca="false">IFERROR(IF(AD258=0,"S",""),"S")</f>
        <v>S</v>
      </c>
      <c r="AK258" s="15" t="e">
        <v>#NAME?</v>
      </c>
      <c r="AL258" s="15" t="e">
        <f aca="false">_xlfn.xlookup(AK258,A:A,F:F)</f>
        <v>#NAME?</v>
      </c>
      <c r="AM258" s="15" t="e">
        <f aca="false">_xlfn.xlookup(AK258,A:A,J:J)</f>
        <v>#NAME?</v>
      </c>
      <c r="AN258" s="15" t="e">
        <f aca="false">_xlfn.xlookup(AK258,A:A,M:M)+_xlfn.xlookup(AK258,A:A,N:N)</f>
        <v>#NAME?</v>
      </c>
      <c r="AO258" s="223" t="e">
        <f aca="false">_xlfn.xlookup(AK258,A:A,AG:AG)</f>
        <v>#NAME?</v>
      </c>
      <c r="AP258" s="223" t="e">
        <f aca="false">_xlfn.xlookup(AK258,A:A,AD:AD)</f>
        <v>#NAME?</v>
      </c>
      <c r="AQ258" s="223" t="e">
        <f aca="false">_xlfn.xlookup(AK258,A:A,AE:AE)</f>
        <v>#NAME?</v>
      </c>
      <c r="AX258" s="288"/>
      <c r="AY258" s="288"/>
      <c r="AZ258" s="288"/>
      <c r="BB258" s="257" t="e">
        <f aca="false">_xlfn.xlookup(BA258,A:A,F:F)</f>
        <v>#NAME?</v>
      </c>
      <c r="BC258" s="15" t="e">
        <f aca="false">_xlfn.xlookup(BA258,A:A,J:J)</f>
        <v>#NAME?</v>
      </c>
      <c r="BD258" s="75" t="e">
        <f aca="false">_xlfn.xlookup(BA258,A:A,M:M)+_xlfn.xlookup(BA258,A:A,N:N)</f>
        <v>#NAME?</v>
      </c>
      <c r="BE258" s="75" t="e">
        <f aca="false">_xlfn.xlookup(BA258,A206:A1194,AA206:AA1194)</f>
        <v>#NAME?</v>
      </c>
    </row>
    <row r="259" customFormat="false" ht="16.4" hidden="false" customHeight="false" outlineLevel="0" collapsed="false">
      <c r="A259" s="241" t="s">
        <v>1484</v>
      </c>
      <c r="B259" s="1" t="n">
        <f aca="false">'Liste WO'!B250</f>
        <v>0</v>
      </c>
      <c r="C259" s="292" t="n">
        <f aca="false">'Liste WO'!C250</f>
        <v>0</v>
      </c>
      <c r="D259" s="241" t="n">
        <f aca="false">'Liste WO'!D250</f>
        <v>0</v>
      </c>
      <c r="E259" s="241" t="n">
        <f aca="false">'Liste WO'!E250</f>
        <v>0</v>
      </c>
      <c r="F259" s="241" t="e">
        <f aca="false">_xlfn.xlookup(E259,Clients!B:B,Clients!C:C)</f>
        <v>#NAME?</v>
      </c>
      <c r="G259" s="241" t="e">
        <f aca="false">_xlfn.xlookup(D259,'PO Client'!$A:$A,'PO Client'!$F:$F,FALSE())</f>
        <v>#NAME?</v>
      </c>
      <c r="H259" s="251" t="n">
        <f aca="false">'Liste WO'!I250</f>
        <v>0</v>
      </c>
      <c r="I259" s="251" t="n">
        <f aca="false">'Liste WO'!J250</f>
        <v>0</v>
      </c>
      <c r="J259" s="244" t="n">
        <f aca="false">'Liste WO'!L250</f>
        <v>0</v>
      </c>
      <c r="K259" s="245"/>
      <c r="L259" s="245"/>
      <c r="M259" s="245"/>
      <c r="N259" s="245"/>
      <c r="O259" s="245"/>
      <c r="P259" s="246"/>
      <c r="Q259" s="219"/>
      <c r="R259" s="247"/>
      <c r="S259" s="272"/>
      <c r="T259" s="248" t="n">
        <f aca="false">_xlfn.xlookup(I259,'Prix MP'!A:A,'Prix MP'!U:U, 0)</f>
        <v>0</v>
      </c>
      <c r="U259" s="249" t="n">
        <f aca="false">(M259+N259)*T259</f>
        <v>0</v>
      </c>
      <c r="V259" s="249" t="n">
        <f aca="false">(K259-M259-L259)*T259</f>
        <v>0</v>
      </c>
      <c r="W259" s="250" t="str">
        <f aca="false">IFERROR((K259-M259-L259)/K259,"")</f>
        <v/>
      </c>
      <c r="X259" s="249" t="n">
        <f aca="false">20.6577/85*O259</f>
        <v>0</v>
      </c>
      <c r="Y259" s="249" t="n">
        <f aca="false">19.2*P259</f>
        <v>0</v>
      </c>
      <c r="Z259" s="249" t="n">
        <f aca="false">125000/52/40*Q259</f>
        <v>0</v>
      </c>
      <c r="AA259" s="249" t="n">
        <f aca="false">(M259+N259)*T259+R259+V259+X259+Y259+Z259</f>
        <v>0</v>
      </c>
      <c r="AB259" s="285" t="e">
        <f aca="false">_xlfn.xlookup(H259,'Prix vente'!A:A,'Prix vente'!X:X, "")</f>
        <v>#NAME?</v>
      </c>
      <c r="AC259" s="285" t="e">
        <f aca="false">_xlfn.xlookup(H259,'Prix vente'!A:A,'Prix vente'!Z:Z, "")</f>
        <v>#NAME?</v>
      </c>
      <c r="AD259" s="249" t="n">
        <f aca="false">IFERROR(IF(AC259="CAD",(M259+N259)*AB259,(M259+N259)*AB259*S259),0)</f>
        <v>0</v>
      </c>
      <c r="AE259" s="249" t="n">
        <f aca="false">AD259-AA259</f>
        <v>0</v>
      </c>
      <c r="AF259" s="273" t="str">
        <f aca="false">IFERROR(1-AA259/AD259,"")</f>
        <v/>
      </c>
      <c r="AG259" s="252" t="n">
        <f aca="false">((M259+N259)*T259+V259)</f>
        <v>0</v>
      </c>
      <c r="AH259" s="273" t="str">
        <f aca="false">IFERROR(AG259/AD259,"")</f>
        <v/>
      </c>
      <c r="AI259" s="273" t="str">
        <f aca="false">IFERROR(IF(AD259=0,"S",""),"S")</f>
        <v>S</v>
      </c>
      <c r="AK259" s="15" t="e">
        <v>#NAME?</v>
      </c>
      <c r="AL259" s="15" t="e">
        <f aca="false">_xlfn.xlookup(AK259,A:A,F:F)</f>
        <v>#NAME?</v>
      </c>
      <c r="AM259" s="15" t="e">
        <f aca="false">_xlfn.xlookup(AK259,A:A,J:J)</f>
        <v>#NAME?</v>
      </c>
      <c r="AN259" s="15" t="e">
        <f aca="false">_xlfn.xlookup(AK259,A:A,M:M)+_xlfn.xlookup(AK259,A:A,N:N)</f>
        <v>#NAME?</v>
      </c>
      <c r="AO259" s="223" t="e">
        <f aca="false">_xlfn.xlookup(AK259,A:A,AG:AG)</f>
        <v>#NAME?</v>
      </c>
      <c r="AP259" s="223" t="e">
        <f aca="false">_xlfn.xlookup(AK259,A:A,AD:AD)</f>
        <v>#NAME?</v>
      </c>
      <c r="AQ259" s="223" t="e">
        <f aca="false">_xlfn.xlookup(AK259,A:A,AE:AE)</f>
        <v>#NAME?</v>
      </c>
      <c r="AX259" s="288"/>
      <c r="AY259" s="288"/>
      <c r="AZ259" s="288"/>
      <c r="BB259" s="257" t="e">
        <f aca="false">_xlfn.xlookup(BA259,A:A,F:F)</f>
        <v>#NAME?</v>
      </c>
      <c r="BC259" s="15" t="e">
        <f aca="false">_xlfn.xlookup(BA259,A:A,J:J)</f>
        <v>#NAME?</v>
      </c>
      <c r="BD259" s="75" t="e">
        <f aca="false">_xlfn.xlookup(BA259,A:A,M:M)+_xlfn.xlookup(BA259,A:A,N:N)</f>
        <v>#NAME?</v>
      </c>
      <c r="BE259" s="75" t="e">
        <f aca="false">_xlfn.xlookup(BA259,A207:A1195,AA207:AA1195)</f>
        <v>#NAME?</v>
      </c>
    </row>
    <row r="260" customFormat="false" ht="16.4" hidden="false" customHeight="false" outlineLevel="0" collapsed="false">
      <c r="A260" s="241" t="s">
        <v>1485</v>
      </c>
      <c r="B260" s="1" t="n">
        <f aca="false">'Liste WO'!B251</f>
        <v>0</v>
      </c>
      <c r="C260" s="292" t="n">
        <f aca="false">'Liste WO'!C251</f>
        <v>0</v>
      </c>
      <c r="D260" s="241" t="n">
        <f aca="false">'Liste WO'!D251</f>
        <v>0</v>
      </c>
      <c r="E260" s="241" t="n">
        <f aca="false">'Liste WO'!E251</f>
        <v>0</v>
      </c>
      <c r="F260" s="241" t="e">
        <f aca="false">_xlfn.xlookup(E260,Clients!B:B,Clients!C:C)</f>
        <v>#NAME?</v>
      </c>
      <c r="G260" s="241" t="e">
        <f aca="false">_xlfn.xlookup(D260,'PO Client'!$A:$A,'PO Client'!$F:$F,FALSE())</f>
        <v>#NAME?</v>
      </c>
      <c r="H260" s="251" t="n">
        <f aca="false">'Liste WO'!I251</f>
        <v>0</v>
      </c>
      <c r="I260" s="251" t="n">
        <f aca="false">'Liste WO'!J251</f>
        <v>0</v>
      </c>
      <c r="J260" s="244" t="n">
        <f aca="false">'Liste WO'!L251</f>
        <v>0</v>
      </c>
      <c r="K260" s="245"/>
      <c r="L260" s="245"/>
      <c r="M260" s="245"/>
      <c r="N260" s="245"/>
      <c r="O260" s="245"/>
      <c r="P260" s="246"/>
      <c r="Q260" s="219"/>
      <c r="R260" s="247"/>
      <c r="S260" s="272"/>
      <c r="T260" s="248" t="n">
        <f aca="false">_xlfn.xlookup(I260,'Prix MP'!A:A,'Prix MP'!U:U, 0)</f>
        <v>0</v>
      </c>
      <c r="U260" s="249" t="n">
        <f aca="false">(M260+N260)*T260</f>
        <v>0</v>
      </c>
      <c r="V260" s="249" t="n">
        <f aca="false">(K260-M260-L260)*T260</f>
        <v>0</v>
      </c>
      <c r="W260" s="250" t="str">
        <f aca="false">IFERROR((K260-M260-L260)/K260,"")</f>
        <v/>
      </c>
      <c r="X260" s="249" t="n">
        <f aca="false">20.6577/85*O260</f>
        <v>0</v>
      </c>
      <c r="Y260" s="249" t="n">
        <f aca="false">19.2*P260</f>
        <v>0</v>
      </c>
      <c r="Z260" s="249" t="n">
        <f aca="false">125000/52/40*Q260</f>
        <v>0</v>
      </c>
      <c r="AA260" s="249" t="n">
        <f aca="false">(M260+N260)*T260+R260+V260+X260+Y260+Z260</f>
        <v>0</v>
      </c>
      <c r="AB260" s="285" t="e">
        <f aca="false">_xlfn.xlookup(H260,'Prix vente'!A:A,'Prix vente'!X:X, "")</f>
        <v>#NAME?</v>
      </c>
      <c r="AC260" s="285" t="e">
        <f aca="false">_xlfn.xlookup(H260,'Prix vente'!A:A,'Prix vente'!Z:Z, "")</f>
        <v>#NAME?</v>
      </c>
      <c r="AD260" s="249" t="n">
        <f aca="false">IFERROR(IF(AC260="CAD",(M260+N260)*AB260,(M260+N260)*AB260*S260),0)</f>
        <v>0</v>
      </c>
      <c r="AE260" s="249" t="n">
        <f aca="false">AD260-AA260</f>
        <v>0</v>
      </c>
      <c r="AF260" s="273" t="str">
        <f aca="false">IFERROR(1-AA260/AD260,"")</f>
        <v/>
      </c>
      <c r="AG260" s="252" t="n">
        <f aca="false">((M260+N260)*T260+V260)</f>
        <v>0</v>
      </c>
      <c r="AH260" s="273" t="str">
        <f aca="false">IFERROR(AG260/AD260,"")</f>
        <v/>
      </c>
      <c r="AI260" s="273" t="str">
        <f aca="false">IFERROR(IF(AD260=0,"S",""),"S")</f>
        <v>S</v>
      </c>
      <c r="AK260" s="15" t="e">
        <v>#NAME?</v>
      </c>
      <c r="AL260" s="15" t="e">
        <f aca="false">_xlfn.xlookup(AK260,A:A,F:F)</f>
        <v>#NAME?</v>
      </c>
      <c r="AM260" s="15" t="e">
        <f aca="false">_xlfn.xlookup(AK260,A:A,J:J)</f>
        <v>#NAME?</v>
      </c>
      <c r="AN260" s="15" t="e">
        <f aca="false">_xlfn.xlookup(AK260,A:A,M:M)+_xlfn.xlookup(AK260,A:A,N:N)</f>
        <v>#NAME?</v>
      </c>
      <c r="AO260" s="223" t="e">
        <f aca="false">_xlfn.xlookup(AK260,A:A,AG:AG)</f>
        <v>#NAME?</v>
      </c>
      <c r="AP260" s="223" t="e">
        <f aca="false">_xlfn.xlookup(AK260,A:A,AD:AD)</f>
        <v>#NAME?</v>
      </c>
      <c r="AQ260" s="223" t="e">
        <f aca="false">_xlfn.xlookup(AK260,A:A,AE:AE)</f>
        <v>#NAME?</v>
      </c>
      <c r="AX260" s="288"/>
      <c r="AY260" s="288"/>
      <c r="AZ260" s="288"/>
      <c r="BB260" s="257" t="e">
        <f aca="false">_xlfn.xlookup(BA260,A:A,F:F)</f>
        <v>#NAME?</v>
      </c>
      <c r="BC260" s="15" t="e">
        <f aca="false">_xlfn.xlookup(BA260,A:A,J:J)</f>
        <v>#NAME?</v>
      </c>
      <c r="BD260" s="75" t="e">
        <f aca="false">_xlfn.xlookup(BA260,A:A,M:M)+_xlfn.xlookup(BA260,A:A,N:N)</f>
        <v>#NAME?</v>
      </c>
      <c r="BE260" s="75" t="e">
        <f aca="false">_xlfn.xlookup(BA260,A208:A1196,AA208:AA1196)</f>
        <v>#NAME?</v>
      </c>
    </row>
    <row r="261" customFormat="false" ht="16.4" hidden="false" customHeight="false" outlineLevel="0" collapsed="false">
      <c r="A261" s="241" t="s">
        <v>1486</v>
      </c>
      <c r="B261" s="1" t="n">
        <f aca="false">'Liste WO'!B252</f>
        <v>0</v>
      </c>
      <c r="C261" s="292" t="n">
        <f aca="false">'Liste WO'!C252</f>
        <v>0</v>
      </c>
      <c r="D261" s="241" t="n">
        <f aca="false">'Liste WO'!D252</f>
        <v>0</v>
      </c>
      <c r="E261" s="241" t="n">
        <f aca="false">'Liste WO'!E252</f>
        <v>0</v>
      </c>
      <c r="F261" s="241" t="e">
        <f aca="false">_xlfn.xlookup(E261,Clients!B:B,Clients!C:C)</f>
        <v>#NAME?</v>
      </c>
      <c r="G261" s="241" t="e">
        <f aca="false">_xlfn.xlookup(D261,'PO Client'!$A:$A,'PO Client'!$F:$F,FALSE())</f>
        <v>#NAME?</v>
      </c>
      <c r="H261" s="251" t="n">
        <f aca="false">'Liste WO'!I252</f>
        <v>0</v>
      </c>
      <c r="I261" s="251" t="n">
        <f aca="false">'Liste WO'!J252</f>
        <v>0</v>
      </c>
      <c r="J261" s="244" t="n">
        <f aca="false">'Liste WO'!L252</f>
        <v>0</v>
      </c>
      <c r="K261" s="245"/>
      <c r="L261" s="245"/>
      <c r="M261" s="245"/>
      <c r="N261" s="245"/>
      <c r="O261" s="245"/>
      <c r="P261" s="246"/>
      <c r="Q261" s="219"/>
      <c r="R261" s="247"/>
      <c r="S261" s="272"/>
      <c r="T261" s="248" t="n">
        <f aca="false">_xlfn.xlookup(I261,'Prix MP'!A:A,'Prix MP'!U:U, 0)</f>
        <v>0</v>
      </c>
      <c r="U261" s="249" t="n">
        <f aca="false">(M261+N261)*T261</f>
        <v>0</v>
      </c>
      <c r="V261" s="249" t="n">
        <f aca="false">(K261-M261-L261)*T261</f>
        <v>0</v>
      </c>
      <c r="W261" s="250" t="str">
        <f aca="false">IFERROR((K261-M261-L261)/K261,"")</f>
        <v/>
      </c>
      <c r="X261" s="249" t="n">
        <f aca="false">20.6577/85*O261</f>
        <v>0</v>
      </c>
      <c r="Y261" s="249" t="n">
        <f aca="false">19.2*P261</f>
        <v>0</v>
      </c>
      <c r="Z261" s="249" t="n">
        <f aca="false">125000/52/40*Q261</f>
        <v>0</v>
      </c>
      <c r="AA261" s="249" t="n">
        <f aca="false">(M261+N261)*T261+R261+V261+X261+Y261+Z261</f>
        <v>0</v>
      </c>
      <c r="AB261" s="285" t="e">
        <f aca="false">_xlfn.xlookup(H261,'Prix vente'!A:A,'Prix vente'!X:X, "")</f>
        <v>#NAME?</v>
      </c>
      <c r="AC261" s="285" t="e">
        <f aca="false">_xlfn.xlookup(H261,'Prix vente'!A:A,'Prix vente'!Z:Z, "")</f>
        <v>#NAME?</v>
      </c>
      <c r="AD261" s="249" t="n">
        <f aca="false">IFERROR(IF(AC261="CAD",(M261+N261)*AB261,(M261+N261)*AB261*S261),0)</f>
        <v>0</v>
      </c>
      <c r="AE261" s="249" t="n">
        <f aca="false">AD261-AA261</f>
        <v>0</v>
      </c>
      <c r="AF261" s="273" t="str">
        <f aca="false">IFERROR(1-AA261/AD261,"")</f>
        <v/>
      </c>
      <c r="AG261" s="252" t="n">
        <f aca="false">((M261+N261)*T261+V261)</f>
        <v>0</v>
      </c>
      <c r="AH261" s="273" t="str">
        <f aca="false">IFERROR(AG261/AD261,"")</f>
        <v/>
      </c>
      <c r="AI261" s="273" t="str">
        <f aca="false">IFERROR(IF(AD261=0,"S",""),"S")</f>
        <v>S</v>
      </c>
      <c r="AK261" s="15" t="e">
        <v>#NAME?</v>
      </c>
      <c r="AL261" s="15" t="e">
        <f aca="false">_xlfn.xlookup(AK261,A:A,F:F)</f>
        <v>#NAME?</v>
      </c>
      <c r="AM261" s="15" t="e">
        <f aca="false">_xlfn.xlookup(AK261,A:A,J:J)</f>
        <v>#NAME?</v>
      </c>
      <c r="AN261" s="15" t="e">
        <f aca="false">_xlfn.xlookup(AK261,A:A,M:M)+_xlfn.xlookup(AK261,A:A,N:N)</f>
        <v>#NAME?</v>
      </c>
      <c r="AO261" s="223" t="e">
        <f aca="false">_xlfn.xlookup(AK261,A:A,AG:AG)</f>
        <v>#NAME?</v>
      </c>
      <c r="AP261" s="223" t="e">
        <f aca="false">_xlfn.xlookup(AK261,A:A,AD:AD)</f>
        <v>#NAME?</v>
      </c>
      <c r="AQ261" s="223" t="e">
        <f aca="false">_xlfn.xlookup(AK261,A:A,AE:AE)</f>
        <v>#NAME?</v>
      </c>
      <c r="AX261" s="288"/>
      <c r="AY261" s="288"/>
      <c r="AZ261" s="288"/>
      <c r="BB261" s="257" t="e">
        <f aca="false">_xlfn.xlookup(BA261,A:A,F:F)</f>
        <v>#NAME?</v>
      </c>
      <c r="BC261" s="15" t="e">
        <f aca="false">_xlfn.xlookup(BA261,A:A,J:J)</f>
        <v>#NAME?</v>
      </c>
      <c r="BD261" s="75" t="e">
        <f aca="false">_xlfn.xlookup(BA261,A:A,M:M)+_xlfn.xlookup(BA261,A:A,N:N)</f>
        <v>#NAME?</v>
      </c>
      <c r="BE261" s="75" t="e">
        <f aca="false">_xlfn.xlookup(BA261,A209:A1197,AA209:AA1197)</f>
        <v>#NAME?</v>
      </c>
    </row>
    <row r="262" customFormat="false" ht="16.4" hidden="false" customHeight="false" outlineLevel="0" collapsed="false">
      <c r="B262" s="1" t="n">
        <f aca="false">'Liste WO'!B253</f>
        <v>0</v>
      </c>
      <c r="AK262" s="15" t="e">
        <v>#NAME?</v>
      </c>
      <c r="AL262" s="15" t="e">
        <f aca="false">_xlfn.xlookup(AK262,A:A,F:F)</f>
        <v>#NAME?</v>
      </c>
      <c r="AM262" s="15" t="e">
        <f aca="false">_xlfn.xlookup(AK262,A:A,J:J)</f>
        <v>#NAME?</v>
      </c>
      <c r="AN262" s="15" t="e">
        <f aca="false">_xlfn.xlookup(AK262,A:A,M:M)+_xlfn.xlookup(AK262,A:A,N:N)</f>
        <v>#NAME?</v>
      </c>
      <c r="AO262" s="223" t="e">
        <f aca="false">_xlfn.xlookup(AK262,A:A,AG:AG)</f>
        <v>#NAME?</v>
      </c>
      <c r="AP262" s="223" t="e">
        <f aca="false">_xlfn.xlookup(AK262,A:A,AD:AD)</f>
        <v>#NAME?</v>
      </c>
      <c r="AQ262" s="223" t="e">
        <f aca="false">_xlfn.xlookup(AK262,A:A,AE:AE)</f>
        <v>#NAME?</v>
      </c>
      <c r="BB262" s="15" t="e">
        <f aca="false">_xlfn.xlookup(BA262,A:A,E:E)</f>
        <v>#NAME?</v>
      </c>
      <c r="BC262" s="15" t="e">
        <f aca="false">_xlfn.xlookup(BA262,A:A,J:J)</f>
        <v>#NAME?</v>
      </c>
      <c r="BD262" s="75" t="e">
        <f aca="false">_xlfn.xlookup(BA262,A:A,M:M)+_xlfn.xlookup(BA262,A:A,N:N)</f>
        <v>#NAME?</v>
      </c>
    </row>
    <row r="263" customFormat="false" ht="14.25" hidden="false" customHeight="false" outlineLevel="0" collapsed="false">
      <c r="AK263" s="15" t="e">
        <v>#NAME?</v>
      </c>
      <c r="AL263" s="15" t="e">
        <f aca="false">_xlfn.xlookup(AK263,A:A,F:F)</f>
        <v>#NAME?</v>
      </c>
      <c r="AM263" s="15" t="e">
        <f aca="false">_xlfn.xlookup(AK263,A:A,J:J)</f>
        <v>#NAME?</v>
      </c>
      <c r="AN263" s="15" t="e">
        <f aca="false">_xlfn.xlookup(AK263,A:A,M:M)+_xlfn.xlookup(AK263,A:A,N:N)</f>
        <v>#NAME?</v>
      </c>
      <c r="AO263" s="223" t="e">
        <f aca="false">_xlfn.xlookup(AK263,A:A,AG:AG)</f>
        <v>#NAME?</v>
      </c>
      <c r="AP263" s="223" t="e">
        <f aca="false">_xlfn.xlookup(AK263,A:A,AD:AD)</f>
        <v>#NAME?</v>
      </c>
      <c r="AQ263" s="223" t="e">
        <f aca="false">_xlfn.xlookup(AK263,A:A,AE:AE)</f>
        <v>#NAME?</v>
      </c>
      <c r="BB263" s="15" t="e">
        <f aca="false">_xlfn.xlookup(BA263,A:A,E:E)</f>
        <v>#NAME?</v>
      </c>
      <c r="BC263" s="15" t="e">
        <f aca="false">_xlfn.xlookup(BA263,A:A,J:J)</f>
        <v>#NAME?</v>
      </c>
      <c r="BD263" s="75" t="e">
        <f aca="false">_xlfn.xlookup(BA263,A:A,M:M)+_xlfn.xlookup(BA263,A:A,N:N)</f>
        <v>#NAME?</v>
      </c>
    </row>
    <row r="264" customFormat="false" ht="14.25" hidden="false" customHeight="false" outlineLevel="0" collapsed="false">
      <c r="O264" s="288"/>
      <c r="AK264" s="15" t="e">
        <v>#NAME?</v>
      </c>
      <c r="AL264" s="15" t="e">
        <f aca="false">_xlfn.xlookup(AK264,A:A,F:F)</f>
        <v>#NAME?</v>
      </c>
      <c r="AM264" s="15" t="e">
        <f aca="false">_xlfn.xlookup(AK264,A:A,J:J)</f>
        <v>#NAME?</v>
      </c>
      <c r="AN264" s="15" t="e">
        <f aca="false">_xlfn.xlookup(AK264,A:A,M:M)+_xlfn.xlookup(AK264,A:A,N:N)</f>
        <v>#NAME?</v>
      </c>
      <c r="AO264" s="223" t="e">
        <f aca="false">_xlfn.xlookup(AK264,A:A,AG:AG)</f>
        <v>#NAME?</v>
      </c>
      <c r="AP264" s="223" t="e">
        <f aca="false">_xlfn.xlookup(AK264,A:A,AD:AD)</f>
        <v>#NAME?</v>
      </c>
      <c r="AQ264" s="223" t="e">
        <f aca="false">_xlfn.xlookup(AK264,A:A,AE:AE)</f>
        <v>#NAME?</v>
      </c>
      <c r="BB264" s="15" t="e">
        <f aca="false">_xlfn.xlookup(BA264,A:A,E:E)</f>
        <v>#NAME?</v>
      </c>
      <c r="BC264" s="15" t="e">
        <f aca="false">_xlfn.xlookup(BA264,A:A,J:J)</f>
        <v>#NAME?</v>
      </c>
      <c r="BD264" s="75" t="e">
        <f aca="false">_xlfn.xlookup(BA264,A:A,M:M)+_xlfn.xlookup(BA264,A:A,N:N)</f>
        <v>#NAME?</v>
      </c>
    </row>
    <row r="265" customFormat="false" ht="14.25" hidden="false" customHeight="false" outlineLevel="0" collapsed="false">
      <c r="AK265" s="15" t="e">
        <v>#NAME?</v>
      </c>
      <c r="AL265" s="15" t="e">
        <f aca="false">_xlfn.xlookup(AK265,A:A,F:F)</f>
        <v>#NAME?</v>
      </c>
      <c r="AM265" s="15" t="e">
        <f aca="false">_xlfn.xlookup(AK265,A:A,J:J)</f>
        <v>#NAME?</v>
      </c>
      <c r="AN265" s="15" t="e">
        <f aca="false">_xlfn.xlookup(AK265,A:A,M:M)+_xlfn.xlookup(AK265,A:A,N:N)</f>
        <v>#NAME?</v>
      </c>
      <c r="AO265" s="223" t="e">
        <f aca="false">_xlfn.xlookup(AK265,A:A,AG:AG)</f>
        <v>#NAME?</v>
      </c>
      <c r="AP265" s="223" t="e">
        <f aca="false">_xlfn.xlookup(AK265,A:A,AD:AD)</f>
        <v>#NAME?</v>
      </c>
      <c r="AQ265" s="223" t="e">
        <f aca="false">_xlfn.xlookup(AK265,A:A,AE:AE)</f>
        <v>#NAME?</v>
      </c>
      <c r="BB265" s="15" t="e">
        <f aca="false">_xlfn.xlookup(BA265,A:A,E:E)</f>
        <v>#NAME?</v>
      </c>
      <c r="BC265" s="15" t="e">
        <f aca="false">_xlfn.xlookup(BA265,A:A,J:J)</f>
        <v>#NAME?</v>
      </c>
      <c r="BD265" s="75" t="e">
        <f aca="false">_xlfn.xlookup(BA265,A:A,M:M)+_xlfn.xlookup(BA265,A:A,N:N)</f>
        <v>#NAME?</v>
      </c>
    </row>
    <row r="266" customFormat="false" ht="14.25" hidden="false" customHeight="false" outlineLevel="0" collapsed="false">
      <c r="AK266" s="15" t="e">
        <v>#NAME?</v>
      </c>
      <c r="AL266" s="15" t="e">
        <f aca="false">_xlfn.xlookup(AK266,A:A,F:F)</f>
        <v>#NAME?</v>
      </c>
      <c r="AM266" s="15" t="e">
        <f aca="false">_xlfn.xlookup(AK266,A:A,J:J)</f>
        <v>#NAME?</v>
      </c>
      <c r="AN266" s="15" t="e">
        <f aca="false">_xlfn.xlookup(AK266,A:A,M:M)+_xlfn.xlookup(AK266,A:A,N:N)</f>
        <v>#NAME?</v>
      </c>
      <c r="AO266" s="223" t="e">
        <f aca="false">_xlfn.xlookup(AK266,A:A,AG:AG)</f>
        <v>#NAME?</v>
      </c>
      <c r="AP266" s="223" t="e">
        <f aca="false">_xlfn.xlookup(AK266,A:A,AD:AD)</f>
        <v>#NAME?</v>
      </c>
      <c r="AQ266" s="223" t="e">
        <f aca="false">_xlfn.xlookup(AK266,A:A,AE:AE)</f>
        <v>#NAME?</v>
      </c>
      <c r="BB266" s="15" t="e">
        <f aca="false">_xlfn.xlookup(BA266,A:A,E:E)</f>
        <v>#NAME?</v>
      </c>
      <c r="BC266" s="15" t="e">
        <f aca="false">_xlfn.xlookup(BA266,A:A,J:J)</f>
        <v>#NAME?</v>
      </c>
      <c r="BD266" s="75" t="e">
        <f aca="false">_xlfn.xlookup(BA266,A:A,M:M)+_xlfn.xlookup(BA266,A:A,N:N)</f>
        <v>#NAME?</v>
      </c>
    </row>
    <row r="267" customFormat="false" ht="14.25" hidden="false" customHeight="false" outlineLevel="0" collapsed="false">
      <c r="AK267" s="15" t="e">
        <v>#NAME?</v>
      </c>
      <c r="AL267" s="15" t="e">
        <f aca="false">_xlfn.xlookup(AK267,A:A,F:F)</f>
        <v>#NAME?</v>
      </c>
      <c r="AM267" s="15" t="e">
        <f aca="false">_xlfn.xlookup(AK267,A:A,J:J)</f>
        <v>#NAME?</v>
      </c>
      <c r="AN267" s="15" t="e">
        <f aca="false">_xlfn.xlookup(AK267,A:A,M:M)+_xlfn.xlookup(AK267,A:A,N:N)</f>
        <v>#NAME?</v>
      </c>
      <c r="AO267" s="223" t="e">
        <f aca="false">_xlfn.xlookup(AK267,A:A,AG:AG)</f>
        <v>#NAME?</v>
      </c>
      <c r="AP267" s="223" t="e">
        <f aca="false">_xlfn.xlookup(AK267,A:A,AD:AD)</f>
        <v>#NAME?</v>
      </c>
      <c r="AQ267" s="223" t="e">
        <f aca="false">_xlfn.xlookup(AK267,A:A,AE:AE)</f>
        <v>#NAME?</v>
      </c>
      <c r="BB267" s="15" t="e">
        <f aca="false">_xlfn.xlookup(BA267,A:A,E:E)</f>
        <v>#NAME?</v>
      </c>
      <c r="BC267" s="15" t="e">
        <f aca="false">_xlfn.xlookup(BA267,A:A,J:J)</f>
        <v>#NAME?</v>
      </c>
      <c r="BD267" s="75" t="e">
        <f aca="false">_xlfn.xlookup(BA267,A:A,M:M)+_xlfn.xlookup(BA267,A:A,N:N)</f>
        <v>#NAME?</v>
      </c>
    </row>
    <row r="268" customFormat="false" ht="14.25" hidden="false" customHeight="false" outlineLevel="0" collapsed="false">
      <c r="AK268" s="15" t="e">
        <v>#NAME?</v>
      </c>
      <c r="AL268" s="15" t="e">
        <f aca="false">_xlfn.xlookup(AK268,A:A,F:F)</f>
        <v>#NAME?</v>
      </c>
      <c r="AM268" s="15" t="e">
        <f aca="false">_xlfn.xlookup(AK268,A:A,J:J)</f>
        <v>#NAME?</v>
      </c>
      <c r="AN268" s="15" t="e">
        <f aca="false">_xlfn.xlookup(AK268,A:A,M:M)+_xlfn.xlookup(AK268,A:A,N:N)</f>
        <v>#NAME?</v>
      </c>
      <c r="AO268" s="223" t="e">
        <f aca="false">_xlfn.xlookup(AK268,A:A,AG:AG)</f>
        <v>#NAME?</v>
      </c>
      <c r="AP268" s="223" t="e">
        <f aca="false">_xlfn.xlookup(AK268,A:A,AD:AD)</f>
        <v>#NAME?</v>
      </c>
      <c r="AQ268" s="223" t="e">
        <f aca="false">_xlfn.xlookup(AK268,A:A,AE:AE)</f>
        <v>#NAME?</v>
      </c>
      <c r="BB268" s="15" t="e">
        <f aca="false">_xlfn.xlookup(BA268,A:A,E:E)</f>
        <v>#NAME?</v>
      </c>
      <c r="BC268" s="15" t="e">
        <f aca="false">_xlfn.xlookup(BA268,A:A,J:J)</f>
        <v>#NAME?</v>
      </c>
      <c r="BD268" s="75" t="e">
        <f aca="false">_xlfn.xlookup(BA268,A:A,M:M)+_xlfn.xlookup(BA268,A:A,N:N)</f>
        <v>#NAME?</v>
      </c>
    </row>
    <row r="269" customFormat="false" ht="14.25" hidden="false" customHeight="false" outlineLevel="0" collapsed="false">
      <c r="AK269" s="15" t="e">
        <v>#NAME?</v>
      </c>
      <c r="AL269" s="15" t="e">
        <f aca="false">_xlfn.xlookup(AK269,A:A,F:F)</f>
        <v>#NAME?</v>
      </c>
      <c r="AM269" s="15" t="e">
        <f aca="false">_xlfn.xlookup(AK269,A:A,J:J)</f>
        <v>#NAME?</v>
      </c>
      <c r="AN269" s="15" t="e">
        <f aca="false">_xlfn.xlookup(AK269,A:A,M:M)+_xlfn.xlookup(AK269,A:A,N:N)</f>
        <v>#NAME?</v>
      </c>
      <c r="AO269" s="223" t="e">
        <f aca="false">_xlfn.xlookup(AK269,A:A,AG:AG)</f>
        <v>#NAME?</v>
      </c>
      <c r="AP269" s="223" t="e">
        <f aca="false">_xlfn.xlookup(AK269,A:A,AD:AD)</f>
        <v>#NAME?</v>
      </c>
      <c r="AQ269" s="223" t="e">
        <f aca="false">_xlfn.xlookup(AK269,A:A,AE:AE)</f>
        <v>#NAME?</v>
      </c>
      <c r="BB269" s="15" t="e">
        <f aca="false">_xlfn.xlookup(BA269,A:A,E:E)</f>
        <v>#NAME?</v>
      </c>
      <c r="BC269" s="15" t="e">
        <f aca="false">_xlfn.xlookup(BA269,A:A,J:J)</f>
        <v>#NAME?</v>
      </c>
      <c r="BD269" s="75" t="e">
        <f aca="false">_xlfn.xlookup(BA269,A:A,M:M)+_xlfn.xlookup(BA269,A:A,N:N)</f>
        <v>#NAME?</v>
      </c>
    </row>
    <row r="270" customFormat="false" ht="14.25" hidden="false" customHeight="false" outlineLevel="0" collapsed="false">
      <c r="AK270" s="15" t="e">
        <v>#NAME?</v>
      </c>
      <c r="AL270" s="15" t="e">
        <f aca="false">_xlfn.xlookup(AK270,A:A,F:F)</f>
        <v>#NAME?</v>
      </c>
      <c r="AM270" s="15" t="e">
        <f aca="false">_xlfn.xlookup(AK270,A:A,J:J)</f>
        <v>#NAME?</v>
      </c>
      <c r="AN270" s="15" t="e">
        <f aca="false">_xlfn.xlookup(AK270,A:A,M:M)+_xlfn.xlookup(AK270,A:A,N:N)</f>
        <v>#NAME?</v>
      </c>
      <c r="AO270" s="223" t="e">
        <f aca="false">_xlfn.xlookup(AK270,A:A,AG:AG)</f>
        <v>#NAME?</v>
      </c>
      <c r="AP270" s="223" t="e">
        <f aca="false">_xlfn.xlookup(AK270,A:A,AD:AD)</f>
        <v>#NAME?</v>
      </c>
      <c r="AQ270" s="223" t="e">
        <f aca="false">_xlfn.xlookup(AK270,A:A,AE:AE)</f>
        <v>#NAME?</v>
      </c>
      <c r="BB270" s="15" t="e">
        <f aca="false">_xlfn.xlookup(BA270,A:A,E:E)</f>
        <v>#NAME?</v>
      </c>
      <c r="BC270" s="15" t="e">
        <f aca="false">_xlfn.xlookup(BA270,A:A,J:J)</f>
        <v>#NAME?</v>
      </c>
      <c r="BD270" s="75" t="e">
        <f aca="false">_xlfn.xlookup(BA270,A:A,M:M)+_xlfn.xlookup(BA270,A:A,N:N)</f>
        <v>#NAME?</v>
      </c>
    </row>
    <row r="271" customFormat="false" ht="14.25" hidden="false" customHeight="false" outlineLevel="0" collapsed="false">
      <c r="AK271" s="15" t="e">
        <v>#NAME?</v>
      </c>
      <c r="AL271" s="15" t="e">
        <f aca="false">_xlfn.xlookup(AK271,A:A,F:F)</f>
        <v>#NAME?</v>
      </c>
      <c r="AM271" s="15" t="e">
        <f aca="false">_xlfn.xlookup(AK271,A:A,J:J)</f>
        <v>#NAME?</v>
      </c>
      <c r="AN271" s="15" t="e">
        <f aca="false">_xlfn.xlookup(AK271,A:A,M:M)+_xlfn.xlookup(AK271,A:A,N:N)</f>
        <v>#NAME?</v>
      </c>
      <c r="AO271" s="223" t="e">
        <f aca="false">_xlfn.xlookup(AK271,A:A,AG:AG)</f>
        <v>#NAME?</v>
      </c>
      <c r="AP271" s="223" t="e">
        <f aca="false">_xlfn.xlookup(AK271,A:A,AD:AD)</f>
        <v>#NAME?</v>
      </c>
      <c r="AQ271" s="223" t="e">
        <f aca="false">_xlfn.xlookup(AK271,A:A,AE:AE)</f>
        <v>#NAME?</v>
      </c>
      <c r="BB271" s="15" t="e">
        <f aca="false">_xlfn.xlookup(BA271,A:A,E:E)</f>
        <v>#NAME?</v>
      </c>
      <c r="BC271" s="15" t="e">
        <f aca="false">_xlfn.xlookup(BA271,A:A,J:J)</f>
        <v>#NAME?</v>
      </c>
      <c r="BD271" s="75" t="e">
        <f aca="false">_xlfn.xlookup(BA271,A:A,M:M)+_xlfn.xlookup(BA271,A:A,N:N)</f>
        <v>#NAME?</v>
      </c>
    </row>
    <row r="272" customFormat="false" ht="14.25" hidden="false" customHeight="false" outlineLevel="0" collapsed="false">
      <c r="AK272" s="15" t="e">
        <v>#NAME?</v>
      </c>
      <c r="AL272" s="15" t="e">
        <f aca="false">_xlfn.xlookup(AK272,A:A,F:F)</f>
        <v>#NAME?</v>
      </c>
      <c r="AM272" s="15" t="e">
        <f aca="false">_xlfn.xlookup(AK272,A:A,J:J)</f>
        <v>#NAME?</v>
      </c>
      <c r="AN272" s="15" t="e">
        <f aca="false">_xlfn.xlookup(AK272,A:A,M:M)+_xlfn.xlookup(AK272,A:A,N:N)</f>
        <v>#NAME?</v>
      </c>
      <c r="AO272" s="223" t="e">
        <f aca="false">_xlfn.xlookup(AK272,A:A,AG:AG)</f>
        <v>#NAME?</v>
      </c>
      <c r="AP272" s="223" t="e">
        <f aca="false">_xlfn.xlookup(AK272,A:A,AD:AD)</f>
        <v>#NAME?</v>
      </c>
      <c r="AQ272" s="223" t="e">
        <f aca="false">_xlfn.xlookup(AK272,A:A,AE:AE)</f>
        <v>#NAME?</v>
      </c>
      <c r="BB272" s="15" t="e">
        <f aca="false">_xlfn.xlookup(BA272,A:A,E:E)</f>
        <v>#NAME?</v>
      </c>
      <c r="BC272" s="15" t="e">
        <f aca="false">_xlfn.xlookup(BA272,A:A,J:J)</f>
        <v>#NAME?</v>
      </c>
      <c r="BD272" s="75" t="e">
        <f aca="false">_xlfn.xlookup(BA272,A:A,M:M)+_xlfn.xlookup(BA272,A:A,N:N)</f>
        <v>#NAME?</v>
      </c>
    </row>
    <row r="273" customFormat="false" ht="14.25" hidden="false" customHeight="false" outlineLevel="0" collapsed="false">
      <c r="AK273" s="15" t="e">
        <v>#NAME?</v>
      </c>
      <c r="AL273" s="15" t="e">
        <f aca="false">_xlfn.xlookup(AK273,A:A,F:F)</f>
        <v>#NAME?</v>
      </c>
      <c r="AM273" s="15" t="e">
        <f aca="false">_xlfn.xlookup(AK273,A:A,J:J)</f>
        <v>#NAME?</v>
      </c>
      <c r="AN273" s="15" t="e">
        <f aca="false">_xlfn.xlookup(AK273,A:A,M:M)+_xlfn.xlookup(AK273,A:A,N:N)</f>
        <v>#NAME?</v>
      </c>
      <c r="AO273" s="223" t="e">
        <f aca="false">_xlfn.xlookup(AK273,A:A,AG:AG)</f>
        <v>#NAME?</v>
      </c>
      <c r="AP273" s="223" t="e">
        <f aca="false">_xlfn.xlookup(AK273,A:A,AD:AD)</f>
        <v>#NAME?</v>
      </c>
      <c r="AQ273" s="223" t="e">
        <f aca="false">_xlfn.xlookup(AK273,A:A,AE:AE)</f>
        <v>#NAME?</v>
      </c>
      <c r="BB273" s="15" t="e">
        <f aca="false">_xlfn.xlookup(BA273,A:A,E:E)</f>
        <v>#NAME?</v>
      </c>
      <c r="BC273" s="15" t="e">
        <f aca="false">_xlfn.xlookup(BA273,A:A,J:J)</f>
        <v>#NAME?</v>
      </c>
      <c r="BD273" s="75" t="e">
        <f aca="false">_xlfn.xlookup(BA273,A:A,M:M)+_xlfn.xlookup(BA273,A:A,N:N)</f>
        <v>#NAME?</v>
      </c>
    </row>
    <row r="274" customFormat="false" ht="14.25" hidden="false" customHeight="false" outlineLevel="0" collapsed="false">
      <c r="AK274" s="15" t="e">
        <v>#NAME?</v>
      </c>
      <c r="AL274" s="15" t="e">
        <f aca="false">_xlfn.xlookup(AK274,A:A,F:F)</f>
        <v>#NAME?</v>
      </c>
      <c r="AM274" s="15" t="e">
        <f aca="false">_xlfn.xlookup(AK274,A:A,J:J)</f>
        <v>#NAME?</v>
      </c>
      <c r="AN274" s="15" t="e">
        <f aca="false">_xlfn.xlookup(AK274,A:A,M:M)+_xlfn.xlookup(AK274,A:A,N:N)</f>
        <v>#NAME?</v>
      </c>
      <c r="AO274" s="223" t="e">
        <f aca="false">_xlfn.xlookup(AK274,A:A,AG:AG)</f>
        <v>#NAME?</v>
      </c>
      <c r="AP274" s="223" t="e">
        <f aca="false">_xlfn.xlookup(AK274,A:A,AD:AD)</f>
        <v>#NAME?</v>
      </c>
      <c r="AQ274" s="223" t="e">
        <f aca="false">_xlfn.xlookup(AK274,A:A,AE:AE)</f>
        <v>#NAME?</v>
      </c>
      <c r="BB274" s="15" t="e">
        <f aca="false">_xlfn.xlookup(BA274,A:A,E:E)</f>
        <v>#NAME?</v>
      </c>
      <c r="BC274" s="15" t="e">
        <f aca="false">_xlfn.xlookup(BA274,A:A,J:J)</f>
        <v>#NAME?</v>
      </c>
      <c r="BD274" s="75" t="e">
        <f aca="false">_xlfn.xlookup(BA274,A:A,M:M)+_xlfn.xlookup(BA274,A:A,N:N)</f>
        <v>#NAME?</v>
      </c>
    </row>
    <row r="275" customFormat="false" ht="14.25" hidden="false" customHeight="false" outlineLevel="0" collapsed="false">
      <c r="AK275" s="15" t="e">
        <v>#NAME?</v>
      </c>
      <c r="AL275" s="15" t="e">
        <f aca="false">_xlfn.xlookup(AK275,A:A,F:F)</f>
        <v>#NAME?</v>
      </c>
      <c r="AM275" s="15" t="e">
        <f aca="false">_xlfn.xlookup(AK275,A:A,J:J)</f>
        <v>#NAME?</v>
      </c>
      <c r="AN275" s="15" t="e">
        <f aca="false">_xlfn.xlookup(AK275,A:A,M:M)+_xlfn.xlookup(AK275,A:A,N:N)</f>
        <v>#NAME?</v>
      </c>
      <c r="AO275" s="223" t="e">
        <f aca="false">_xlfn.xlookup(AK275,A:A,AG:AG)</f>
        <v>#NAME?</v>
      </c>
      <c r="AP275" s="223" t="e">
        <f aca="false">_xlfn.xlookup(AK275,A:A,AD:AD)</f>
        <v>#NAME?</v>
      </c>
      <c r="AQ275" s="223" t="e">
        <f aca="false">_xlfn.xlookup(AK275,A:A,AE:AE)</f>
        <v>#NAME?</v>
      </c>
      <c r="BB275" s="15" t="e">
        <f aca="false">_xlfn.xlookup(BA275,A:A,E:E)</f>
        <v>#NAME?</v>
      </c>
      <c r="BC275" s="15" t="e">
        <f aca="false">_xlfn.xlookup(BA275,A:A,J:J)</f>
        <v>#NAME?</v>
      </c>
      <c r="BD275" s="75" t="e">
        <f aca="false">_xlfn.xlookup(BA275,A:A,M:M)+_xlfn.xlookup(BA275,A:A,N:N)</f>
        <v>#NAME?</v>
      </c>
    </row>
    <row r="276" customFormat="false" ht="14.25" hidden="false" customHeight="false" outlineLevel="0" collapsed="false">
      <c r="AK276" s="15" t="e">
        <v>#NAME?</v>
      </c>
      <c r="AL276" s="15" t="e">
        <f aca="false">_xlfn.xlookup(AK276,A:A,F:F)</f>
        <v>#NAME?</v>
      </c>
      <c r="AM276" s="15" t="e">
        <f aca="false">_xlfn.xlookup(AK276,A:A,J:J)</f>
        <v>#NAME?</v>
      </c>
      <c r="AN276" s="15" t="e">
        <f aca="false">_xlfn.xlookup(AK276,A:A,M:M)+_xlfn.xlookup(AK276,A:A,N:N)</f>
        <v>#NAME?</v>
      </c>
      <c r="AO276" s="223" t="e">
        <f aca="false">_xlfn.xlookup(AK276,A:A,AG:AG)</f>
        <v>#NAME?</v>
      </c>
      <c r="AP276" s="223" t="e">
        <f aca="false">_xlfn.xlookup(AK276,A:A,AD:AD)</f>
        <v>#NAME?</v>
      </c>
      <c r="AQ276" s="223" t="e">
        <f aca="false">_xlfn.xlookup(AK276,A:A,AE:AE)</f>
        <v>#NAME?</v>
      </c>
      <c r="BB276" s="15" t="e">
        <f aca="false">_xlfn.xlookup(BA276,A:A,E:E)</f>
        <v>#NAME?</v>
      </c>
      <c r="BC276" s="15" t="e">
        <f aca="false">_xlfn.xlookup(BA276,A:A,J:J)</f>
        <v>#NAME?</v>
      </c>
      <c r="BD276" s="75" t="e">
        <f aca="false">_xlfn.xlookup(BA276,A:A,M:M)+_xlfn.xlookup(BA276,A:A,N:N)</f>
        <v>#NAME?</v>
      </c>
    </row>
    <row r="277" customFormat="false" ht="14.25" hidden="false" customHeight="false" outlineLevel="0" collapsed="false">
      <c r="AK277" s="15" t="e">
        <v>#NAME?</v>
      </c>
      <c r="AL277" s="15" t="e">
        <f aca="false">_xlfn.xlookup(AK277,A:A,F:F)</f>
        <v>#NAME?</v>
      </c>
      <c r="AM277" s="15" t="e">
        <f aca="false">_xlfn.xlookup(AK277,A:A,J:J)</f>
        <v>#NAME?</v>
      </c>
      <c r="AN277" s="15" t="e">
        <f aca="false">_xlfn.xlookup(AK277,A:A,M:M)+_xlfn.xlookup(AK277,A:A,N:N)</f>
        <v>#NAME?</v>
      </c>
      <c r="AO277" s="223" t="e">
        <f aca="false">_xlfn.xlookup(AK277,A:A,AG:AG)</f>
        <v>#NAME?</v>
      </c>
      <c r="AP277" s="223" t="e">
        <f aca="false">_xlfn.xlookup(AK277,A:A,AD:AD)</f>
        <v>#NAME?</v>
      </c>
      <c r="AQ277" s="223" t="e">
        <f aca="false">_xlfn.xlookup(AK277,A:A,AE:AE)</f>
        <v>#NAME?</v>
      </c>
      <c r="BB277" s="15" t="e">
        <f aca="false">_xlfn.xlookup(BA277,A:A,E:E)</f>
        <v>#NAME?</v>
      </c>
      <c r="BC277" s="15" t="e">
        <f aca="false">_xlfn.xlookup(BA277,A:A,J:J)</f>
        <v>#NAME?</v>
      </c>
      <c r="BD277" s="75" t="e">
        <f aca="false">_xlfn.xlookup(BA277,A:A,M:M)+_xlfn.xlookup(BA277,A:A,N:N)</f>
        <v>#NAME?</v>
      </c>
    </row>
    <row r="278" customFormat="false" ht="14.25" hidden="false" customHeight="false" outlineLevel="0" collapsed="false">
      <c r="AK278" s="15" t="e">
        <v>#NAME?</v>
      </c>
      <c r="AL278" s="15" t="e">
        <f aca="false">_xlfn.xlookup(AK278,A:A,F:F)</f>
        <v>#NAME?</v>
      </c>
      <c r="AM278" s="15" t="e">
        <f aca="false">_xlfn.xlookup(AK278,A:A,J:J)</f>
        <v>#NAME?</v>
      </c>
      <c r="AN278" s="15" t="e">
        <f aca="false">_xlfn.xlookup(AK278,A:A,M:M)+_xlfn.xlookup(AK278,A:A,N:N)</f>
        <v>#NAME?</v>
      </c>
      <c r="AO278" s="223" t="e">
        <f aca="false">_xlfn.xlookup(AK278,A:A,AG:AG)</f>
        <v>#NAME?</v>
      </c>
      <c r="AP278" s="223" t="e">
        <f aca="false">_xlfn.xlookup(AK278,A:A,AD:AD)</f>
        <v>#NAME?</v>
      </c>
      <c r="AQ278" s="223" t="e">
        <f aca="false">_xlfn.xlookup(AK278,A:A,AE:AE)</f>
        <v>#NAME?</v>
      </c>
      <c r="BB278" s="15" t="e">
        <f aca="false">_xlfn.xlookup(BA278,A:A,E:E)</f>
        <v>#NAME?</v>
      </c>
      <c r="BC278" s="15" t="e">
        <f aca="false">_xlfn.xlookup(BA278,A:A,J:J)</f>
        <v>#NAME?</v>
      </c>
      <c r="BD278" s="75" t="e">
        <f aca="false">_xlfn.xlookup(BA278,A:A,M:M)+_xlfn.xlookup(BA278,A:A,N:N)</f>
        <v>#NAME?</v>
      </c>
    </row>
    <row r="279" customFormat="false" ht="14.25" hidden="false" customHeight="false" outlineLevel="0" collapsed="false">
      <c r="AK279" s="15" t="e">
        <v>#NAME?</v>
      </c>
      <c r="AL279" s="15" t="e">
        <f aca="false">_xlfn.xlookup(AK279,A:A,F:F)</f>
        <v>#NAME?</v>
      </c>
      <c r="AM279" s="15" t="e">
        <f aca="false">_xlfn.xlookup(AK279,A:A,J:J)</f>
        <v>#NAME?</v>
      </c>
      <c r="AN279" s="15" t="e">
        <f aca="false">_xlfn.xlookup(AK279,A:A,M:M)+_xlfn.xlookup(AK279,A:A,N:N)</f>
        <v>#NAME?</v>
      </c>
      <c r="AO279" s="223" t="e">
        <f aca="false">_xlfn.xlookup(AK279,A:A,AG:AG)</f>
        <v>#NAME?</v>
      </c>
      <c r="AP279" s="223" t="e">
        <f aca="false">_xlfn.xlookup(AK279,A:A,AD:AD)</f>
        <v>#NAME?</v>
      </c>
      <c r="AQ279" s="223" t="e">
        <f aca="false">_xlfn.xlookup(AK279,A:A,AE:AE)</f>
        <v>#NAME?</v>
      </c>
      <c r="BB279" s="15" t="e">
        <f aca="false">_xlfn.xlookup(BA279,A:A,E:E)</f>
        <v>#NAME?</v>
      </c>
      <c r="BC279" s="15" t="e">
        <f aca="false">_xlfn.xlookup(BA279,A:A,J:J)</f>
        <v>#NAME?</v>
      </c>
      <c r="BD279" s="75" t="e">
        <f aca="false">_xlfn.xlookup(BA279,A:A,M:M)+_xlfn.xlookup(BA279,A:A,N:N)</f>
        <v>#NAME?</v>
      </c>
    </row>
    <row r="280" customFormat="false" ht="14.25" hidden="false" customHeight="false" outlineLevel="0" collapsed="false">
      <c r="AK280" s="15" t="e">
        <v>#NAME?</v>
      </c>
      <c r="AL280" s="15" t="e">
        <f aca="false">_xlfn.xlookup(AK280,A:A,F:F)</f>
        <v>#NAME?</v>
      </c>
      <c r="AM280" s="15" t="e">
        <f aca="false">_xlfn.xlookup(AK280,A:A,J:J)</f>
        <v>#NAME?</v>
      </c>
      <c r="AN280" s="15" t="e">
        <f aca="false">_xlfn.xlookup(AK280,A:A,M:M)+_xlfn.xlookup(AK280,A:A,N:N)</f>
        <v>#NAME?</v>
      </c>
      <c r="AO280" s="223" t="e">
        <f aca="false">_xlfn.xlookup(AK280,A:A,AG:AG)</f>
        <v>#NAME?</v>
      </c>
      <c r="AP280" s="223" t="e">
        <f aca="false">_xlfn.xlookup(AK280,A:A,AD:AD)</f>
        <v>#NAME?</v>
      </c>
      <c r="AQ280" s="223" t="e">
        <f aca="false">_xlfn.xlookup(AK280,A:A,AE:AE)</f>
        <v>#NAME?</v>
      </c>
      <c r="BB280" s="15" t="e">
        <f aca="false">_xlfn.xlookup(BA280,A:A,E:E)</f>
        <v>#NAME?</v>
      </c>
      <c r="BC280" s="15" t="e">
        <f aca="false">_xlfn.xlookup(BA280,A:A,J:J)</f>
        <v>#NAME?</v>
      </c>
      <c r="BD280" s="75" t="e">
        <f aca="false">_xlfn.xlookup(BA280,A:A,M:M)+_xlfn.xlookup(BA280,A:A,N:N)</f>
        <v>#NAME?</v>
      </c>
    </row>
    <row r="281" customFormat="false" ht="14.25" hidden="false" customHeight="false" outlineLevel="0" collapsed="false">
      <c r="AK281" s="15" t="e">
        <v>#NAME?</v>
      </c>
      <c r="AL281" s="15" t="e">
        <f aca="false">_xlfn.xlookup(AK281,A:A,F:F)</f>
        <v>#NAME?</v>
      </c>
      <c r="AM281" s="15" t="e">
        <f aca="false">_xlfn.xlookup(AK281,A:A,J:J)</f>
        <v>#NAME?</v>
      </c>
      <c r="AN281" s="15" t="e">
        <f aca="false">_xlfn.xlookup(AK281,A:A,M:M)+_xlfn.xlookup(AK281,A:A,N:N)</f>
        <v>#NAME?</v>
      </c>
      <c r="AO281" s="223" t="e">
        <f aca="false">_xlfn.xlookup(AK281,A:A,AG:AG)</f>
        <v>#NAME?</v>
      </c>
      <c r="AP281" s="223" t="e">
        <f aca="false">_xlfn.xlookup(AK281,A:A,AD:AD)</f>
        <v>#NAME?</v>
      </c>
      <c r="AQ281" s="223" t="e">
        <f aca="false">_xlfn.xlookup(AK281,A:A,AE:AE)</f>
        <v>#NAME?</v>
      </c>
      <c r="BB281" s="15" t="e">
        <f aca="false">_xlfn.xlookup(BA281,A:A,E:E)</f>
        <v>#NAME?</v>
      </c>
      <c r="BC281" s="15" t="e">
        <f aca="false">_xlfn.xlookup(BA281,A:A,J:J)</f>
        <v>#NAME?</v>
      </c>
      <c r="BD281" s="75" t="e">
        <f aca="false">_xlfn.xlookup(BA281,A:A,M:M)+_xlfn.xlookup(BA281,A:A,N:N)</f>
        <v>#NAME?</v>
      </c>
    </row>
    <row r="282" customFormat="false" ht="14.25" hidden="false" customHeight="false" outlineLevel="0" collapsed="false">
      <c r="AK282" s="15" t="e">
        <v>#NAME?</v>
      </c>
      <c r="AL282" s="15" t="e">
        <f aca="false">_xlfn.xlookup(AK282,A:A,F:F)</f>
        <v>#NAME?</v>
      </c>
      <c r="AM282" s="15" t="e">
        <f aca="false">_xlfn.xlookup(AK282,A:A,J:J)</f>
        <v>#NAME?</v>
      </c>
      <c r="AN282" s="15" t="e">
        <f aca="false">_xlfn.xlookup(AK282,A:A,M:M)+_xlfn.xlookup(AK282,A:A,N:N)</f>
        <v>#NAME?</v>
      </c>
      <c r="AO282" s="223" t="e">
        <f aca="false">_xlfn.xlookup(AK282,A:A,AG:AG)</f>
        <v>#NAME?</v>
      </c>
      <c r="AP282" s="223" t="e">
        <f aca="false">_xlfn.xlookup(AK282,A:A,AD:AD)</f>
        <v>#NAME?</v>
      </c>
      <c r="AQ282" s="223" t="e">
        <f aca="false">_xlfn.xlookup(AK282,A:A,AE:AE)</f>
        <v>#NAME?</v>
      </c>
      <c r="BB282" s="15" t="e">
        <f aca="false">_xlfn.xlookup(BA282,A:A,E:E)</f>
        <v>#NAME?</v>
      </c>
      <c r="BC282" s="15" t="e">
        <f aca="false">_xlfn.xlookup(BA282,A:A,J:J)</f>
        <v>#NAME?</v>
      </c>
      <c r="BD282" s="75" t="e">
        <f aca="false">_xlfn.xlookup(BA282,A:A,M:M)+_xlfn.xlookup(BA282,A:A,N:N)</f>
        <v>#NAME?</v>
      </c>
    </row>
    <row r="283" customFormat="false" ht="14.25" hidden="false" customHeight="false" outlineLevel="0" collapsed="false">
      <c r="AK283" s="15" t="e">
        <v>#NAME?</v>
      </c>
      <c r="AL283" s="15" t="e">
        <f aca="false">_xlfn.xlookup(AK283,A:A,F:F)</f>
        <v>#NAME?</v>
      </c>
      <c r="AM283" s="15" t="e">
        <f aca="false">_xlfn.xlookup(AK283,A:A,J:J)</f>
        <v>#NAME?</v>
      </c>
      <c r="AN283" s="15" t="e">
        <f aca="false">_xlfn.xlookup(AK283,A:A,M:M)+_xlfn.xlookup(AK283,A:A,N:N)</f>
        <v>#NAME?</v>
      </c>
      <c r="AO283" s="223" t="e">
        <f aca="false">_xlfn.xlookup(AK283,A:A,AG:AG)</f>
        <v>#NAME?</v>
      </c>
      <c r="AP283" s="223" t="e">
        <f aca="false">_xlfn.xlookup(AK283,A:A,AD:AD)</f>
        <v>#NAME?</v>
      </c>
      <c r="AQ283" s="223" t="e">
        <f aca="false">_xlfn.xlookup(AK283,A:A,AE:AE)</f>
        <v>#NAME?</v>
      </c>
      <c r="BB283" s="15" t="e">
        <f aca="false">_xlfn.xlookup(BA283,A:A,E:E)</f>
        <v>#NAME?</v>
      </c>
      <c r="BC283" s="15" t="e">
        <f aca="false">_xlfn.xlookup(BA283,A:A,J:J)</f>
        <v>#NAME?</v>
      </c>
      <c r="BD283" s="75" t="e">
        <f aca="false">_xlfn.xlookup(BA283,A:A,M:M)+_xlfn.xlookup(BA283,A:A,N:N)</f>
        <v>#NAME?</v>
      </c>
    </row>
    <row r="284" customFormat="false" ht="14.25" hidden="false" customHeight="false" outlineLevel="0" collapsed="false">
      <c r="AK284" s="15" t="e">
        <v>#NAME?</v>
      </c>
      <c r="AL284" s="15" t="e">
        <f aca="false">_xlfn.xlookup(AK284,A:A,F:F)</f>
        <v>#NAME?</v>
      </c>
      <c r="AM284" s="15" t="e">
        <f aca="false">_xlfn.xlookup(AK284,A:A,J:J)</f>
        <v>#NAME?</v>
      </c>
      <c r="AN284" s="15" t="e">
        <f aca="false">_xlfn.xlookup(AK284,A:A,M:M)+_xlfn.xlookup(AK284,A:A,N:N)</f>
        <v>#NAME?</v>
      </c>
      <c r="AO284" s="223" t="e">
        <f aca="false">_xlfn.xlookup(AK284,A:A,AG:AG)</f>
        <v>#NAME?</v>
      </c>
      <c r="AP284" s="223" t="e">
        <f aca="false">_xlfn.xlookup(AK284,A:A,AD:AD)</f>
        <v>#NAME?</v>
      </c>
      <c r="AQ284" s="223" t="e">
        <f aca="false">_xlfn.xlookup(AK284,A:A,AE:AE)</f>
        <v>#NAME?</v>
      </c>
      <c r="BB284" s="15" t="e">
        <f aca="false">_xlfn.xlookup(BA284,A:A,E:E)</f>
        <v>#NAME?</v>
      </c>
      <c r="BC284" s="15" t="e">
        <f aca="false">_xlfn.xlookup(BA284,A:A,J:J)</f>
        <v>#NAME?</v>
      </c>
      <c r="BD284" s="75" t="e">
        <f aca="false">_xlfn.xlookup(BA284,A:A,M:M)+_xlfn.xlookup(BA284,A:A,N:N)</f>
        <v>#NAME?</v>
      </c>
    </row>
    <row r="285" customFormat="false" ht="14.25" hidden="false" customHeight="false" outlineLevel="0" collapsed="false">
      <c r="AK285" s="15" t="e">
        <v>#NAME?</v>
      </c>
      <c r="AL285" s="15" t="e">
        <f aca="false">_xlfn.xlookup(AK285,A:A,F:F)</f>
        <v>#NAME?</v>
      </c>
      <c r="AM285" s="15" t="e">
        <f aca="false">_xlfn.xlookup(AK285,A:A,J:J)</f>
        <v>#NAME?</v>
      </c>
      <c r="AN285" s="15" t="e">
        <f aca="false">_xlfn.xlookup(AK285,A:A,M:M)+_xlfn.xlookup(AK285,A:A,N:N)</f>
        <v>#NAME?</v>
      </c>
      <c r="AO285" s="223" t="e">
        <f aca="false">_xlfn.xlookup(AK285,A:A,AG:AG)</f>
        <v>#NAME?</v>
      </c>
      <c r="AP285" s="223" t="e">
        <f aca="false">_xlfn.xlookup(AK285,A:A,AD:AD)</f>
        <v>#NAME?</v>
      </c>
      <c r="AQ285" s="223" t="e">
        <f aca="false">_xlfn.xlookup(AK285,A:A,AE:AE)</f>
        <v>#NAME?</v>
      </c>
      <c r="BB285" s="15" t="e">
        <f aca="false">_xlfn.xlookup(BA285,A:A,E:E)</f>
        <v>#NAME?</v>
      </c>
      <c r="BC285" s="15" t="e">
        <f aca="false">_xlfn.xlookup(BA285,A:A,J:J)</f>
        <v>#NAME?</v>
      </c>
      <c r="BD285" s="75" t="e">
        <f aca="false">_xlfn.xlookup(BA285,A:A,M:M)+_xlfn.xlookup(BA285,A:A,N:N)</f>
        <v>#NAME?</v>
      </c>
    </row>
    <row r="286" customFormat="false" ht="14.25" hidden="false" customHeight="false" outlineLevel="0" collapsed="false">
      <c r="AK286" s="15" t="e">
        <v>#NAME?</v>
      </c>
      <c r="AL286" s="15" t="e">
        <f aca="false">_xlfn.xlookup(AK286,A:A,F:F)</f>
        <v>#NAME?</v>
      </c>
      <c r="AM286" s="15" t="e">
        <f aca="false">_xlfn.xlookup(AK286,A:A,J:J)</f>
        <v>#NAME?</v>
      </c>
      <c r="AN286" s="15" t="e">
        <f aca="false">_xlfn.xlookup(AK286,A:A,M:M)+_xlfn.xlookup(AK286,A:A,N:N)</f>
        <v>#NAME?</v>
      </c>
      <c r="AO286" s="223" t="e">
        <f aca="false">_xlfn.xlookup(AK286,A:A,AG:AG)</f>
        <v>#NAME?</v>
      </c>
      <c r="AP286" s="223" t="e">
        <f aca="false">_xlfn.xlookup(AK286,A:A,AD:AD)</f>
        <v>#NAME?</v>
      </c>
      <c r="AQ286" s="223" t="e">
        <f aca="false">_xlfn.xlookup(AK286,A:A,AE:AE)</f>
        <v>#NAME?</v>
      </c>
      <c r="BB286" s="15" t="e">
        <f aca="false">_xlfn.xlookup(BA286,A:A,E:E)</f>
        <v>#NAME?</v>
      </c>
      <c r="BC286" s="15" t="e">
        <f aca="false">_xlfn.xlookup(BA286,A:A,J:J)</f>
        <v>#NAME?</v>
      </c>
      <c r="BD286" s="75" t="e">
        <f aca="false">_xlfn.xlookup(BA286,A:A,M:M)+_xlfn.xlookup(BA286,A:A,N:N)</f>
        <v>#NAME?</v>
      </c>
    </row>
    <row r="287" customFormat="false" ht="14.25" hidden="false" customHeight="false" outlineLevel="0" collapsed="false">
      <c r="AK287" s="15" t="e">
        <v>#NAME?</v>
      </c>
      <c r="AL287" s="15" t="e">
        <f aca="false">_xlfn.xlookup(AK287,A:A,F:F)</f>
        <v>#NAME?</v>
      </c>
      <c r="AM287" s="15" t="e">
        <f aca="false">_xlfn.xlookup(AK287,A:A,J:J)</f>
        <v>#NAME?</v>
      </c>
      <c r="AN287" s="15" t="e">
        <f aca="false">_xlfn.xlookup(AK287,A:A,M:M)+_xlfn.xlookup(AK287,A:A,N:N)</f>
        <v>#NAME?</v>
      </c>
      <c r="AO287" s="223" t="e">
        <f aca="false">_xlfn.xlookup(AK287,A:A,AG:AG)</f>
        <v>#NAME?</v>
      </c>
      <c r="AP287" s="223" t="e">
        <f aca="false">_xlfn.xlookup(AK287,A:A,AD:AD)</f>
        <v>#NAME?</v>
      </c>
      <c r="AQ287" s="223" t="e">
        <f aca="false">_xlfn.xlookup(AK287,A:A,AE:AE)</f>
        <v>#NAME?</v>
      </c>
      <c r="BB287" s="15" t="e">
        <f aca="false">_xlfn.xlookup(BA287,A:A,E:E)</f>
        <v>#NAME?</v>
      </c>
      <c r="BC287" s="15" t="e">
        <f aca="false">_xlfn.xlookup(BA287,A:A,J:J)</f>
        <v>#NAME?</v>
      </c>
      <c r="BD287" s="75" t="e">
        <f aca="false">_xlfn.xlookup(BA287,A:A,M:M)+_xlfn.xlookup(BA287,A:A,N:N)</f>
        <v>#NAME?</v>
      </c>
    </row>
    <row r="288" customFormat="false" ht="14.25" hidden="false" customHeight="false" outlineLevel="0" collapsed="false">
      <c r="AK288" s="15" t="e">
        <v>#NAME?</v>
      </c>
      <c r="AL288" s="15" t="e">
        <f aca="false">_xlfn.xlookup(AK288,A:A,F:F)</f>
        <v>#NAME?</v>
      </c>
      <c r="AM288" s="15" t="e">
        <f aca="false">_xlfn.xlookup(AK288,A:A,J:J)</f>
        <v>#NAME?</v>
      </c>
      <c r="AN288" s="15" t="e">
        <f aca="false">_xlfn.xlookup(AK288,A:A,M:M)+_xlfn.xlookup(AK288,A:A,N:N)</f>
        <v>#NAME?</v>
      </c>
      <c r="AO288" s="223" t="e">
        <f aca="false">_xlfn.xlookup(AK288,A:A,AG:AG)</f>
        <v>#NAME?</v>
      </c>
      <c r="AP288" s="223" t="e">
        <f aca="false">_xlfn.xlookup(AK288,A:A,AD:AD)</f>
        <v>#NAME?</v>
      </c>
      <c r="AQ288" s="223" t="e">
        <f aca="false">_xlfn.xlookup(AK288,A:A,AE:AE)</f>
        <v>#NAME?</v>
      </c>
      <c r="BB288" s="15" t="e">
        <f aca="false">_xlfn.xlookup(BA288,A:A,E:E)</f>
        <v>#NAME?</v>
      </c>
      <c r="BC288" s="15" t="e">
        <f aca="false">_xlfn.xlookup(BA288,A:A,J:J)</f>
        <v>#NAME?</v>
      </c>
      <c r="BD288" s="75" t="e">
        <f aca="false">_xlfn.xlookup(BA288,A:A,M:M)+_xlfn.xlookup(BA288,A:A,N:N)</f>
        <v>#NAME?</v>
      </c>
    </row>
    <row r="289" customFormat="false" ht="14.25" hidden="false" customHeight="false" outlineLevel="0" collapsed="false">
      <c r="AK289" s="15" t="e">
        <v>#NAME?</v>
      </c>
      <c r="AL289" s="15" t="e">
        <f aca="false">_xlfn.xlookup(AK289,A:A,F:F)</f>
        <v>#NAME?</v>
      </c>
      <c r="AM289" s="15" t="e">
        <f aca="false">_xlfn.xlookup(AK289,A:A,J:J)</f>
        <v>#NAME?</v>
      </c>
      <c r="AN289" s="15" t="e">
        <f aca="false">_xlfn.xlookup(AK289,A:A,M:M)+_xlfn.xlookup(AK289,A:A,N:N)</f>
        <v>#NAME?</v>
      </c>
      <c r="AO289" s="223" t="e">
        <f aca="false">_xlfn.xlookup(AK289,A:A,AG:AG)</f>
        <v>#NAME?</v>
      </c>
      <c r="AP289" s="223" t="e">
        <f aca="false">_xlfn.xlookup(AK289,A:A,AD:AD)</f>
        <v>#NAME?</v>
      </c>
      <c r="AQ289" s="223" t="e">
        <f aca="false">_xlfn.xlookup(AK289,A:A,AE:AE)</f>
        <v>#NAME?</v>
      </c>
      <c r="BB289" s="15" t="e">
        <f aca="false">_xlfn.xlookup(BA289,A:A,E:E)</f>
        <v>#NAME?</v>
      </c>
      <c r="BC289" s="15" t="e">
        <f aca="false">_xlfn.xlookup(BA289,A:A,J:J)</f>
        <v>#NAME?</v>
      </c>
      <c r="BD289" s="75" t="e">
        <f aca="false">_xlfn.xlookup(BA289,A:A,M:M)+_xlfn.xlookup(BA289,A:A,N:N)</f>
        <v>#NAME?</v>
      </c>
    </row>
    <row r="290" customFormat="false" ht="14.25" hidden="false" customHeight="false" outlineLevel="0" collapsed="false">
      <c r="AK290" s="15" t="e">
        <v>#NAME?</v>
      </c>
      <c r="AL290" s="15" t="e">
        <f aca="false">_xlfn.xlookup(AK290,A:A,F:F)</f>
        <v>#NAME?</v>
      </c>
      <c r="AM290" s="15" t="e">
        <f aca="false">_xlfn.xlookup(AK290,A:A,J:J)</f>
        <v>#NAME?</v>
      </c>
      <c r="AN290" s="15" t="e">
        <f aca="false">_xlfn.xlookup(AK290,A:A,M:M)+_xlfn.xlookup(AK290,A:A,N:N)</f>
        <v>#NAME?</v>
      </c>
      <c r="AO290" s="223" t="e">
        <f aca="false">_xlfn.xlookup(AK290,A:A,AG:AG)</f>
        <v>#NAME?</v>
      </c>
      <c r="AP290" s="223" t="e">
        <f aca="false">_xlfn.xlookup(AK290,A:A,AD:AD)</f>
        <v>#NAME?</v>
      </c>
      <c r="AQ290" s="223" t="e">
        <f aca="false">_xlfn.xlookup(AK290,A:A,AE:AE)</f>
        <v>#NAME?</v>
      </c>
      <c r="BB290" s="15" t="e">
        <f aca="false">_xlfn.xlookup(BA290,A:A,E:E)</f>
        <v>#NAME?</v>
      </c>
      <c r="BC290" s="15" t="e">
        <f aca="false">_xlfn.xlookup(BA290,A:A,J:J)</f>
        <v>#NAME?</v>
      </c>
      <c r="BD290" s="75" t="e">
        <f aca="false">_xlfn.xlookup(BA290,A:A,M:M)+_xlfn.xlookup(BA290,A:A,N:N)</f>
        <v>#NAME?</v>
      </c>
    </row>
    <row r="291" customFormat="false" ht="14.25" hidden="false" customHeight="false" outlineLevel="0" collapsed="false">
      <c r="AK291" s="15" t="e">
        <v>#NAME?</v>
      </c>
      <c r="AL291" s="15" t="e">
        <f aca="false">_xlfn.xlookup(AK291,A:A,F:F)</f>
        <v>#NAME?</v>
      </c>
      <c r="AM291" s="15" t="e">
        <f aca="false">_xlfn.xlookup(AK291,A:A,J:J)</f>
        <v>#NAME?</v>
      </c>
      <c r="AN291" s="15" t="e">
        <f aca="false">_xlfn.xlookup(AK291,A:A,M:M)+_xlfn.xlookup(AK291,A:A,N:N)</f>
        <v>#NAME?</v>
      </c>
      <c r="AO291" s="223" t="e">
        <f aca="false">_xlfn.xlookup(AK291,A:A,AG:AG)</f>
        <v>#NAME?</v>
      </c>
      <c r="AP291" s="223" t="e">
        <f aca="false">_xlfn.xlookup(AK291,A:A,AD:AD)</f>
        <v>#NAME?</v>
      </c>
      <c r="AQ291" s="223" t="e">
        <f aca="false">_xlfn.xlookup(AK291,A:A,AE:AE)</f>
        <v>#NAME?</v>
      </c>
      <c r="BB291" s="15" t="e">
        <f aca="false">_xlfn.xlookup(BA291,A:A,E:E)</f>
        <v>#NAME?</v>
      </c>
      <c r="BC291" s="15" t="e">
        <f aca="false">_xlfn.xlookup(BA291,A:A,J:J)</f>
        <v>#NAME?</v>
      </c>
      <c r="BD291" s="75" t="e">
        <f aca="false">_xlfn.xlookup(BA291,A:A,M:M)+_xlfn.xlookup(BA291,A:A,N:N)</f>
        <v>#NAME?</v>
      </c>
    </row>
    <row r="292" customFormat="false" ht="14.25" hidden="false" customHeight="false" outlineLevel="0" collapsed="false">
      <c r="AK292" s="15" t="e">
        <v>#NAME?</v>
      </c>
      <c r="AL292" s="15" t="e">
        <f aca="false">_xlfn.xlookup(AK292,A:A,F:F)</f>
        <v>#NAME?</v>
      </c>
      <c r="AM292" s="15" t="e">
        <f aca="false">_xlfn.xlookup(AK292,A:A,J:J)</f>
        <v>#NAME?</v>
      </c>
      <c r="AN292" s="15" t="e">
        <f aca="false">_xlfn.xlookup(AK292,A:A,M:M)+_xlfn.xlookup(AK292,A:A,N:N)</f>
        <v>#NAME?</v>
      </c>
      <c r="AO292" s="223" t="e">
        <f aca="false">_xlfn.xlookup(AK292,A:A,AG:AG)</f>
        <v>#NAME?</v>
      </c>
      <c r="AP292" s="223" t="e">
        <f aca="false">_xlfn.xlookup(AK292,A:A,AD:AD)</f>
        <v>#NAME?</v>
      </c>
      <c r="AQ292" s="223" t="e">
        <f aca="false">_xlfn.xlookup(AK292,A:A,AE:AE)</f>
        <v>#NAME?</v>
      </c>
      <c r="BB292" s="15" t="e">
        <f aca="false">_xlfn.xlookup(BA292,A:A,E:E)</f>
        <v>#NAME?</v>
      </c>
      <c r="BC292" s="15" t="e">
        <f aca="false">_xlfn.xlookup(BA292,A:A,J:J)</f>
        <v>#NAME?</v>
      </c>
      <c r="BD292" s="75" t="e">
        <f aca="false">_xlfn.xlookup(BA292,A:A,M:M)+_xlfn.xlookup(BA292,A:A,N:N)</f>
        <v>#NAME?</v>
      </c>
    </row>
    <row r="293" customFormat="false" ht="14.25" hidden="false" customHeight="false" outlineLevel="0" collapsed="false">
      <c r="AK293" s="15" t="e">
        <v>#NAME?</v>
      </c>
      <c r="AL293" s="15" t="e">
        <f aca="false">_xlfn.xlookup(AK293,A:A,F:F)</f>
        <v>#NAME?</v>
      </c>
      <c r="AM293" s="15" t="e">
        <f aca="false">_xlfn.xlookup(AK293,A:A,J:J)</f>
        <v>#NAME?</v>
      </c>
      <c r="AN293" s="15" t="e">
        <f aca="false">_xlfn.xlookup(AK293,A:A,M:M)+_xlfn.xlookup(AK293,A:A,N:N)</f>
        <v>#NAME?</v>
      </c>
      <c r="AO293" s="223" t="e">
        <f aca="false">_xlfn.xlookup(AK293,A:A,AG:AG)</f>
        <v>#NAME?</v>
      </c>
      <c r="AP293" s="223" t="e">
        <f aca="false">_xlfn.xlookup(AK293,A:A,AD:AD)</f>
        <v>#NAME?</v>
      </c>
      <c r="AQ293" s="223" t="e">
        <f aca="false">_xlfn.xlookup(AK293,A:A,AE:AE)</f>
        <v>#NAME?</v>
      </c>
      <c r="BB293" s="15" t="e">
        <f aca="false">_xlfn.xlookup(BA293,A:A,E:E)</f>
        <v>#NAME?</v>
      </c>
      <c r="BC293" s="15" t="e">
        <f aca="false">_xlfn.xlookup(BA293,A:A,J:J)</f>
        <v>#NAME?</v>
      </c>
      <c r="BD293" s="75" t="e">
        <f aca="false">_xlfn.xlookup(BA293,A:A,M:M)+_xlfn.xlookup(BA293,A:A,N:N)</f>
        <v>#NAME?</v>
      </c>
    </row>
    <row r="294" customFormat="false" ht="14.25" hidden="false" customHeight="false" outlineLevel="0" collapsed="false">
      <c r="AK294" s="15" t="e">
        <v>#NAME?</v>
      </c>
      <c r="AL294" s="15" t="e">
        <f aca="false">_xlfn.xlookup(AK294,A:A,F:F)</f>
        <v>#NAME?</v>
      </c>
      <c r="AM294" s="15" t="e">
        <f aca="false">_xlfn.xlookup(AK294,A:A,J:J)</f>
        <v>#NAME?</v>
      </c>
      <c r="AN294" s="15" t="e">
        <f aca="false">_xlfn.xlookup(AK294,A:A,M:M)+_xlfn.xlookup(AK294,A:A,N:N)</f>
        <v>#NAME?</v>
      </c>
      <c r="AO294" s="223" t="e">
        <f aca="false">_xlfn.xlookup(AK294,A:A,AG:AG)</f>
        <v>#NAME?</v>
      </c>
      <c r="AP294" s="223" t="e">
        <f aca="false">_xlfn.xlookup(AK294,A:A,AD:AD)</f>
        <v>#NAME?</v>
      </c>
      <c r="AQ294" s="223" t="e">
        <f aca="false">_xlfn.xlookup(AK294,A:A,AE:AE)</f>
        <v>#NAME?</v>
      </c>
      <c r="BB294" s="15" t="e">
        <f aca="false">_xlfn.xlookup(BA294,A:A,E:E)</f>
        <v>#NAME?</v>
      </c>
      <c r="BC294" s="15" t="e">
        <f aca="false">_xlfn.xlookup(BA294,A:A,J:J)</f>
        <v>#NAME?</v>
      </c>
      <c r="BD294" s="75" t="e">
        <f aca="false">_xlfn.xlookup(BA294,A:A,M:M)+_xlfn.xlookup(BA294,A:A,N:N)</f>
        <v>#NAME?</v>
      </c>
    </row>
    <row r="295" customFormat="false" ht="14.25" hidden="false" customHeight="false" outlineLevel="0" collapsed="false">
      <c r="AK295" s="15" t="e">
        <v>#NAME?</v>
      </c>
      <c r="AL295" s="15" t="e">
        <f aca="false">_xlfn.xlookup(AK295,A:A,F:F)</f>
        <v>#NAME?</v>
      </c>
      <c r="AM295" s="15" t="e">
        <f aca="false">_xlfn.xlookup(AK295,A:A,J:J)</f>
        <v>#NAME?</v>
      </c>
      <c r="AN295" s="15" t="e">
        <f aca="false">_xlfn.xlookup(AK295,A:A,M:M)+_xlfn.xlookup(AK295,A:A,N:N)</f>
        <v>#NAME?</v>
      </c>
      <c r="AO295" s="223" t="e">
        <f aca="false">_xlfn.xlookup(AK295,A:A,AG:AG)</f>
        <v>#NAME?</v>
      </c>
      <c r="AP295" s="223" t="e">
        <f aca="false">_xlfn.xlookup(AK295,A:A,AD:AD)</f>
        <v>#NAME?</v>
      </c>
      <c r="AQ295" s="223" t="e">
        <f aca="false">_xlfn.xlookup(AK295,A:A,AE:AE)</f>
        <v>#NAME?</v>
      </c>
      <c r="BB295" s="15" t="e">
        <f aca="false">_xlfn.xlookup(BA295,A:A,E:E)</f>
        <v>#NAME?</v>
      </c>
      <c r="BC295" s="15" t="e">
        <f aca="false">_xlfn.xlookup(BA295,A:A,J:J)</f>
        <v>#NAME?</v>
      </c>
      <c r="BD295" s="75" t="e">
        <f aca="false">_xlfn.xlookup(BA295,A:A,M:M)+_xlfn.xlookup(BA295,A:A,N:N)</f>
        <v>#NAME?</v>
      </c>
    </row>
    <row r="296" customFormat="false" ht="14.25" hidden="false" customHeight="false" outlineLevel="0" collapsed="false">
      <c r="AK296" s="15" t="e">
        <v>#NAME?</v>
      </c>
      <c r="AL296" s="15" t="e">
        <f aca="false">_xlfn.xlookup(AK296,A:A,F:F)</f>
        <v>#NAME?</v>
      </c>
      <c r="AM296" s="15" t="e">
        <f aca="false">_xlfn.xlookup(AK296,A:A,J:J)</f>
        <v>#NAME?</v>
      </c>
      <c r="AN296" s="15" t="e">
        <f aca="false">_xlfn.xlookup(AK296,A:A,M:M)+_xlfn.xlookup(AK296,A:A,N:N)</f>
        <v>#NAME?</v>
      </c>
      <c r="AO296" s="223" t="e">
        <f aca="false">_xlfn.xlookup(AK296,A:A,AG:AG)</f>
        <v>#NAME?</v>
      </c>
      <c r="AP296" s="223" t="e">
        <f aca="false">_xlfn.xlookup(AK296,A:A,AD:AD)</f>
        <v>#NAME?</v>
      </c>
      <c r="AQ296" s="223" t="e">
        <f aca="false">_xlfn.xlookup(AK296,A:A,AE:AE)</f>
        <v>#NAME?</v>
      </c>
      <c r="BB296" s="15" t="e">
        <f aca="false">_xlfn.xlookup(BA296,A:A,E:E)</f>
        <v>#NAME?</v>
      </c>
      <c r="BC296" s="15" t="e">
        <f aca="false">_xlfn.xlookup(BA296,A:A,J:J)</f>
        <v>#NAME?</v>
      </c>
      <c r="BD296" s="75" t="e">
        <f aca="false">_xlfn.xlookup(BA296,A:A,M:M)+_xlfn.xlookup(BA296,A:A,N:N)</f>
        <v>#NAME?</v>
      </c>
    </row>
    <row r="297" customFormat="false" ht="14.25" hidden="false" customHeight="false" outlineLevel="0" collapsed="false">
      <c r="AK297" s="15" t="e">
        <v>#NAME?</v>
      </c>
      <c r="AL297" s="15" t="e">
        <f aca="false">_xlfn.xlookup(AK297,A:A,F:F)</f>
        <v>#NAME?</v>
      </c>
      <c r="AM297" s="15" t="e">
        <f aca="false">_xlfn.xlookup(AK297,A:A,J:J)</f>
        <v>#NAME?</v>
      </c>
      <c r="AN297" s="15" t="e">
        <f aca="false">_xlfn.xlookup(AK297,A:A,M:M)+_xlfn.xlookup(AK297,A:A,N:N)</f>
        <v>#NAME?</v>
      </c>
      <c r="AO297" s="223" t="e">
        <f aca="false">_xlfn.xlookup(AK297,A:A,AG:AG)</f>
        <v>#NAME?</v>
      </c>
      <c r="AP297" s="223" t="e">
        <f aca="false">_xlfn.xlookup(AK297,A:A,AD:AD)</f>
        <v>#NAME?</v>
      </c>
      <c r="AQ297" s="223" t="e">
        <f aca="false">_xlfn.xlookup(AK297,A:A,AE:AE)</f>
        <v>#NAME?</v>
      </c>
      <c r="BB297" s="15" t="e">
        <f aca="false">_xlfn.xlookup(BA297,A:A,E:E)</f>
        <v>#NAME?</v>
      </c>
      <c r="BC297" s="15" t="e">
        <f aca="false">_xlfn.xlookup(BA297,A:A,J:J)</f>
        <v>#NAME?</v>
      </c>
      <c r="BD297" s="75" t="e">
        <f aca="false">_xlfn.xlookup(BA297,A:A,M:M)+_xlfn.xlookup(BA297,A:A,N:N)</f>
        <v>#NAME?</v>
      </c>
    </row>
    <row r="298" customFormat="false" ht="14.25" hidden="false" customHeight="false" outlineLevel="0" collapsed="false">
      <c r="AK298" s="15" t="e">
        <v>#NAME?</v>
      </c>
      <c r="AL298" s="15" t="e">
        <f aca="false">_xlfn.xlookup(AK298,A:A,F:F)</f>
        <v>#NAME?</v>
      </c>
      <c r="AM298" s="15" t="e">
        <f aca="false">_xlfn.xlookup(AK298,A:A,J:J)</f>
        <v>#NAME?</v>
      </c>
      <c r="AN298" s="15" t="e">
        <f aca="false">_xlfn.xlookup(AK298,A:A,M:M)+_xlfn.xlookup(AK298,A:A,N:N)</f>
        <v>#NAME?</v>
      </c>
      <c r="AO298" s="223" t="e">
        <f aca="false">_xlfn.xlookup(AK298,A:A,AG:AG)</f>
        <v>#NAME?</v>
      </c>
      <c r="AP298" s="223" t="e">
        <f aca="false">_xlfn.xlookup(AK298,A:A,AD:AD)</f>
        <v>#NAME?</v>
      </c>
      <c r="AQ298" s="223" t="e">
        <f aca="false">_xlfn.xlookup(AK298,A:A,AE:AE)</f>
        <v>#NAME?</v>
      </c>
      <c r="BB298" s="15" t="e">
        <f aca="false">_xlfn.xlookup(BA298,A:A,E:E)</f>
        <v>#NAME?</v>
      </c>
      <c r="BC298" s="15" t="e">
        <f aca="false">_xlfn.xlookup(BA298,A:A,J:J)</f>
        <v>#NAME?</v>
      </c>
      <c r="BD298" s="75" t="e">
        <f aca="false">_xlfn.xlookup(BA298,A:A,M:M)+_xlfn.xlookup(BA298,A:A,N:N)</f>
        <v>#NAME?</v>
      </c>
    </row>
    <row r="299" customFormat="false" ht="14.25" hidden="false" customHeight="false" outlineLevel="0" collapsed="false">
      <c r="AK299" s="15" t="e">
        <v>#NAME?</v>
      </c>
      <c r="AL299" s="15" t="e">
        <f aca="false">_xlfn.xlookup(AK299,A:A,F:F)</f>
        <v>#NAME?</v>
      </c>
      <c r="AM299" s="15" t="e">
        <f aca="false">_xlfn.xlookup(AK299,A:A,J:J)</f>
        <v>#NAME?</v>
      </c>
      <c r="AN299" s="15" t="e">
        <f aca="false">_xlfn.xlookup(AK299,A:A,M:M)+_xlfn.xlookup(AK299,A:A,N:N)</f>
        <v>#NAME?</v>
      </c>
      <c r="AO299" s="223" t="e">
        <f aca="false">_xlfn.xlookup(AK299,A:A,AG:AG)</f>
        <v>#NAME?</v>
      </c>
      <c r="AP299" s="223" t="e">
        <f aca="false">_xlfn.xlookup(AK299,A:A,AD:AD)</f>
        <v>#NAME?</v>
      </c>
      <c r="AQ299" s="223" t="e">
        <f aca="false">_xlfn.xlookup(AK299,A:A,AE:AE)</f>
        <v>#NAME?</v>
      </c>
      <c r="BB299" s="15" t="e">
        <f aca="false">_xlfn.xlookup(BA299,A:A,E:E)</f>
        <v>#NAME?</v>
      </c>
      <c r="BC299" s="15" t="e">
        <f aca="false">_xlfn.xlookup(BA299,A:A,J:J)</f>
        <v>#NAME?</v>
      </c>
      <c r="BD299" s="75" t="e">
        <f aca="false">_xlfn.xlookup(BA299,A:A,M:M)+_xlfn.xlookup(BA299,A:A,N:N)</f>
        <v>#NAME?</v>
      </c>
    </row>
    <row r="300" customFormat="false" ht="14.25" hidden="false" customHeight="false" outlineLevel="0" collapsed="false">
      <c r="AK300" s="15" t="e">
        <v>#NAME?</v>
      </c>
      <c r="AL300" s="15" t="e">
        <f aca="false">_xlfn.xlookup(AK300,A:A,F:F)</f>
        <v>#NAME?</v>
      </c>
      <c r="AM300" s="15" t="e">
        <f aca="false">_xlfn.xlookup(AK300,A:A,J:J)</f>
        <v>#NAME?</v>
      </c>
      <c r="AN300" s="15" t="e">
        <f aca="false">_xlfn.xlookup(AK300,A:A,M:M)+_xlfn.xlookup(AK300,A:A,N:N)</f>
        <v>#NAME?</v>
      </c>
      <c r="AO300" s="223" t="e">
        <f aca="false">_xlfn.xlookup(AK300,A:A,AG:AG)</f>
        <v>#NAME?</v>
      </c>
      <c r="AP300" s="223" t="e">
        <f aca="false">_xlfn.xlookup(AK300,A:A,AD:AD)</f>
        <v>#NAME?</v>
      </c>
      <c r="AQ300" s="223" t="e">
        <f aca="false">_xlfn.xlookup(AK300,A:A,AE:AE)</f>
        <v>#NAME?</v>
      </c>
      <c r="BB300" s="15" t="e">
        <f aca="false">_xlfn.xlookup(BA300,A:A,E:E)</f>
        <v>#NAME?</v>
      </c>
      <c r="BC300" s="15" t="e">
        <f aca="false">_xlfn.xlookup(BA300,A:A,J:J)</f>
        <v>#NAME?</v>
      </c>
      <c r="BD300" s="75" t="e">
        <f aca="false">_xlfn.xlookup(BA300,A:A,M:M)+_xlfn.xlookup(BA300,A:A,N:N)</f>
        <v>#NAME?</v>
      </c>
    </row>
    <row r="301" customFormat="false" ht="14.25" hidden="false" customHeight="false" outlineLevel="0" collapsed="false">
      <c r="AK301" s="15" t="e">
        <v>#NAME?</v>
      </c>
      <c r="AL301" s="15" t="e">
        <f aca="false">_xlfn.xlookup(AK301,A:A,F:F)</f>
        <v>#NAME?</v>
      </c>
      <c r="AM301" s="15" t="e">
        <f aca="false">_xlfn.xlookup(AK301,A:A,J:J)</f>
        <v>#NAME?</v>
      </c>
      <c r="AN301" s="15" t="e">
        <f aca="false">_xlfn.xlookup(AK301,A:A,M:M)+_xlfn.xlookup(AK301,A:A,N:N)</f>
        <v>#NAME?</v>
      </c>
      <c r="AO301" s="223" t="e">
        <f aca="false">_xlfn.xlookup(AK301,A:A,AG:AG)</f>
        <v>#NAME?</v>
      </c>
      <c r="AP301" s="223" t="e">
        <f aca="false">_xlfn.xlookup(AK301,A:A,AD:AD)</f>
        <v>#NAME?</v>
      </c>
      <c r="AQ301" s="223" t="e">
        <f aca="false">_xlfn.xlookup(AK301,A:A,AE:AE)</f>
        <v>#NAME?</v>
      </c>
      <c r="BB301" s="15" t="e">
        <f aca="false">_xlfn.xlookup(BA301,A:A,E:E)</f>
        <v>#NAME?</v>
      </c>
      <c r="BC301" s="15" t="e">
        <f aca="false">_xlfn.xlookup(BA301,A:A,J:J)</f>
        <v>#NAME?</v>
      </c>
      <c r="BD301" s="75" t="e">
        <f aca="false">_xlfn.xlookup(BA301,A:A,M:M)+_xlfn.xlookup(BA301,A:A,N:N)</f>
        <v>#NAME?</v>
      </c>
    </row>
    <row r="302" customFormat="false" ht="14.25" hidden="false" customHeight="false" outlineLevel="0" collapsed="false">
      <c r="AK302" s="15" t="e">
        <v>#NAME?</v>
      </c>
      <c r="AL302" s="15" t="e">
        <f aca="false">_xlfn.xlookup(AK302,A:A,F:F)</f>
        <v>#NAME?</v>
      </c>
      <c r="AM302" s="15" t="e">
        <f aca="false">_xlfn.xlookup(AK302,A:A,J:J)</f>
        <v>#NAME?</v>
      </c>
      <c r="AN302" s="15" t="e">
        <f aca="false">_xlfn.xlookup(AK302,A:A,M:M)+_xlfn.xlookup(AK302,A:A,N:N)</f>
        <v>#NAME?</v>
      </c>
      <c r="AO302" s="223" t="e">
        <f aca="false">_xlfn.xlookup(AK302,A:A,AG:AG)</f>
        <v>#NAME?</v>
      </c>
      <c r="AP302" s="223" t="e">
        <f aca="false">_xlfn.xlookup(AK302,A:A,AD:AD)</f>
        <v>#NAME?</v>
      </c>
      <c r="AQ302" s="223" t="e">
        <f aca="false">_xlfn.xlookup(AK302,A:A,AE:AE)</f>
        <v>#NAME?</v>
      </c>
      <c r="BB302" s="15" t="e">
        <f aca="false">_xlfn.xlookup(BA302,A:A,E:E)</f>
        <v>#NAME?</v>
      </c>
      <c r="BC302" s="15" t="e">
        <f aca="false">_xlfn.xlookup(BA302,A:A,J:J)</f>
        <v>#NAME?</v>
      </c>
      <c r="BD302" s="75" t="e">
        <f aca="false">_xlfn.xlookup(BA302,A:A,M:M)+_xlfn.xlookup(BA302,A:A,N:N)</f>
        <v>#NAME?</v>
      </c>
    </row>
    <row r="303" customFormat="false" ht="14.25" hidden="false" customHeight="false" outlineLevel="0" collapsed="false">
      <c r="AK303" s="15" t="e">
        <v>#NAME?</v>
      </c>
      <c r="AL303" s="15" t="e">
        <f aca="false">_xlfn.xlookup(AK303,A:A,F:F)</f>
        <v>#NAME?</v>
      </c>
      <c r="AM303" s="15" t="e">
        <f aca="false">_xlfn.xlookup(AK303,A:A,J:J)</f>
        <v>#NAME?</v>
      </c>
      <c r="AN303" s="15" t="e">
        <f aca="false">_xlfn.xlookup(AK303,A:A,M:M)+_xlfn.xlookup(AK303,A:A,N:N)</f>
        <v>#NAME?</v>
      </c>
      <c r="AO303" s="223" t="e">
        <f aca="false">_xlfn.xlookup(AK303,A:A,AG:AG)</f>
        <v>#NAME?</v>
      </c>
      <c r="AP303" s="223" t="e">
        <f aca="false">_xlfn.xlookup(AK303,A:A,AD:AD)</f>
        <v>#NAME?</v>
      </c>
      <c r="AQ303" s="223" t="e">
        <f aca="false">_xlfn.xlookup(AK303,A:A,AE:AE)</f>
        <v>#NAME?</v>
      </c>
      <c r="BB303" s="15" t="e">
        <f aca="false">_xlfn.xlookup(BA303,A:A,E:E)</f>
        <v>#NAME?</v>
      </c>
      <c r="BC303" s="15" t="e">
        <f aca="false">_xlfn.xlookup(BA303,A:A,J:J)</f>
        <v>#NAME?</v>
      </c>
      <c r="BD303" s="75" t="e">
        <f aca="false">_xlfn.xlookup(BA303,A:A,M:M)+_xlfn.xlookup(BA303,A:A,N:N)</f>
        <v>#NAME?</v>
      </c>
    </row>
    <row r="304" customFormat="false" ht="14.25" hidden="false" customHeight="false" outlineLevel="0" collapsed="false">
      <c r="AK304" s="15" t="e">
        <v>#NAME?</v>
      </c>
      <c r="AL304" s="15" t="e">
        <f aca="false">_xlfn.xlookup(AK304,A:A,F:F)</f>
        <v>#NAME?</v>
      </c>
      <c r="AM304" s="15" t="e">
        <f aca="false">_xlfn.xlookup(AK304,A:A,J:J)</f>
        <v>#NAME?</v>
      </c>
      <c r="AN304" s="15" t="e">
        <f aca="false">_xlfn.xlookup(AK304,A:A,M:M)+_xlfn.xlookup(AK304,A:A,N:N)</f>
        <v>#NAME?</v>
      </c>
      <c r="AO304" s="223" t="e">
        <f aca="false">_xlfn.xlookup(AK304,A:A,AG:AG)</f>
        <v>#NAME?</v>
      </c>
      <c r="AP304" s="223" t="e">
        <f aca="false">_xlfn.xlookup(AK304,A:A,AD:AD)</f>
        <v>#NAME?</v>
      </c>
      <c r="AQ304" s="223" t="e">
        <f aca="false">_xlfn.xlookup(AK304,A:A,AE:AE)</f>
        <v>#NAME?</v>
      </c>
      <c r="BB304" s="15" t="e">
        <f aca="false">_xlfn.xlookup(BA304,A:A,E:E)</f>
        <v>#NAME?</v>
      </c>
      <c r="BC304" s="15" t="e">
        <f aca="false">_xlfn.xlookup(BA304,A:A,J:J)</f>
        <v>#NAME?</v>
      </c>
      <c r="BD304" s="75" t="e">
        <f aca="false">_xlfn.xlookup(BA304,A:A,M:M)+_xlfn.xlookup(BA304,A:A,N:N)</f>
        <v>#NAME?</v>
      </c>
    </row>
    <row r="305" customFormat="false" ht="14.25" hidden="false" customHeight="false" outlineLevel="0" collapsed="false">
      <c r="AK305" s="15" t="e">
        <v>#NAME?</v>
      </c>
      <c r="AL305" s="15" t="e">
        <f aca="false">_xlfn.xlookup(AK305,A:A,F:F)</f>
        <v>#NAME?</v>
      </c>
      <c r="AM305" s="15" t="e">
        <f aca="false">_xlfn.xlookup(AK305,A:A,J:J)</f>
        <v>#NAME?</v>
      </c>
      <c r="AN305" s="15" t="e">
        <f aca="false">_xlfn.xlookup(AK305,A:A,M:M)+_xlfn.xlookup(AK305,A:A,N:N)</f>
        <v>#NAME?</v>
      </c>
      <c r="AO305" s="223" t="e">
        <f aca="false">_xlfn.xlookup(AK305,A:A,AG:AG)</f>
        <v>#NAME?</v>
      </c>
      <c r="AP305" s="223" t="e">
        <f aca="false">_xlfn.xlookup(AK305,A:A,AD:AD)</f>
        <v>#NAME?</v>
      </c>
      <c r="AQ305" s="223" t="e">
        <f aca="false">_xlfn.xlookup(AK305,A:A,AE:AE)</f>
        <v>#NAME?</v>
      </c>
      <c r="BB305" s="15" t="e">
        <f aca="false">_xlfn.xlookup(BA305,A:A,E:E)</f>
        <v>#NAME?</v>
      </c>
      <c r="BC305" s="15" t="e">
        <f aca="false">_xlfn.xlookup(BA305,A:A,J:J)</f>
        <v>#NAME?</v>
      </c>
      <c r="BD305" s="75" t="e">
        <f aca="false">_xlfn.xlookup(BA305,A:A,M:M)+_xlfn.xlookup(BA305,A:A,N:N)</f>
        <v>#NAME?</v>
      </c>
    </row>
    <row r="306" customFormat="false" ht="14.25" hidden="false" customHeight="false" outlineLevel="0" collapsed="false">
      <c r="AK306" s="15" t="e">
        <v>#NAME?</v>
      </c>
      <c r="AL306" s="15" t="e">
        <f aca="false">_xlfn.xlookup(AK306,A:A,F:F)</f>
        <v>#NAME?</v>
      </c>
      <c r="AM306" s="15" t="e">
        <f aca="false">_xlfn.xlookup(AK306,A:A,J:J)</f>
        <v>#NAME?</v>
      </c>
      <c r="AN306" s="15" t="e">
        <f aca="false">_xlfn.xlookup(AK306,A:A,M:M)+_xlfn.xlookup(AK306,A:A,N:N)</f>
        <v>#NAME?</v>
      </c>
      <c r="AO306" s="223" t="e">
        <f aca="false">_xlfn.xlookup(AK306,A:A,AG:AG)</f>
        <v>#NAME?</v>
      </c>
      <c r="AP306" s="223" t="e">
        <f aca="false">_xlfn.xlookup(AK306,A:A,AD:AD)</f>
        <v>#NAME?</v>
      </c>
      <c r="AQ306" s="223" t="e">
        <f aca="false">_xlfn.xlookup(AK306,A:A,AE:AE)</f>
        <v>#NAME?</v>
      </c>
      <c r="BB306" s="15" t="e">
        <f aca="false">_xlfn.xlookup(BA306,A:A,E:E)</f>
        <v>#NAME?</v>
      </c>
      <c r="BC306" s="15" t="e">
        <f aca="false">_xlfn.xlookup(BA306,A:A,J:J)</f>
        <v>#NAME?</v>
      </c>
      <c r="BD306" s="75" t="e">
        <f aca="false">_xlfn.xlookup(BA306,A:A,M:M)+_xlfn.xlookup(BA306,A:A,N:N)</f>
        <v>#NAME?</v>
      </c>
    </row>
    <row r="307" customFormat="false" ht="14.25" hidden="false" customHeight="false" outlineLevel="0" collapsed="false">
      <c r="AK307" s="15" t="e">
        <v>#NAME?</v>
      </c>
      <c r="AL307" s="15" t="e">
        <f aca="false">_xlfn.xlookup(AK307,A:A,F:F)</f>
        <v>#NAME?</v>
      </c>
      <c r="AM307" s="15" t="e">
        <f aca="false">_xlfn.xlookup(AK307,A:A,J:J)</f>
        <v>#NAME?</v>
      </c>
      <c r="AN307" s="15" t="e">
        <f aca="false">_xlfn.xlookup(AK307,A:A,M:M)+_xlfn.xlookup(AK307,A:A,N:N)</f>
        <v>#NAME?</v>
      </c>
      <c r="AO307" s="223" t="e">
        <f aca="false">_xlfn.xlookup(AK307,A:A,AG:AG)</f>
        <v>#NAME?</v>
      </c>
      <c r="AP307" s="223" t="e">
        <f aca="false">_xlfn.xlookup(AK307,A:A,AD:AD)</f>
        <v>#NAME?</v>
      </c>
      <c r="AQ307" s="223" t="e">
        <f aca="false">_xlfn.xlookup(AK307,A:A,AE:AE)</f>
        <v>#NAME?</v>
      </c>
      <c r="BB307" s="15" t="e">
        <f aca="false">_xlfn.xlookup(BA307,A:A,E:E)</f>
        <v>#NAME?</v>
      </c>
      <c r="BC307" s="15" t="e">
        <f aca="false">_xlfn.xlookup(BA307,A:A,J:J)</f>
        <v>#NAME?</v>
      </c>
      <c r="BD307" s="75" t="e">
        <f aca="false">_xlfn.xlookup(BA307,A:A,M:M)+_xlfn.xlookup(BA307,A:A,N:N)</f>
        <v>#NAME?</v>
      </c>
    </row>
    <row r="308" customFormat="false" ht="14.25" hidden="false" customHeight="false" outlineLevel="0" collapsed="false">
      <c r="AK308" s="15" t="e">
        <v>#NAME?</v>
      </c>
      <c r="AL308" s="15" t="e">
        <f aca="false">_xlfn.xlookup(AK308,A:A,F:F)</f>
        <v>#NAME?</v>
      </c>
      <c r="AM308" s="15" t="e">
        <f aca="false">_xlfn.xlookup(AK308,A:A,J:J)</f>
        <v>#NAME?</v>
      </c>
      <c r="AN308" s="15" t="e">
        <f aca="false">_xlfn.xlookup(AK308,A:A,M:M)+_xlfn.xlookup(AK308,A:A,N:N)</f>
        <v>#NAME?</v>
      </c>
      <c r="AO308" s="223" t="e">
        <f aca="false">_xlfn.xlookup(AK308,A:A,AG:AG)</f>
        <v>#NAME?</v>
      </c>
      <c r="AP308" s="223" t="e">
        <f aca="false">_xlfn.xlookup(AK308,A:A,AD:AD)</f>
        <v>#NAME?</v>
      </c>
      <c r="AQ308" s="223" t="e">
        <f aca="false">_xlfn.xlookup(AK308,A:A,AE:AE)</f>
        <v>#NAME?</v>
      </c>
      <c r="BB308" s="15" t="e">
        <f aca="false">_xlfn.xlookup(BA308,A:A,E:E)</f>
        <v>#NAME?</v>
      </c>
      <c r="BC308" s="15" t="e">
        <f aca="false">_xlfn.xlookup(BA308,A:A,J:J)</f>
        <v>#NAME?</v>
      </c>
      <c r="BD308" s="75" t="e">
        <f aca="false">_xlfn.xlookup(BA308,A:A,M:M)+_xlfn.xlookup(BA308,A:A,N:N)</f>
        <v>#NAME?</v>
      </c>
    </row>
    <row r="309" customFormat="false" ht="14.25" hidden="false" customHeight="false" outlineLevel="0" collapsed="false">
      <c r="AK309" s="15" t="e">
        <v>#NAME?</v>
      </c>
      <c r="AL309" s="15" t="e">
        <f aca="false">_xlfn.xlookup(AK309,A:A,F:F)</f>
        <v>#NAME?</v>
      </c>
      <c r="AM309" s="15" t="e">
        <f aca="false">_xlfn.xlookup(AK309,A:A,J:J)</f>
        <v>#NAME?</v>
      </c>
      <c r="AN309" s="15" t="e">
        <f aca="false">_xlfn.xlookup(AK309,A:A,M:M)+_xlfn.xlookup(AK309,A:A,N:N)</f>
        <v>#NAME?</v>
      </c>
      <c r="AO309" s="223" t="e">
        <f aca="false">_xlfn.xlookup(AK309,A:A,AG:AG)</f>
        <v>#NAME?</v>
      </c>
      <c r="AP309" s="223" t="e">
        <f aca="false">_xlfn.xlookup(AK309,A:A,AD:AD)</f>
        <v>#NAME?</v>
      </c>
      <c r="AQ309" s="223" t="e">
        <f aca="false">_xlfn.xlookup(AK309,A:A,AE:AE)</f>
        <v>#NAME?</v>
      </c>
      <c r="BB309" s="15" t="e">
        <f aca="false">_xlfn.xlookup(BA309,A:A,E:E)</f>
        <v>#NAME?</v>
      </c>
      <c r="BC309" s="15" t="e">
        <f aca="false">_xlfn.xlookup(BA309,A:A,J:J)</f>
        <v>#NAME?</v>
      </c>
      <c r="BD309" s="75" t="e">
        <f aca="false">_xlfn.xlookup(BA309,A:A,M:M)+_xlfn.xlookup(BA309,A:A,N:N)</f>
        <v>#NAME?</v>
      </c>
    </row>
    <row r="310" customFormat="false" ht="14.25" hidden="false" customHeight="false" outlineLevel="0" collapsed="false">
      <c r="AK310" s="15" t="e">
        <v>#NAME?</v>
      </c>
      <c r="AL310" s="15" t="e">
        <f aca="false">_xlfn.xlookup(AK310,A:A,F:F)</f>
        <v>#NAME?</v>
      </c>
      <c r="AM310" s="15" t="e">
        <f aca="false">_xlfn.xlookup(AK310,A:A,J:J)</f>
        <v>#NAME?</v>
      </c>
      <c r="AN310" s="15" t="e">
        <f aca="false">_xlfn.xlookup(AK310,A:A,M:M)+_xlfn.xlookup(AK310,A:A,N:N)</f>
        <v>#NAME?</v>
      </c>
      <c r="AO310" s="223" t="e">
        <f aca="false">_xlfn.xlookup(AK310,A:A,AG:AG)</f>
        <v>#NAME?</v>
      </c>
      <c r="AP310" s="223" t="e">
        <f aca="false">_xlfn.xlookup(AK310,A:A,AD:AD)</f>
        <v>#NAME?</v>
      </c>
      <c r="AQ310" s="223" t="e">
        <f aca="false">_xlfn.xlookup(AK310,A:A,AE:AE)</f>
        <v>#NAME?</v>
      </c>
      <c r="BB310" s="15" t="e">
        <f aca="false">_xlfn.xlookup(BA310,A:A,E:E)</f>
        <v>#NAME?</v>
      </c>
      <c r="BC310" s="15" t="e">
        <f aca="false">_xlfn.xlookup(BA310,A:A,J:J)</f>
        <v>#NAME?</v>
      </c>
      <c r="BD310" s="75" t="e">
        <f aca="false">_xlfn.xlookup(BA310,A:A,M:M)+_xlfn.xlookup(BA310,A:A,N:N)</f>
        <v>#NAME?</v>
      </c>
    </row>
    <row r="311" customFormat="false" ht="14.25" hidden="false" customHeight="false" outlineLevel="0" collapsed="false">
      <c r="AK311" s="15" t="e">
        <v>#NAME?</v>
      </c>
      <c r="AL311" s="15" t="e">
        <f aca="false">_xlfn.xlookup(AK311,A:A,F:F)</f>
        <v>#NAME?</v>
      </c>
      <c r="AM311" s="15" t="e">
        <f aca="false">_xlfn.xlookup(AK311,A:A,J:J)</f>
        <v>#NAME?</v>
      </c>
      <c r="AN311" s="15" t="e">
        <f aca="false">_xlfn.xlookup(AK311,A:A,M:M)+_xlfn.xlookup(AK311,A:A,N:N)</f>
        <v>#NAME?</v>
      </c>
      <c r="AO311" s="223" t="e">
        <f aca="false">_xlfn.xlookup(AK311,A:A,AG:AG)</f>
        <v>#NAME?</v>
      </c>
      <c r="AP311" s="223" t="e">
        <f aca="false">_xlfn.xlookup(AK311,A:A,AD:AD)</f>
        <v>#NAME?</v>
      </c>
      <c r="AQ311" s="223" t="e">
        <f aca="false">_xlfn.xlookup(AK311,A:A,AE:AE)</f>
        <v>#NAME?</v>
      </c>
      <c r="BB311" s="15" t="e">
        <f aca="false">_xlfn.xlookup(BA311,A:A,E:E)</f>
        <v>#NAME?</v>
      </c>
      <c r="BC311" s="15" t="e">
        <f aca="false">_xlfn.xlookup(BA311,A:A,J:J)</f>
        <v>#NAME?</v>
      </c>
      <c r="BD311" s="75" t="e">
        <f aca="false">_xlfn.xlookup(BA311,A:A,M:M)+_xlfn.xlookup(BA311,A:A,N:N)</f>
        <v>#NAME?</v>
      </c>
    </row>
    <row r="312" customFormat="false" ht="14.25" hidden="false" customHeight="false" outlineLevel="0" collapsed="false">
      <c r="AK312" s="15" t="e">
        <v>#NAME?</v>
      </c>
      <c r="AL312" s="15" t="e">
        <f aca="false">_xlfn.xlookup(AK312,A:A,F:F)</f>
        <v>#NAME?</v>
      </c>
      <c r="AM312" s="15" t="e">
        <f aca="false">_xlfn.xlookup(AK312,A:A,J:J)</f>
        <v>#NAME?</v>
      </c>
      <c r="AN312" s="15" t="e">
        <f aca="false">_xlfn.xlookup(AK312,A:A,M:M)+_xlfn.xlookup(AK312,A:A,N:N)</f>
        <v>#NAME?</v>
      </c>
      <c r="AO312" s="223" t="e">
        <f aca="false">_xlfn.xlookup(AK312,A:A,AG:AG)</f>
        <v>#NAME?</v>
      </c>
      <c r="AP312" s="223" t="e">
        <f aca="false">_xlfn.xlookup(AK312,A:A,AD:AD)</f>
        <v>#NAME?</v>
      </c>
      <c r="AQ312" s="223" t="e">
        <f aca="false">_xlfn.xlookup(AK312,A:A,AE:AE)</f>
        <v>#NAME?</v>
      </c>
      <c r="BB312" s="15" t="e">
        <f aca="false">_xlfn.xlookup(BA312,A:A,E:E)</f>
        <v>#NAME?</v>
      </c>
      <c r="BC312" s="15" t="e">
        <f aca="false">_xlfn.xlookup(BA312,A:A,J:J)</f>
        <v>#NAME?</v>
      </c>
      <c r="BD312" s="75" t="e">
        <f aca="false">_xlfn.xlookup(BA312,A:A,M:M)+_xlfn.xlookup(BA312,A:A,N:N)</f>
        <v>#NAME?</v>
      </c>
    </row>
    <row r="313" customFormat="false" ht="14.25" hidden="false" customHeight="false" outlineLevel="0" collapsed="false">
      <c r="AK313" s="15" t="e">
        <v>#NAME?</v>
      </c>
      <c r="AL313" s="15" t="e">
        <f aca="false">_xlfn.xlookup(AK313,A:A,F:F)</f>
        <v>#NAME?</v>
      </c>
      <c r="AM313" s="15" t="e">
        <f aca="false">_xlfn.xlookup(AK313,A:A,J:J)</f>
        <v>#NAME?</v>
      </c>
      <c r="AN313" s="15" t="e">
        <f aca="false">_xlfn.xlookup(AK313,A:A,M:M)+_xlfn.xlookup(AK313,A:A,N:N)</f>
        <v>#NAME?</v>
      </c>
      <c r="AO313" s="223" t="e">
        <f aca="false">_xlfn.xlookup(AK313,A:A,AG:AG)</f>
        <v>#NAME?</v>
      </c>
      <c r="AP313" s="223" t="e">
        <f aca="false">_xlfn.xlookup(AK313,A:A,AD:AD)</f>
        <v>#NAME?</v>
      </c>
      <c r="AQ313" s="223" t="e">
        <f aca="false">_xlfn.xlookup(AK313,A:A,AE:AE)</f>
        <v>#NAME?</v>
      </c>
      <c r="BB313" s="15" t="e">
        <f aca="false">_xlfn.xlookup(BA313,A:A,E:E)</f>
        <v>#NAME?</v>
      </c>
      <c r="BC313" s="15" t="e">
        <f aca="false">_xlfn.xlookup(BA313,A:A,J:J)</f>
        <v>#NAME?</v>
      </c>
      <c r="BD313" s="75" t="e">
        <f aca="false">_xlfn.xlookup(BA313,A:A,M:M)+_xlfn.xlookup(BA313,A:A,N:N)</f>
        <v>#NAME?</v>
      </c>
    </row>
    <row r="314" customFormat="false" ht="14.25" hidden="false" customHeight="false" outlineLevel="0" collapsed="false">
      <c r="AK314" s="15" t="e">
        <v>#NAME?</v>
      </c>
      <c r="AL314" s="15" t="e">
        <f aca="false">_xlfn.xlookup(AK314,A:A,F:F)</f>
        <v>#NAME?</v>
      </c>
      <c r="AM314" s="15" t="e">
        <f aca="false">_xlfn.xlookup(AK314,A:A,J:J)</f>
        <v>#NAME?</v>
      </c>
      <c r="AN314" s="15" t="e">
        <f aca="false">_xlfn.xlookup(AK314,A:A,M:M)+_xlfn.xlookup(AK314,A:A,N:N)</f>
        <v>#NAME?</v>
      </c>
      <c r="AO314" s="223" t="e">
        <f aca="false">_xlfn.xlookup(AK314,A:A,AG:AG)</f>
        <v>#NAME?</v>
      </c>
      <c r="AP314" s="223" t="e">
        <f aca="false">_xlfn.xlookup(AK314,A:A,AD:AD)</f>
        <v>#NAME?</v>
      </c>
      <c r="AQ314" s="223" t="e">
        <f aca="false">_xlfn.xlookup(AK314,A:A,AE:AE)</f>
        <v>#NAME?</v>
      </c>
      <c r="BB314" s="15" t="e">
        <f aca="false">_xlfn.xlookup(BA314,A:A,E:E)</f>
        <v>#NAME?</v>
      </c>
      <c r="BC314" s="15" t="e">
        <f aca="false">_xlfn.xlookup(BA314,A:A,J:J)</f>
        <v>#NAME?</v>
      </c>
      <c r="BD314" s="75" t="e">
        <f aca="false">_xlfn.xlookup(BA314,A:A,M:M)+_xlfn.xlookup(BA314,A:A,N:N)</f>
        <v>#NAME?</v>
      </c>
    </row>
    <row r="315" customFormat="false" ht="14.25" hidden="false" customHeight="false" outlineLevel="0" collapsed="false">
      <c r="AK315" s="15" t="e">
        <v>#NAME?</v>
      </c>
      <c r="AL315" s="15" t="e">
        <f aca="false">_xlfn.xlookup(AK315,A:A,F:F)</f>
        <v>#NAME?</v>
      </c>
      <c r="AM315" s="15" t="e">
        <f aca="false">_xlfn.xlookup(AK315,A:A,J:J)</f>
        <v>#NAME?</v>
      </c>
      <c r="AN315" s="15" t="e">
        <f aca="false">_xlfn.xlookup(AK315,A:A,M:M)+_xlfn.xlookup(AK315,A:A,N:N)</f>
        <v>#NAME?</v>
      </c>
      <c r="AO315" s="223" t="e">
        <f aca="false">_xlfn.xlookup(AK315,A:A,AG:AG)</f>
        <v>#NAME?</v>
      </c>
      <c r="AP315" s="223" t="e">
        <f aca="false">_xlfn.xlookup(AK315,A:A,AD:AD)</f>
        <v>#NAME?</v>
      </c>
      <c r="AQ315" s="223" t="e">
        <f aca="false">_xlfn.xlookup(AK315,A:A,AE:AE)</f>
        <v>#NAME?</v>
      </c>
      <c r="BB315" s="15" t="e">
        <f aca="false">_xlfn.xlookup(BA315,A:A,E:E)</f>
        <v>#NAME?</v>
      </c>
      <c r="BC315" s="15" t="e">
        <f aca="false">_xlfn.xlookup(BA315,A:A,J:J)</f>
        <v>#NAME?</v>
      </c>
      <c r="BD315" s="75" t="e">
        <f aca="false">_xlfn.xlookup(BA315,A:A,M:M)+_xlfn.xlookup(BA315,A:A,N:N)</f>
        <v>#NAME?</v>
      </c>
    </row>
    <row r="316" customFormat="false" ht="14.25" hidden="false" customHeight="false" outlineLevel="0" collapsed="false">
      <c r="AK316" s="15" t="e">
        <v>#NAME?</v>
      </c>
      <c r="AL316" s="15" t="e">
        <f aca="false">_xlfn.xlookup(AK316,A:A,F:F)</f>
        <v>#NAME?</v>
      </c>
      <c r="AM316" s="15" t="e">
        <f aca="false">_xlfn.xlookup(AK316,A:A,J:J)</f>
        <v>#NAME?</v>
      </c>
      <c r="AN316" s="15" t="e">
        <f aca="false">_xlfn.xlookup(AK316,A:A,M:M)+_xlfn.xlookup(AK316,A:A,N:N)</f>
        <v>#NAME?</v>
      </c>
      <c r="AO316" s="223" t="e">
        <f aca="false">_xlfn.xlookup(AK316,A:A,AG:AG)</f>
        <v>#NAME?</v>
      </c>
      <c r="AP316" s="223" t="e">
        <f aca="false">_xlfn.xlookup(AK316,A:A,AD:AD)</f>
        <v>#NAME?</v>
      </c>
      <c r="AQ316" s="223" t="e">
        <f aca="false">_xlfn.xlookup(AK316,A:A,AE:AE)</f>
        <v>#NAME?</v>
      </c>
      <c r="BB316" s="15" t="e">
        <f aca="false">_xlfn.xlookup(BA316,A:A,E:E)</f>
        <v>#NAME?</v>
      </c>
      <c r="BC316" s="15" t="e">
        <f aca="false">_xlfn.xlookup(BA316,A:A,J:J)</f>
        <v>#NAME?</v>
      </c>
      <c r="BD316" s="75" t="e">
        <f aca="false">_xlfn.xlookup(BA316,A:A,M:M)+_xlfn.xlookup(BA316,A:A,N:N)</f>
        <v>#NAME?</v>
      </c>
    </row>
    <row r="317" customFormat="false" ht="14.25" hidden="false" customHeight="false" outlineLevel="0" collapsed="false">
      <c r="AK317" s="15" t="e">
        <v>#NAME?</v>
      </c>
      <c r="AL317" s="15" t="e">
        <f aca="false">_xlfn.xlookup(AK317,A:A,F:F)</f>
        <v>#NAME?</v>
      </c>
      <c r="AM317" s="15" t="e">
        <f aca="false">_xlfn.xlookup(AK317,A:A,J:J)</f>
        <v>#NAME?</v>
      </c>
      <c r="AN317" s="15" t="e">
        <f aca="false">_xlfn.xlookup(AK317,A:A,M:M)+_xlfn.xlookup(AK317,A:A,N:N)</f>
        <v>#NAME?</v>
      </c>
      <c r="AO317" s="223" t="e">
        <f aca="false">_xlfn.xlookup(AK317,A:A,AG:AG)</f>
        <v>#NAME?</v>
      </c>
      <c r="AP317" s="223" t="e">
        <f aca="false">_xlfn.xlookup(AK317,A:A,AD:AD)</f>
        <v>#NAME?</v>
      </c>
      <c r="AQ317" s="223" t="e">
        <f aca="false">_xlfn.xlookup(AK317,A:A,AE:AE)</f>
        <v>#NAME?</v>
      </c>
      <c r="BB317" s="15" t="e">
        <f aca="false">_xlfn.xlookup(BA317,A:A,E:E)</f>
        <v>#NAME?</v>
      </c>
      <c r="BC317" s="15" t="e">
        <f aca="false">_xlfn.xlookup(BA317,A:A,J:J)</f>
        <v>#NAME?</v>
      </c>
      <c r="BD317" s="75" t="e">
        <f aca="false">_xlfn.xlookup(BA317,A:A,M:M)+_xlfn.xlookup(BA317,A:A,N:N)</f>
        <v>#NAME?</v>
      </c>
    </row>
    <row r="318" customFormat="false" ht="14.25" hidden="false" customHeight="false" outlineLevel="0" collapsed="false">
      <c r="AK318" s="15" t="e">
        <v>#NAME?</v>
      </c>
      <c r="AL318" s="15" t="e">
        <f aca="false">_xlfn.xlookup(AK318,A:A,F:F)</f>
        <v>#NAME?</v>
      </c>
      <c r="AM318" s="15" t="e">
        <f aca="false">_xlfn.xlookup(AK318,A:A,J:J)</f>
        <v>#NAME?</v>
      </c>
      <c r="AN318" s="15" t="e">
        <f aca="false">_xlfn.xlookup(AK318,A:A,M:M)+_xlfn.xlookup(AK318,A:A,N:N)</f>
        <v>#NAME?</v>
      </c>
      <c r="AO318" s="223" t="e">
        <f aca="false">_xlfn.xlookup(AK318,A:A,AG:AG)</f>
        <v>#NAME?</v>
      </c>
      <c r="AP318" s="223" t="e">
        <f aca="false">_xlfn.xlookup(AK318,A:A,AD:AD)</f>
        <v>#NAME?</v>
      </c>
      <c r="AQ318" s="223" t="e">
        <f aca="false">_xlfn.xlookup(AK318,A:A,AE:AE)</f>
        <v>#NAME?</v>
      </c>
      <c r="BB318" s="15" t="e">
        <f aca="false">_xlfn.xlookup(BA318,A:A,E:E)</f>
        <v>#NAME?</v>
      </c>
      <c r="BC318" s="15" t="e">
        <f aca="false">_xlfn.xlookup(BA318,A:A,J:J)</f>
        <v>#NAME?</v>
      </c>
      <c r="BD318" s="75" t="e">
        <f aca="false">_xlfn.xlookup(BA318,A:A,M:M)+_xlfn.xlookup(BA318,A:A,N:N)</f>
        <v>#NAME?</v>
      </c>
    </row>
    <row r="319" customFormat="false" ht="14.25" hidden="false" customHeight="false" outlineLevel="0" collapsed="false">
      <c r="AK319" s="15" t="e">
        <v>#NAME?</v>
      </c>
      <c r="AL319" s="15" t="e">
        <f aca="false">_xlfn.xlookup(AK319,A:A,F:F)</f>
        <v>#NAME?</v>
      </c>
      <c r="AM319" s="15" t="e">
        <f aca="false">_xlfn.xlookup(AK319,A:A,J:J)</f>
        <v>#NAME?</v>
      </c>
      <c r="AN319" s="15" t="e">
        <f aca="false">_xlfn.xlookup(AK319,A:A,M:M)+_xlfn.xlookup(AK319,A:A,N:N)</f>
        <v>#NAME?</v>
      </c>
      <c r="AO319" s="223" t="e">
        <f aca="false">_xlfn.xlookup(AK319,A:A,AG:AG)</f>
        <v>#NAME?</v>
      </c>
      <c r="AP319" s="223" t="e">
        <f aca="false">_xlfn.xlookup(AK319,A:A,AD:AD)</f>
        <v>#NAME?</v>
      </c>
      <c r="AQ319" s="223" t="e">
        <f aca="false">_xlfn.xlookup(AK319,A:A,AE:AE)</f>
        <v>#NAME?</v>
      </c>
      <c r="BB319" s="15" t="e">
        <f aca="false">_xlfn.xlookup(BA319,A:A,E:E)</f>
        <v>#NAME?</v>
      </c>
      <c r="BC319" s="15" t="e">
        <f aca="false">_xlfn.xlookup(BA319,A:A,J:J)</f>
        <v>#NAME?</v>
      </c>
      <c r="BD319" s="75" t="e">
        <f aca="false">_xlfn.xlookup(BA319,A:A,M:M)+_xlfn.xlookup(BA319,A:A,N:N)</f>
        <v>#NAME?</v>
      </c>
    </row>
    <row r="320" customFormat="false" ht="14.25" hidden="false" customHeight="false" outlineLevel="0" collapsed="false">
      <c r="AK320" s="15" t="e">
        <v>#NAME?</v>
      </c>
      <c r="AL320" s="15" t="e">
        <f aca="false">_xlfn.xlookup(AK320,A:A,F:F)</f>
        <v>#NAME?</v>
      </c>
      <c r="AM320" s="15" t="e">
        <f aca="false">_xlfn.xlookup(AK320,A:A,J:J)</f>
        <v>#NAME?</v>
      </c>
      <c r="AN320" s="15" t="e">
        <f aca="false">_xlfn.xlookup(AK320,A:A,M:M)+_xlfn.xlookup(AK320,A:A,N:N)</f>
        <v>#NAME?</v>
      </c>
      <c r="AO320" s="223" t="e">
        <f aca="false">_xlfn.xlookup(AK320,A:A,AG:AG)</f>
        <v>#NAME?</v>
      </c>
      <c r="AP320" s="223" t="e">
        <f aca="false">_xlfn.xlookup(AK320,A:A,AD:AD)</f>
        <v>#NAME?</v>
      </c>
      <c r="AQ320" s="223" t="e">
        <f aca="false">_xlfn.xlookup(AK320,A:A,AE:AE)</f>
        <v>#NAME?</v>
      </c>
      <c r="BB320" s="15" t="e">
        <f aca="false">_xlfn.xlookup(BA320,A:A,E:E)</f>
        <v>#NAME?</v>
      </c>
      <c r="BC320" s="15" t="e">
        <f aca="false">_xlfn.xlookup(BA320,A:A,J:J)</f>
        <v>#NAME?</v>
      </c>
      <c r="BD320" s="75" t="e">
        <f aca="false">_xlfn.xlookup(BA320,A:A,M:M)+_xlfn.xlookup(BA320,A:A,N:N)</f>
        <v>#NAME?</v>
      </c>
    </row>
    <row r="321" customFormat="false" ht="14.25" hidden="false" customHeight="false" outlineLevel="0" collapsed="false">
      <c r="AK321" s="15" t="e">
        <v>#NAME?</v>
      </c>
      <c r="AL321" s="15" t="e">
        <f aca="false">_xlfn.xlookup(AK321,A:A,F:F)</f>
        <v>#NAME?</v>
      </c>
      <c r="AM321" s="15" t="e">
        <f aca="false">_xlfn.xlookup(AK321,A:A,J:J)</f>
        <v>#NAME?</v>
      </c>
      <c r="AN321" s="15" t="e">
        <f aca="false">_xlfn.xlookup(AK321,A:A,M:M)+_xlfn.xlookup(AK321,A:A,N:N)</f>
        <v>#NAME?</v>
      </c>
      <c r="AO321" s="223" t="e">
        <f aca="false">_xlfn.xlookup(AK321,A:A,AG:AG)</f>
        <v>#NAME?</v>
      </c>
      <c r="AP321" s="223" t="e">
        <f aca="false">_xlfn.xlookup(AK321,A:A,AD:AD)</f>
        <v>#NAME?</v>
      </c>
      <c r="AQ321" s="223" t="e">
        <f aca="false">_xlfn.xlookup(AK321,A:A,AE:AE)</f>
        <v>#NAME?</v>
      </c>
      <c r="BB321" s="15" t="e">
        <f aca="false">_xlfn.xlookup(BA321,A:A,E:E)</f>
        <v>#NAME?</v>
      </c>
      <c r="BC321" s="15" t="e">
        <f aca="false">_xlfn.xlookup(BA321,A:A,J:J)</f>
        <v>#NAME?</v>
      </c>
      <c r="BD321" s="75" t="e">
        <f aca="false">_xlfn.xlookup(BA321,A:A,M:M)+_xlfn.xlookup(BA321,A:A,N:N)</f>
        <v>#NAME?</v>
      </c>
    </row>
    <row r="322" customFormat="false" ht="14.25" hidden="false" customHeight="false" outlineLevel="0" collapsed="false">
      <c r="AK322" s="15" t="e">
        <v>#NAME?</v>
      </c>
      <c r="AL322" s="15" t="e">
        <f aca="false">_xlfn.xlookup(AK322,A:A,F:F)</f>
        <v>#NAME?</v>
      </c>
      <c r="AM322" s="15" t="e">
        <f aca="false">_xlfn.xlookup(AK322,A:A,J:J)</f>
        <v>#NAME?</v>
      </c>
      <c r="AN322" s="15" t="e">
        <f aca="false">_xlfn.xlookup(AK322,A:A,M:M)+_xlfn.xlookup(AK322,A:A,N:N)</f>
        <v>#NAME?</v>
      </c>
      <c r="AO322" s="223" t="e">
        <f aca="false">_xlfn.xlookup(AK322,A:A,AG:AG)</f>
        <v>#NAME?</v>
      </c>
      <c r="AP322" s="223" t="e">
        <f aca="false">_xlfn.xlookup(AK322,A:A,AD:AD)</f>
        <v>#NAME?</v>
      </c>
      <c r="AQ322" s="223" t="e">
        <f aca="false">_xlfn.xlookup(AK322,A:A,AE:AE)</f>
        <v>#NAME?</v>
      </c>
      <c r="BB322" s="15" t="e">
        <f aca="false">_xlfn.xlookup(BA322,A:A,E:E)</f>
        <v>#NAME?</v>
      </c>
      <c r="BC322" s="15" t="e">
        <f aca="false">_xlfn.xlookup(BA322,A:A,J:J)</f>
        <v>#NAME?</v>
      </c>
      <c r="BD322" s="75" t="e">
        <f aca="false">_xlfn.xlookup(BA322,A:A,M:M)+_xlfn.xlookup(BA322,A:A,N:N)</f>
        <v>#NAME?</v>
      </c>
    </row>
    <row r="323" customFormat="false" ht="14.25" hidden="false" customHeight="false" outlineLevel="0" collapsed="false">
      <c r="AK323" s="15" t="e">
        <v>#NAME?</v>
      </c>
      <c r="AL323" s="15" t="e">
        <f aca="false">_xlfn.xlookup(AK323,A:A,F:F)</f>
        <v>#NAME?</v>
      </c>
      <c r="AM323" s="15" t="e">
        <f aca="false">_xlfn.xlookup(AK323,A:A,J:J)</f>
        <v>#NAME?</v>
      </c>
      <c r="AN323" s="15" t="e">
        <f aca="false">_xlfn.xlookup(AK323,A:A,M:M)+_xlfn.xlookup(AK323,A:A,N:N)</f>
        <v>#NAME?</v>
      </c>
      <c r="AO323" s="223" t="e">
        <f aca="false">_xlfn.xlookup(AK323,A:A,AG:AG)</f>
        <v>#NAME?</v>
      </c>
      <c r="AP323" s="223" t="e">
        <f aca="false">_xlfn.xlookup(AK323,A:A,AD:AD)</f>
        <v>#NAME?</v>
      </c>
      <c r="AQ323" s="223" t="e">
        <f aca="false">_xlfn.xlookup(AK323,A:A,AE:AE)</f>
        <v>#NAME?</v>
      </c>
      <c r="BB323" s="15" t="e">
        <f aca="false">_xlfn.xlookup(BA323,A:A,E:E)</f>
        <v>#NAME?</v>
      </c>
      <c r="BC323" s="15" t="e">
        <f aca="false">_xlfn.xlookup(BA323,A:A,J:J)</f>
        <v>#NAME?</v>
      </c>
      <c r="BD323" s="75" t="e">
        <f aca="false">_xlfn.xlookup(BA323,A:A,M:M)+_xlfn.xlookup(BA323,A:A,N:N)</f>
        <v>#NAME?</v>
      </c>
    </row>
    <row r="324" customFormat="false" ht="14.25" hidden="false" customHeight="false" outlineLevel="0" collapsed="false">
      <c r="AK324" s="15" t="e">
        <v>#NAME?</v>
      </c>
      <c r="AL324" s="15" t="e">
        <f aca="false">_xlfn.xlookup(AK324,A:A,F:F)</f>
        <v>#NAME?</v>
      </c>
      <c r="AM324" s="15" t="e">
        <f aca="false">_xlfn.xlookup(AK324,A:A,J:J)</f>
        <v>#NAME?</v>
      </c>
      <c r="AN324" s="15" t="e">
        <f aca="false">_xlfn.xlookup(AK324,A:A,M:M)+_xlfn.xlookup(AK324,A:A,N:N)</f>
        <v>#NAME?</v>
      </c>
      <c r="AO324" s="223" t="e">
        <f aca="false">_xlfn.xlookup(AK324,A:A,AG:AG)</f>
        <v>#NAME?</v>
      </c>
      <c r="AP324" s="223" t="e">
        <f aca="false">_xlfn.xlookup(AK324,A:A,AD:AD)</f>
        <v>#NAME?</v>
      </c>
      <c r="AQ324" s="223" t="e">
        <f aca="false">_xlfn.xlookup(AK324,A:A,AE:AE)</f>
        <v>#NAME?</v>
      </c>
      <c r="BB324" s="15" t="e">
        <f aca="false">_xlfn.xlookup(BA324,A:A,E:E)</f>
        <v>#NAME?</v>
      </c>
      <c r="BC324" s="15" t="e">
        <f aca="false">_xlfn.xlookup(BA324,A:A,J:J)</f>
        <v>#NAME?</v>
      </c>
      <c r="BD324" s="75" t="e">
        <f aca="false">_xlfn.xlookup(BA324,A:A,M:M)+_xlfn.xlookup(BA324,A:A,N:N)</f>
        <v>#NAME?</v>
      </c>
    </row>
    <row r="325" customFormat="false" ht="14.25" hidden="false" customHeight="false" outlineLevel="0" collapsed="false">
      <c r="AK325" s="15" t="e">
        <v>#NAME?</v>
      </c>
      <c r="AL325" s="15" t="e">
        <f aca="false">_xlfn.xlookup(AK325,A:A,F:F)</f>
        <v>#NAME?</v>
      </c>
      <c r="AM325" s="15" t="e">
        <f aca="false">_xlfn.xlookup(AK325,A:A,J:J)</f>
        <v>#NAME?</v>
      </c>
      <c r="AN325" s="15" t="e">
        <f aca="false">_xlfn.xlookup(AK325,A:A,M:M)+_xlfn.xlookup(AK325,A:A,N:N)</f>
        <v>#NAME?</v>
      </c>
      <c r="AO325" s="223" t="e">
        <f aca="false">_xlfn.xlookup(AK325,A:A,AG:AG)</f>
        <v>#NAME?</v>
      </c>
      <c r="AP325" s="223" t="e">
        <f aca="false">_xlfn.xlookup(AK325,A:A,AD:AD)</f>
        <v>#NAME?</v>
      </c>
      <c r="AQ325" s="223" t="e">
        <f aca="false">_xlfn.xlookup(AK325,A:A,AE:AE)</f>
        <v>#NAME?</v>
      </c>
      <c r="BB325" s="15" t="e">
        <f aca="false">_xlfn.xlookup(BA325,A:A,E:E)</f>
        <v>#NAME?</v>
      </c>
      <c r="BC325" s="15" t="e">
        <f aca="false">_xlfn.xlookup(BA325,A:A,J:J)</f>
        <v>#NAME?</v>
      </c>
      <c r="BD325" s="75" t="e">
        <f aca="false">_xlfn.xlookup(BA325,A:A,M:M)+_xlfn.xlookup(BA325,A:A,N:N)</f>
        <v>#NAME?</v>
      </c>
    </row>
    <row r="326" customFormat="false" ht="14.25" hidden="false" customHeight="false" outlineLevel="0" collapsed="false">
      <c r="AK326" s="15" t="e">
        <v>#NAME?</v>
      </c>
      <c r="AL326" s="15" t="e">
        <f aca="false">_xlfn.xlookup(AK326,A:A,F:F)</f>
        <v>#NAME?</v>
      </c>
      <c r="AM326" s="15" t="e">
        <f aca="false">_xlfn.xlookup(AK326,A:A,J:J)</f>
        <v>#NAME?</v>
      </c>
      <c r="AN326" s="15" t="e">
        <f aca="false">_xlfn.xlookup(AK326,A:A,M:M)+_xlfn.xlookup(AK326,A:A,N:N)</f>
        <v>#NAME?</v>
      </c>
      <c r="AO326" s="223" t="e">
        <f aca="false">_xlfn.xlookup(AK326,A:A,AG:AG)</f>
        <v>#NAME?</v>
      </c>
      <c r="AP326" s="223" t="e">
        <f aca="false">_xlfn.xlookup(AK326,A:A,AD:AD)</f>
        <v>#NAME?</v>
      </c>
      <c r="AQ326" s="223" t="e">
        <f aca="false">_xlfn.xlookup(AK326,A:A,AE:AE)</f>
        <v>#NAME?</v>
      </c>
      <c r="BB326" s="15" t="e">
        <f aca="false">_xlfn.xlookup(BA326,A:A,E:E)</f>
        <v>#NAME?</v>
      </c>
      <c r="BC326" s="15" t="e">
        <f aca="false">_xlfn.xlookup(BA326,A:A,J:J)</f>
        <v>#NAME?</v>
      </c>
      <c r="BD326" s="75" t="e">
        <f aca="false">_xlfn.xlookup(BA326,A:A,M:M)+_xlfn.xlookup(BA326,A:A,N:N)</f>
        <v>#NAME?</v>
      </c>
    </row>
    <row r="327" customFormat="false" ht="14.25" hidden="false" customHeight="false" outlineLevel="0" collapsed="false">
      <c r="AK327" s="15" t="e">
        <v>#NAME?</v>
      </c>
      <c r="AL327" s="15" t="e">
        <f aca="false">_xlfn.xlookup(AK327,A:A,F:F)</f>
        <v>#NAME?</v>
      </c>
      <c r="AM327" s="15" t="e">
        <f aca="false">_xlfn.xlookup(AK327,A:A,J:J)</f>
        <v>#NAME?</v>
      </c>
      <c r="AN327" s="15" t="e">
        <f aca="false">_xlfn.xlookup(AK327,A:A,M:M)+_xlfn.xlookup(AK327,A:A,N:N)</f>
        <v>#NAME?</v>
      </c>
      <c r="AO327" s="223" t="e">
        <f aca="false">_xlfn.xlookup(AK327,A:A,AG:AG)</f>
        <v>#NAME?</v>
      </c>
      <c r="AP327" s="223" t="e">
        <f aca="false">_xlfn.xlookup(AK327,A:A,AD:AD)</f>
        <v>#NAME?</v>
      </c>
      <c r="AQ327" s="223" t="e">
        <f aca="false">_xlfn.xlookup(AK327,A:A,AE:AE)</f>
        <v>#NAME?</v>
      </c>
      <c r="BB327" s="15" t="e">
        <f aca="false">_xlfn.xlookup(BA327,A:A,E:E)</f>
        <v>#NAME?</v>
      </c>
      <c r="BC327" s="15" t="e">
        <f aca="false">_xlfn.xlookup(BA327,A:A,J:J)</f>
        <v>#NAME?</v>
      </c>
      <c r="BD327" s="75" t="e">
        <f aca="false">_xlfn.xlookup(BA327,A:A,M:M)+_xlfn.xlookup(BA327,A:A,N:N)</f>
        <v>#NAME?</v>
      </c>
    </row>
    <row r="328" customFormat="false" ht="14.25" hidden="false" customHeight="false" outlineLevel="0" collapsed="false">
      <c r="AK328" s="15" t="e">
        <v>#NAME?</v>
      </c>
      <c r="AL328" s="15" t="e">
        <f aca="false">_xlfn.xlookup(AK328,A:A,F:F)</f>
        <v>#NAME?</v>
      </c>
      <c r="AM328" s="15" t="e">
        <f aca="false">_xlfn.xlookup(AK328,A:A,J:J)</f>
        <v>#NAME?</v>
      </c>
      <c r="AN328" s="15" t="e">
        <f aca="false">_xlfn.xlookup(AK328,A:A,M:M)+_xlfn.xlookup(AK328,A:A,N:N)</f>
        <v>#NAME?</v>
      </c>
      <c r="AO328" s="223" t="e">
        <f aca="false">_xlfn.xlookup(AK328,A:A,AG:AG)</f>
        <v>#NAME?</v>
      </c>
      <c r="AP328" s="223" t="e">
        <f aca="false">_xlfn.xlookup(AK328,A:A,AD:AD)</f>
        <v>#NAME?</v>
      </c>
      <c r="AQ328" s="223" t="e">
        <f aca="false">_xlfn.xlookup(AK328,A:A,AE:AE)</f>
        <v>#NAME?</v>
      </c>
      <c r="BB328" s="15" t="e">
        <f aca="false">_xlfn.xlookup(BA328,A:A,E:E)</f>
        <v>#NAME?</v>
      </c>
      <c r="BC328" s="15" t="e">
        <f aca="false">_xlfn.xlookup(BA328,A:A,J:J)</f>
        <v>#NAME?</v>
      </c>
      <c r="BD328" s="75" t="e">
        <f aca="false">_xlfn.xlookup(BA328,A:A,M:M)+_xlfn.xlookup(BA328,A:A,N:N)</f>
        <v>#NAME?</v>
      </c>
    </row>
    <row r="329" customFormat="false" ht="14.25" hidden="false" customHeight="false" outlineLevel="0" collapsed="false">
      <c r="AK329" s="15" t="e">
        <v>#NAME?</v>
      </c>
      <c r="AL329" s="15" t="e">
        <f aca="false">_xlfn.xlookup(AK329,A:A,F:F)</f>
        <v>#NAME?</v>
      </c>
      <c r="AM329" s="15" t="e">
        <f aca="false">_xlfn.xlookup(AK329,A:A,J:J)</f>
        <v>#NAME?</v>
      </c>
      <c r="AN329" s="15" t="e">
        <f aca="false">_xlfn.xlookup(AK329,A:A,M:M)+_xlfn.xlookup(AK329,A:A,N:N)</f>
        <v>#NAME?</v>
      </c>
      <c r="AO329" s="223" t="e">
        <f aca="false">_xlfn.xlookup(AK329,A:A,AG:AG)</f>
        <v>#NAME?</v>
      </c>
      <c r="AP329" s="223" t="e">
        <f aca="false">_xlfn.xlookup(AK329,A:A,AD:AD)</f>
        <v>#NAME?</v>
      </c>
      <c r="AQ329" s="223" t="e">
        <f aca="false">_xlfn.xlookup(AK329,A:A,AE:AE)</f>
        <v>#NAME?</v>
      </c>
      <c r="BB329" s="15" t="e">
        <f aca="false">_xlfn.xlookup(BA329,A:A,E:E)</f>
        <v>#NAME?</v>
      </c>
      <c r="BC329" s="15" t="e">
        <f aca="false">_xlfn.xlookup(BA329,A:A,J:J)</f>
        <v>#NAME?</v>
      </c>
      <c r="BD329" s="75" t="e">
        <f aca="false">_xlfn.xlookup(BA329,A:A,M:M)+_xlfn.xlookup(BA329,A:A,N:N)</f>
        <v>#NAME?</v>
      </c>
    </row>
    <row r="330" customFormat="false" ht="14.25" hidden="false" customHeight="false" outlineLevel="0" collapsed="false">
      <c r="AK330" s="15" t="e">
        <v>#NAME?</v>
      </c>
      <c r="AL330" s="15" t="e">
        <f aca="false">_xlfn.xlookup(AK330,A:A,F:F)</f>
        <v>#NAME?</v>
      </c>
      <c r="AM330" s="15" t="e">
        <f aca="false">_xlfn.xlookup(AK330,A:A,J:J)</f>
        <v>#NAME?</v>
      </c>
      <c r="AN330" s="15" t="e">
        <f aca="false">_xlfn.xlookup(AK330,A:A,M:M)+_xlfn.xlookup(AK330,A:A,N:N)</f>
        <v>#NAME?</v>
      </c>
      <c r="AO330" s="223" t="e">
        <f aca="false">_xlfn.xlookup(AK330,A:A,AG:AG)</f>
        <v>#NAME?</v>
      </c>
      <c r="AP330" s="223" t="e">
        <f aca="false">_xlfn.xlookup(AK330,A:A,AD:AD)</f>
        <v>#NAME?</v>
      </c>
      <c r="AQ330" s="223" t="e">
        <f aca="false">_xlfn.xlookup(AK330,A:A,AE:AE)</f>
        <v>#NAME?</v>
      </c>
      <c r="BB330" s="15" t="e">
        <f aca="false">_xlfn.xlookup(BA330,A:A,E:E)</f>
        <v>#NAME?</v>
      </c>
      <c r="BC330" s="15" t="e">
        <f aca="false">_xlfn.xlookup(BA330,A:A,J:J)</f>
        <v>#NAME?</v>
      </c>
      <c r="BD330" s="75" t="e">
        <f aca="false">_xlfn.xlookup(BA330,A:A,M:M)+_xlfn.xlookup(BA330,A:A,N:N)</f>
        <v>#NAME?</v>
      </c>
    </row>
    <row r="331" customFormat="false" ht="14.25" hidden="false" customHeight="false" outlineLevel="0" collapsed="false">
      <c r="AK331" s="15" t="e">
        <v>#NAME?</v>
      </c>
      <c r="AL331" s="15" t="e">
        <f aca="false">_xlfn.xlookup(AK331,A:A,F:F)</f>
        <v>#NAME?</v>
      </c>
      <c r="AM331" s="15" t="e">
        <f aca="false">_xlfn.xlookup(AK331,A:A,J:J)</f>
        <v>#NAME?</v>
      </c>
      <c r="AN331" s="15" t="e">
        <f aca="false">_xlfn.xlookup(AK331,A:A,M:M)+_xlfn.xlookup(AK331,A:A,N:N)</f>
        <v>#NAME?</v>
      </c>
      <c r="AO331" s="223" t="e">
        <f aca="false">_xlfn.xlookup(AK331,A:A,AG:AG)</f>
        <v>#NAME?</v>
      </c>
      <c r="AP331" s="223" t="e">
        <f aca="false">_xlfn.xlookup(AK331,A:A,AD:AD)</f>
        <v>#NAME?</v>
      </c>
      <c r="AQ331" s="223" t="e">
        <f aca="false">_xlfn.xlookup(AK331,A:A,AE:AE)</f>
        <v>#NAME?</v>
      </c>
      <c r="BB331" s="15" t="e">
        <f aca="false">_xlfn.xlookup(BA331,A:A,E:E)</f>
        <v>#NAME?</v>
      </c>
      <c r="BC331" s="15" t="e">
        <f aca="false">_xlfn.xlookup(BA331,A:A,J:J)</f>
        <v>#NAME?</v>
      </c>
      <c r="BD331" s="75" t="e">
        <f aca="false">_xlfn.xlookup(BA331,A:A,M:M)+_xlfn.xlookup(BA331,A:A,N:N)</f>
        <v>#NAME?</v>
      </c>
    </row>
    <row r="332" customFormat="false" ht="14.25" hidden="false" customHeight="false" outlineLevel="0" collapsed="false">
      <c r="AK332" s="15" t="e">
        <v>#NAME?</v>
      </c>
      <c r="AL332" s="15" t="e">
        <f aca="false">_xlfn.xlookup(AK332,A:A,F:F)</f>
        <v>#NAME?</v>
      </c>
      <c r="AM332" s="15" t="e">
        <f aca="false">_xlfn.xlookup(AK332,A:A,J:J)</f>
        <v>#NAME?</v>
      </c>
      <c r="AN332" s="15" t="e">
        <f aca="false">_xlfn.xlookup(AK332,A:A,M:M)+_xlfn.xlookup(AK332,A:A,N:N)</f>
        <v>#NAME?</v>
      </c>
      <c r="AO332" s="223" t="e">
        <f aca="false">_xlfn.xlookup(AK332,A:A,AG:AG)</f>
        <v>#NAME?</v>
      </c>
      <c r="AP332" s="223" t="e">
        <f aca="false">_xlfn.xlookup(AK332,A:A,AD:AD)</f>
        <v>#NAME?</v>
      </c>
      <c r="AQ332" s="223" t="e">
        <f aca="false">_xlfn.xlookup(AK332,A:A,AE:AE)</f>
        <v>#NAME?</v>
      </c>
      <c r="BB332" s="15" t="e">
        <f aca="false">_xlfn.xlookup(BA332,A:A,E:E)</f>
        <v>#NAME?</v>
      </c>
      <c r="BC332" s="15" t="e">
        <f aca="false">_xlfn.xlookup(BA332,A:A,J:J)</f>
        <v>#NAME?</v>
      </c>
      <c r="BD332" s="75" t="e">
        <f aca="false">_xlfn.xlookup(BA332,A:A,M:M)+_xlfn.xlookup(BA332,A:A,N:N)</f>
        <v>#NAME?</v>
      </c>
    </row>
    <row r="333" customFormat="false" ht="14.25" hidden="false" customHeight="false" outlineLevel="0" collapsed="false">
      <c r="AK333" s="15" t="e">
        <v>#NAME?</v>
      </c>
      <c r="AL333" s="15" t="e">
        <f aca="false">_xlfn.xlookup(AK333,A:A,F:F)</f>
        <v>#NAME?</v>
      </c>
      <c r="AM333" s="15" t="e">
        <f aca="false">_xlfn.xlookup(AK333,A:A,J:J)</f>
        <v>#NAME?</v>
      </c>
      <c r="AN333" s="15" t="e">
        <f aca="false">_xlfn.xlookup(AK333,A:A,M:M)+_xlfn.xlookup(AK333,A:A,N:N)</f>
        <v>#NAME?</v>
      </c>
      <c r="AO333" s="223" t="e">
        <f aca="false">_xlfn.xlookup(AK333,A:A,AG:AG)</f>
        <v>#NAME?</v>
      </c>
      <c r="AP333" s="223" t="e">
        <f aca="false">_xlfn.xlookup(AK333,A:A,AD:AD)</f>
        <v>#NAME?</v>
      </c>
      <c r="AQ333" s="223" t="e">
        <f aca="false">_xlfn.xlookup(AK333,A:A,AE:AE)</f>
        <v>#NAME?</v>
      </c>
      <c r="BB333" s="15" t="e">
        <f aca="false">_xlfn.xlookup(BA333,A:A,E:E)</f>
        <v>#NAME?</v>
      </c>
      <c r="BC333" s="15" t="e">
        <f aca="false">_xlfn.xlookup(BA333,A:A,J:J)</f>
        <v>#NAME?</v>
      </c>
      <c r="BD333" s="75" t="e">
        <f aca="false">_xlfn.xlookup(BA333,A:A,M:M)+_xlfn.xlookup(BA333,A:A,N:N)</f>
        <v>#NAME?</v>
      </c>
    </row>
    <row r="334" customFormat="false" ht="14.25" hidden="false" customHeight="false" outlineLevel="0" collapsed="false">
      <c r="AK334" s="15" t="e">
        <v>#NAME?</v>
      </c>
      <c r="AL334" s="15" t="e">
        <f aca="false">_xlfn.xlookup(AK334,A:A,F:F)</f>
        <v>#NAME?</v>
      </c>
      <c r="AM334" s="15" t="e">
        <f aca="false">_xlfn.xlookup(AK334,A:A,J:J)</f>
        <v>#NAME?</v>
      </c>
      <c r="AN334" s="15" t="e">
        <f aca="false">_xlfn.xlookup(AK334,A:A,M:M)+_xlfn.xlookup(AK334,A:A,N:N)</f>
        <v>#NAME?</v>
      </c>
      <c r="AO334" s="223" t="e">
        <f aca="false">_xlfn.xlookup(AK334,A:A,AG:AG)</f>
        <v>#NAME?</v>
      </c>
      <c r="AP334" s="223" t="e">
        <f aca="false">_xlfn.xlookup(AK334,A:A,AD:AD)</f>
        <v>#NAME?</v>
      </c>
      <c r="AQ334" s="223" t="e">
        <f aca="false">_xlfn.xlookup(AK334,A:A,AE:AE)</f>
        <v>#NAME?</v>
      </c>
      <c r="BB334" s="15" t="e">
        <f aca="false">_xlfn.xlookup(BA334,A:A,E:E)</f>
        <v>#NAME?</v>
      </c>
      <c r="BC334" s="15" t="e">
        <f aca="false">_xlfn.xlookup(BA334,A:A,J:J)</f>
        <v>#NAME?</v>
      </c>
      <c r="BD334" s="75" t="e">
        <f aca="false">_xlfn.xlookup(BA334,A:A,M:M)+_xlfn.xlookup(BA334,A:A,N:N)</f>
        <v>#NAME?</v>
      </c>
    </row>
    <row r="335" customFormat="false" ht="14.25" hidden="false" customHeight="false" outlineLevel="0" collapsed="false">
      <c r="AK335" s="15" t="e">
        <v>#NAME?</v>
      </c>
      <c r="AL335" s="15" t="e">
        <f aca="false">_xlfn.xlookup(AK335,A:A,F:F)</f>
        <v>#NAME?</v>
      </c>
      <c r="AM335" s="15" t="e">
        <f aca="false">_xlfn.xlookup(AK335,A:A,J:J)</f>
        <v>#NAME?</v>
      </c>
      <c r="AN335" s="15" t="e">
        <f aca="false">_xlfn.xlookup(AK335,A:A,M:M)+_xlfn.xlookup(AK335,A:A,N:N)</f>
        <v>#NAME?</v>
      </c>
      <c r="AO335" s="223" t="e">
        <f aca="false">_xlfn.xlookup(AK335,A:A,AG:AG)</f>
        <v>#NAME?</v>
      </c>
      <c r="AP335" s="223" t="e">
        <f aca="false">_xlfn.xlookup(AK335,A:A,AD:AD)</f>
        <v>#NAME?</v>
      </c>
      <c r="AQ335" s="223" t="e">
        <f aca="false">_xlfn.xlookup(AK335,A:A,AE:AE)</f>
        <v>#NAME?</v>
      </c>
      <c r="BB335" s="15" t="e">
        <f aca="false">_xlfn.xlookup(BA335,A:A,E:E)</f>
        <v>#NAME?</v>
      </c>
      <c r="BC335" s="15" t="e">
        <f aca="false">_xlfn.xlookup(BA335,A:A,J:J)</f>
        <v>#NAME?</v>
      </c>
      <c r="BD335" s="75" t="e">
        <f aca="false">_xlfn.xlookup(BA335,A:A,M:M)+_xlfn.xlookup(BA335,A:A,N:N)</f>
        <v>#NAME?</v>
      </c>
    </row>
    <row r="336" customFormat="false" ht="14.25" hidden="false" customHeight="false" outlineLevel="0" collapsed="false">
      <c r="AK336" s="15" t="e">
        <v>#NAME?</v>
      </c>
      <c r="AL336" s="15" t="e">
        <f aca="false">_xlfn.xlookup(AK336,A:A,F:F)</f>
        <v>#NAME?</v>
      </c>
      <c r="AM336" s="15" t="e">
        <f aca="false">_xlfn.xlookup(AK336,A:A,J:J)</f>
        <v>#NAME?</v>
      </c>
      <c r="AN336" s="15" t="e">
        <f aca="false">_xlfn.xlookup(AK336,A:A,M:M)+_xlfn.xlookup(AK336,A:A,N:N)</f>
        <v>#NAME?</v>
      </c>
      <c r="AO336" s="223" t="e">
        <f aca="false">_xlfn.xlookup(AK336,A:A,AG:AG)</f>
        <v>#NAME?</v>
      </c>
      <c r="AP336" s="223" t="e">
        <f aca="false">_xlfn.xlookup(AK336,A:A,AD:AD)</f>
        <v>#NAME?</v>
      </c>
      <c r="AQ336" s="223" t="e">
        <f aca="false">_xlfn.xlookup(AK336,A:A,AE:AE)</f>
        <v>#NAME?</v>
      </c>
      <c r="BB336" s="15" t="e">
        <f aca="false">_xlfn.xlookup(BA336,A:A,E:E)</f>
        <v>#NAME?</v>
      </c>
      <c r="BC336" s="15" t="e">
        <f aca="false">_xlfn.xlookup(BA336,A:A,J:J)</f>
        <v>#NAME?</v>
      </c>
      <c r="BD336" s="75" t="e">
        <f aca="false">_xlfn.xlookup(BA336,A:A,M:M)+_xlfn.xlookup(BA336,A:A,N:N)</f>
        <v>#NAME?</v>
      </c>
    </row>
    <row r="337" customFormat="false" ht="14.25" hidden="false" customHeight="false" outlineLevel="0" collapsed="false">
      <c r="AK337" s="15" t="e">
        <v>#NAME?</v>
      </c>
      <c r="AL337" s="15" t="e">
        <f aca="false">_xlfn.xlookup(AK337,A:A,F:F)</f>
        <v>#NAME?</v>
      </c>
      <c r="AM337" s="15" t="e">
        <f aca="false">_xlfn.xlookup(AK337,A:A,J:J)</f>
        <v>#NAME?</v>
      </c>
      <c r="AN337" s="15" t="e">
        <f aca="false">_xlfn.xlookup(AK337,A:A,M:M)+_xlfn.xlookup(AK337,A:A,N:N)</f>
        <v>#NAME?</v>
      </c>
      <c r="AO337" s="223" t="e">
        <f aca="false">_xlfn.xlookup(AK337,A:A,AG:AG)</f>
        <v>#NAME?</v>
      </c>
      <c r="AP337" s="223" t="e">
        <f aca="false">_xlfn.xlookup(AK337,A:A,AD:AD)</f>
        <v>#NAME?</v>
      </c>
      <c r="AQ337" s="223" t="e">
        <f aca="false">_xlfn.xlookup(AK337,A:A,AE:AE)</f>
        <v>#NAME?</v>
      </c>
      <c r="BB337" s="15" t="e">
        <f aca="false">_xlfn.xlookup(BA337,A:A,E:E)</f>
        <v>#NAME?</v>
      </c>
      <c r="BC337" s="15" t="e">
        <f aca="false">_xlfn.xlookup(BA337,A:A,J:J)</f>
        <v>#NAME?</v>
      </c>
      <c r="BD337" s="75" t="e">
        <f aca="false">_xlfn.xlookup(BA337,A:A,M:M)+_xlfn.xlookup(BA337,A:A,N:N)</f>
        <v>#NAME?</v>
      </c>
    </row>
    <row r="338" customFormat="false" ht="14.25" hidden="false" customHeight="false" outlineLevel="0" collapsed="false">
      <c r="AK338" s="15" t="e">
        <v>#NAME?</v>
      </c>
      <c r="AL338" s="15" t="e">
        <f aca="false">_xlfn.xlookup(AK338,A:A,F:F)</f>
        <v>#NAME?</v>
      </c>
      <c r="AM338" s="15" t="e">
        <f aca="false">_xlfn.xlookup(AK338,A:A,J:J)</f>
        <v>#NAME?</v>
      </c>
      <c r="AN338" s="15" t="e">
        <f aca="false">_xlfn.xlookup(AK338,A:A,M:M)+_xlfn.xlookup(AK338,A:A,N:N)</f>
        <v>#NAME?</v>
      </c>
      <c r="AO338" s="223" t="e">
        <f aca="false">_xlfn.xlookup(AK338,A:A,AG:AG)</f>
        <v>#NAME?</v>
      </c>
      <c r="AP338" s="223" t="e">
        <f aca="false">_xlfn.xlookup(AK338,A:A,AD:AD)</f>
        <v>#NAME?</v>
      </c>
      <c r="AQ338" s="223" t="e">
        <f aca="false">_xlfn.xlookup(AK338,A:A,AE:AE)</f>
        <v>#NAME?</v>
      </c>
      <c r="BB338" s="15" t="e">
        <f aca="false">_xlfn.xlookup(BA338,A:A,E:E)</f>
        <v>#NAME?</v>
      </c>
      <c r="BC338" s="15" t="e">
        <f aca="false">_xlfn.xlookup(BA338,A:A,J:J)</f>
        <v>#NAME?</v>
      </c>
      <c r="BD338" s="75" t="e">
        <f aca="false">_xlfn.xlookup(BA338,A:A,M:M)+_xlfn.xlookup(BA338,A:A,N:N)</f>
        <v>#NAME?</v>
      </c>
    </row>
    <row r="339" customFormat="false" ht="14.25" hidden="false" customHeight="false" outlineLevel="0" collapsed="false">
      <c r="AK339" s="15" t="e">
        <v>#NAME?</v>
      </c>
      <c r="AL339" s="15" t="e">
        <f aca="false">_xlfn.xlookup(AK339,A:A,F:F)</f>
        <v>#NAME?</v>
      </c>
      <c r="AM339" s="15" t="e">
        <f aca="false">_xlfn.xlookup(AK339,A:A,J:J)</f>
        <v>#NAME?</v>
      </c>
      <c r="AN339" s="15" t="e">
        <f aca="false">_xlfn.xlookup(AK339,A:A,M:M)+_xlfn.xlookup(AK339,A:A,N:N)</f>
        <v>#NAME?</v>
      </c>
      <c r="AO339" s="223" t="e">
        <f aca="false">_xlfn.xlookup(AK339,A:A,AG:AG)</f>
        <v>#NAME?</v>
      </c>
      <c r="AP339" s="223" t="e">
        <f aca="false">_xlfn.xlookup(AK339,A:A,AD:AD)</f>
        <v>#NAME?</v>
      </c>
      <c r="AQ339" s="223" t="e">
        <f aca="false">_xlfn.xlookup(AK339,A:A,AE:AE)</f>
        <v>#NAME?</v>
      </c>
      <c r="BB339" s="15" t="e">
        <f aca="false">_xlfn.xlookup(BA339,A:A,E:E)</f>
        <v>#NAME?</v>
      </c>
      <c r="BC339" s="15" t="e">
        <f aca="false">_xlfn.xlookup(BA339,A:A,J:J)</f>
        <v>#NAME?</v>
      </c>
      <c r="BD339" s="75" t="e">
        <f aca="false">_xlfn.xlookup(BA339,A:A,M:M)+_xlfn.xlookup(BA339,A:A,N:N)</f>
        <v>#NAME?</v>
      </c>
    </row>
    <row r="340" customFormat="false" ht="14.25" hidden="false" customHeight="false" outlineLevel="0" collapsed="false">
      <c r="AK340" s="15" t="e">
        <v>#NAME?</v>
      </c>
      <c r="AL340" s="15" t="e">
        <f aca="false">_xlfn.xlookup(AK340,A:A,F:F)</f>
        <v>#NAME?</v>
      </c>
      <c r="AM340" s="15" t="e">
        <f aca="false">_xlfn.xlookup(AK340,A:A,J:J)</f>
        <v>#NAME?</v>
      </c>
      <c r="AN340" s="15" t="e">
        <f aca="false">_xlfn.xlookup(AK340,A:A,M:M)+_xlfn.xlookup(AK340,A:A,N:N)</f>
        <v>#NAME?</v>
      </c>
      <c r="AO340" s="223" t="e">
        <f aca="false">_xlfn.xlookup(AK340,A:A,AG:AG)</f>
        <v>#NAME?</v>
      </c>
      <c r="AP340" s="223" t="e">
        <f aca="false">_xlfn.xlookup(AK340,A:A,AD:AD)</f>
        <v>#NAME?</v>
      </c>
      <c r="AQ340" s="223" t="e">
        <f aca="false">_xlfn.xlookup(AK340,A:A,AE:AE)</f>
        <v>#NAME?</v>
      </c>
      <c r="BB340" s="15" t="e">
        <f aca="false">_xlfn.xlookup(BA340,A:A,E:E)</f>
        <v>#NAME?</v>
      </c>
      <c r="BC340" s="15" t="e">
        <f aca="false">_xlfn.xlookup(BA340,A:A,J:J)</f>
        <v>#NAME?</v>
      </c>
      <c r="BD340" s="75" t="e">
        <f aca="false">_xlfn.xlookup(BA340,A:A,M:M)+_xlfn.xlookup(BA340,A:A,N:N)</f>
        <v>#NAME?</v>
      </c>
    </row>
    <row r="341" customFormat="false" ht="14.25" hidden="false" customHeight="false" outlineLevel="0" collapsed="false">
      <c r="AK341" s="15" t="e">
        <v>#NAME?</v>
      </c>
      <c r="AL341" s="15" t="e">
        <f aca="false">_xlfn.xlookup(AK341,A:A,F:F)</f>
        <v>#NAME?</v>
      </c>
      <c r="AM341" s="15" t="e">
        <f aca="false">_xlfn.xlookup(AK341,A:A,J:J)</f>
        <v>#NAME?</v>
      </c>
      <c r="AN341" s="15" t="e">
        <f aca="false">_xlfn.xlookup(AK341,A:A,M:M)+_xlfn.xlookup(AK341,A:A,N:N)</f>
        <v>#NAME?</v>
      </c>
      <c r="AO341" s="223" t="e">
        <f aca="false">_xlfn.xlookup(AK341,A:A,AG:AG)</f>
        <v>#NAME?</v>
      </c>
      <c r="AP341" s="223" t="e">
        <f aca="false">_xlfn.xlookup(AK341,A:A,AD:AD)</f>
        <v>#NAME?</v>
      </c>
      <c r="AQ341" s="223" t="e">
        <f aca="false">_xlfn.xlookup(AK341,A:A,AE:AE)</f>
        <v>#NAME?</v>
      </c>
      <c r="BB341" s="15" t="e">
        <f aca="false">_xlfn.xlookup(BA341,A:A,E:E)</f>
        <v>#NAME?</v>
      </c>
      <c r="BC341" s="15" t="e">
        <f aca="false">_xlfn.xlookup(BA341,A:A,J:J)</f>
        <v>#NAME?</v>
      </c>
      <c r="BD341" s="75" t="e">
        <f aca="false">_xlfn.xlookup(BA341,A:A,M:M)+_xlfn.xlookup(BA341,A:A,N:N)</f>
        <v>#NAME?</v>
      </c>
    </row>
    <row r="342" customFormat="false" ht="14.25" hidden="false" customHeight="false" outlineLevel="0" collapsed="false">
      <c r="AK342" s="15" t="e">
        <v>#NAME?</v>
      </c>
      <c r="AL342" s="15" t="e">
        <f aca="false">_xlfn.xlookup(AK342,A:A,F:F)</f>
        <v>#NAME?</v>
      </c>
      <c r="AM342" s="15" t="e">
        <f aca="false">_xlfn.xlookup(AK342,A:A,J:J)</f>
        <v>#NAME?</v>
      </c>
      <c r="AN342" s="15" t="e">
        <f aca="false">_xlfn.xlookup(AK342,A:A,M:M)+_xlfn.xlookup(AK342,A:A,N:N)</f>
        <v>#NAME?</v>
      </c>
      <c r="AO342" s="223" t="e">
        <f aca="false">_xlfn.xlookup(AK342,A:A,AG:AG)</f>
        <v>#NAME?</v>
      </c>
      <c r="AP342" s="223" t="e">
        <f aca="false">_xlfn.xlookup(AK342,A:A,AD:AD)</f>
        <v>#NAME?</v>
      </c>
      <c r="AQ342" s="223" t="e">
        <f aca="false">_xlfn.xlookup(AK342,A:A,AE:AE)</f>
        <v>#NAME?</v>
      </c>
      <c r="BB342" s="15" t="e">
        <f aca="false">_xlfn.xlookup(BA342,A:A,E:E)</f>
        <v>#NAME?</v>
      </c>
      <c r="BC342" s="15" t="e">
        <f aca="false">_xlfn.xlookup(BA342,A:A,J:J)</f>
        <v>#NAME?</v>
      </c>
      <c r="BD342" s="75" t="e">
        <f aca="false">_xlfn.xlookup(BA342,A:A,M:M)+_xlfn.xlookup(BA342,A:A,N:N)</f>
        <v>#NAME?</v>
      </c>
    </row>
    <row r="343" customFormat="false" ht="14.25" hidden="false" customHeight="false" outlineLevel="0" collapsed="false">
      <c r="AK343" s="15" t="e">
        <v>#NAME?</v>
      </c>
      <c r="AL343" s="15" t="e">
        <f aca="false">_xlfn.xlookup(AK343,A:A,F:F)</f>
        <v>#NAME?</v>
      </c>
      <c r="AM343" s="15" t="e">
        <f aca="false">_xlfn.xlookup(AK343,A:A,J:J)</f>
        <v>#NAME?</v>
      </c>
      <c r="AN343" s="15" t="e">
        <f aca="false">_xlfn.xlookup(AK343,A:A,M:M)+_xlfn.xlookup(AK343,A:A,N:N)</f>
        <v>#NAME?</v>
      </c>
      <c r="AO343" s="223" t="e">
        <f aca="false">_xlfn.xlookup(AK343,A:A,AG:AG)</f>
        <v>#NAME?</v>
      </c>
      <c r="AP343" s="223" t="e">
        <f aca="false">_xlfn.xlookup(AK343,A:A,AD:AD)</f>
        <v>#NAME?</v>
      </c>
      <c r="AQ343" s="223" t="e">
        <f aca="false">_xlfn.xlookup(AK343,A:A,AE:AE)</f>
        <v>#NAME?</v>
      </c>
      <c r="BB343" s="15" t="e">
        <f aca="false">_xlfn.xlookup(BA343,A:A,E:E)</f>
        <v>#NAME?</v>
      </c>
      <c r="BC343" s="15" t="e">
        <f aca="false">_xlfn.xlookup(BA343,A:A,J:J)</f>
        <v>#NAME?</v>
      </c>
      <c r="BD343" s="75" t="e">
        <f aca="false">_xlfn.xlookup(BA343,A:A,M:M)+_xlfn.xlookup(BA343,A:A,N:N)</f>
        <v>#NAME?</v>
      </c>
    </row>
    <row r="344" customFormat="false" ht="14.25" hidden="false" customHeight="false" outlineLevel="0" collapsed="false">
      <c r="AK344" s="15" t="e">
        <v>#NAME?</v>
      </c>
      <c r="AL344" s="15" t="e">
        <f aca="false">_xlfn.xlookup(AK344,A:A,F:F)</f>
        <v>#NAME?</v>
      </c>
      <c r="AM344" s="15" t="e">
        <f aca="false">_xlfn.xlookup(AK344,A:A,J:J)</f>
        <v>#NAME?</v>
      </c>
      <c r="AN344" s="15" t="e">
        <f aca="false">_xlfn.xlookup(AK344,A:A,M:M)+_xlfn.xlookup(AK344,A:A,N:N)</f>
        <v>#NAME?</v>
      </c>
      <c r="AO344" s="223" t="e">
        <f aca="false">_xlfn.xlookup(AK344,A:A,AG:AG)</f>
        <v>#NAME?</v>
      </c>
      <c r="AP344" s="223" t="e">
        <f aca="false">_xlfn.xlookup(AK344,A:A,AD:AD)</f>
        <v>#NAME?</v>
      </c>
      <c r="AQ344" s="223" t="e">
        <f aca="false">_xlfn.xlookup(AK344,A:A,AE:AE)</f>
        <v>#NAME?</v>
      </c>
      <c r="BB344" s="15" t="e">
        <f aca="false">_xlfn.xlookup(BA344,A:A,E:E)</f>
        <v>#NAME?</v>
      </c>
      <c r="BC344" s="15" t="e">
        <f aca="false">_xlfn.xlookup(BA344,A:A,J:J)</f>
        <v>#NAME?</v>
      </c>
      <c r="BD344" s="75" t="e">
        <f aca="false">_xlfn.xlookup(BA344,A:A,M:M)+_xlfn.xlookup(BA344,A:A,N:N)</f>
        <v>#NAME?</v>
      </c>
    </row>
    <row r="345" customFormat="false" ht="14.25" hidden="false" customHeight="false" outlineLevel="0" collapsed="false">
      <c r="AK345" s="15" t="e">
        <v>#NAME?</v>
      </c>
      <c r="AL345" s="15" t="e">
        <f aca="false">_xlfn.xlookup(AK345,A:A,F:F)</f>
        <v>#NAME?</v>
      </c>
      <c r="AM345" s="15" t="e">
        <f aca="false">_xlfn.xlookup(AK345,A:A,J:J)</f>
        <v>#NAME?</v>
      </c>
      <c r="AN345" s="15" t="e">
        <f aca="false">_xlfn.xlookup(AK345,A:A,M:M)+_xlfn.xlookup(AK345,A:A,N:N)</f>
        <v>#NAME?</v>
      </c>
      <c r="AO345" s="223" t="e">
        <f aca="false">_xlfn.xlookup(AK345,A:A,AG:AG)</f>
        <v>#NAME?</v>
      </c>
      <c r="AP345" s="223" t="e">
        <f aca="false">_xlfn.xlookup(AK345,A:A,AD:AD)</f>
        <v>#NAME?</v>
      </c>
      <c r="AQ345" s="223" t="e">
        <f aca="false">_xlfn.xlookup(AK345,A:A,AE:AE)</f>
        <v>#NAME?</v>
      </c>
      <c r="BB345" s="15" t="e">
        <f aca="false">_xlfn.xlookup(BA345,A:A,E:E)</f>
        <v>#NAME?</v>
      </c>
      <c r="BC345" s="15" t="e">
        <f aca="false">_xlfn.xlookup(BA345,A:A,J:J)</f>
        <v>#NAME?</v>
      </c>
      <c r="BD345" s="75" t="e">
        <f aca="false">_xlfn.xlookup(BA345,A:A,M:M)+_xlfn.xlookup(BA345,A:A,N:N)</f>
        <v>#NAME?</v>
      </c>
    </row>
    <row r="346" customFormat="false" ht="14.25" hidden="false" customHeight="false" outlineLevel="0" collapsed="false">
      <c r="AK346" s="15" t="e">
        <v>#NAME?</v>
      </c>
      <c r="AL346" s="15" t="e">
        <f aca="false">_xlfn.xlookup(AK346,A:A,F:F)</f>
        <v>#NAME?</v>
      </c>
      <c r="AM346" s="15" t="e">
        <f aca="false">_xlfn.xlookup(AK346,A:A,J:J)</f>
        <v>#NAME?</v>
      </c>
      <c r="AN346" s="15" t="e">
        <f aca="false">_xlfn.xlookup(AK346,A:A,M:M)+_xlfn.xlookup(AK346,A:A,N:N)</f>
        <v>#NAME?</v>
      </c>
      <c r="AO346" s="223" t="e">
        <f aca="false">_xlfn.xlookup(AK346,A:A,AG:AG)</f>
        <v>#NAME?</v>
      </c>
      <c r="AP346" s="223" t="e">
        <f aca="false">_xlfn.xlookup(AK346,A:A,AD:AD)</f>
        <v>#NAME?</v>
      </c>
      <c r="AQ346" s="223" t="e">
        <f aca="false">_xlfn.xlookup(AK346,A:A,AE:AE)</f>
        <v>#NAME?</v>
      </c>
      <c r="BB346" s="15" t="e">
        <f aca="false">_xlfn.xlookup(BA346,A:A,E:E)</f>
        <v>#NAME?</v>
      </c>
      <c r="BC346" s="15" t="e">
        <f aca="false">_xlfn.xlookup(BA346,A:A,J:J)</f>
        <v>#NAME?</v>
      </c>
      <c r="BD346" s="75" t="e">
        <f aca="false">_xlfn.xlookup(BA346,A:A,M:M)+_xlfn.xlookup(BA346,A:A,N:N)</f>
        <v>#NAME?</v>
      </c>
    </row>
    <row r="347" customFormat="false" ht="14.25" hidden="false" customHeight="false" outlineLevel="0" collapsed="false">
      <c r="AK347" s="15" t="e">
        <v>#NAME?</v>
      </c>
      <c r="AL347" s="15" t="e">
        <f aca="false">_xlfn.xlookup(AK347,A:A,F:F)</f>
        <v>#NAME?</v>
      </c>
      <c r="AM347" s="15" t="e">
        <f aca="false">_xlfn.xlookup(AK347,A:A,J:J)</f>
        <v>#NAME?</v>
      </c>
      <c r="AN347" s="15" t="e">
        <f aca="false">_xlfn.xlookup(AK347,A:A,M:M)+_xlfn.xlookup(AK347,A:A,N:N)</f>
        <v>#NAME?</v>
      </c>
      <c r="AO347" s="223" t="e">
        <f aca="false">_xlfn.xlookup(AK347,A:A,AG:AG)</f>
        <v>#NAME?</v>
      </c>
      <c r="AP347" s="223" t="e">
        <f aca="false">_xlfn.xlookup(AK347,A:A,AD:AD)</f>
        <v>#NAME?</v>
      </c>
      <c r="AQ347" s="223" t="e">
        <f aca="false">_xlfn.xlookup(AK347,A:A,AE:AE)</f>
        <v>#NAME?</v>
      </c>
      <c r="BB347" s="15" t="e">
        <f aca="false">_xlfn.xlookup(BA347,A:A,E:E)</f>
        <v>#NAME?</v>
      </c>
      <c r="BC347" s="15" t="e">
        <f aca="false">_xlfn.xlookup(BA347,A:A,J:J)</f>
        <v>#NAME?</v>
      </c>
      <c r="BD347" s="75" t="e">
        <f aca="false">_xlfn.xlookup(BA347,A:A,M:M)+_xlfn.xlookup(BA347,A:A,N:N)</f>
        <v>#NAME?</v>
      </c>
    </row>
    <row r="348" customFormat="false" ht="14.25" hidden="false" customHeight="false" outlineLevel="0" collapsed="false">
      <c r="AK348" s="15" t="e">
        <v>#NAME?</v>
      </c>
      <c r="AL348" s="15" t="e">
        <f aca="false">_xlfn.xlookup(AK348,A:A,F:F)</f>
        <v>#NAME?</v>
      </c>
      <c r="AM348" s="15" t="e">
        <f aca="false">_xlfn.xlookup(AK348,A:A,J:J)</f>
        <v>#NAME?</v>
      </c>
      <c r="AN348" s="15" t="e">
        <f aca="false">_xlfn.xlookup(AK348,A:A,M:M)+_xlfn.xlookup(AK348,A:A,N:N)</f>
        <v>#NAME?</v>
      </c>
      <c r="AO348" s="223" t="e">
        <f aca="false">_xlfn.xlookup(AK348,A:A,AG:AG)</f>
        <v>#NAME?</v>
      </c>
      <c r="AP348" s="223" t="e">
        <f aca="false">_xlfn.xlookup(AK348,A:A,AD:AD)</f>
        <v>#NAME?</v>
      </c>
      <c r="AQ348" s="223" t="e">
        <f aca="false">_xlfn.xlookup(AK348,A:A,AE:AE)</f>
        <v>#NAME?</v>
      </c>
      <c r="BB348" s="15" t="e">
        <f aca="false">_xlfn.xlookup(BA348,A:A,E:E)</f>
        <v>#NAME?</v>
      </c>
      <c r="BC348" s="15" t="e">
        <f aca="false">_xlfn.xlookup(BA348,A:A,J:J)</f>
        <v>#NAME?</v>
      </c>
      <c r="BD348" s="75" t="e">
        <f aca="false">_xlfn.xlookup(BA348,A:A,M:M)+_xlfn.xlookup(BA348,A:A,N:N)</f>
        <v>#NAME?</v>
      </c>
    </row>
    <row r="349" customFormat="false" ht="14.25" hidden="false" customHeight="false" outlineLevel="0" collapsed="false">
      <c r="AK349" s="15" t="e">
        <v>#NAME?</v>
      </c>
      <c r="AL349" s="15" t="e">
        <f aca="false">_xlfn.xlookup(AK349,A:A,F:F)</f>
        <v>#NAME?</v>
      </c>
      <c r="AM349" s="15" t="e">
        <f aca="false">_xlfn.xlookup(AK349,A:A,J:J)</f>
        <v>#NAME?</v>
      </c>
      <c r="AN349" s="15" t="e">
        <f aca="false">_xlfn.xlookup(AK349,A:A,M:M)+_xlfn.xlookup(AK349,A:A,N:N)</f>
        <v>#NAME?</v>
      </c>
      <c r="AO349" s="223" t="e">
        <f aca="false">_xlfn.xlookup(AK349,A:A,AG:AG)</f>
        <v>#NAME?</v>
      </c>
      <c r="AP349" s="223" t="e">
        <f aca="false">_xlfn.xlookup(AK349,A:A,AD:AD)</f>
        <v>#NAME?</v>
      </c>
      <c r="AQ349" s="223" t="e">
        <f aca="false">_xlfn.xlookup(AK349,A:A,AE:AE)</f>
        <v>#NAME?</v>
      </c>
      <c r="BB349" s="15" t="e">
        <f aca="false">_xlfn.xlookup(BA349,A:A,E:E)</f>
        <v>#NAME?</v>
      </c>
      <c r="BC349" s="15" t="e">
        <f aca="false">_xlfn.xlookup(BA349,A:A,J:J)</f>
        <v>#NAME?</v>
      </c>
      <c r="BD349" s="75" t="e">
        <f aca="false">_xlfn.xlookup(BA349,A:A,M:M)+_xlfn.xlookup(BA349,A:A,N:N)</f>
        <v>#NAME?</v>
      </c>
    </row>
    <row r="350" customFormat="false" ht="14.25" hidden="false" customHeight="false" outlineLevel="0" collapsed="false">
      <c r="AK350" s="15" t="e">
        <v>#NAME?</v>
      </c>
      <c r="AL350" s="15" t="e">
        <f aca="false">_xlfn.xlookup(AK350,A:A,F:F)</f>
        <v>#NAME?</v>
      </c>
      <c r="AM350" s="15" t="e">
        <f aca="false">_xlfn.xlookup(AK350,A:A,J:J)</f>
        <v>#NAME?</v>
      </c>
      <c r="AN350" s="15" t="e">
        <f aca="false">_xlfn.xlookup(AK350,A:A,M:M)+_xlfn.xlookup(AK350,A:A,N:N)</f>
        <v>#NAME?</v>
      </c>
      <c r="AO350" s="223" t="e">
        <f aca="false">_xlfn.xlookup(AK350,A:A,AG:AG)</f>
        <v>#NAME?</v>
      </c>
      <c r="AP350" s="223" t="e">
        <f aca="false">_xlfn.xlookup(AK350,A:A,AD:AD)</f>
        <v>#NAME?</v>
      </c>
      <c r="AQ350" s="223" t="e">
        <f aca="false">_xlfn.xlookup(AK350,A:A,AE:AE)</f>
        <v>#NAME?</v>
      </c>
      <c r="BB350" s="15" t="e">
        <f aca="false">_xlfn.xlookup(BA350,A:A,E:E)</f>
        <v>#NAME?</v>
      </c>
      <c r="BC350" s="15" t="e">
        <f aca="false">_xlfn.xlookup(BA350,A:A,J:J)</f>
        <v>#NAME?</v>
      </c>
      <c r="BD350" s="75" t="e">
        <f aca="false">_xlfn.xlookup(BA350,A:A,M:M)+_xlfn.xlookup(BA350,A:A,N:N)</f>
        <v>#NAME?</v>
      </c>
    </row>
    <row r="351" customFormat="false" ht="14.25" hidden="false" customHeight="false" outlineLevel="0" collapsed="false">
      <c r="AK351" s="15" t="e">
        <v>#NAME?</v>
      </c>
      <c r="AL351" s="15" t="e">
        <f aca="false">_xlfn.xlookup(AK351,A:A,F:F)</f>
        <v>#NAME?</v>
      </c>
      <c r="AM351" s="15" t="e">
        <f aca="false">_xlfn.xlookup(AK351,A:A,J:J)</f>
        <v>#NAME?</v>
      </c>
      <c r="AN351" s="15" t="e">
        <f aca="false">_xlfn.xlookup(AK351,A:A,M:M)+_xlfn.xlookup(AK351,A:A,N:N)</f>
        <v>#NAME?</v>
      </c>
      <c r="AO351" s="223" t="e">
        <f aca="false">_xlfn.xlookup(AK351,A:A,AG:AG)</f>
        <v>#NAME?</v>
      </c>
      <c r="AP351" s="223" t="e">
        <f aca="false">_xlfn.xlookup(AK351,A:A,AD:AD)</f>
        <v>#NAME?</v>
      </c>
      <c r="AQ351" s="223" t="e">
        <f aca="false">_xlfn.xlookup(AK351,A:A,AE:AE)</f>
        <v>#NAME?</v>
      </c>
      <c r="BB351" s="15" t="e">
        <f aca="false">_xlfn.xlookup(BA351,A:A,E:E)</f>
        <v>#NAME?</v>
      </c>
      <c r="BC351" s="15" t="e">
        <f aca="false">_xlfn.xlookup(BA351,A:A,J:J)</f>
        <v>#NAME?</v>
      </c>
      <c r="BD351" s="75" t="e">
        <f aca="false">_xlfn.xlookup(BA351,A:A,M:M)+_xlfn.xlookup(BA351,A:A,N:N)</f>
        <v>#NAME?</v>
      </c>
    </row>
    <row r="352" customFormat="false" ht="14.25" hidden="false" customHeight="false" outlineLevel="0" collapsed="false">
      <c r="AK352" s="15" t="e">
        <v>#NAME?</v>
      </c>
      <c r="AL352" s="15" t="e">
        <f aca="false">_xlfn.xlookup(AK352,A:A,F:F)</f>
        <v>#NAME?</v>
      </c>
      <c r="AM352" s="15" t="e">
        <f aca="false">_xlfn.xlookup(AK352,A:A,J:J)</f>
        <v>#NAME?</v>
      </c>
      <c r="AN352" s="15" t="e">
        <f aca="false">_xlfn.xlookup(AK352,A:A,M:M)+_xlfn.xlookup(AK352,A:A,N:N)</f>
        <v>#NAME?</v>
      </c>
      <c r="AO352" s="223" t="e">
        <f aca="false">_xlfn.xlookup(AK352,A:A,AG:AG)</f>
        <v>#NAME?</v>
      </c>
      <c r="AP352" s="223" t="e">
        <f aca="false">_xlfn.xlookup(AK352,A:A,AD:AD)</f>
        <v>#NAME?</v>
      </c>
      <c r="AQ352" s="223" t="e">
        <f aca="false">_xlfn.xlookup(AK352,A:A,AE:AE)</f>
        <v>#NAME?</v>
      </c>
      <c r="BB352" s="15" t="e">
        <f aca="false">_xlfn.xlookup(BA352,A:A,E:E)</f>
        <v>#NAME?</v>
      </c>
      <c r="BC352" s="15" t="e">
        <f aca="false">_xlfn.xlookup(BA352,A:A,J:J)</f>
        <v>#NAME?</v>
      </c>
      <c r="BD352" s="75" t="e">
        <f aca="false">_xlfn.xlookup(BA352,A:A,M:M)+_xlfn.xlookup(BA352,A:A,N:N)</f>
        <v>#NAME?</v>
      </c>
    </row>
    <row r="353" customFormat="false" ht="14.25" hidden="false" customHeight="false" outlineLevel="0" collapsed="false">
      <c r="AK353" s="15" t="e">
        <v>#NAME?</v>
      </c>
      <c r="AL353" s="15" t="e">
        <f aca="false">_xlfn.xlookup(AK353,A:A,F:F)</f>
        <v>#NAME?</v>
      </c>
      <c r="AM353" s="15" t="e">
        <f aca="false">_xlfn.xlookup(AK353,A:A,J:J)</f>
        <v>#NAME?</v>
      </c>
      <c r="AN353" s="15" t="e">
        <f aca="false">_xlfn.xlookup(AK353,A:A,M:M)+_xlfn.xlookup(AK353,A:A,N:N)</f>
        <v>#NAME?</v>
      </c>
      <c r="AO353" s="223" t="e">
        <f aca="false">_xlfn.xlookup(AK353,A:A,AG:AG)</f>
        <v>#NAME?</v>
      </c>
      <c r="AP353" s="223" t="e">
        <f aca="false">_xlfn.xlookup(AK353,A:A,AD:AD)</f>
        <v>#NAME?</v>
      </c>
      <c r="AQ353" s="223" t="e">
        <f aca="false">_xlfn.xlookup(AK353,A:A,AE:AE)</f>
        <v>#NAME?</v>
      </c>
      <c r="BB353" s="15" t="e">
        <f aca="false">_xlfn.xlookup(BA353,A:A,E:E)</f>
        <v>#NAME?</v>
      </c>
      <c r="BC353" s="15" t="e">
        <f aca="false">_xlfn.xlookup(BA353,A:A,J:J)</f>
        <v>#NAME?</v>
      </c>
      <c r="BD353" s="75" t="e">
        <f aca="false">_xlfn.xlookup(BA353,A:A,M:M)+_xlfn.xlookup(BA353,A:A,N:N)</f>
        <v>#NAME?</v>
      </c>
    </row>
    <row r="354" customFormat="false" ht="14.25" hidden="false" customHeight="false" outlineLevel="0" collapsed="false">
      <c r="AK354" s="15" t="e">
        <v>#NAME?</v>
      </c>
      <c r="AL354" s="15" t="e">
        <f aca="false">_xlfn.xlookup(AK354,A:A,F:F)</f>
        <v>#NAME?</v>
      </c>
      <c r="AM354" s="15" t="e">
        <f aca="false">_xlfn.xlookup(AK354,A:A,J:J)</f>
        <v>#NAME?</v>
      </c>
      <c r="AN354" s="15" t="e">
        <f aca="false">_xlfn.xlookup(AK354,A:A,M:M)+_xlfn.xlookup(AK354,A:A,N:N)</f>
        <v>#NAME?</v>
      </c>
      <c r="AO354" s="223" t="e">
        <f aca="false">_xlfn.xlookup(AK354,A:A,AG:AG)</f>
        <v>#NAME?</v>
      </c>
      <c r="AP354" s="223" t="e">
        <f aca="false">_xlfn.xlookup(AK354,A:A,AD:AD)</f>
        <v>#NAME?</v>
      </c>
      <c r="AQ354" s="223" t="e">
        <f aca="false">_xlfn.xlookup(AK354,A:A,AE:AE)</f>
        <v>#NAME?</v>
      </c>
      <c r="BB354" s="15" t="e">
        <f aca="false">_xlfn.xlookup(BA354,A:A,E:E)</f>
        <v>#NAME?</v>
      </c>
      <c r="BC354" s="15" t="e">
        <f aca="false">_xlfn.xlookup(BA354,A:A,J:J)</f>
        <v>#NAME?</v>
      </c>
      <c r="BD354" s="75" t="e">
        <f aca="false">_xlfn.xlookup(BA354,A:A,M:M)+_xlfn.xlookup(BA354,A:A,N:N)</f>
        <v>#NAME?</v>
      </c>
    </row>
    <row r="355" customFormat="false" ht="14.25" hidden="false" customHeight="false" outlineLevel="0" collapsed="false">
      <c r="AK355" s="15" t="e">
        <v>#NAME?</v>
      </c>
      <c r="AL355" s="15" t="e">
        <f aca="false">_xlfn.xlookup(AK355,A:A,F:F)</f>
        <v>#NAME?</v>
      </c>
      <c r="AM355" s="15" t="e">
        <f aca="false">_xlfn.xlookup(AK355,A:A,J:J)</f>
        <v>#NAME?</v>
      </c>
      <c r="AN355" s="15" t="e">
        <f aca="false">_xlfn.xlookup(AK355,A:A,M:M)+_xlfn.xlookup(AK355,A:A,N:N)</f>
        <v>#NAME?</v>
      </c>
      <c r="AO355" s="223" t="e">
        <f aca="false">_xlfn.xlookup(AK355,A:A,AG:AG)</f>
        <v>#NAME?</v>
      </c>
      <c r="AP355" s="223" t="e">
        <f aca="false">_xlfn.xlookup(AK355,A:A,AD:AD)</f>
        <v>#NAME?</v>
      </c>
      <c r="AQ355" s="223" t="e">
        <f aca="false">_xlfn.xlookup(AK355,A:A,AE:AE)</f>
        <v>#NAME?</v>
      </c>
      <c r="BB355" s="15" t="e">
        <f aca="false">_xlfn.xlookup(BA355,A:A,E:E)</f>
        <v>#NAME?</v>
      </c>
      <c r="BC355" s="15" t="e">
        <f aca="false">_xlfn.xlookup(BA355,A:A,J:J)</f>
        <v>#NAME?</v>
      </c>
      <c r="BD355" s="75" t="e">
        <f aca="false">_xlfn.xlookup(BA355,A:A,M:M)+_xlfn.xlookup(BA355,A:A,N:N)</f>
        <v>#NAME?</v>
      </c>
    </row>
    <row r="356" customFormat="false" ht="14.25" hidden="false" customHeight="false" outlineLevel="0" collapsed="false">
      <c r="AK356" s="15" t="e">
        <v>#NAME?</v>
      </c>
      <c r="AL356" s="15" t="e">
        <f aca="false">_xlfn.xlookup(AK356,A:A,F:F)</f>
        <v>#NAME?</v>
      </c>
      <c r="AM356" s="15" t="e">
        <f aca="false">_xlfn.xlookup(AK356,A:A,J:J)</f>
        <v>#NAME?</v>
      </c>
      <c r="AN356" s="15" t="e">
        <f aca="false">_xlfn.xlookup(AK356,A:A,M:M)+_xlfn.xlookup(AK356,A:A,N:N)</f>
        <v>#NAME?</v>
      </c>
      <c r="AO356" s="223" t="e">
        <f aca="false">_xlfn.xlookup(AK356,A:A,AG:AG)</f>
        <v>#NAME?</v>
      </c>
      <c r="AP356" s="223" t="e">
        <f aca="false">_xlfn.xlookup(AK356,A:A,AD:AD)</f>
        <v>#NAME?</v>
      </c>
      <c r="AQ356" s="223" t="e">
        <f aca="false">_xlfn.xlookup(AK356,A:A,AE:AE)</f>
        <v>#NAME?</v>
      </c>
      <c r="BB356" s="15" t="e">
        <f aca="false">_xlfn.xlookup(BA356,A:A,E:E)</f>
        <v>#NAME?</v>
      </c>
      <c r="BC356" s="15" t="e">
        <f aca="false">_xlfn.xlookup(BA356,A:A,J:J)</f>
        <v>#NAME?</v>
      </c>
      <c r="BD356" s="75" t="e">
        <f aca="false">_xlfn.xlookup(BA356,A:A,M:M)+_xlfn.xlookup(BA356,A:A,N:N)</f>
        <v>#NAME?</v>
      </c>
    </row>
    <row r="357" customFormat="false" ht="14.25" hidden="false" customHeight="false" outlineLevel="0" collapsed="false">
      <c r="AK357" s="15" t="e">
        <v>#NAME?</v>
      </c>
      <c r="AL357" s="15" t="e">
        <f aca="false">_xlfn.xlookup(AK357,A:A,F:F)</f>
        <v>#NAME?</v>
      </c>
      <c r="AM357" s="15" t="e">
        <f aca="false">_xlfn.xlookup(AK357,A:A,J:J)</f>
        <v>#NAME?</v>
      </c>
      <c r="AN357" s="15" t="e">
        <f aca="false">_xlfn.xlookup(AK357,A:A,M:M)+_xlfn.xlookup(AK357,A:A,N:N)</f>
        <v>#NAME?</v>
      </c>
      <c r="AO357" s="223" t="e">
        <f aca="false">_xlfn.xlookup(AK357,A:A,AG:AG)</f>
        <v>#NAME?</v>
      </c>
      <c r="AP357" s="223" t="e">
        <f aca="false">_xlfn.xlookup(AK357,A:A,AD:AD)</f>
        <v>#NAME?</v>
      </c>
      <c r="AQ357" s="223" t="e">
        <f aca="false">_xlfn.xlookup(AK357,A:A,AE:AE)</f>
        <v>#NAME?</v>
      </c>
      <c r="BB357" s="15" t="e">
        <f aca="false">_xlfn.xlookup(BA357,A:A,E:E)</f>
        <v>#NAME?</v>
      </c>
      <c r="BC357" s="15" t="e">
        <f aca="false">_xlfn.xlookup(BA357,A:A,J:J)</f>
        <v>#NAME?</v>
      </c>
      <c r="BD357" s="75" t="e">
        <f aca="false">_xlfn.xlookup(BA357,A:A,M:M)+_xlfn.xlookup(BA357,A:A,N:N)</f>
        <v>#NAME?</v>
      </c>
    </row>
    <row r="358" customFormat="false" ht="14.25" hidden="false" customHeight="false" outlineLevel="0" collapsed="false">
      <c r="AK358" s="15" t="e">
        <v>#NAME?</v>
      </c>
      <c r="AL358" s="15" t="e">
        <f aca="false">_xlfn.xlookup(AK358,A:A,F:F)</f>
        <v>#NAME?</v>
      </c>
      <c r="AM358" s="15" t="e">
        <f aca="false">_xlfn.xlookup(AK358,A:A,J:J)</f>
        <v>#NAME?</v>
      </c>
      <c r="AN358" s="15" t="e">
        <f aca="false">_xlfn.xlookup(AK358,A:A,M:M)+_xlfn.xlookup(AK358,A:A,N:N)</f>
        <v>#NAME?</v>
      </c>
      <c r="AO358" s="223" t="e">
        <f aca="false">_xlfn.xlookup(AK358,A:A,AG:AG)</f>
        <v>#NAME?</v>
      </c>
      <c r="AP358" s="223" t="e">
        <f aca="false">_xlfn.xlookup(AK358,A:A,AD:AD)</f>
        <v>#NAME?</v>
      </c>
      <c r="AQ358" s="223" t="e">
        <f aca="false">_xlfn.xlookup(AK358,A:A,AE:AE)</f>
        <v>#NAME?</v>
      </c>
      <c r="BB358" s="15" t="e">
        <f aca="false">_xlfn.xlookup(BA358,A:A,E:E)</f>
        <v>#NAME?</v>
      </c>
      <c r="BC358" s="15" t="e">
        <f aca="false">_xlfn.xlookup(BA358,A:A,J:J)</f>
        <v>#NAME?</v>
      </c>
      <c r="BD358" s="75" t="e">
        <f aca="false">_xlfn.xlookup(BA358,A:A,M:M)+_xlfn.xlookup(BA358,A:A,N:N)</f>
        <v>#NAME?</v>
      </c>
    </row>
    <row r="359" customFormat="false" ht="14.25" hidden="false" customHeight="false" outlineLevel="0" collapsed="false">
      <c r="AK359" s="15" t="e">
        <v>#NAME?</v>
      </c>
      <c r="AL359" s="15" t="e">
        <f aca="false">_xlfn.xlookup(AK359,A:A,F:F)</f>
        <v>#NAME?</v>
      </c>
      <c r="AM359" s="15" t="e">
        <f aca="false">_xlfn.xlookup(AK359,A:A,J:J)</f>
        <v>#NAME?</v>
      </c>
      <c r="AN359" s="15" t="e">
        <f aca="false">_xlfn.xlookup(AK359,A:A,M:M)+_xlfn.xlookup(AK359,A:A,N:N)</f>
        <v>#NAME?</v>
      </c>
      <c r="AO359" s="223" t="e">
        <f aca="false">_xlfn.xlookup(AK359,A:A,AG:AG)</f>
        <v>#NAME?</v>
      </c>
      <c r="AP359" s="223" t="e">
        <f aca="false">_xlfn.xlookup(AK359,A:A,AD:AD)</f>
        <v>#NAME?</v>
      </c>
      <c r="AQ359" s="223" t="e">
        <f aca="false">_xlfn.xlookup(AK359,A:A,AE:AE)</f>
        <v>#NAME?</v>
      </c>
      <c r="BB359" s="15" t="e">
        <f aca="false">_xlfn.xlookup(BA359,A:A,E:E)</f>
        <v>#NAME?</v>
      </c>
      <c r="BC359" s="15" t="e">
        <f aca="false">_xlfn.xlookup(BA359,A:A,J:J)</f>
        <v>#NAME?</v>
      </c>
      <c r="BD359" s="75" t="e">
        <f aca="false">_xlfn.xlookup(BA359,A:A,M:M)+_xlfn.xlookup(BA359,A:A,N:N)</f>
        <v>#NAME?</v>
      </c>
    </row>
    <row r="360" customFormat="false" ht="14.25" hidden="false" customHeight="false" outlineLevel="0" collapsed="false">
      <c r="AK360" s="15" t="e">
        <v>#NAME?</v>
      </c>
      <c r="AL360" s="15" t="e">
        <f aca="false">_xlfn.xlookup(AK360,A:A,F:F)</f>
        <v>#NAME?</v>
      </c>
      <c r="AM360" s="15" t="e">
        <f aca="false">_xlfn.xlookup(AK360,A:A,J:J)</f>
        <v>#NAME?</v>
      </c>
      <c r="AN360" s="15" t="e">
        <f aca="false">_xlfn.xlookup(AK360,A:A,M:M)+_xlfn.xlookup(AK360,A:A,N:N)</f>
        <v>#NAME?</v>
      </c>
      <c r="AO360" s="223" t="e">
        <f aca="false">_xlfn.xlookup(AK360,A:A,AG:AG)</f>
        <v>#NAME?</v>
      </c>
      <c r="AP360" s="223" t="e">
        <f aca="false">_xlfn.xlookup(AK360,A:A,AD:AD)</f>
        <v>#NAME?</v>
      </c>
      <c r="AQ360" s="223" t="e">
        <f aca="false">_xlfn.xlookup(AK360,A:A,AE:AE)</f>
        <v>#NAME?</v>
      </c>
      <c r="BB360" s="15" t="e">
        <f aca="false">_xlfn.xlookup(BA360,A:A,E:E)</f>
        <v>#NAME?</v>
      </c>
      <c r="BC360" s="15" t="e">
        <f aca="false">_xlfn.xlookup(BA360,A:A,J:J)</f>
        <v>#NAME?</v>
      </c>
      <c r="BD360" s="75" t="e">
        <f aca="false">_xlfn.xlookup(BA360,A:A,M:M)+_xlfn.xlookup(BA360,A:A,N:N)</f>
        <v>#NAME?</v>
      </c>
    </row>
    <row r="361" customFormat="false" ht="14.25" hidden="false" customHeight="false" outlineLevel="0" collapsed="false">
      <c r="AK361" s="15" t="e">
        <v>#NAME?</v>
      </c>
      <c r="AL361" s="15" t="e">
        <f aca="false">_xlfn.xlookup(AK361,A:A,F:F)</f>
        <v>#NAME?</v>
      </c>
      <c r="AM361" s="15" t="e">
        <f aca="false">_xlfn.xlookup(AK361,A:A,J:J)</f>
        <v>#NAME?</v>
      </c>
      <c r="AN361" s="15" t="e">
        <f aca="false">_xlfn.xlookup(AK361,A:A,M:M)+_xlfn.xlookup(AK361,A:A,N:N)</f>
        <v>#NAME?</v>
      </c>
      <c r="AO361" s="223" t="e">
        <f aca="false">_xlfn.xlookup(AK361,A:A,AG:AG)</f>
        <v>#NAME?</v>
      </c>
      <c r="AP361" s="223" t="e">
        <f aca="false">_xlfn.xlookup(AK361,A:A,AD:AD)</f>
        <v>#NAME?</v>
      </c>
      <c r="AQ361" s="223" t="e">
        <f aca="false">_xlfn.xlookup(AK361,A:A,AE:AE)</f>
        <v>#NAME?</v>
      </c>
      <c r="BB361" s="15" t="e">
        <f aca="false">_xlfn.xlookup(BA361,A:A,E:E)</f>
        <v>#NAME?</v>
      </c>
      <c r="BC361" s="15" t="e">
        <f aca="false">_xlfn.xlookup(BA361,A:A,J:J)</f>
        <v>#NAME?</v>
      </c>
      <c r="BD361" s="75" t="e">
        <f aca="false">_xlfn.xlookup(BA361,A:A,M:M)+_xlfn.xlookup(BA361,A:A,N:N)</f>
        <v>#NAME?</v>
      </c>
    </row>
    <row r="362" customFormat="false" ht="14.25" hidden="false" customHeight="false" outlineLevel="0" collapsed="false">
      <c r="AK362" s="15" t="e">
        <v>#NAME?</v>
      </c>
      <c r="AL362" s="15" t="e">
        <f aca="false">_xlfn.xlookup(AK362,A:A,F:F)</f>
        <v>#NAME?</v>
      </c>
      <c r="AM362" s="15" t="e">
        <f aca="false">_xlfn.xlookup(AK362,A:A,J:J)</f>
        <v>#NAME?</v>
      </c>
      <c r="AN362" s="15" t="e">
        <f aca="false">_xlfn.xlookup(AK362,A:A,M:M)+_xlfn.xlookup(AK362,A:A,N:N)</f>
        <v>#NAME?</v>
      </c>
      <c r="AO362" s="223" t="e">
        <f aca="false">_xlfn.xlookup(AK362,A:A,AG:AG)</f>
        <v>#NAME?</v>
      </c>
      <c r="AP362" s="223" t="e">
        <f aca="false">_xlfn.xlookup(AK362,A:A,AD:AD)</f>
        <v>#NAME?</v>
      </c>
      <c r="AQ362" s="223" t="e">
        <f aca="false">_xlfn.xlookup(AK362,A:A,AE:AE)</f>
        <v>#NAME?</v>
      </c>
      <c r="BB362" s="15" t="e">
        <f aca="false">_xlfn.xlookup(BA362,A:A,E:E)</f>
        <v>#NAME?</v>
      </c>
      <c r="BC362" s="15" t="e">
        <f aca="false">_xlfn.xlookup(BA362,A:A,J:J)</f>
        <v>#NAME?</v>
      </c>
      <c r="BD362" s="75" t="e">
        <f aca="false">_xlfn.xlookup(BA362,A:A,M:M)+_xlfn.xlookup(BA362,A:A,N:N)</f>
        <v>#NAME?</v>
      </c>
    </row>
    <row r="363" customFormat="false" ht="14.25" hidden="false" customHeight="false" outlineLevel="0" collapsed="false">
      <c r="AK363" s="15" t="e">
        <v>#NAME?</v>
      </c>
      <c r="AL363" s="15" t="e">
        <f aca="false">_xlfn.xlookup(AK363,A:A,F:F)</f>
        <v>#NAME?</v>
      </c>
      <c r="AM363" s="15" t="e">
        <f aca="false">_xlfn.xlookup(AK363,A:A,J:J)</f>
        <v>#NAME?</v>
      </c>
      <c r="AN363" s="15" t="e">
        <f aca="false">_xlfn.xlookup(AK363,A:A,M:M)+_xlfn.xlookup(AK363,A:A,N:N)</f>
        <v>#NAME?</v>
      </c>
      <c r="AO363" s="223" t="e">
        <f aca="false">_xlfn.xlookup(AK363,A:A,AG:AG)</f>
        <v>#NAME?</v>
      </c>
      <c r="AP363" s="223" t="e">
        <f aca="false">_xlfn.xlookup(AK363,A:A,AD:AD)</f>
        <v>#NAME?</v>
      </c>
      <c r="AQ363" s="223" t="e">
        <f aca="false">_xlfn.xlookup(AK363,A:A,AE:AE)</f>
        <v>#NAME?</v>
      </c>
      <c r="BB363" s="15" t="e">
        <f aca="false">_xlfn.xlookup(BA363,A:A,E:E)</f>
        <v>#NAME?</v>
      </c>
      <c r="BC363" s="15" t="e">
        <f aca="false">_xlfn.xlookup(BA363,A:A,J:J)</f>
        <v>#NAME?</v>
      </c>
      <c r="BD363" s="75" t="e">
        <f aca="false">_xlfn.xlookup(BA363,A:A,M:M)+_xlfn.xlookup(BA363,A:A,N:N)</f>
        <v>#NAME?</v>
      </c>
    </row>
    <row r="364" customFormat="false" ht="14.25" hidden="false" customHeight="false" outlineLevel="0" collapsed="false">
      <c r="AK364" s="15" t="e">
        <v>#NAME?</v>
      </c>
      <c r="AL364" s="15" t="e">
        <f aca="false">_xlfn.xlookup(AK364,A:A,F:F)</f>
        <v>#NAME?</v>
      </c>
      <c r="AM364" s="15" t="e">
        <f aca="false">_xlfn.xlookup(AK364,A:A,J:J)</f>
        <v>#NAME?</v>
      </c>
      <c r="AN364" s="15" t="e">
        <f aca="false">_xlfn.xlookup(AK364,A:A,M:M)+_xlfn.xlookup(AK364,A:A,N:N)</f>
        <v>#NAME?</v>
      </c>
      <c r="AO364" s="223" t="e">
        <f aca="false">_xlfn.xlookup(AK364,A:A,AG:AG)</f>
        <v>#NAME?</v>
      </c>
      <c r="AP364" s="223" t="e">
        <f aca="false">_xlfn.xlookup(AK364,A:A,AD:AD)</f>
        <v>#NAME?</v>
      </c>
      <c r="AQ364" s="223" t="e">
        <f aca="false">_xlfn.xlookup(AK364,A:A,AE:AE)</f>
        <v>#NAME?</v>
      </c>
      <c r="BB364" s="15" t="e">
        <f aca="false">_xlfn.xlookup(BA364,A:A,E:E)</f>
        <v>#NAME?</v>
      </c>
      <c r="BC364" s="15" t="e">
        <f aca="false">_xlfn.xlookup(BA364,A:A,J:J)</f>
        <v>#NAME?</v>
      </c>
      <c r="BD364" s="75" t="e">
        <f aca="false">_xlfn.xlookup(BA364,A:A,M:M)+_xlfn.xlookup(BA364,A:A,N:N)</f>
        <v>#NAME?</v>
      </c>
    </row>
    <row r="365" customFormat="false" ht="14.25" hidden="false" customHeight="false" outlineLevel="0" collapsed="false">
      <c r="AK365" s="15" t="e">
        <v>#NAME?</v>
      </c>
      <c r="AL365" s="15" t="e">
        <f aca="false">_xlfn.xlookup(AK365,A:A,F:F)</f>
        <v>#NAME?</v>
      </c>
      <c r="AM365" s="15" t="e">
        <f aca="false">_xlfn.xlookup(AK365,A:A,J:J)</f>
        <v>#NAME?</v>
      </c>
      <c r="AN365" s="15" t="e">
        <f aca="false">_xlfn.xlookup(AK365,A:A,M:M)+_xlfn.xlookup(AK365,A:A,N:N)</f>
        <v>#NAME?</v>
      </c>
      <c r="AO365" s="223" t="e">
        <f aca="false">_xlfn.xlookup(AK365,A:A,AG:AG)</f>
        <v>#NAME?</v>
      </c>
      <c r="AP365" s="223" t="e">
        <f aca="false">_xlfn.xlookup(AK365,A:A,AD:AD)</f>
        <v>#NAME?</v>
      </c>
      <c r="AQ365" s="223" t="e">
        <f aca="false">_xlfn.xlookup(AK365,A:A,AE:AE)</f>
        <v>#NAME?</v>
      </c>
      <c r="BB365" s="15" t="e">
        <f aca="false">_xlfn.xlookup(BA365,A:A,E:E)</f>
        <v>#NAME?</v>
      </c>
      <c r="BC365" s="15" t="e">
        <f aca="false">_xlfn.xlookup(BA365,A:A,J:J)</f>
        <v>#NAME?</v>
      </c>
      <c r="BD365" s="75" t="e">
        <f aca="false">_xlfn.xlookup(BA365,A:A,M:M)+_xlfn.xlookup(BA365,A:A,N:N)</f>
        <v>#NAME?</v>
      </c>
    </row>
    <row r="366" customFormat="false" ht="14.25" hidden="false" customHeight="false" outlineLevel="0" collapsed="false">
      <c r="AK366" s="15" t="e">
        <v>#NAME?</v>
      </c>
      <c r="AL366" s="15" t="e">
        <f aca="false">_xlfn.xlookup(AK366,A:A,F:F)</f>
        <v>#NAME?</v>
      </c>
      <c r="AM366" s="15" t="e">
        <f aca="false">_xlfn.xlookup(AK366,A:A,J:J)</f>
        <v>#NAME?</v>
      </c>
      <c r="AN366" s="15" t="e">
        <f aca="false">_xlfn.xlookup(AK366,A:A,M:M)+_xlfn.xlookup(AK366,A:A,N:N)</f>
        <v>#NAME?</v>
      </c>
      <c r="AO366" s="223" t="e">
        <f aca="false">_xlfn.xlookup(AK366,A:A,AG:AG)</f>
        <v>#NAME?</v>
      </c>
      <c r="AP366" s="223" t="e">
        <f aca="false">_xlfn.xlookup(AK366,A:A,AD:AD)</f>
        <v>#NAME?</v>
      </c>
      <c r="AQ366" s="223" t="e">
        <f aca="false">_xlfn.xlookup(AK366,A:A,AE:AE)</f>
        <v>#NAME?</v>
      </c>
      <c r="BB366" s="15" t="e">
        <f aca="false">_xlfn.xlookup(BA366,A:A,E:E)</f>
        <v>#NAME?</v>
      </c>
      <c r="BC366" s="15" t="e">
        <f aca="false">_xlfn.xlookup(BA366,A:A,J:J)</f>
        <v>#NAME?</v>
      </c>
      <c r="BD366" s="75" t="e">
        <f aca="false">_xlfn.xlookup(BA366,A:A,M:M)+_xlfn.xlookup(BA366,A:A,N:N)</f>
        <v>#NAME?</v>
      </c>
    </row>
    <row r="367" customFormat="false" ht="14.25" hidden="false" customHeight="false" outlineLevel="0" collapsed="false">
      <c r="AK367" s="15" t="e">
        <v>#NAME?</v>
      </c>
      <c r="AL367" s="15" t="e">
        <f aca="false">_xlfn.xlookup(AK367,A:A,F:F)</f>
        <v>#NAME?</v>
      </c>
      <c r="AM367" s="15" t="e">
        <f aca="false">_xlfn.xlookup(AK367,A:A,J:J)</f>
        <v>#NAME?</v>
      </c>
      <c r="AN367" s="15" t="e">
        <f aca="false">_xlfn.xlookup(AK367,A:A,M:M)+_xlfn.xlookup(AK367,A:A,N:N)</f>
        <v>#NAME?</v>
      </c>
      <c r="AO367" s="223" t="e">
        <f aca="false">_xlfn.xlookup(AK367,A:A,AG:AG)</f>
        <v>#NAME?</v>
      </c>
      <c r="AP367" s="223" t="e">
        <f aca="false">_xlfn.xlookup(AK367,A:A,AD:AD)</f>
        <v>#NAME?</v>
      </c>
      <c r="AQ367" s="223" t="e">
        <f aca="false">_xlfn.xlookup(AK367,A:A,AE:AE)</f>
        <v>#NAME?</v>
      </c>
      <c r="BB367" s="15" t="e">
        <f aca="false">_xlfn.xlookup(BA367,A:A,E:E)</f>
        <v>#NAME?</v>
      </c>
      <c r="BC367" s="15" t="e">
        <f aca="false">_xlfn.xlookup(BA367,A:A,J:J)</f>
        <v>#NAME?</v>
      </c>
      <c r="BD367" s="75" t="e">
        <f aca="false">_xlfn.xlookup(BA367,A:A,M:M)+_xlfn.xlookup(BA367,A:A,N:N)</f>
        <v>#NAME?</v>
      </c>
    </row>
    <row r="368" customFormat="false" ht="14.25" hidden="false" customHeight="false" outlineLevel="0" collapsed="false">
      <c r="AK368" s="15" t="e">
        <v>#NAME?</v>
      </c>
      <c r="AL368" s="15" t="e">
        <f aca="false">_xlfn.xlookup(AK368,A:A,F:F)</f>
        <v>#NAME?</v>
      </c>
      <c r="AM368" s="15" t="e">
        <f aca="false">_xlfn.xlookup(AK368,A:A,J:J)</f>
        <v>#NAME?</v>
      </c>
      <c r="AN368" s="15" t="e">
        <f aca="false">_xlfn.xlookup(AK368,A:A,M:M)+_xlfn.xlookup(AK368,A:A,N:N)</f>
        <v>#NAME?</v>
      </c>
      <c r="AO368" s="223" t="e">
        <f aca="false">_xlfn.xlookup(AK368,A:A,AG:AG)</f>
        <v>#NAME?</v>
      </c>
      <c r="AP368" s="223" t="e">
        <f aca="false">_xlfn.xlookup(AK368,A:A,AD:AD)</f>
        <v>#NAME?</v>
      </c>
      <c r="AQ368" s="223" t="e">
        <f aca="false">_xlfn.xlookup(AK368,A:A,AE:AE)</f>
        <v>#NAME?</v>
      </c>
      <c r="BB368" s="15" t="e">
        <f aca="false">_xlfn.xlookup(BA368,A:A,E:E)</f>
        <v>#NAME?</v>
      </c>
      <c r="BC368" s="15" t="e">
        <f aca="false">_xlfn.xlookup(BA368,A:A,J:J)</f>
        <v>#NAME?</v>
      </c>
      <c r="BD368" s="75" t="e">
        <f aca="false">_xlfn.xlookup(BA368,A:A,M:M)+_xlfn.xlookup(BA368,A:A,N:N)</f>
        <v>#NAME?</v>
      </c>
    </row>
    <row r="369" customFormat="false" ht="14.25" hidden="false" customHeight="false" outlineLevel="0" collapsed="false">
      <c r="AK369" s="15" t="e">
        <v>#NAME?</v>
      </c>
      <c r="AL369" s="15" t="e">
        <f aca="false">_xlfn.xlookup(AK369,A:A,F:F)</f>
        <v>#NAME?</v>
      </c>
      <c r="AM369" s="15" t="e">
        <f aca="false">_xlfn.xlookup(AK369,A:A,J:J)</f>
        <v>#NAME?</v>
      </c>
      <c r="AN369" s="15" t="e">
        <f aca="false">_xlfn.xlookup(AK369,A:A,M:M)+_xlfn.xlookup(AK369,A:A,N:N)</f>
        <v>#NAME?</v>
      </c>
      <c r="AO369" s="223" t="e">
        <f aca="false">_xlfn.xlookup(AK369,A:A,AG:AG)</f>
        <v>#NAME?</v>
      </c>
      <c r="AP369" s="223" t="e">
        <f aca="false">_xlfn.xlookup(AK369,A:A,AD:AD)</f>
        <v>#NAME?</v>
      </c>
      <c r="AQ369" s="223" t="e">
        <f aca="false">_xlfn.xlookup(AK369,A:A,AE:AE)</f>
        <v>#NAME?</v>
      </c>
      <c r="BB369" s="15" t="e">
        <f aca="false">_xlfn.xlookup(BA369,A:A,E:E)</f>
        <v>#NAME?</v>
      </c>
      <c r="BC369" s="15" t="e">
        <f aca="false">_xlfn.xlookup(BA369,A:A,J:J)</f>
        <v>#NAME?</v>
      </c>
      <c r="BD369" s="75" t="e">
        <f aca="false">_xlfn.xlookup(BA369,A:A,M:M)+_xlfn.xlookup(BA369,A:A,N:N)</f>
        <v>#NAME?</v>
      </c>
    </row>
    <row r="370" customFormat="false" ht="14.25" hidden="false" customHeight="false" outlineLevel="0" collapsed="false">
      <c r="AK370" s="15" t="e">
        <v>#NAME?</v>
      </c>
      <c r="AL370" s="15" t="e">
        <f aca="false">_xlfn.xlookup(AK370,A:A,F:F)</f>
        <v>#NAME?</v>
      </c>
      <c r="AM370" s="15" t="e">
        <f aca="false">_xlfn.xlookup(AK370,A:A,J:J)</f>
        <v>#NAME?</v>
      </c>
      <c r="AN370" s="15" t="e">
        <f aca="false">_xlfn.xlookup(AK370,A:A,M:M)+_xlfn.xlookup(AK370,A:A,N:N)</f>
        <v>#NAME?</v>
      </c>
      <c r="AO370" s="223" t="e">
        <f aca="false">_xlfn.xlookup(AK370,A:A,AG:AG)</f>
        <v>#NAME?</v>
      </c>
      <c r="AP370" s="223" t="e">
        <f aca="false">_xlfn.xlookup(AK370,A:A,AD:AD)</f>
        <v>#NAME?</v>
      </c>
      <c r="AQ370" s="223" t="e">
        <f aca="false">_xlfn.xlookup(AK370,A:A,AE:AE)</f>
        <v>#NAME?</v>
      </c>
      <c r="BB370" s="15" t="e">
        <f aca="false">_xlfn.xlookup(BA370,A:A,E:E)</f>
        <v>#NAME?</v>
      </c>
      <c r="BC370" s="15" t="e">
        <f aca="false">_xlfn.xlookup(BA370,A:A,J:J)</f>
        <v>#NAME?</v>
      </c>
      <c r="BD370" s="75" t="e">
        <f aca="false">_xlfn.xlookup(BA370,A:A,M:M)+_xlfn.xlookup(BA370,A:A,N:N)</f>
        <v>#NAME?</v>
      </c>
    </row>
    <row r="371" customFormat="false" ht="14.25" hidden="false" customHeight="false" outlineLevel="0" collapsed="false">
      <c r="AK371" s="15" t="e">
        <v>#NAME?</v>
      </c>
      <c r="AL371" s="15" t="e">
        <f aca="false">_xlfn.xlookup(AK371,A:A,F:F)</f>
        <v>#NAME?</v>
      </c>
      <c r="AM371" s="15" t="e">
        <f aca="false">_xlfn.xlookup(AK371,A:A,J:J)</f>
        <v>#NAME?</v>
      </c>
      <c r="AN371" s="15" t="e">
        <f aca="false">_xlfn.xlookup(AK371,A:A,M:M)+_xlfn.xlookup(AK371,A:A,N:N)</f>
        <v>#NAME?</v>
      </c>
      <c r="AO371" s="223" t="e">
        <f aca="false">_xlfn.xlookup(AK371,A:A,AG:AG)</f>
        <v>#NAME?</v>
      </c>
      <c r="AP371" s="223" t="e">
        <f aca="false">_xlfn.xlookup(AK371,A:A,AD:AD)</f>
        <v>#NAME?</v>
      </c>
      <c r="AQ371" s="223" t="e">
        <f aca="false">_xlfn.xlookup(AK371,A:A,AE:AE)</f>
        <v>#NAME?</v>
      </c>
      <c r="BB371" s="15" t="e">
        <f aca="false">_xlfn.xlookup(BA371,A:A,E:E)</f>
        <v>#NAME?</v>
      </c>
      <c r="BC371" s="15" t="e">
        <f aca="false">_xlfn.xlookup(BA371,A:A,J:J)</f>
        <v>#NAME?</v>
      </c>
      <c r="BD371" s="75" t="e">
        <f aca="false">_xlfn.xlookup(BA371,A:A,M:M)+_xlfn.xlookup(BA371,A:A,N:N)</f>
        <v>#NAME?</v>
      </c>
    </row>
    <row r="372" customFormat="false" ht="14.25" hidden="false" customHeight="false" outlineLevel="0" collapsed="false">
      <c r="AK372" s="15" t="e">
        <v>#NAME?</v>
      </c>
      <c r="AL372" s="15" t="e">
        <f aca="false">_xlfn.xlookup(AK372,A:A,F:F)</f>
        <v>#NAME?</v>
      </c>
      <c r="AM372" s="15" t="e">
        <f aca="false">_xlfn.xlookup(AK372,A:A,J:J)</f>
        <v>#NAME?</v>
      </c>
      <c r="AN372" s="15" t="e">
        <f aca="false">_xlfn.xlookup(AK372,A:A,M:M)+_xlfn.xlookup(AK372,A:A,N:N)</f>
        <v>#NAME?</v>
      </c>
      <c r="AO372" s="223" t="e">
        <f aca="false">_xlfn.xlookup(AK372,A:A,AG:AG)</f>
        <v>#NAME?</v>
      </c>
      <c r="AP372" s="223" t="e">
        <f aca="false">_xlfn.xlookup(AK372,A:A,AD:AD)</f>
        <v>#NAME?</v>
      </c>
      <c r="AQ372" s="223" t="e">
        <f aca="false">_xlfn.xlookup(AK372,A:A,AE:AE)</f>
        <v>#NAME?</v>
      </c>
      <c r="BB372" s="15" t="e">
        <f aca="false">_xlfn.xlookup(BA372,A:A,E:E)</f>
        <v>#NAME?</v>
      </c>
      <c r="BC372" s="15" t="e">
        <f aca="false">_xlfn.xlookup(BA372,A:A,J:J)</f>
        <v>#NAME?</v>
      </c>
      <c r="BD372" s="75" t="e">
        <f aca="false">_xlfn.xlookup(BA372,A:A,M:M)+_xlfn.xlookup(BA372,A:A,N:N)</f>
        <v>#NAME?</v>
      </c>
    </row>
    <row r="373" customFormat="false" ht="14.25" hidden="false" customHeight="false" outlineLevel="0" collapsed="false">
      <c r="AK373" s="15" t="e">
        <v>#NAME?</v>
      </c>
      <c r="AL373" s="15" t="e">
        <f aca="false">_xlfn.xlookup(AK373,A:A,F:F)</f>
        <v>#NAME?</v>
      </c>
      <c r="AM373" s="15" t="e">
        <f aca="false">_xlfn.xlookup(AK373,A:A,J:J)</f>
        <v>#NAME?</v>
      </c>
      <c r="AN373" s="15" t="e">
        <f aca="false">_xlfn.xlookup(AK373,A:A,M:M)+_xlfn.xlookup(AK373,A:A,N:N)</f>
        <v>#NAME?</v>
      </c>
      <c r="AO373" s="223" t="e">
        <f aca="false">_xlfn.xlookup(AK373,A:A,AG:AG)</f>
        <v>#NAME?</v>
      </c>
      <c r="AP373" s="223" t="e">
        <f aca="false">_xlfn.xlookup(AK373,A:A,AD:AD)</f>
        <v>#NAME?</v>
      </c>
      <c r="AQ373" s="223" t="e">
        <f aca="false">_xlfn.xlookup(AK373,A:A,AE:AE)</f>
        <v>#NAME?</v>
      </c>
      <c r="BB373" s="15" t="e">
        <f aca="false">_xlfn.xlookup(BA373,A:A,E:E)</f>
        <v>#NAME?</v>
      </c>
      <c r="BC373" s="15" t="e">
        <f aca="false">_xlfn.xlookup(BA373,A:A,J:J)</f>
        <v>#NAME?</v>
      </c>
      <c r="BD373" s="75" t="e">
        <f aca="false">_xlfn.xlookup(BA373,A:A,M:M)+_xlfn.xlookup(BA373,A:A,N:N)</f>
        <v>#NAME?</v>
      </c>
    </row>
    <row r="374" customFormat="false" ht="14.25" hidden="false" customHeight="false" outlineLevel="0" collapsed="false">
      <c r="AK374" s="15" t="e">
        <v>#NAME?</v>
      </c>
      <c r="AL374" s="15" t="e">
        <f aca="false">_xlfn.xlookup(AK374,A:A,F:F)</f>
        <v>#NAME?</v>
      </c>
      <c r="AM374" s="15" t="e">
        <f aca="false">_xlfn.xlookup(AK374,A:A,J:J)</f>
        <v>#NAME?</v>
      </c>
      <c r="AN374" s="15" t="e">
        <f aca="false">_xlfn.xlookup(AK374,A:A,M:M)+_xlfn.xlookup(AK374,A:A,N:N)</f>
        <v>#NAME?</v>
      </c>
      <c r="AO374" s="223" t="e">
        <f aca="false">_xlfn.xlookup(AK374,A:A,AG:AG)</f>
        <v>#NAME?</v>
      </c>
      <c r="AP374" s="223" t="e">
        <f aca="false">_xlfn.xlookup(AK374,A:A,AD:AD)</f>
        <v>#NAME?</v>
      </c>
      <c r="AQ374" s="223" t="e">
        <f aca="false">_xlfn.xlookup(AK374,A:A,AE:AE)</f>
        <v>#NAME?</v>
      </c>
      <c r="BB374" s="15" t="e">
        <f aca="false">_xlfn.xlookup(BA374,A:A,E:E)</f>
        <v>#NAME?</v>
      </c>
      <c r="BC374" s="15" t="e">
        <f aca="false">_xlfn.xlookup(BA374,A:A,J:J)</f>
        <v>#NAME?</v>
      </c>
      <c r="BD374" s="75" t="e">
        <f aca="false">_xlfn.xlookup(BA374,A:A,M:M)+_xlfn.xlookup(BA374,A:A,N:N)</f>
        <v>#NAME?</v>
      </c>
    </row>
    <row r="375" customFormat="false" ht="14.25" hidden="false" customHeight="false" outlineLevel="0" collapsed="false">
      <c r="AK375" s="15" t="e">
        <v>#NAME?</v>
      </c>
      <c r="AL375" s="15" t="e">
        <f aca="false">_xlfn.xlookup(AK375,A:A,F:F)</f>
        <v>#NAME?</v>
      </c>
      <c r="AM375" s="15" t="e">
        <f aca="false">_xlfn.xlookup(AK375,A:A,J:J)</f>
        <v>#NAME?</v>
      </c>
      <c r="AN375" s="15" t="e">
        <f aca="false">_xlfn.xlookup(AK375,A:A,M:M)+_xlfn.xlookup(AK375,A:A,N:N)</f>
        <v>#NAME?</v>
      </c>
      <c r="AO375" s="223" t="e">
        <f aca="false">_xlfn.xlookup(AK375,A:A,AG:AG)</f>
        <v>#NAME?</v>
      </c>
      <c r="AP375" s="223" t="e">
        <f aca="false">_xlfn.xlookup(AK375,A:A,AD:AD)</f>
        <v>#NAME?</v>
      </c>
      <c r="AQ375" s="223" t="e">
        <f aca="false">_xlfn.xlookup(AK375,A:A,AE:AE)</f>
        <v>#NAME?</v>
      </c>
      <c r="BB375" s="15" t="e">
        <f aca="false">_xlfn.xlookup(BA375,A:A,E:E)</f>
        <v>#NAME?</v>
      </c>
      <c r="BC375" s="15" t="e">
        <f aca="false">_xlfn.xlookup(BA375,A:A,J:J)</f>
        <v>#NAME?</v>
      </c>
      <c r="BD375" s="75" t="e">
        <f aca="false">_xlfn.xlookup(BA375,A:A,M:M)+_xlfn.xlookup(BA375,A:A,N:N)</f>
        <v>#NAME?</v>
      </c>
    </row>
    <row r="376" customFormat="false" ht="14.25" hidden="false" customHeight="false" outlineLevel="0" collapsed="false">
      <c r="AK376" s="15" t="e">
        <v>#NAME?</v>
      </c>
      <c r="AL376" s="15" t="e">
        <f aca="false">_xlfn.xlookup(AK376,A:A,F:F)</f>
        <v>#NAME?</v>
      </c>
      <c r="AM376" s="15" t="e">
        <f aca="false">_xlfn.xlookup(AK376,A:A,J:J)</f>
        <v>#NAME?</v>
      </c>
      <c r="AN376" s="15" t="e">
        <f aca="false">_xlfn.xlookup(AK376,A:A,M:M)+_xlfn.xlookup(AK376,A:A,N:N)</f>
        <v>#NAME?</v>
      </c>
      <c r="AO376" s="223" t="e">
        <f aca="false">_xlfn.xlookup(AK376,A:A,AG:AG)</f>
        <v>#NAME?</v>
      </c>
      <c r="AP376" s="223" t="e">
        <f aca="false">_xlfn.xlookup(AK376,A:A,AD:AD)</f>
        <v>#NAME?</v>
      </c>
      <c r="AQ376" s="223" t="e">
        <f aca="false">_xlfn.xlookup(AK376,A:A,AE:AE)</f>
        <v>#NAME?</v>
      </c>
      <c r="BB376" s="15" t="e">
        <f aca="false">_xlfn.xlookup(BA376,A:A,E:E)</f>
        <v>#NAME?</v>
      </c>
      <c r="BC376" s="15" t="e">
        <f aca="false">_xlfn.xlookup(BA376,A:A,J:J)</f>
        <v>#NAME?</v>
      </c>
      <c r="BD376" s="75" t="e">
        <f aca="false">_xlfn.xlookup(BA376,A:A,M:M)+_xlfn.xlookup(BA376,A:A,N:N)</f>
        <v>#NAME?</v>
      </c>
    </row>
    <row r="377" customFormat="false" ht="14.25" hidden="false" customHeight="false" outlineLevel="0" collapsed="false">
      <c r="AK377" s="15" t="e">
        <v>#NAME?</v>
      </c>
      <c r="AL377" s="15" t="e">
        <f aca="false">_xlfn.xlookup(AK377,A:A,F:F)</f>
        <v>#NAME?</v>
      </c>
      <c r="AM377" s="15" t="e">
        <f aca="false">_xlfn.xlookup(AK377,A:A,J:J)</f>
        <v>#NAME?</v>
      </c>
      <c r="AN377" s="15" t="e">
        <f aca="false">_xlfn.xlookup(AK377,A:A,M:M)+_xlfn.xlookup(AK377,A:A,N:N)</f>
        <v>#NAME?</v>
      </c>
      <c r="AO377" s="223" t="e">
        <f aca="false">_xlfn.xlookup(AK377,A:A,AG:AG)</f>
        <v>#NAME?</v>
      </c>
      <c r="AP377" s="223" t="e">
        <f aca="false">_xlfn.xlookup(AK377,A:A,AD:AD)</f>
        <v>#NAME?</v>
      </c>
      <c r="AQ377" s="223" t="e">
        <f aca="false">_xlfn.xlookup(AK377,A:A,AE:AE)</f>
        <v>#NAME?</v>
      </c>
      <c r="BB377" s="15" t="e">
        <f aca="false">_xlfn.xlookup(BA377,A:A,E:E)</f>
        <v>#NAME?</v>
      </c>
      <c r="BC377" s="15" t="e">
        <f aca="false">_xlfn.xlookup(BA377,A:A,J:J)</f>
        <v>#NAME?</v>
      </c>
      <c r="BD377" s="75" t="e">
        <f aca="false">_xlfn.xlookup(BA377,A:A,M:M)+_xlfn.xlookup(BA377,A:A,N:N)</f>
        <v>#NAME?</v>
      </c>
    </row>
    <row r="378" customFormat="false" ht="14.25" hidden="false" customHeight="false" outlineLevel="0" collapsed="false">
      <c r="AK378" s="15" t="e">
        <v>#NAME?</v>
      </c>
      <c r="AL378" s="15" t="e">
        <f aca="false">_xlfn.xlookup(AK378,A:A,F:F)</f>
        <v>#NAME?</v>
      </c>
      <c r="AM378" s="15" t="e">
        <f aca="false">_xlfn.xlookup(AK378,A:A,J:J)</f>
        <v>#NAME?</v>
      </c>
      <c r="AN378" s="15" t="e">
        <f aca="false">_xlfn.xlookup(AK378,A:A,M:M)+_xlfn.xlookup(AK378,A:A,N:N)</f>
        <v>#NAME?</v>
      </c>
      <c r="AO378" s="223" t="e">
        <f aca="false">_xlfn.xlookup(AK378,A:A,AG:AG)</f>
        <v>#NAME?</v>
      </c>
      <c r="AP378" s="223" t="e">
        <f aca="false">_xlfn.xlookup(AK378,A:A,AD:AD)</f>
        <v>#NAME?</v>
      </c>
      <c r="AQ378" s="223" t="e">
        <f aca="false">_xlfn.xlookup(AK378,A:A,AE:AE)</f>
        <v>#NAME?</v>
      </c>
      <c r="BB378" s="15" t="e">
        <f aca="false">_xlfn.xlookup(BA378,A:A,E:E)</f>
        <v>#NAME?</v>
      </c>
      <c r="BC378" s="15" t="e">
        <f aca="false">_xlfn.xlookup(BA378,A:A,J:J)</f>
        <v>#NAME?</v>
      </c>
      <c r="BD378" s="75" t="e">
        <f aca="false">_xlfn.xlookup(BA378,A:A,M:M)+_xlfn.xlookup(BA378,A:A,N:N)</f>
        <v>#NAME?</v>
      </c>
    </row>
    <row r="379" customFormat="false" ht="14.25" hidden="false" customHeight="false" outlineLevel="0" collapsed="false">
      <c r="AK379" s="15" t="e">
        <v>#NAME?</v>
      </c>
      <c r="AL379" s="15" t="e">
        <f aca="false">_xlfn.xlookup(AK379,A:A,F:F)</f>
        <v>#NAME?</v>
      </c>
      <c r="AM379" s="15" t="e">
        <f aca="false">_xlfn.xlookup(AK379,A:A,J:J)</f>
        <v>#NAME?</v>
      </c>
      <c r="AN379" s="15" t="e">
        <f aca="false">_xlfn.xlookup(AK379,A:A,M:M)+_xlfn.xlookup(AK379,A:A,N:N)</f>
        <v>#NAME?</v>
      </c>
      <c r="AO379" s="223" t="e">
        <f aca="false">_xlfn.xlookup(AK379,A:A,AG:AG)</f>
        <v>#NAME?</v>
      </c>
      <c r="AP379" s="223" t="e">
        <f aca="false">_xlfn.xlookup(AK379,A:A,AD:AD)</f>
        <v>#NAME?</v>
      </c>
      <c r="AQ379" s="223" t="e">
        <f aca="false">_xlfn.xlookup(AK379,A:A,AE:AE)</f>
        <v>#NAME?</v>
      </c>
      <c r="BB379" s="15" t="e">
        <f aca="false">_xlfn.xlookup(BA379,A:A,E:E)</f>
        <v>#NAME?</v>
      </c>
      <c r="BC379" s="15" t="e">
        <f aca="false">_xlfn.xlookup(BA379,A:A,J:J)</f>
        <v>#NAME?</v>
      </c>
      <c r="BD379" s="75" t="e">
        <f aca="false">_xlfn.xlookup(BA379,A:A,M:M)+_xlfn.xlookup(BA379,A:A,N:N)</f>
        <v>#NAME?</v>
      </c>
    </row>
    <row r="380" customFormat="false" ht="14.25" hidden="false" customHeight="false" outlineLevel="0" collapsed="false">
      <c r="AK380" s="15" t="e">
        <v>#NAME?</v>
      </c>
      <c r="AL380" s="15" t="e">
        <f aca="false">_xlfn.xlookup(AK380,A:A,F:F)</f>
        <v>#NAME?</v>
      </c>
      <c r="AM380" s="15" t="e">
        <f aca="false">_xlfn.xlookup(AK380,A:A,J:J)</f>
        <v>#NAME?</v>
      </c>
      <c r="AN380" s="15" t="e">
        <f aca="false">_xlfn.xlookup(AK380,A:A,M:M)+_xlfn.xlookup(AK380,A:A,N:N)</f>
        <v>#NAME?</v>
      </c>
      <c r="AO380" s="223" t="e">
        <f aca="false">_xlfn.xlookup(AK380,A:A,AG:AG)</f>
        <v>#NAME?</v>
      </c>
      <c r="AP380" s="223" t="e">
        <f aca="false">_xlfn.xlookup(AK380,A:A,AD:AD)</f>
        <v>#NAME?</v>
      </c>
      <c r="AQ380" s="223" t="e">
        <f aca="false">_xlfn.xlookup(AK380,A:A,AE:AE)</f>
        <v>#NAME?</v>
      </c>
      <c r="BB380" s="15" t="e">
        <f aca="false">_xlfn.xlookup(BA380,A:A,E:E)</f>
        <v>#NAME?</v>
      </c>
      <c r="BC380" s="15" t="e">
        <f aca="false">_xlfn.xlookup(BA380,A:A,J:J)</f>
        <v>#NAME?</v>
      </c>
      <c r="BD380" s="75" t="e">
        <f aca="false">_xlfn.xlookup(BA380,A:A,M:M)+_xlfn.xlookup(BA380,A:A,N:N)</f>
        <v>#NAME?</v>
      </c>
    </row>
    <row r="381" customFormat="false" ht="14.25" hidden="false" customHeight="false" outlineLevel="0" collapsed="false">
      <c r="AK381" s="15" t="e">
        <v>#NAME?</v>
      </c>
      <c r="AL381" s="15" t="e">
        <f aca="false">_xlfn.xlookup(AK381,A:A,F:F)</f>
        <v>#NAME?</v>
      </c>
      <c r="AM381" s="15" t="e">
        <f aca="false">_xlfn.xlookup(AK381,A:A,J:J)</f>
        <v>#NAME?</v>
      </c>
      <c r="AN381" s="15" t="e">
        <f aca="false">_xlfn.xlookup(AK381,A:A,M:M)+_xlfn.xlookup(AK381,A:A,N:N)</f>
        <v>#NAME?</v>
      </c>
      <c r="AO381" s="223" t="e">
        <f aca="false">_xlfn.xlookup(AK381,A:A,AG:AG)</f>
        <v>#NAME?</v>
      </c>
      <c r="AP381" s="223" t="e">
        <f aca="false">_xlfn.xlookup(AK381,A:A,AD:AD)</f>
        <v>#NAME?</v>
      </c>
      <c r="AQ381" s="223" t="e">
        <f aca="false">_xlfn.xlookup(AK381,A:A,AE:AE)</f>
        <v>#NAME?</v>
      </c>
      <c r="BB381" s="15" t="e">
        <f aca="false">_xlfn.xlookup(BA381,A:A,E:E)</f>
        <v>#NAME?</v>
      </c>
      <c r="BC381" s="15" t="e">
        <f aca="false">_xlfn.xlookup(BA381,A:A,J:J)</f>
        <v>#NAME?</v>
      </c>
      <c r="BD381" s="75" t="e">
        <f aca="false">_xlfn.xlookup(BA381,A:A,M:M)+_xlfn.xlookup(BA381,A:A,N:N)</f>
        <v>#NAME?</v>
      </c>
    </row>
    <row r="382" customFormat="false" ht="14.25" hidden="false" customHeight="false" outlineLevel="0" collapsed="false">
      <c r="AK382" s="15" t="e">
        <v>#NAME?</v>
      </c>
      <c r="AL382" s="15" t="e">
        <f aca="false">_xlfn.xlookup(AK382,A:A,F:F)</f>
        <v>#NAME?</v>
      </c>
      <c r="AM382" s="15" t="e">
        <f aca="false">_xlfn.xlookup(AK382,A:A,J:J)</f>
        <v>#NAME?</v>
      </c>
      <c r="AN382" s="15" t="e">
        <f aca="false">_xlfn.xlookup(AK382,A:A,M:M)+_xlfn.xlookup(AK382,A:A,N:N)</f>
        <v>#NAME?</v>
      </c>
      <c r="AO382" s="223" t="e">
        <f aca="false">_xlfn.xlookup(AK382,A:A,AG:AG)</f>
        <v>#NAME?</v>
      </c>
      <c r="AP382" s="223" t="e">
        <f aca="false">_xlfn.xlookup(AK382,A:A,AD:AD)</f>
        <v>#NAME?</v>
      </c>
      <c r="AQ382" s="223" t="e">
        <f aca="false">_xlfn.xlookup(AK382,A:A,AE:AE)</f>
        <v>#NAME?</v>
      </c>
      <c r="BB382" s="15" t="e">
        <f aca="false">_xlfn.xlookup(BA382,A:A,E:E)</f>
        <v>#NAME?</v>
      </c>
      <c r="BC382" s="15" t="e">
        <f aca="false">_xlfn.xlookup(BA382,A:A,J:J)</f>
        <v>#NAME?</v>
      </c>
      <c r="BD382" s="75" t="e">
        <f aca="false">_xlfn.xlookup(BA382,A:A,M:M)+_xlfn.xlookup(BA382,A:A,N:N)</f>
        <v>#NAME?</v>
      </c>
    </row>
    <row r="383" customFormat="false" ht="14.25" hidden="false" customHeight="false" outlineLevel="0" collapsed="false">
      <c r="AK383" s="15" t="e">
        <v>#NAME?</v>
      </c>
      <c r="AL383" s="15" t="e">
        <f aca="false">_xlfn.xlookup(AK383,A:A,F:F)</f>
        <v>#NAME?</v>
      </c>
      <c r="AM383" s="15" t="e">
        <f aca="false">_xlfn.xlookup(AK383,A:A,J:J)</f>
        <v>#NAME?</v>
      </c>
      <c r="AN383" s="15" t="e">
        <f aca="false">_xlfn.xlookup(AK383,A:A,M:M)+_xlfn.xlookup(AK383,A:A,N:N)</f>
        <v>#NAME?</v>
      </c>
      <c r="AO383" s="223" t="e">
        <f aca="false">_xlfn.xlookup(AK383,A:A,AG:AG)</f>
        <v>#NAME?</v>
      </c>
      <c r="AP383" s="223" t="e">
        <f aca="false">_xlfn.xlookup(AK383,A:A,AD:AD)</f>
        <v>#NAME?</v>
      </c>
      <c r="AQ383" s="223" t="e">
        <f aca="false">_xlfn.xlookup(AK383,A:A,AE:AE)</f>
        <v>#NAME?</v>
      </c>
      <c r="BB383" s="15" t="e">
        <f aca="false">_xlfn.xlookup(BA383,A:A,E:E)</f>
        <v>#NAME?</v>
      </c>
      <c r="BC383" s="15" t="e">
        <f aca="false">_xlfn.xlookup(BA383,A:A,J:J)</f>
        <v>#NAME?</v>
      </c>
      <c r="BD383" s="75" t="e">
        <f aca="false">_xlfn.xlookup(BA383,A:A,M:M)+_xlfn.xlookup(BA383,A:A,N:N)</f>
        <v>#NAME?</v>
      </c>
    </row>
    <row r="384" customFormat="false" ht="14.25" hidden="false" customHeight="false" outlineLevel="0" collapsed="false">
      <c r="AK384" s="15" t="e">
        <v>#NAME?</v>
      </c>
      <c r="AL384" s="15" t="e">
        <f aca="false">_xlfn.xlookup(AK384,A:A,F:F)</f>
        <v>#NAME?</v>
      </c>
      <c r="AM384" s="15" t="e">
        <f aca="false">_xlfn.xlookup(AK384,A:A,J:J)</f>
        <v>#NAME?</v>
      </c>
      <c r="AN384" s="15" t="e">
        <f aca="false">_xlfn.xlookup(AK384,A:A,M:M)+_xlfn.xlookup(AK384,A:A,N:N)</f>
        <v>#NAME?</v>
      </c>
      <c r="AO384" s="223" t="e">
        <f aca="false">_xlfn.xlookup(AK384,A:A,AG:AG)</f>
        <v>#NAME?</v>
      </c>
      <c r="AP384" s="223" t="e">
        <f aca="false">_xlfn.xlookup(AK384,A:A,AD:AD)</f>
        <v>#NAME?</v>
      </c>
      <c r="AQ384" s="223" t="e">
        <f aca="false">_xlfn.xlookup(AK384,A:A,AE:AE)</f>
        <v>#NAME?</v>
      </c>
      <c r="BB384" s="15" t="e">
        <f aca="false">_xlfn.xlookup(BA384,A:A,E:E)</f>
        <v>#NAME?</v>
      </c>
      <c r="BC384" s="15" t="e">
        <f aca="false">_xlfn.xlookup(BA384,A:A,J:J)</f>
        <v>#NAME?</v>
      </c>
      <c r="BD384" s="75" t="e">
        <f aca="false">_xlfn.xlookup(BA384,A:A,M:M)+_xlfn.xlookup(BA384,A:A,N:N)</f>
        <v>#NAME?</v>
      </c>
    </row>
    <row r="385" customFormat="false" ht="14.25" hidden="false" customHeight="false" outlineLevel="0" collapsed="false">
      <c r="AK385" s="15" t="e">
        <v>#NAME?</v>
      </c>
      <c r="AL385" s="15" t="e">
        <f aca="false">_xlfn.xlookup(AK385,A:A,F:F)</f>
        <v>#NAME?</v>
      </c>
      <c r="AM385" s="15" t="e">
        <f aca="false">_xlfn.xlookup(AK385,A:A,J:J)</f>
        <v>#NAME?</v>
      </c>
      <c r="AN385" s="15" t="e">
        <f aca="false">_xlfn.xlookup(AK385,A:A,M:M)+_xlfn.xlookup(AK385,A:A,N:N)</f>
        <v>#NAME?</v>
      </c>
      <c r="AO385" s="223" t="e">
        <f aca="false">_xlfn.xlookup(AK385,A:A,AG:AG)</f>
        <v>#NAME?</v>
      </c>
      <c r="AP385" s="223" t="e">
        <f aca="false">_xlfn.xlookup(AK385,A:A,AD:AD)</f>
        <v>#NAME?</v>
      </c>
      <c r="AQ385" s="223" t="e">
        <f aca="false">_xlfn.xlookup(AK385,A:A,AE:AE)</f>
        <v>#NAME?</v>
      </c>
      <c r="BB385" s="15" t="e">
        <f aca="false">_xlfn.xlookup(BA385,A:A,E:E)</f>
        <v>#NAME?</v>
      </c>
      <c r="BC385" s="15" t="e">
        <f aca="false">_xlfn.xlookup(BA385,A:A,J:J)</f>
        <v>#NAME?</v>
      </c>
      <c r="BD385" s="75" t="e">
        <f aca="false">_xlfn.xlookup(BA385,A:A,M:M)+_xlfn.xlookup(BA385,A:A,N:N)</f>
        <v>#NAME?</v>
      </c>
    </row>
    <row r="386" customFormat="false" ht="14.25" hidden="false" customHeight="false" outlineLevel="0" collapsed="false">
      <c r="AK386" s="15" t="e">
        <v>#NAME?</v>
      </c>
      <c r="AL386" s="15" t="e">
        <f aca="false">_xlfn.xlookup(AK386,A:A,F:F)</f>
        <v>#NAME?</v>
      </c>
      <c r="AM386" s="15" t="e">
        <f aca="false">_xlfn.xlookup(AK386,A:A,J:J)</f>
        <v>#NAME?</v>
      </c>
      <c r="AN386" s="15" t="e">
        <f aca="false">_xlfn.xlookup(AK386,A:A,M:M)+_xlfn.xlookup(AK386,A:A,N:N)</f>
        <v>#NAME?</v>
      </c>
      <c r="AO386" s="223" t="e">
        <f aca="false">_xlfn.xlookup(AK386,A:A,AG:AG)</f>
        <v>#NAME?</v>
      </c>
      <c r="AP386" s="223" t="e">
        <f aca="false">_xlfn.xlookup(AK386,A:A,AD:AD)</f>
        <v>#NAME?</v>
      </c>
      <c r="AQ386" s="223" t="e">
        <f aca="false">_xlfn.xlookup(AK386,A:A,AE:AE)</f>
        <v>#NAME?</v>
      </c>
      <c r="BB386" s="15" t="e">
        <f aca="false">_xlfn.xlookup(BA386,A:A,E:E)</f>
        <v>#NAME?</v>
      </c>
      <c r="BC386" s="15" t="e">
        <f aca="false">_xlfn.xlookup(BA386,A:A,J:J)</f>
        <v>#NAME?</v>
      </c>
      <c r="BD386" s="75" t="e">
        <f aca="false">_xlfn.xlookup(BA386,A:A,M:M)+_xlfn.xlookup(BA386,A:A,N:N)</f>
        <v>#NAME?</v>
      </c>
    </row>
    <row r="387" customFormat="false" ht="14.25" hidden="false" customHeight="false" outlineLevel="0" collapsed="false">
      <c r="AK387" s="15" t="e">
        <v>#NAME?</v>
      </c>
      <c r="AL387" s="15" t="e">
        <f aca="false">_xlfn.xlookup(AK387,A:A,F:F)</f>
        <v>#NAME?</v>
      </c>
      <c r="AM387" s="15" t="e">
        <f aca="false">_xlfn.xlookup(AK387,A:A,J:J)</f>
        <v>#NAME?</v>
      </c>
      <c r="AN387" s="15" t="e">
        <f aca="false">_xlfn.xlookup(AK387,A:A,M:M)+_xlfn.xlookup(AK387,A:A,N:N)</f>
        <v>#NAME?</v>
      </c>
      <c r="AO387" s="223" t="e">
        <f aca="false">_xlfn.xlookup(AK387,A:A,AG:AG)</f>
        <v>#NAME?</v>
      </c>
      <c r="AP387" s="223" t="e">
        <f aca="false">_xlfn.xlookup(AK387,A:A,AD:AD)</f>
        <v>#NAME?</v>
      </c>
      <c r="AQ387" s="223" t="e">
        <f aca="false">_xlfn.xlookup(AK387,A:A,AE:AE)</f>
        <v>#NAME?</v>
      </c>
      <c r="BB387" s="15" t="e">
        <f aca="false">_xlfn.xlookup(BA387,A:A,E:E)</f>
        <v>#NAME?</v>
      </c>
      <c r="BC387" s="15" t="e">
        <f aca="false">_xlfn.xlookup(BA387,A:A,J:J)</f>
        <v>#NAME?</v>
      </c>
      <c r="BD387" s="75" t="e">
        <f aca="false">_xlfn.xlookup(BA387,A:A,M:M)+_xlfn.xlookup(BA387,A:A,N:N)</f>
        <v>#NAME?</v>
      </c>
    </row>
    <row r="388" customFormat="false" ht="14.25" hidden="false" customHeight="false" outlineLevel="0" collapsed="false">
      <c r="AK388" s="15" t="e">
        <v>#NAME?</v>
      </c>
      <c r="AL388" s="15" t="e">
        <f aca="false">_xlfn.xlookup(AK388,A:A,F:F)</f>
        <v>#NAME?</v>
      </c>
      <c r="AM388" s="15" t="e">
        <f aca="false">_xlfn.xlookup(AK388,A:A,J:J)</f>
        <v>#NAME?</v>
      </c>
      <c r="AN388" s="15" t="e">
        <f aca="false">_xlfn.xlookup(AK388,A:A,M:M)+_xlfn.xlookup(AK388,A:A,N:N)</f>
        <v>#NAME?</v>
      </c>
      <c r="AO388" s="223" t="e">
        <f aca="false">_xlfn.xlookup(AK388,A:A,AG:AG)</f>
        <v>#NAME?</v>
      </c>
      <c r="AP388" s="223" t="e">
        <f aca="false">_xlfn.xlookup(AK388,A:A,AD:AD)</f>
        <v>#NAME?</v>
      </c>
      <c r="AQ388" s="223" t="e">
        <f aca="false">_xlfn.xlookup(AK388,A:A,AE:AE)</f>
        <v>#NAME?</v>
      </c>
      <c r="BB388" s="15" t="e">
        <f aca="false">_xlfn.xlookup(BA388,A:A,E:E)</f>
        <v>#NAME?</v>
      </c>
      <c r="BC388" s="15" t="e">
        <f aca="false">_xlfn.xlookup(BA388,A:A,J:J)</f>
        <v>#NAME?</v>
      </c>
      <c r="BD388" s="75" t="e">
        <f aca="false">_xlfn.xlookup(BA388,A:A,M:M)+_xlfn.xlookup(BA388,A:A,N:N)</f>
        <v>#NAME?</v>
      </c>
    </row>
    <row r="389" customFormat="false" ht="14.25" hidden="false" customHeight="false" outlineLevel="0" collapsed="false">
      <c r="AK389" s="15" t="e">
        <v>#NAME?</v>
      </c>
      <c r="AL389" s="15" t="e">
        <f aca="false">_xlfn.xlookup(AK389,A:A,F:F)</f>
        <v>#NAME?</v>
      </c>
      <c r="AM389" s="15" t="e">
        <f aca="false">_xlfn.xlookup(AK389,A:A,J:J)</f>
        <v>#NAME?</v>
      </c>
      <c r="AN389" s="15" t="e">
        <f aca="false">_xlfn.xlookup(AK389,A:A,M:M)+_xlfn.xlookup(AK389,A:A,N:N)</f>
        <v>#NAME?</v>
      </c>
      <c r="AO389" s="223" t="e">
        <f aca="false">_xlfn.xlookup(AK389,A:A,AG:AG)</f>
        <v>#NAME?</v>
      </c>
      <c r="AP389" s="223" t="e">
        <f aca="false">_xlfn.xlookup(AK389,A:A,AD:AD)</f>
        <v>#NAME?</v>
      </c>
      <c r="AQ389" s="223" t="e">
        <f aca="false">_xlfn.xlookup(AK389,A:A,AE:AE)</f>
        <v>#NAME?</v>
      </c>
      <c r="BB389" s="15" t="e">
        <f aca="false">_xlfn.xlookup(BA389,A:A,E:E)</f>
        <v>#NAME?</v>
      </c>
      <c r="BC389" s="15" t="e">
        <f aca="false">_xlfn.xlookup(BA389,A:A,J:J)</f>
        <v>#NAME?</v>
      </c>
      <c r="BD389" s="75" t="e">
        <f aca="false">_xlfn.xlookup(BA389,A:A,M:M)+_xlfn.xlookup(BA389,A:A,N:N)</f>
        <v>#NAME?</v>
      </c>
    </row>
    <row r="390" customFormat="false" ht="14.25" hidden="false" customHeight="false" outlineLevel="0" collapsed="false">
      <c r="AK390" s="15" t="e">
        <v>#NAME?</v>
      </c>
      <c r="AL390" s="15" t="e">
        <f aca="false">_xlfn.xlookup(AK390,A:A,F:F)</f>
        <v>#NAME?</v>
      </c>
      <c r="AM390" s="15" t="e">
        <f aca="false">_xlfn.xlookup(AK390,A:A,J:J)</f>
        <v>#NAME?</v>
      </c>
      <c r="AN390" s="15" t="e">
        <f aca="false">_xlfn.xlookup(AK390,A:A,M:M)+_xlfn.xlookup(AK390,A:A,N:N)</f>
        <v>#NAME?</v>
      </c>
      <c r="AO390" s="223" t="e">
        <f aca="false">_xlfn.xlookup(AK390,A:A,AG:AG)</f>
        <v>#NAME?</v>
      </c>
      <c r="AP390" s="223" t="e">
        <f aca="false">_xlfn.xlookup(AK390,A:A,AD:AD)</f>
        <v>#NAME?</v>
      </c>
      <c r="AQ390" s="223" t="e">
        <f aca="false">_xlfn.xlookup(AK390,A:A,AE:AE)</f>
        <v>#NAME?</v>
      </c>
      <c r="BB390" s="15" t="e">
        <f aca="false">_xlfn.xlookup(BA390,A:A,E:E)</f>
        <v>#NAME?</v>
      </c>
      <c r="BC390" s="15" t="e">
        <f aca="false">_xlfn.xlookup(BA390,A:A,J:J)</f>
        <v>#NAME?</v>
      </c>
      <c r="BD390" s="75" t="e">
        <f aca="false">_xlfn.xlookup(BA390,A:A,M:M)+_xlfn.xlookup(BA390,A:A,N:N)</f>
        <v>#NAME?</v>
      </c>
    </row>
    <row r="391" customFormat="false" ht="14.25" hidden="false" customHeight="false" outlineLevel="0" collapsed="false">
      <c r="AK391" s="15" t="e">
        <v>#NAME?</v>
      </c>
      <c r="AL391" s="15" t="e">
        <f aca="false">_xlfn.xlookup(AK391,A:A,F:F)</f>
        <v>#NAME?</v>
      </c>
      <c r="AM391" s="15" t="e">
        <f aca="false">_xlfn.xlookup(AK391,A:A,J:J)</f>
        <v>#NAME?</v>
      </c>
      <c r="AN391" s="15" t="e">
        <f aca="false">_xlfn.xlookup(AK391,A:A,M:M)+_xlfn.xlookup(AK391,A:A,N:N)</f>
        <v>#NAME?</v>
      </c>
      <c r="AO391" s="223" t="e">
        <f aca="false">_xlfn.xlookup(AK391,A:A,AG:AG)</f>
        <v>#NAME?</v>
      </c>
      <c r="AP391" s="223" t="e">
        <f aca="false">_xlfn.xlookup(AK391,A:A,AD:AD)</f>
        <v>#NAME?</v>
      </c>
      <c r="AQ391" s="223" t="e">
        <f aca="false">_xlfn.xlookup(AK391,A:A,AE:AE)</f>
        <v>#NAME?</v>
      </c>
      <c r="BB391" s="15" t="e">
        <f aca="false">_xlfn.xlookup(BA391,A:A,E:E)</f>
        <v>#NAME?</v>
      </c>
      <c r="BC391" s="15" t="e">
        <f aca="false">_xlfn.xlookup(BA391,A:A,J:J)</f>
        <v>#NAME?</v>
      </c>
      <c r="BD391" s="75" t="e">
        <f aca="false">_xlfn.xlookup(BA391,A:A,M:M)+_xlfn.xlookup(BA391,A:A,N:N)</f>
        <v>#NAME?</v>
      </c>
    </row>
    <row r="392" customFormat="false" ht="14.25" hidden="false" customHeight="false" outlineLevel="0" collapsed="false">
      <c r="AK392" s="15" t="e">
        <v>#NAME?</v>
      </c>
      <c r="AL392" s="15" t="e">
        <f aca="false">_xlfn.xlookup(AK392,A:A,F:F)</f>
        <v>#NAME?</v>
      </c>
      <c r="AM392" s="15" t="e">
        <f aca="false">_xlfn.xlookup(AK392,A:A,J:J)</f>
        <v>#NAME?</v>
      </c>
      <c r="AN392" s="15" t="e">
        <f aca="false">_xlfn.xlookup(AK392,A:A,M:M)+_xlfn.xlookup(AK392,A:A,N:N)</f>
        <v>#NAME?</v>
      </c>
      <c r="AO392" s="223" t="e">
        <f aca="false">_xlfn.xlookup(AK392,A:A,AG:AG)</f>
        <v>#NAME?</v>
      </c>
      <c r="AP392" s="223" t="e">
        <f aca="false">_xlfn.xlookup(AK392,A:A,AD:AD)</f>
        <v>#NAME?</v>
      </c>
      <c r="AQ392" s="223" t="e">
        <f aca="false">_xlfn.xlookup(AK392,A:A,AE:AE)</f>
        <v>#NAME?</v>
      </c>
      <c r="BB392" s="15" t="e">
        <f aca="false">_xlfn.xlookup(BA392,A:A,E:E)</f>
        <v>#NAME?</v>
      </c>
      <c r="BC392" s="15" t="e">
        <f aca="false">_xlfn.xlookup(BA392,A:A,J:J)</f>
        <v>#NAME?</v>
      </c>
      <c r="BD392" s="75" t="e">
        <f aca="false">_xlfn.xlookup(BA392,A:A,M:M)+_xlfn.xlookup(BA392,A:A,N:N)</f>
        <v>#NAME?</v>
      </c>
    </row>
    <row r="393" customFormat="false" ht="14.25" hidden="false" customHeight="false" outlineLevel="0" collapsed="false">
      <c r="AK393" s="15" t="e">
        <v>#NAME?</v>
      </c>
      <c r="AL393" s="15" t="e">
        <f aca="false">_xlfn.xlookup(AK393,A:A,F:F)</f>
        <v>#NAME?</v>
      </c>
      <c r="AM393" s="15" t="e">
        <f aca="false">_xlfn.xlookup(AK393,A:A,J:J)</f>
        <v>#NAME?</v>
      </c>
      <c r="AN393" s="15" t="e">
        <f aca="false">_xlfn.xlookup(AK393,A:A,M:M)+_xlfn.xlookup(AK393,A:A,N:N)</f>
        <v>#NAME?</v>
      </c>
      <c r="AO393" s="223" t="e">
        <f aca="false">_xlfn.xlookup(AK393,A:A,AG:AG)</f>
        <v>#NAME?</v>
      </c>
      <c r="AP393" s="223" t="e">
        <f aca="false">_xlfn.xlookup(AK393,A:A,AD:AD)</f>
        <v>#NAME?</v>
      </c>
      <c r="AQ393" s="223" t="e">
        <f aca="false">_xlfn.xlookup(AK393,A:A,AE:AE)</f>
        <v>#NAME?</v>
      </c>
      <c r="BB393" s="15" t="e">
        <f aca="false">_xlfn.xlookup(BA393,A:A,E:E)</f>
        <v>#NAME?</v>
      </c>
      <c r="BC393" s="15" t="e">
        <f aca="false">_xlfn.xlookup(BA393,A:A,J:J)</f>
        <v>#NAME?</v>
      </c>
      <c r="BD393" s="75" t="e">
        <f aca="false">_xlfn.xlookup(BA393,A:A,M:M)+_xlfn.xlookup(BA393,A:A,N:N)</f>
        <v>#NAME?</v>
      </c>
    </row>
    <row r="394" customFormat="false" ht="14.25" hidden="false" customHeight="false" outlineLevel="0" collapsed="false">
      <c r="AK394" s="15" t="e">
        <v>#NAME?</v>
      </c>
      <c r="AL394" s="15" t="e">
        <f aca="false">_xlfn.xlookup(AK394,A:A,F:F)</f>
        <v>#NAME?</v>
      </c>
      <c r="AM394" s="15" t="e">
        <f aca="false">_xlfn.xlookup(AK394,A:A,J:J)</f>
        <v>#NAME?</v>
      </c>
      <c r="AN394" s="15" t="e">
        <f aca="false">_xlfn.xlookup(AK394,A:A,M:M)+_xlfn.xlookup(AK394,A:A,N:N)</f>
        <v>#NAME?</v>
      </c>
      <c r="AO394" s="223" t="e">
        <f aca="false">_xlfn.xlookup(AK394,A:A,AG:AG)</f>
        <v>#NAME?</v>
      </c>
      <c r="AP394" s="223" t="e">
        <f aca="false">_xlfn.xlookup(AK394,A:A,AD:AD)</f>
        <v>#NAME?</v>
      </c>
      <c r="AQ394" s="223" t="e">
        <f aca="false">_xlfn.xlookup(AK394,A:A,AE:AE)</f>
        <v>#NAME?</v>
      </c>
      <c r="BB394" s="15" t="e">
        <f aca="false">_xlfn.xlookup(BA394,A:A,E:E)</f>
        <v>#NAME?</v>
      </c>
      <c r="BC394" s="15" t="e">
        <f aca="false">_xlfn.xlookup(BA394,A:A,J:J)</f>
        <v>#NAME?</v>
      </c>
      <c r="BD394" s="75" t="e">
        <f aca="false">_xlfn.xlookup(BA394,A:A,M:M)+_xlfn.xlookup(BA394,A:A,N:N)</f>
        <v>#NAME?</v>
      </c>
    </row>
    <row r="395" customFormat="false" ht="14.25" hidden="false" customHeight="false" outlineLevel="0" collapsed="false">
      <c r="AK395" s="15" t="e">
        <v>#NAME?</v>
      </c>
      <c r="AL395" s="15" t="e">
        <f aca="false">_xlfn.xlookup(AK395,A:A,F:F)</f>
        <v>#NAME?</v>
      </c>
      <c r="AM395" s="15" t="e">
        <f aca="false">_xlfn.xlookup(AK395,A:A,J:J)</f>
        <v>#NAME?</v>
      </c>
      <c r="AN395" s="15" t="e">
        <f aca="false">_xlfn.xlookup(AK395,A:A,M:M)+_xlfn.xlookup(AK395,A:A,N:N)</f>
        <v>#NAME?</v>
      </c>
      <c r="AO395" s="223" t="e">
        <f aca="false">_xlfn.xlookup(AK395,A:A,AG:AG)</f>
        <v>#NAME?</v>
      </c>
      <c r="AP395" s="223" t="e">
        <f aca="false">_xlfn.xlookup(AK395,A:A,AD:AD)</f>
        <v>#NAME?</v>
      </c>
      <c r="AQ395" s="223" t="e">
        <f aca="false">_xlfn.xlookup(AK395,A:A,AE:AE)</f>
        <v>#NAME?</v>
      </c>
      <c r="BB395" s="15" t="e">
        <f aca="false">_xlfn.xlookup(BA395,A:A,E:E)</f>
        <v>#NAME?</v>
      </c>
      <c r="BC395" s="15" t="e">
        <f aca="false">_xlfn.xlookup(BA395,A:A,J:J)</f>
        <v>#NAME?</v>
      </c>
      <c r="BD395" s="75" t="e">
        <f aca="false">_xlfn.xlookup(BA395,A:A,M:M)+_xlfn.xlookup(BA395,A:A,N:N)</f>
        <v>#NAME?</v>
      </c>
    </row>
    <row r="396" customFormat="false" ht="14.25" hidden="false" customHeight="false" outlineLevel="0" collapsed="false">
      <c r="AK396" s="15" t="e">
        <v>#NAME?</v>
      </c>
      <c r="AL396" s="15" t="e">
        <f aca="false">_xlfn.xlookup(AK396,A:A,F:F)</f>
        <v>#NAME?</v>
      </c>
      <c r="AM396" s="15" t="e">
        <f aca="false">_xlfn.xlookup(AK396,A:A,J:J)</f>
        <v>#NAME?</v>
      </c>
      <c r="AN396" s="15" t="e">
        <f aca="false">_xlfn.xlookup(AK396,A:A,M:M)+_xlfn.xlookup(AK396,A:A,N:N)</f>
        <v>#NAME?</v>
      </c>
      <c r="AO396" s="223" t="e">
        <f aca="false">_xlfn.xlookup(AK396,A:A,AG:AG)</f>
        <v>#NAME?</v>
      </c>
      <c r="AP396" s="223" t="e">
        <f aca="false">_xlfn.xlookup(AK396,A:A,AD:AD)</f>
        <v>#NAME?</v>
      </c>
      <c r="AQ396" s="223" t="e">
        <f aca="false">_xlfn.xlookup(AK396,A:A,AE:AE)</f>
        <v>#NAME?</v>
      </c>
      <c r="BB396" s="15" t="e">
        <f aca="false">_xlfn.xlookup(BA396,A:A,E:E)</f>
        <v>#NAME?</v>
      </c>
      <c r="BC396" s="15" t="e">
        <f aca="false">_xlfn.xlookup(BA396,A:A,J:J)</f>
        <v>#NAME?</v>
      </c>
      <c r="BD396" s="75" t="e">
        <f aca="false">_xlfn.xlookup(BA396,A:A,M:M)+_xlfn.xlookup(BA396,A:A,N:N)</f>
        <v>#NAME?</v>
      </c>
    </row>
    <row r="397" customFormat="false" ht="14.25" hidden="false" customHeight="false" outlineLevel="0" collapsed="false">
      <c r="AK397" s="15" t="e">
        <v>#NAME?</v>
      </c>
      <c r="AL397" s="15" t="e">
        <f aca="false">_xlfn.xlookup(AK397,A:A,F:F)</f>
        <v>#NAME?</v>
      </c>
      <c r="AM397" s="15" t="e">
        <f aca="false">_xlfn.xlookup(AK397,A:A,J:J)</f>
        <v>#NAME?</v>
      </c>
      <c r="AN397" s="15" t="e">
        <f aca="false">_xlfn.xlookup(AK397,A:A,M:M)+_xlfn.xlookup(AK397,A:A,N:N)</f>
        <v>#NAME?</v>
      </c>
      <c r="AO397" s="223" t="e">
        <f aca="false">_xlfn.xlookup(AK397,A:A,AG:AG)</f>
        <v>#NAME?</v>
      </c>
      <c r="AP397" s="223" t="e">
        <f aca="false">_xlfn.xlookup(AK397,A:A,AD:AD)</f>
        <v>#NAME?</v>
      </c>
      <c r="AQ397" s="223" t="e">
        <f aca="false">_xlfn.xlookup(AK397,A:A,AE:AE)</f>
        <v>#NAME?</v>
      </c>
      <c r="BB397" s="15" t="e">
        <f aca="false">_xlfn.xlookup(BA397,A:A,E:E)</f>
        <v>#NAME?</v>
      </c>
      <c r="BC397" s="15" t="e">
        <f aca="false">_xlfn.xlookup(BA397,A:A,J:J)</f>
        <v>#NAME?</v>
      </c>
      <c r="BD397" s="75" t="e">
        <f aca="false">_xlfn.xlookup(BA397,A:A,M:M)+_xlfn.xlookup(BA397,A:A,N:N)</f>
        <v>#NAME?</v>
      </c>
    </row>
    <row r="398" customFormat="false" ht="14.25" hidden="false" customHeight="false" outlineLevel="0" collapsed="false">
      <c r="AK398" s="15" t="e">
        <v>#NAME?</v>
      </c>
      <c r="AL398" s="15" t="e">
        <f aca="false">_xlfn.xlookup(AK398,A:A,F:F)</f>
        <v>#NAME?</v>
      </c>
      <c r="AM398" s="15" t="e">
        <f aca="false">_xlfn.xlookup(AK398,A:A,J:J)</f>
        <v>#NAME?</v>
      </c>
      <c r="AN398" s="15" t="e">
        <f aca="false">_xlfn.xlookup(AK398,A:A,M:M)+_xlfn.xlookup(AK398,A:A,N:N)</f>
        <v>#NAME?</v>
      </c>
      <c r="AO398" s="223" t="e">
        <f aca="false">_xlfn.xlookup(AK398,A:A,AG:AG)</f>
        <v>#NAME?</v>
      </c>
      <c r="AP398" s="223" t="e">
        <f aca="false">_xlfn.xlookup(AK398,A:A,AD:AD)</f>
        <v>#NAME?</v>
      </c>
      <c r="AQ398" s="223" t="e">
        <f aca="false">_xlfn.xlookup(AK398,A:A,AE:AE)</f>
        <v>#NAME?</v>
      </c>
      <c r="BB398" s="15" t="e">
        <f aca="false">_xlfn.xlookup(BA398,A:A,E:E)</f>
        <v>#NAME?</v>
      </c>
      <c r="BC398" s="15" t="e">
        <f aca="false">_xlfn.xlookup(BA398,A:A,J:J)</f>
        <v>#NAME?</v>
      </c>
      <c r="BD398" s="75" t="e">
        <f aca="false">_xlfn.xlookup(BA398,A:A,M:M)+_xlfn.xlookup(BA398,A:A,N:N)</f>
        <v>#NAME?</v>
      </c>
    </row>
    <row r="399" customFormat="false" ht="14.25" hidden="false" customHeight="false" outlineLevel="0" collapsed="false">
      <c r="AK399" s="15" t="e">
        <v>#NAME?</v>
      </c>
      <c r="AL399" s="15" t="e">
        <f aca="false">_xlfn.xlookup(AK399,A:A,F:F)</f>
        <v>#NAME?</v>
      </c>
      <c r="AM399" s="15" t="e">
        <f aca="false">_xlfn.xlookup(AK399,A:A,J:J)</f>
        <v>#NAME?</v>
      </c>
      <c r="AN399" s="15" t="e">
        <f aca="false">_xlfn.xlookup(AK399,A:A,M:M)+_xlfn.xlookup(AK399,A:A,N:N)</f>
        <v>#NAME?</v>
      </c>
      <c r="AO399" s="223" t="e">
        <f aca="false">_xlfn.xlookup(AK399,A:A,AG:AG)</f>
        <v>#NAME?</v>
      </c>
      <c r="AP399" s="223" t="e">
        <f aca="false">_xlfn.xlookup(AK399,A:A,AD:AD)</f>
        <v>#NAME?</v>
      </c>
      <c r="AQ399" s="223" t="e">
        <f aca="false">_xlfn.xlookup(AK399,A:A,AE:AE)</f>
        <v>#NAME?</v>
      </c>
      <c r="BB399" s="15" t="e">
        <f aca="false">_xlfn.xlookup(BA399,A:A,E:E)</f>
        <v>#NAME?</v>
      </c>
      <c r="BC399" s="15" t="e">
        <f aca="false">_xlfn.xlookup(BA399,A:A,J:J)</f>
        <v>#NAME?</v>
      </c>
      <c r="BD399" s="75" t="e">
        <f aca="false">_xlfn.xlookup(BA399,A:A,M:M)+_xlfn.xlookup(BA399,A:A,N:N)</f>
        <v>#NAME?</v>
      </c>
    </row>
    <row r="400" customFormat="false" ht="14.25" hidden="false" customHeight="false" outlineLevel="0" collapsed="false">
      <c r="AK400" s="15" t="e">
        <v>#NAME?</v>
      </c>
      <c r="AL400" s="15" t="e">
        <f aca="false">_xlfn.xlookup(AK400,A:A,F:F)</f>
        <v>#NAME?</v>
      </c>
      <c r="AM400" s="15" t="e">
        <f aca="false">_xlfn.xlookup(AK400,A:A,J:J)</f>
        <v>#NAME?</v>
      </c>
      <c r="AN400" s="15" t="e">
        <f aca="false">_xlfn.xlookup(AK400,A:A,M:M)+_xlfn.xlookup(AK400,A:A,N:N)</f>
        <v>#NAME?</v>
      </c>
      <c r="AO400" s="223" t="e">
        <f aca="false">_xlfn.xlookup(AK400,A:A,AG:AG)</f>
        <v>#NAME?</v>
      </c>
      <c r="AP400" s="223" t="e">
        <f aca="false">_xlfn.xlookup(AK400,A:A,AD:AD)</f>
        <v>#NAME?</v>
      </c>
      <c r="AQ400" s="223" t="e">
        <f aca="false">_xlfn.xlookup(AK400,A:A,AE:AE)</f>
        <v>#NAME?</v>
      </c>
      <c r="BB400" s="15" t="e">
        <f aca="false">_xlfn.xlookup(BA400,A:A,E:E)</f>
        <v>#NAME?</v>
      </c>
      <c r="BC400" s="15" t="e">
        <f aca="false">_xlfn.xlookup(BA400,A:A,J:J)</f>
        <v>#NAME?</v>
      </c>
      <c r="BD400" s="75" t="e">
        <f aca="false">_xlfn.xlookup(BA400,A:A,M:M)+_xlfn.xlookup(BA400,A:A,N:N)</f>
        <v>#NAME?</v>
      </c>
    </row>
    <row r="401" customFormat="false" ht="14.25" hidden="false" customHeight="false" outlineLevel="0" collapsed="false">
      <c r="AK401" s="15" t="e">
        <v>#NAME?</v>
      </c>
      <c r="AL401" s="15" t="e">
        <f aca="false">_xlfn.xlookup(AK401,A:A,F:F)</f>
        <v>#NAME?</v>
      </c>
      <c r="AM401" s="15" t="e">
        <f aca="false">_xlfn.xlookup(AK401,A:A,J:J)</f>
        <v>#NAME?</v>
      </c>
      <c r="AN401" s="15" t="e">
        <f aca="false">_xlfn.xlookup(AK401,A:A,M:M)+_xlfn.xlookup(AK401,A:A,N:N)</f>
        <v>#NAME?</v>
      </c>
      <c r="AO401" s="223" t="e">
        <f aca="false">_xlfn.xlookup(AK401,A:A,AG:AG)</f>
        <v>#NAME?</v>
      </c>
      <c r="AP401" s="223" t="e">
        <f aca="false">_xlfn.xlookup(AK401,A:A,AD:AD)</f>
        <v>#NAME?</v>
      </c>
      <c r="AQ401" s="223" t="e">
        <f aca="false">_xlfn.xlookup(AK401,A:A,AE:AE)</f>
        <v>#NAME?</v>
      </c>
      <c r="BB401" s="15" t="e">
        <f aca="false">_xlfn.xlookup(BA401,A:A,E:E)</f>
        <v>#NAME?</v>
      </c>
      <c r="BC401" s="15" t="e">
        <f aca="false">_xlfn.xlookup(BA401,A:A,J:J)</f>
        <v>#NAME?</v>
      </c>
      <c r="BD401" s="75" t="e">
        <f aca="false">_xlfn.xlookup(BA401,A:A,M:M)+_xlfn.xlookup(BA401,A:A,N:N)</f>
        <v>#NAME?</v>
      </c>
    </row>
    <row r="402" customFormat="false" ht="14.25" hidden="false" customHeight="false" outlineLevel="0" collapsed="false">
      <c r="AK402" s="15" t="e">
        <v>#NAME?</v>
      </c>
      <c r="AL402" s="15" t="e">
        <f aca="false">_xlfn.xlookup(AK402,A:A,F:F)</f>
        <v>#NAME?</v>
      </c>
      <c r="AM402" s="15" t="e">
        <f aca="false">_xlfn.xlookup(AK402,A:A,J:J)</f>
        <v>#NAME?</v>
      </c>
      <c r="AN402" s="15" t="e">
        <f aca="false">_xlfn.xlookup(AK402,A:A,M:M)+_xlfn.xlookup(AK402,A:A,N:N)</f>
        <v>#NAME?</v>
      </c>
      <c r="AO402" s="223" t="e">
        <f aca="false">_xlfn.xlookup(AK402,A:A,AG:AG)</f>
        <v>#NAME?</v>
      </c>
      <c r="AP402" s="223" t="e">
        <f aca="false">_xlfn.xlookup(AK402,A:A,AD:AD)</f>
        <v>#NAME?</v>
      </c>
      <c r="AQ402" s="223" t="e">
        <f aca="false">_xlfn.xlookup(AK402,A:A,AE:AE)</f>
        <v>#NAME?</v>
      </c>
      <c r="BB402" s="15" t="e">
        <f aca="false">_xlfn.xlookup(BA402,A:A,E:E)</f>
        <v>#NAME?</v>
      </c>
      <c r="BC402" s="15" t="e">
        <f aca="false">_xlfn.xlookup(BA402,A:A,J:J)</f>
        <v>#NAME?</v>
      </c>
      <c r="BD402" s="75" t="e">
        <f aca="false">_xlfn.xlookup(BA402,A:A,M:M)+_xlfn.xlookup(BA402,A:A,N:N)</f>
        <v>#NAME?</v>
      </c>
    </row>
    <row r="403" customFormat="false" ht="14.25" hidden="false" customHeight="false" outlineLevel="0" collapsed="false">
      <c r="AK403" s="15" t="e">
        <v>#NAME?</v>
      </c>
      <c r="AL403" s="15" t="e">
        <f aca="false">_xlfn.xlookup(AK403,A:A,F:F)</f>
        <v>#NAME?</v>
      </c>
      <c r="AM403" s="15" t="e">
        <f aca="false">_xlfn.xlookup(AK403,A:A,J:J)</f>
        <v>#NAME?</v>
      </c>
      <c r="AN403" s="15" t="e">
        <f aca="false">_xlfn.xlookup(AK403,A:A,M:M)+_xlfn.xlookup(AK403,A:A,N:N)</f>
        <v>#NAME?</v>
      </c>
      <c r="AO403" s="223" t="e">
        <f aca="false">_xlfn.xlookup(AK403,A:A,AG:AG)</f>
        <v>#NAME?</v>
      </c>
      <c r="AP403" s="223" t="e">
        <f aca="false">_xlfn.xlookup(AK403,A:A,AD:AD)</f>
        <v>#NAME?</v>
      </c>
      <c r="AQ403" s="223" t="e">
        <f aca="false">_xlfn.xlookup(AK403,A:A,AE:AE)</f>
        <v>#NAME?</v>
      </c>
      <c r="BB403" s="15" t="e">
        <f aca="false">_xlfn.xlookup(BA403,A:A,E:E)</f>
        <v>#NAME?</v>
      </c>
      <c r="BC403" s="15" t="e">
        <f aca="false">_xlfn.xlookup(BA403,A:A,J:J)</f>
        <v>#NAME?</v>
      </c>
      <c r="BD403" s="75" t="e">
        <f aca="false">_xlfn.xlookup(BA403,A:A,M:M)+_xlfn.xlookup(BA403,A:A,N:N)</f>
        <v>#NAME?</v>
      </c>
    </row>
    <row r="404" customFormat="false" ht="14.25" hidden="false" customHeight="false" outlineLevel="0" collapsed="false">
      <c r="AK404" s="15" t="e">
        <v>#NAME?</v>
      </c>
      <c r="AL404" s="15" t="e">
        <f aca="false">_xlfn.xlookup(AK404,A:A,F:F)</f>
        <v>#NAME?</v>
      </c>
      <c r="AM404" s="15" t="e">
        <f aca="false">_xlfn.xlookup(AK404,A:A,J:J)</f>
        <v>#NAME?</v>
      </c>
      <c r="AN404" s="15" t="e">
        <f aca="false">_xlfn.xlookup(AK404,A:A,M:M)+_xlfn.xlookup(AK404,A:A,N:N)</f>
        <v>#NAME?</v>
      </c>
      <c r="AO404" s="223" t="e">
        <f aca="false">_xlfn.xlookup(AK404,A:A,AG:AG)</f>
        <v>#NAME?</v>
      </c>
      <c r="AP404" s="223" t="e">
        <f aca="false">_xlfn.xlookup(AK404,A:A,AD:AD)</f>
        <v>#NAME?</v>
      </c>
      <c r="AQ404" s="223" t="e">
        <f aca="false">_xlfn.xlookup(AK404,A:A,AE:AE)</f>
        <v>#NAME?</v>
      </c>
      <c r="BB404" s="15" t="e">
        <f aca="false">_xlfn.xlookup(BA404,A:A,E:E)</f>
        <v>#NAME?</v>
      </c>
      <c r="BC404" s="15" t="e">
        <f aca="false">_xlfn.xlookup(BA404,A:A,J:J)</f>
        <v>#NAME?</v>
      </c>
      <c r="BD404" s="75" t="e">
        <f aca="false">_xlfn.xlookup(BA404,A:A,M:M)+_xlfn.xlookup(BA404,A:A,N:N)</f>
        <v>#NAME?</v>
      </c>
    </row>
    <row r="405" customFormat="false" ht="14.25" hidden="false" customHeight="false" outlineLevel="0" collapsed="false">
      <c r="AK405" s="15" t="e">
        <v>#NAME?</v>
      </c>
      <c r="AL405" s="15" t="e">
        <f aca="false">_xlfn.xlookup(AK405,A:A,F:F)</f>
        <v>#NAME?</v>
      </c>
      <c r="AM405" s="15" t="e">
        <f aca="false">_xlfn.xlookup(AK405,A:A,J:J)</f>
        <v>#NAME?</v>
      </c>
      <c r="AN405" s="15" t="e">
        <f aca="false">_xlfn.xlookup(AK405,A:A,M:M)+_xlfn.xlookup(AK405,A:A,N:N)</f>
        <v>#NAME?</v>
      </c>
      <c r="AO405" s="223" t="e">
        <f aca="false">_xlfn.xlookup(AK405,A:A,AG:AG)</f>
        <v>#NAME?</v>
      </c>
      <c r="AP405" s="223" t="e">
        <f aca="false">_xlfn.xlookup(AK405,A:A,AD:AD)</f>
        <v>#NAME?</v>
      </c>
      <c r="AQ405" s="223" t="e">
        <f aca="false">_xlfn.xlookup(AK405,A:A,AE:AE)</f>
        <v>#NAME?</v>
      </c>
      <c r="BB405" s="15" t="e">
        <f aca="false">_xlfn.xlookup(BA405,A:A,E:E)</f>
        <v>#NAME?</v>
      </c>
      <c r="BC405" s="15" t="e">
        <f aca="false">_xlfn.xlookup(BA405,A:A,J:J)</f>
        <v>#NAME?</v>
      </c>
      <c r="BD405" s="75" t="e">
        <f aca="false">_xlfn.xlookup(BA405,A:A,M:M)+_xlfn.xlookup(BA405,A:A,N:N)</f>
        <v>#NAME?</v>
      </c>
    </row>
    <row r="406" customFormat="false" ht="14.25" hidden="false" customHeight="false" outlineLevel="0" collapsed="false">
      <c r="AK406" s="15" t="e">
        <v>#NAME?</v>
      </c>
      <c r="AL406" s="15" t="e">
        <f aca="false">_xlfn.xlookup(AK406,A:A,F:F)</f>
        <v>#NAME?</v>
      </c>
      <c r="AM406" s="15" t="e">
        <f aca="false">_xlfn.xlookup(AK406,A:A,J:J)</f>
        <v>#NAME?</v>
      </c>
      <c r="AN406" s="15" t="e">
        <f aca="false">_xlfn.xlookup(AK406,A:A,M:M)+_xlfn.xlookup(AK406,A:A,N:N)</f>
        <v>#NAME?</v>
      </c>
      <c r="AO406" s="223" t="e">
        <f aca="false">_xlfn.xlookup(AK406,A:A,AG:AG)</f>
        <v>#NAME?</v>
      </c>
      <c r="AP406" s="223" t="e">
        <f aca="false">_xlfn.xlookup(AK406,A:A,AD:AD)</f>
        <v>#NAME?</v>
      </c>
      <c r="AQ406" s="223" t="e">
        <f aca="false">_xlfn.xlookup(AK406,A:A,AE:AE)</f>
        <v>#NAME?</v>
      </c>
      <c r="BB406" s="15" t="e">
        <f aca="false">_xlfn.xlookup(BA406,A:A,E:E)</f>
        <v>#NAME?</v>
      </c>
      <c r="BC406" s="15" t="e">
        <f aca="false">_xlfn.xlookup(BA406,A:A,J:J)</f>
        <v>#NAME?</v>
      </c>
      <c r="BD406" s="75" t="e">
        <f aca="false">_xlfn.xlookup(BA406,A:A,M:M)+_xlfn.xlookup(BA406,A:A,N:N)</f>
        <v>#NAME?</v>
      </c>
    </row>
    <row r="407" customFormat="false" ht="14.25" hidden="false" customHeight="false" outlineLevel="0" collapsed="false">
      <c r="AK407" s="15" t="e">
        <v>#NAME?</v>
      </c>
      <c r="AL407" s="15" t="e">
        <f aca="false">_xlfn.xlookup(AK407,A:A,F:F)</f>
        <v>#NAME?</v>
      </c>
      <c r="AM407" s="15" t="e">
        <f aca="false">_xlfn.xlookup(AK407,A:A,J:J)</f>
        <v>#NAME?</v>
      </c>
      <c r="AN407" s="15" t="e">
        <f aca="false">_xlfn.xlookup(AK407,A:A,M:M)+_xlfn.xlookup(AK407,A:A,N:N)</f>
        <v>#NAME?</v>
      </c>
      <c r="AO407" s="223" t="e">
        <f aca="false">_xlfn.xlookup(AK407,A:A,AG:AG)</f>
        <v>#NAME?</v>
      </c>
      <c r="AP407" s="223" t="e">
        <f aca="false">_xlfn.xlookup(AK407,A:A,AD:AD)</f>
        <v>#NAME?</v>
      </c>
      <c r="AQ407" s="223" t="e">
        <f aca="false">_xlfn.xlookup(AK407,A:A,AE:AE)</f>
        <v>#NAME?</v>
      </c>
      <c r="BB407" s="15" t="e">
        <f aca="false">_xlfn.xlookup(BA407,A:A,E:E)</f>
        <v>#NAME?</v>
      </c>
      <c r="BC407" s="15" t="e">
        <f aca="false">_xlfn.xlookup(BA407,A:A,J:J)</f>
        <v>#NAME?</v>
      </c>
      <c r="BD407" s="75" t="e">
        <f aca="false">_xlfn.xlookup(BA407,A:A,M:M)+_xlfn.xlookup(BA407,A:A,N:N)</f>
        <v>#NAME?</v>
      </c>
    </row>
    <row r="408" customFormat="false" ht="14.25" hidden="false" customHeight="false" outlineLevel="0" collapsed="false">
      <c r="AK408" s="15" t="e">
        <v>#NAME?</v>
      </c>
      <c r="AL408" s="15" t="e">
        <f aca="false">_xlfn.xlookup(AK408,A:A,F:F)</f>
        <v>#NAME?</v>
      </c>
      <c r="AM408" s="15" t="e">
        <f aca="false">_xlfn.xlookup(AK408,A:A,J:J)</f>
        <v>#NAME?</v>
      </c>
      <c r="AN408" s="15" t="e">
        <f aca="false">_xlfn.xlookup(AK408,A:A,M:M)+_xlfn.xlookup(AK408,A:A,N:N)</f>
        <v>#NAME?</v>
      </c>
      <c r="AO408" s="223" t="e">
        <f aca="false">_xlfn.xlookup(AK408,A:A,AG:AG)</f>
        <v>#NAME?</v>
      </c>
      <c r="AP408" s="223" t="e">
        <f aca="false">_xlfn.xlookup(AK408,A:A,AD:AD)</f>
        <v>#NAME?</v>
      </c>
      <c r="AQ408" s="223" t="e">
        <f aca="false">_xlfn.xlookup(AK408,A:A,AE:AE)</f>
        <v>#NAME?</v>
      </c>
      <c r="BB408" s="15" t="e">
        <f aca="false">_xlfn.xlookup(BA408,A:A,E:E)</f>
        <v>#NAME?</v>
      </c>
      <c r="BC408" s="15" t="e">
        <f aca="false">_xlfn.xlookup(BA408,A:A,J:J)</f>
        <v>#NAME?</v>
      </c>
      <c r="BD408" s="75" t="e">
        <f aca="false">_xlfn.xlookup(BA408,A:A,M:M)+_xlfn.xlookup(BA408,A:A,N:N)</f>
        <v>#NAME?</v>
      </c>
    </row>
    <row r="409" customFormat="false" ht="14.25" hidden="false" customHeight="false" outlineLevel="0" collapsed="false">
      <c r="AK409" s="15" t="e">
        <v>#NAME?</v>
      </c>
      <c r="AL409" s="15" t="e">
        <f aca="false">_xlfn.xlookup(AK409,A:A,F:F)</f>
        <v>#NAME?</v>
      </c>
      <c r="AM409" s="15" t="e">
        <f aca="false">_xlfn.xlookup(AK409,A:A,J:J)</f>
        <v>#NAME?</v>
      </c>
      <c r="AN409" s="15" t="e">
        <f aca="false">_xlfn.xlookup(AK409,A:A,M:M)+_xlfn.xlookup(AK409,A:A,N:N)</f>
        <v>#NAME?</v>
      </c>
      <c r="AO409" s="223" t="e">
        <f aca="false">_xlfn.xlookup(AK409,A:A,AG:AG)</f>
        <v>#NAME?</v>
      </c>
      <c r="AP409" s="223" t="e">
        <f aca="false">_xlfn.xlookup(AK409,A:A,AD:AD)</f>
        <v>#NAME?</v>
      </c>
      <c r="AQ409" s="223" t="e">
        <f aca="false">_xlfn.xlookup(AK409,A:A,AE:AE)</f>
        <v>#NAME?</v>
      </c>
      <c r="BB409" s="15" t="e">
        <f aca="false">_xlfn.xlookup(BA409,A:A,E:E)</f>
        <v>#NAME?</v>
      </c>
      <c r="BC409" s="15" t="e">
        <f aca="false">_xlfn.xlookup(BA409,A:A,J:J)</f>
        <v>#NAME?</v>
      </c>
      <c r="BD409" s="75" t="e">
        <f aca="false">_xlfn.xlookup(BA409,A:A,M:M)+_xlfn.xlookup(BA409,A:A,N:N)</f>
        <v>#NAME?</v>
      </c>
    </row>
    <row r="410" customFormat="false" ht="14.25" hidden="false" customHeight="false" outlineLevel="0" collapsed="false">
      <c r="AK410" s="15" t="e">
        <v>#NAME?</v>
      </c>
      <c r="AL410" s="15" t="e">
        <f aca="false">_xlfn.xlookup(AK410,A:A,F:F)</f>
        <v>#NAME?</v>
      </c>
      <c r="AM410" s="15" t="e">
        <f aca="false">_xlfn.xlookup(AK410,A:A,J:J)</f>
        <v>#NAME?</v>
      </c>
      <c r="AN410" s="15" t="e">
        <f aca="false">_xlfn.xlookup(AK410,A:A,M:M)+_xlfn.xlookup(AK410,A:A,N:N)</f>
        <v>#NAME?</v>
      </c>
      <c r="AO410" s="223" t="e">
        <f aca="false">_xlfn.xlookup(AK410,A:A,AG:AG)</f>
        <v>#NAME?</v>
      </c>
      <c r="AP410" s="223" t="e">
        <f aca="false">_xlfn.xlookup(AK410,A:A,AD:AD)</f>
        <v>#NAME?</v>
      </c>
      <c r="AQ410" s="223" t="e">
        <f aca="false">_xlfn.xlookup(AK410,A:A,AE:AE)</f>
        <v>#NAME?</v>
      </c>
      <c r="BB410" s="15" t="e">
        <f aca="false">_xlfn.xlookup(BA410,A:A,E:E)</f>
        <v>#NAME?</v>
      </c>
      <c r="BC410" s="15" t="e">
        <f aca="false">_xlfn.xlookup(BA410,A:A,J:J)</f>
        <v>#NAME?</v>
      </c>
      <c r="BD410" s="75" t="e">
        <f aca="false">_xlfn.xlookup(BA410,A:A,M:M)+_xlfn.xlookup(BA410,A:A,N:N)</f>
        <v>#NAME?</v>
      </c>
    </row>
    <row r="411" customFormat="false" ht="14.25" hidden="false" customHeight="false" outlineLevel="0" collapsed="false">
      <c r="AK411" s="15" t="e">
        <v>#NAME?</v>
      </c>
      <c r="AL411" s="15" t="e">
        <f aca="false">_xlfn.xlookup(AK411,A:A,F:F)</f>
        <v>#NAME?</v>
      </c>
      <c r="AM411" s="15" t="e">
        <f aca="false">_xlfn.xlookup(AK411,A:A,J:J)</f>
        <v>#NAME?</v>
      </c>
      <c r="AN411" s="15" t="e">
        <f aca="false">_xlfn.xlookup(AK411,A:A,M:M)+_xlfn.xlookup(AK411,A:A,N:N)</f>
        <v>#NAME?</v>
      </c>
      <c r="AO411" s="223" t="e">
        <f aca="false">_xlfn.xlookup(AK411,A:A,AG:AG)</f>
        <v>#NAME?</v>
      </c>
      <c r="AP411" s="223" t="e">
        <f aca="false">_xlfn.xlookup(AK411,A:A,AD:AD)</f>
        <v>#NAME?</v>
      </c>
      <c r="AQ411" s="223" t="e">
        <f aca="false">_xlfn.xlookup(AK411,A:A,AE:AE)</f>
        <v>#NAME?</v>
      </c>
      <c r="BB411" s="15" t="e">
        <f aca="false">_xlfn.xlookup(BA411,A:A,E:E)</f>
        <v>#NAME?</v>
      </c>
      <c r="BC411" s="15" t="e">
        <f aca="false">_xlfn.xlookup(BA411,A:A,J:J)</f>
        <v>#NAME?</v>
      </c>
      <c r="BD411" s="75" t="e">
        <f aca="false">_xlfn.xlookup(BA411,A:A,M:M)+_xlfn.xlookup(BA411,A:A,N:N)</f>
        <v>#NAME?</v>
      </c>
    </row>
    <row r="412" customFormat="false" ht="14.25" hidden="false" customHeight="false" outlineLevel="0" collapsed="false">
      <c r="AK412" s="15" t="e">
        <v>#NAME?</v>
      </c>
      <c r="AL412" s="15" t="e">
        <f aca="false">_xlfn.xlookup(AK412,A:A,F:F)</f>
        <v>#NAME?</v>
      </c>
      <c r="AM412" s="15" t="e">
        <f aca="false">_xlfn.xlookup(AK412,A:A,J:J)</f>
        <v>#NAME?</v>
      </c>
      <c r="AN412" s="15" t="e">
        <f aca="false">_xlfn.xlookup(AK412,A:A,M:M)+_xlfn.xlookup(AK412,A:A,N:N)</f>
        <v>#NAME?</v>
      </c>
      <c r="AO412" s="223" t="e">
        <f aca="false">_xlfn.xlookup(AK412,A:A,AG:AG)</f>
        <v>#NAME?</v>
      </c>
      <c r="AP412" s="223" t="e">
        <f aca="false">_xlfn.xlookup(AK412,A:A,AD:AD)</f>
        <v>#NAME?</v>
      </c>
      <c r="AQ412" s="223" t="e">
        <f aca="false">_xlfn.xlookup(AK412,A:A,AE:AE)</f>
        <v>#NAME?</v>
      </c>
      <c r="BB412" s="15" t="e">
        <f aca="false">_xlfn.xlookup(BA412,A:A,E:E)</f>
        <v>#NAME?</v>
      </c>
      <c r="BC412" s="15" t="e">
        <f aca="false">_xlfn.xlookup(BA412,A:A,J:J)</f>
        <v>#NAME?</v>
      </c>
      <c r="BD412" s="75" t="e">
        <f aca="false">_xlfn.xlookup(BA412,A:A,M:M)+_xlfn.xlookup(BA412,A:A,N:N)</f>
        <v>#NAME?</v>
      </c>
    </row>
    <row r="413" customFormat="false" ht="14.25" hidden="false" customHeight="false" outlineLevel="0" collapsed="false">
      <c r="AK413" s="15" t="e">
        <v>#NAME?</v>
      </c>
      <c r="AL413" s="15" t="e">
        <f aca="false">_xlfn.xlookup(AK413,A:A,F:F)</f>
        <v>#NAME?</v>
      </c>
      <c r="AM413" s="15" t="e">
        <f aca="false">_xlfn.xlookup(AK413,A:A,J:J)</f>
        <v>#NAME?</v>
      </c>
      <c r="AN413" s="15" t="e">
        <f aca="false">_xlfn.xlookup(AK413,A:A,M:M)+_xlfn.xlookup(AK413,A:A,N:N)</f>
        <v>#NAME?</v>
      </c>
      <c r="AO413" s="223" t="e">
        <f aca="false">_xlfn.xlookup(AK413,A:A,AG:AG)</f>
        <v>#NAME?</v>
      </c>
      <c r="AP413" s="223" t="e">
        <f aca="false">_xlfn.xlookup(AK413,A:A,AD:AD)</f>
        <v>#NAME?</v>
      </c>
      <c r="AQ413" s="223" t="e">
        <f aca="false">_xlfn.xlookup(AK413,A:A,AE:AE)</f>
        <v>#NAME?</v>
      </c>
      <c r="BB413" s="15" t="e">
        <f aca="false">_xlfn.xlookup(BA413,A:A,E:E)</f>
        <v>#NAME?</v>
      </c>
      <c r="BC413" s="15" t="e">
        <f aca="false">_xlfn.xlookup(BA413,A:A,J:J)</f>
        <v>#NAME?</v>
      </c>
      <c r="BD413" s="75" t="e">
        <f aca="false">_xlfn.xlookup(BA413,A:A,M:M)+_xlfn.xlookup(BA413,A:A,N:N)</f>
        <v>#NAME?</v>
      </c>
    </row>
    <row r="414" customFormat="false" ht="14.25" hidden="false" customHeight="false" outlineLevel="0" collapsed="false">
      <c r="AK414" s="15" t="e">
        <v>#NAME?</v>
      </c>
      <c r="AL414" s="15" t="e">
        <f aca="false">_xlfn.xlookup(AK414,A:A,F:F)</f>
        <v>#NAME?</v>
      </c>
      <c r="AM414" s="15" t="e">
        <f aca="false">_xlfn.xlookup(AK414,A:A,J:J)</f>
        <v>#NAME?</v>
      </c>
      <c r="AN414" s="15" t="e">
        <f aca="false">_xlfn.xlookup(AK414,A:A,M:M)+_xlfn.xlookup(AK414,A:A,N:N)</f>
        <v>#NAME?</v>
      </c>
      <c r="AO414" s="223" t="e">
        <f aca="false">_xlfn.xlookup(AK414,A:A,AG:AG)</f>
        <v>#NAME?</v>
      </c>
      <c r="AP414" s="223" t="e">
        <f aca="false">_xlfn.xlookup(AK414,A:A,AD:AD)</f>
        <v>#NAME?</v>
      </c>
      <c r="AQ414" s="223" t="e">
        <f aca="false">_xlfn.xlookup(AK414,A:A,AE:AE)</f>
        <v>#NAME?</v>
      </c>
      <c r="BB414" s="15" t="e">
        <f aca="false">_xlfn.xlookup(BA414,A:A,E:E)</f>
        <v>#NAME?</v>
      </c>
      <c r="BC414" s="15" t="e">
        <f aca="false">_xlfn.xlookup(BA414,A:A,J:J)</f>
        <v>#NAME?</v>
      </c>
      <c r="BD414" s="75" t="e">
        <f aca="false">_xlfn.xlookup(BA414,A:A,M:M)+_xlfn.xlookup(BA414,A:A,N:N)</f>
        <v>#NAME?</v>
      </c>
    </row>
    <row r="415" customFormat="false" ht="14.25" hidden="false" customHeight="false" outlineLevel="0" collapsed="false">
      <c r="AK415" s="15" t="e">
        <v>#NAME?</v>
      </c>
      <c r="AL415" s="15" t="e">
        <f aca="false">_xlfn.xlookup(AK415,A:A,F:F)</f>
        <v>#NAME?</v>
      </c>
      <c r="AM415" s="15" t="e">
        <f aca="false">_xlfn.xlookup(AK415,A:A,J:J)</f>
        <v>#NAME?</v>
      </c>
      <c r="AN415" s="15" t="e">
        <f aca="false">_xlfn.xlookup(AK415,A:A,M:M)+_xlfn.xlookup(AK415,A:A,N:N)</f>
        <v>#NAME?</v>
      </c>
      <c r="AO415" s="223" t="e">
        <f aca="false">_xlfn.xlookup(AK415,A:A,AG:AG)</f>
        <v>#NAME?</v>
      </c>
      <c r="AP415" s="223" t="e">
        <f aca="false">_xlfn.xlookup(AK415,A:A,AD:AD)</f>
        <v>#NAME?</v>
      </c>
      <c r="AQ415" s="223" t="e">
        <f aca="false">_xlfn.xlookup(AK415,A:A,AE:AE)</f>
        <v>#NAME?</v>
      </c>
      <c r="BB415" s="15" t="e">
        <f aca="false">_xlfn.xlookup(BA415,A:A,E:E)</f>
        <v>#NAME?</v>
      </c>
      <c r="BC415" s="15" t="e">
        <f aca="false">_xlfn.xlookup(BA415,A:A,J:J)</f>
        <v>#NAME?</v>
      </c>
      <c r="BD415" s="75" t="e">
        <f aca="false">_xlfn.xlookup(BA415,A:A,M:M)+_xlfn.xlookup(BA415,A:A,N:N)</f>
        <v>#NAME?</v>
      </c>
    </row>
    <row r="416" customFormat="false" ht="14.25" hidden="false" customHeight="false" outlineLevel="0" collapsed="false">
      <c r="AK416" s="15" t="e">
        <v>#NAME?</v>
      </c>
      <c r="AL416" s="15" t="e">
        <f aca="false">_xlfn.xlookup(AK416,A:A,F:F)</f>
        <v>#NAME?</v>
      </c>
      <c r="AM416" s="15" t="e">
        <f aca="false">_xlfn.xlookup(AK416,A:A,J:J)</f>
        <v>#NAME?</v>
      </c>
      <c r="AN416" s="15" t="e">
        <f aca="false">_xlfn.xlookup(AK416,A:A,M:M)+_xlfn.xlookup(AK416,A:A,N:N)</f>
        <v>#NAME?</v>
      </c>
      <c r="AO416" s="223" t="e">
        <f aca="false">_xlfn.xlookup(AK416,A:A,AG:AG)</f>
        <v>#NAME?</v>
      </c>
      <c r="AP416" s="223" t="e">
        <f aca="false">_xlfn.xlookup(AK416,A:A,AD:AD)</f>
        <v>#NAME?</v>
      </c>
      <c r="AQ416" s="223" t="e">
        <f aca="false">_xlfn.xlookup(AK416,A:A,AE:AE)</f>
        <v>#NAME?</v>
      </c>
      <c r="BB416" s="15" t="e">
        <f aca="false">_xlfn.xlookup(BA416,A:A,E:E)</f>
        <v>#NAME?</v>
      </c>
      <c r="BC416" s="15" t="e">
        <f aca="false">_xlfn.xlookup(BA416,A:A,J:J)</f>
        <v>#NAME?</v>
      </c>
      <c r="BD416" s="75" t="e">
        <f aca="false">_xlfn.xlookup(BA416,A:A,M:M)+_xlfn.xlookup(BA416,A:A,N:N)</f>
        <v>#NAME?</v>
      </c>
    </row>
    <row r="417" customFormat="false" ht="14.25" hidden="false" customHeight="false" outlineLevel="0" collapsed="false">
      <c r="AK417" s="15" t="e">
        <v>#NAME?</v>
      </c>
      <c r="AL417" s="15" t="e">
        <f aca="false">_xlfn.xlookup(AK417,A:A,F:F)</f>
        <v>#NAME?</v>
      </c>
      <c r="AM417" s="15" t="e">
        <f aca="false">_xlfn.xlookup(AK417,A:A,J:J)</f>
        <v>#NAME?</v>
      </c>
      <c r="AN417" s="15" t="e">
        <f aca="false">_xlfn.xlookup(AK417,A:A,M:M)+_xlfn.xlookup(AK417,A:A,N:N)</f>
        <v>#NAME?</v>
      </c>
      <c r="AO417" s="223" t="e">
        <f aca="false">_xlfn.xlookup(AK417,A:A,AG:AG)</f>
        <v>#NAME?</v>
      </c>
      <c r="AP417" s="223" t="e">
        <f aca="false">_xlfn.xlookup(AK417,A:A,AD:AD)</f>
        <v>#NAME?</v>
      </c>
      <c r="AQ417" s="223" t="e">
        <f aca="false">_xlfn.xlookup(AK417,A:A,AE:AE)</f>
        <v>#NAME?</v>
      </c>
      <c r="BB417" s="15" t="e">
        <f aca="false">_xlfn.xlookup(BA417,A:A,E:E)</f>
        <v>#NAME?</v>
      </c>
      <c r="BC417" s="15" t="e">
        <f aca="false">_xlfn.xlookup(BA417,A:A,J:J)</f>
        <v>#NAME?</v>
      </c>
      <c r="BD417" s="75" t="e">
        <f aca="false">_xlfn.xlookup(BA417,A:A,M:M)+_xlfn.xlookup(BA417,A:A,N:N)</f>
        <v>#NAME?</v>
      </c>
    </row>
    <row r="418" customFormat="false" ht="14.25" hidden="false" customHeight="false" outlineLevel="0" collapsed="false">
      <c r="AK418" s="15" t="e">
        <v>#NAME?</v>
      </c>
      <c r="AL418" s="15" t="e">
        <f aca="false">_xlfn.xlookup(AK418,A:A,F:F)</f>
        <v>#NAME?</v>
      </c>
      <c r="AM418" s="15" t="e">
        <f aca="false">_xlfn.xlookup(AK418,A:A,J:J)</f>
        <v>#NAME?</v>
      </c>
      <c r="AN418" s="15" t="e">
        <f aca="false">_xlfn.xlookup(AK418,A:A,M:M)+_xlfn.xlookup(AK418,A:A,N:N)</f>
        <v>#NAME?</v>
      </c>
      <c r="AO418" s="223" t="e">
        <f aca="false">_xlfn.xlookup(AK418,A:A,AG:AG)</f>
        <v>#NAME?</v>
      </c>
      <c r="AP418" s="223" t="e">
        <f aca="false">_xlfn.xlookup(AK418,A:A,AD:AD)</f>
        <v>#NAME?</v>
      </c>
      <c r="AQ418" s="223" t="e">
        <f aca="false">_xlfn.xlookup(AK418,A:A,AE:AE)</f>
        <v>#NAME?</v>
      </c>
      <c r="BB418" s="15" t="e">
        <f aca="false">_xlfn.xlookup(BA418,A:A,E:E)</f>
        <v>#NAME?</v>
      </c>
      <c r="BC418" s="15" t="e">
        <f aca="false">_xlfn.xlookup(BA418,A:A,J:J)</f>
        <v>#NAME?</v>
      </c>
      <c r="BD418" s="75" t="e">
        <f aca="false">_xlfn.xlookup(BA418,A:A,M:M)+_xlfn.xlookup(BA418,A:A,N:N)</f>
        <v>#NAME?</v>
      </c>
    </row>
    <row r="419" customFormat="false" ht="14.25" hidden="false" customHeight="false" outlineLevel="0" collapsed="false">
      <c r="AK419" s="15" t="e">
        <v>#NAME?</v>
      </c>
      <c r="AL419" s="15" t="e">
        <f aca="false">_xlfn.xlookup(AK419,A:A,F:F)</f>
        <v>#NAME?</v>
      </c>
      <c r="AM419" s="15" t="e">
        <f aca="false">_xlfn.xlookup(AK419,A:A,J:J)</f>
        <v>#NAME?</v>
      </c>
      <c r="AN419" s="15" t="e">
        <f aca="false">_xlfn.xlookup(AK419,A:A,M:M)+_xlfn.xlookup(AK419,A:A,N:N)</f>
        <v>#NAME?</v>
      </c>
      <c r="AO419" s="223" t="e">
        <f aca="false">_xlfn.xlookup(AK419,A:A,AG:AG)</f>
        <v>#NAME?</v>
      </c>
      <c r="AP419" s="223" t="e">
        <f aca="false">_xlfn.xlookup(AK419,A:A,AD:AD)</f>
        <v>#NAME?</v>
      </c>
      <c r="AQ419" s="223" t="e">
        <f aca="false">_xlfn.xlookup(AK419,A:A,AE:AE)</f>
        <v>#NAME?</v>
      </c>
      <c r="BB419" s="15" t="e">
        <f aca="false">_xlfn.xlookup(BA419,A:A,E:E)</f>
        <v>#NAME?</v>
      </c>
      <c r="BC419" s="15" t="e">
        <f aca="false">_xlfn.xlookup(BA419,A:A,J:J)</f>
        <v>#NAME?</v>
      </c>
      <c r="BD419" s="75" t="e">
        <f aca="false">_xlfn.xlookup(BA419,A:A,M:M)+_xlfn.xlookup(BA419,A:A,N:N)</f>
        <v>#NAME?</v>
      </c>
    </row>
    <row r="420" customFormat="false" ht="14.25" hidden="false" customHeight="false" outlineLevel="0" collapsed="false">
      <c r="AK420" s="15" t="e">
        <v>#NAME?</v>
      </c>
      <c r="AL420" s="15" t="e">
        <f aca="false">_xlfn.xlookup(AK420,A:A,F:F)</f>
        <v>#NAME?</v>
      </c>
      <c r="AM420" s="15" t="e">
        <f aca="false">_xlfn.xlookup(AK420,A:A,J:J)</f>
        <v>#NAME?</v>
      </c>
      <c r="AN420" s="15" t="e">
        <f aca="false">_xlfn.xlookup(AK420,A:A,M:M)+_xlfn.xlookup(AK420,A:A,N:N)</f>
        <v>#NAME?</v>
      </c>
      <c r="AO420" s="223" t="e">
        <f aca="false">_xlfn.xlookup(AK420,A:A,AG:AG)</f>
        <v>#NAME?</v>
      </c>
      <c r="AP420" s="223" t="e">
        <f aca="false">_xlfn.xlookup(AK420,A:A,AD:AD)</f>
        <v>#NAME?</v>
      </c>
      <c r="AQ420" s="223" t="e">
        <f aca="false">_xlfn.xlookup(AK420,A:A,AE:AE)</f>
        <v>#NAME?</v>
      </c>
      <c r="BB420" s="15" t="e">
        <f aca="false">_xlfn.xlookup(BA420,A:A,E:E)</f>
        <v>#NAME?</v>
      </c>
      <c r="BC420" s="15" t="e">
        <f aca="false">_xlfn.xlookup(BA420,A:A,J:J)</f>
        <v>#NAME?</v>
      </c>
      <c r="BD420" s="75" t="e">
        <f aca="false">_xlfn.xlookup(BA420,A:A,M:M)+_xlfn.xlookup(BA420,A:A,N:N)</f>
        <v>#NAME?</v>
      </c>
    </row>
    <row r="421" customFormat="false" ht="14.25" hidden="false" customHeight="false" outlineLevel="0" collapsed="false">
      <c r="AK421" s="15" t="e">
        <v>#NAME?</v>
      </c>
      <c r="AL421" s="15" t="e">
        <f aca="false">_xlfn.xlookup(AK421,A:A,F:F)</f>
        <v>#NAME?</v>
      </c>
      <c r="AM421" s="15" t="e">
        <f aca="false">_xlfn.xlookup(AK421,A:A,J:J)</f>
        <v>#NAME?</v>
      </c>
      <c r="AN421" s="15" t="e">
        <f aca="false">_xlfn.xlookup(AK421,A:A,M:M)+_xlfn.xlookup(AK421,A:A,N:N)</f>
        <v>#NAME?</v>
      </c>
      <c r="AO421" s="223" t="e">
        <f aca="false">_xlfn.xlookup(AK421,A:A,AG:AG)</f>
        <v>#NAME?</v>
      </c>
      <c r="AP421" s="223" t="e">
        <f aca="false">_xlfn.xlookup(AK421,A:A,AD:AD)</f>
        <v>#NAME?</v>
      </c>
      <c r="AQ421" s="223" t="e">
        <f aca="false">_xlfn.xlookup(AK421,A:A,AE:AE)</f>
        <v>#NAME?</v>
      </c>
      <c r="BB421" s="15" t="e">
        <f aca="false">_xlfn.xlookup(BA421,A:A,E:E)</f>
        <v>#NAME?</v>
      </c>
      <c r="BC421" s="15" t="e">
        <f aca="false">_xlfn.xlookup(BA421,A:A,J:J)</f>
        <v>#NAME?</v>
      </c>
      <c r="BD421" s="75" t="e">
        <f aca="false">_xlfn.xlookup(BA421,A:A,M:M)+_xlfn.xlookup(BA421,A:A,N:N)</f>
        <v>#NAME?</v>
      </c>
    </row>
    <row r="422" customFormat="false" ht="14.25" hidden="false" customHeight="false" outlineLevel="0" collapsed="false">
      <c r="AK422" s="15" t="e">
        <v>#NAME?</v>
      </c>
      <c r="AL422" s="15" t="e">
        <f aca="false">_xlfn.xlookup(AK422,A:A,F:F)</f>
        <v>#NAME?</v>
      </c>
      <c r="AM422" s="15" t="e">
        <f aca="false">_xlfn.xlookup(AK422,A:A,J:J)</f>
        <v>#NAME?</v>
      </c>
      <c r="AN422" s="15" t="e">
        <f aca="false">_xlfn.xlookup(AK422,A:A,M:M)+_xlfn.xlookup(AK422,A:A,N:N)</f>
        <v>#NAME?</v>
      </c>
      <c r="AO422" s="223" t="e">
        <f aca="false">_xlfn.xlookup(AK422,A:A,AG:AG)</f>
        <v>#NAME?</v>
      </c>
      <c r="AP422" s="223" t="e">
        <f aca="false">_xlfn.xlookup(AK422,A:A,AD:AD)</f>
        <v>#NAME?</v>
      </c>
      <c r="AQ422" s="223" t="e">
        <f aca="false">_xlfn.xlookup(AK422,A:A,AE:AE)</f>
        <v>#NAME?</v>
      </c>
      <c r="BB422" s="15" t="e">
        <f aca="false">_xlfn.xlookup(BA422,A:A,E:E)</f>
        <v>#NAME?</v>
      </c>
      <c r="BC422" s="15" t="e">
        <f aca="false">_xlfn.xlookup(BA422,A:A,J:J)</f>
        <v>#NAME?</v>
      </c>
      <c r="BD422" s="75" t="e">
        <f aca="false">_xlfn.xlookup(BA422,A:A,M:M)+_xlfn.xlookup(BA422,A:A,N:N)</f>
        <v>#NAME?</v>
      </c>
    </row>
    <row r="423" customFormat="false" ht="14.25" hidden="false" customHeight="false" outlineLevel="0" collapsed="false">
      <c r="AK423" s="15" t="e">
        <v>#NAME?</v>
      </c>
      <c r="AL423" s="15" t="e">
        <f aca="false">_xlfn.xlookup(AK423,A:A,F:F)</f>
        <v>#NAME?</v>
      </c>
      <c r="AM423" s="15" t="e">
        <f aca="false">_xlfn.xlookup(AK423,A:A,J:J)</f>
        <v>#NAME?</v>
      </c>
      <c r="AN423" s="15" t="e">
        <f aca="false">_xlfn.xlookup(AK423,A:A,M:M)+_xlfn.xlookup(AK423,A:A,N:N)</f>
        <v>#NAME?</v>
      </c>
      <c r="AO423" s="223" t="e">
        <f aca="false">_xlfn.xlookup(AK423,A:A,AG:AG)</f>
        <v>#NAME?</v>
      </c>
      <c r="AP423" s="223" t="e">
        <f aca="false">_xlfn.xlookup(AK423,A:A,AD:AD)</f>
        <v>#NAME?</v>
      </c>
      <c r="AQ423" s="223" t="e">
        <f aca="false">_xlfn.xlookup(AK423,A:A,AE:AE)</f>
        <v>#NAME?</v>
      </c>
      <c r="BB423" s="15" t="e">
        <f aca="false">_xlfn.xlookup(BA423,A:A,E:E)</f>
        <v>#NAME?</v>
      </c>
      <c r="BC423" s="15" t="e">
        <f aca="false">_xlfn.xlookup(BA423,A:A,J:J)</f>
        <v>#NAME?</v>
      </c>
      <c r="BD423" s="75" t="e">
        <f aca="false">_xlfn.xlookup(BA423,A:A,M:M)+_xlfn.xlookup(BA423,A:A,N:N)</f>
        <v>#NAME?</v>
      </c>
    </row>
    <row r="424" customFormat="false" ht="14.25" hidden="false" customHeight="false" outlineLevel="0" collapsed="false">
      <c r="AK424" s="15" t="e">
        <v>#NAME?</v>
      </c>
      <c r="AL424" s="15" t="e">
        <f aca="false">_xlfn.xlookup(AK424,A:A,F:F)</f>
        <v>#NAME?</v>
      </c>
      <c r="AM424" s="15" t="e">
        <f aca="false">_xlfn.xlookup(AK424,A:A,J:J)</f>
        <v>#NAME?</v>
      </c>
      <c r="AN424" s="15" t="e">
        <f aca="false">_xlfn.xlookup(AK424,A:A,M:M)+_xlfn.xlookup(AK424,A:A,N:N)</f>
        <v>#NAME?</v>
      </c>
      <c r="AO424" s="223" t="e">
        <f aca="false">_xlfn.xlookup(AK424,A:A,AG:AG)</f>
        <v>#NAME?</v>
      </c>
      <c r="AP424" s="223" t="e">
        <f aca="false">_xlfn.xlookup(AK424,A:A,AD:AD)</f>
        <v>#NAME?</v>
      </c>
      <c r="AQ424" s="223" t="e">
        <f aca="false">_xlfn.xlookup(AK424,A:A,AE:AE)</f>
        <v>#NAME?</v>
      </c>
      <c r="BB424" s="15" t="e">
        <f aca="false">_xlfn.xlookup(BA424,A:A,E:E)</f>
        <v>#NAME?</v>
      </c>
      <c r="BC424" s="15" t="e">
        <f aca="false">_xlfn.xlookup(BA424,A:A,J:J)</f>
        <v>#NAME?</v>
      </c>
      <c r="BD424" s="75" t="e">
        <f aca="false">_xlfn.xlookup(BA424,A:A,M:M)+_xlfn.xlookup(BA424,A:A,N:N)</f>
        <v>#NAME?</v>
      </c>
    </row>
    <row r="425" customFormat="false" ht="14.25" hidden="false" customHeight="false" outlineLevel="0" collapsed="false">
      <c r="AK425" s="15" t="e">
        <v>#NAME?</v>
      </c>
      <c r="AL425" s="15" t="e">
        <f aca="false">_xlfn.xlookup(AK425,A:A,F:F)</f>
        <v>#NAME?</v>
      </c>
      <c r="AM425" s="15" t="e">
        <f aca="false">_xlfn.xlookup(AK425,A:A,J:J)</f>
        <v>#NAME?</v>
      </c>
      <c r="AN425" s="15" t="e">
        <f aca="false">_xlfn.xlookup(AK425,A:A,M:M)+_xlfn.xlookup(AK425,A:A,N:N)</f>
        <v>#NAME?</v>
      </c>
      <c r="AO425" s="223" t="e">
        <f aca="false">_xlfn.xlookup(AK425,A:A,AG:AG)</f>
        <v>#NAME?</v>
      </c>
      <c r="AP425" s="223" t="e">
        <f aca="false">_xlfn.xlookup(AK425,A:A,AD:AD)</f>
        <v>#NAME?</v>
      </c>
      <c r="AQ425" s="223" t="e">
        <f aca="false">_xlfn.xlookup(AK425,A:A,AE:AE)</f>
        <v>#NAME?</v>
      </c>
      <c r="BB425" s="15" t="e">
        <f aca="false">_xlfn.xlookup(BA425,A:A,E:E)</f>
        <v>#NAME?</v>
      </c>
      <c r="BC425" s="15" t="e">
        <f aca="false">_xlfn.xlookup(BA425,A:A,J:J)</f>
        <v>#NAME?</v>
      </c>
      <c r="BD425" s="75" t="e">
        <f aca="false">_xlfn.xlookup(BA425,A:A,M:M)+_xlfn.xlookup(BA425,A:A,N:N)</f>
        <v>#NAME?</v>
      </c>
    </row>
    <row r="426" customFormat="false" ht="14.25" hidden="false" customHeight="false" outlineLevel="0" collapsed="false">
      <c r="AK426" s="15" t="e">
        <v>#NAME?</v>
      </c>
      <c r="AL426" s="15" t="e">
        <f aca="false">_xlfn.xlookup(AK426,A:A,F:F)</f>
        <v>#NAME?</v>
      </c>
      <c r="AM426" s="15" t="e">
        <f aca="false">_xlfn.xlookup(AK426,A:A,J:J)</f>
        <v>#NAME?</v>
      </c>
      <c r="AN426" s="15" t="e">
        <f aca="false">_xlfn.xlookup(AK426,A:A,M:M)+_xlfn.xlookup(AK426,A:A,N:N)</f>
        <v>#NAME?</v>
      </c>
      <c r="AO426" s="223" t="e">
        <f aca="false">_xlfn.xlookup(AK426,A:A,AG:AG)</f>
        <v>#NAME?</v>
      </c>
      <c r="AP426" s="223" t="e">
        <f aca="false">_xlfn.xlookup(AK426,A:A,AD:AD)</f>
        <v>#NAME?</v>
      </c>
      <c r="AQ426" s="223" t="e">
        <f aca="false">_xlfn.xlookup(AK426,A:A,AE:AE)</f>
        <v>#NAME?</v>
      </c>
      <c r="BB426" s="15" t="e">
        <f aca="false">_xlfn.xlookup(BA426,A:A,E:E)</f>
        <v>#NAME?</v>
      </c>
      <c r="BC426" s="15" t="e">
        <f aca="false">_xlfn.xlookup(BA426,A:A,J:J)</f>
        <v>#NAME?</v>
      </c>
      <c r="BD426" s="75" t="e">
        <f aca="false">_xlfn.xlookup(BA426,A:A,M:M)+_xlfn.xlookup(BA426,A:A,N:N)</f>
        <v>#NAME?</v>
      </c>
    </row>
    <row r="427" customFormat="false" ht="14.25" hidden="false" customHeight="false" outlineLevel="0" collapsed="false">
      <c r="AK427" s="15" t="e">
        <v>#NAME?</v>
      </c>
      <c r="AL427" s="15" t="e">
        <f aca="false">_xlfn.xlookup(AK427,A:A,F:F)</f>
        <v>#NAME?</v>
      </c>
      <c r="AM427" s="15" t="e">
        <f aca="false">_xlfn.xlookup(AK427,A:A,J:J)</f>
        <v>#NAME?</v>
      </c>
      <c r="AN427" s="15" t="e">
        <f aca="false">_xlfn.xlookup(AK427,A:A,M:M)+_xlfn.xlookup(AK427,A:A,N:N)</f>
        <v>#NAME?</v>
      </c>
      <c r="AO427" s="223" t="e">
        <f aca="false">_xlfn.xlookup(AK427,A:A,AG:AG)</f>
        <v>#NAME?</v>
      </c>
      <c r="AP427" s="223" t="e">
        <f aca="false">_xlfn.xlookup(AK427,A:A,AD:AD)</f>
        <v>#NAME?</v>
      </c>
      <c r="AQ427" s="223" t="e">
        <f aca="false">_xlfn.xlookup(AK427,A:A,AE:AE)</f>
        <v>#NAME?</v>
      </c>
      <c r="BB427" s="15" t="e">
        <f aca="false">_xlfn.xlookup(BA427,A:A,E:E)</f>
        <v>#NAME?</v>
      </c>
      <c r="BC427" s="15" t="e">
        <f aca="false">_xlfn.xlookup(BA427,A:A,J:J)</f>
        <v>#NAME?</v>
      </c>
      <c r="BD427" s="75" t="e">
        <f aca="false">_xlfn.xlookup(BA427,A:A,M:M)+_xlfn.xlookup(BA427,A:A,N:N)</f>
        <v>#NAME?</v>
      </c>
    </row>
    <row r="428" customFormat="false" ht="14.25" hidden="false" customHeight="false" outlineLevel="0" collapsed="false">
      <c r="AK428" s="15" t="e">
        <v>#NAME?</v>
      </c>
      <c r="AL428" s="15" t="e">
        <f aca="false">_xlfn.xlookup(AK428,A:A,F:F)</f>
        <v>#NAME?</v>
      </c>
      <c r="AM428" s="15" t="e">
        <f aca="false">_xlfn.xlookup(AK428,A:A,J:J)</f>
        <v>#NAME?</v>
      </c>
      <c r="AN428" s="15" t="e">
        <f aca="false">_xlfn.xlookup(AK428,A:A,M:M)+_xlfn.xlookup(AK428,A:A,N:N)</f>
        <v>#NAME?</v>
      </c>
      <c r="AO428" s="223" t="e">
        <f aca="false">_xlfn.xlookup(AK428,A:A,AG:AG)</f>
        <v>#NAME?</v>
      </c>
      <c r="AP428" s="223" t="e">
        <f aca="false">_xlfn.xlookup(AK428,A:A,AD:AD)</f>
        <v>#NAME?</v>
      </c>
      <c r="AQ428" s="223" t="e">
        <f aca="false">_xlfn.xlookup(AK428,A:A,AE:AE)</f>
        <v>#NAME?</v>
      </c>
      <c r="BB428" s="15" t="e">
        <f aca="false">_xlfn.xlookup(BA428,A:A,E:E)</f>
        <v>#NAME?</v>
      </c>
      <c r="BC428" s="15" t="e">
        <f aca="false">_xlfn.xlookup(BA428,A:A,J:J)</f>
        <v>#NAME?</v>
      </c>
      <c r="BD428" s="75" t="e">
        <f aca="false">_xlfn.xlookup(BA428,A:A,M:M)+_xlfn.xlookup(BA428,A:A,N:N)</f>
        <v>#NAME?</v>
      </c>
    </row>
    <row r="429" customFormat="false" ht="14.25" hidden="false" customHeight="false" outlineLevel="0" collapsed="false">
      <c r="AK429" s="15" t="e">
        <v>#NAME?</v>
      </c>
      <c r="AL429" s="15" t="e">
        <f aca="false">_xlfn.xlookup(AK429,A:A,F:F)</f>
        <v>#NAME?</v>
      </c>
      <c r="AM429" s="15" t="e">
        <f aca="false">_xlfn.xlookup(AK429,A:A,J:J)</f>
        <v>#NAME?</v>
      </c>
      <c r="AN429" s="15" t="e">
        <f aca="false">_xlfn.xlookup(AK429,A:A,M:M)+_xlfn.xlookup(AK429,A:A,N:N)</f>
        <v>#NAME?</v>
      </c>
      <c r="AO429" s="223" t="e">
        <f aca="false">_xlfn.xlookup(AK429,A:A,AG:AG)</f>
        <v>#NAME?</v>
      </c>
      <c r="AP429" s="223" t="e">
        <f aca="false">_xlfn.xlookup(AK429,A:A,AD:AD)</f>
        <v>#NAME?</v>
      </c>
      <c r="AQ429" s="223" t="e">
        <f aca="false">_xlfn.xlookup(AK429,A:A,AE:AE)</f>
        <v>#NAME?</v>
      </c>
      <c r="BB429" s="15" t="e">
        <f aca="false">_xlfn.xlookup(BA429,A:A,E:E)</f>
        <v>#NAME?</v>
      </c>
      <c r="BC429" s="15" t="e">
        <f aca="false">_xlfn.xlookup(BA429,A:A,J:J)</f>
        <v>#NAME?</v>
      </c>
      <c r="BD429" s="75" t="e">
        <f aca="false">_xlfn.xlookup(BA429,A:A,M:M)+_xlfn.xlookup(BA429,A:A,N:N)</f>
        <v>#NAME?</v>
      </c>
    </row>
    <row r="430" customFormat="false" ht="14.25" hidden="false" customHeight="false" outlineLevel="0" collapsed="false">
      <c r="AK430" s="15" t="e">
        <v>#NAME?</v>
      </c>
      <c r="AL430" s="15" t="e">
        <f aca="false">_xlfn.xlookup(AK430,A:A,F:F)</f>
        <v>#NAME?</v>
      </c>
      <c r="AM430" s="15" t="e">
        <f aca="false">_xlfn.xlookup(AK430,A:A,J:J)</f>
        <v>#NAME?</v>
      </c>
      <c r="AN430" s="15" t="e">
        <f aca="false">_xlfn.xlookup(AK430,A:A,M:M)+_xlfn.xlookup(AK430,A:A,N:N)</f>
        <v>#NAME?</v>
      </c>
      <c r="AO430" s="223" t="e">
        <f aca="false">_xlfn.xlookup(AK430,A:A,AG:AG)</f>
        <v>#NAME?</v>
      </c>
      <c r="AP430" s="223" t="e">
        <f aca="false">_xlfn.xlookup(AK430,A:A,AD:AD)</f>
        <v>#NAME?</v>
      </c>
      <c r="AQ430" s="223" t="e">
        <f aca="false">_xlfn.xlookup(AK430,A:A,AE:AE)</f>
        <v>#NAME?</v>
      </c>
      <c r="BB430" s="15" t="e">
        <f aca="false">_xlfn.xlookup(BA430,A:A,E:E)</f>
        <v>#NAME?</v>
      </c>
      <c r="BC430" s="15" t="e">
        <f aca="false">_xlfn.xlookup(BA430,A:A,J:J)</f>
        <v>#NAME?</v>
      </c>
      <c r="BD430" s="75" t="e">
        <f aca="false">_xlfn.xlookup(BA430,A:A,M:M)+_xlfn.xlookup(BA430,A:A,N:N)</f>
        <v>#NAME?</v>
      </c>
    </row>
    <row r="431" customFormat="false" ht="14.25" hidden="false" customHeight="false" outlineLevel="0" collapsed="false">
      <c r="AK431" s="15" t="e">
        <v>#NAME?</v>
      </c>
      <c r="AL431" s="15" t="e">
        <f aca="false">_xlfn.xlookup(AK431,A:A,F:F)</f>
        <v>#NAME?</v>
      </c>
      <c r="AM431" s="15" t="e">
        <f aca="false">_xlfn.xlookup(AK431,A:A,J:J)</f>
        <v>#NAME?</v>
      </c>
      <c r="AN431" s="15" t="e">
        <f aca="false">_xlfn.xlookup(AK431,A:A,M:M)+_xlfn.xlookup(AK431,A:A,N:N)</f>
        <v>#NAME?</v>
      </c>
      <c r="AO431" s="223" t="e">
        <f aca="false">_xlfn.xlookup(AK431,A:A,AG:AG)</f>
        <v>#NAME?</v>
      </c>
      <c r="AP431" s="223" t="e">
        <f aca="false">_xlfn.xlookup(AK431,A:A,AD:AD)</f>
        <v>#NAME?</v>
      </c>
      <c r="AQ431" s="223" t="e">
        <f aca="false">_xlfn.xlookup(AK431,A:A,AE:AE)</f>
        <v>#NAME?</v>
      </c>
      <c r="BB431" s="15" t="e">
        <f aca="false">_xlfn.xlookup(BA431,A:A,E:E)</f>
        <v>#NAME?</v>
      </c>
      <c r="BC431" s="15" t="e">
        <f aca="false">_xlfn.xlookup(BA431,A:A,J:J)</f>
        <v>#NAME?</v>
      </c>
      <c r="BD431" s="75" t="e">
        <f aca="false">_xlfn.xlookup(BA431,A:A,M:M)+_xlfn.xlookup(BA431,A:A,N:N)</f>
        <v>#NAME?</v>
      </c>
    </row>
    <row r="432" customFormat="false" ht="14.25" hidden="false" customHeight="false" outlineLevel="0" collapsed="false">
      <c r="AK432" s="15" t="e">
        <v>#NAME?</v>
      </c>
      <c r="AL432" s="15" t="e">
        <f aca="false">_xlfn.xlookup(AK432,A:A,F:F)</f>
        <v>#NAME?</v>
      </c>
      <c r="AM432" s="15" t="e">
        <f aca="false">_xlfn.xlookup(AK432,A:A,J:J)</f>
        <v>#NAME?</v>
      </c>
      <c r="AN432" s="15" t="e">
        <f aca="false">_xlfn.xlookup(AK432,A:A,M:M)+_xlfn.xlookup(AK432,A:A,N:N)</f>
        <v>#NAME?</v>
      </c>
      <c r="AO432" s="223" t="e">
        <f aca="false">_xlfn.xlookup(AK432,A:A,AG:AG)</f>
        <v>#NAME?</v>
      </c>
      <c r="AP432" s="223" t="e">
        <f aca="false">_xlfn.xlookup(AK432,A:A,AD:AD)</f>
        <v>#NAME?</v>
      </c>
      <c r="AQ432" s="223" t="e">
        <f aca="false">_xlfn.xlookup(AK432,A:A,AE:AE)</f>
        <v>#NAME?</v>
      </c>
      <c r="BB432" s="15" t="e">
        <f aca="false">_xlfn.xlookup(BA432,A:A,E:E)</f>
        <v>#NAME?</v>
      </c>
      <c r="BC432" s="15" t="e">
        <f aca="false">_xlfn.xlookup(BA432,A:A,J:J)</f>
        <v>#NAME?</v>
      </c>
      <c r="BD432" s="75" t="e">
        <f aca="false">_xlfn.xlookup(BA432,A:A,M:M)+_xlfn.xlookup(BA432,A:A,N:N)</f>
        <v>#NAME?</v>
      </c>
    </row>
    <row r="433" customFormat="false" ht="14.25" hidden="false" customHeight="false" outlineLevel="0" collapsed="false">
      <c r="AK433" s="15" t="e">
        <v>#NAME?</v>
      </c>
      <c r="AL433" s="15" t="e">
        <f aca="false">_xlfn.xlookup(AK433,A:A,F:F)</f>
        <v>#NAME?</v>
      </c>
      <c r="AM433" s="15" t="e">
        <f aca="false">_xlfn.xlookup(AK433,A:A,J:J)</f>
        <v>#NAME?</v>
      </c>
      <c r="AN433" s="15" t="e">
        <f aca="false">_xlfn.xlookup(AK433,A:A,M:M)+_xlfn.xlookup(AK433,A:A,N:N)</f>
        <v>#NAME?</v>
      </c>
      <c r="AO433" s="223" t="e">
        <f aca="false">_xlfn.xlookup(AK433,A:A,AG:AG)</f>
        <v>#NAME?</v>
      </c>
      <c r="AP433" s="223" t="e">
        <f aca="false">_xlfn.xlookup(AK433,A:A,AD:AD)</f>
        <v>#NAME?</v>
      </c>
      <c r="AQ433" s="223" t="e">
        <f aca="false">_xlfn.xlookup(AK433,A:A,AE:AE)</f>
        <v>#NAME?</v>
      </c>
      <c r="BB433" s="15" t="e">
        <f aca="false">_xlfn.xlookup(BA433,A:A,E:E)</f>
        <v>#NAME?</v>
      </c>
      <c r="BC433" s="15" t="e">
        <f aca="false">_xlfn.xlookup(BA433,A:A,J:J)</f>
        <v>#NAME?</v>
      </c>
      <c r="BD433" s="75" t="e">
        <f aca="false">_xlfn.xlookup(BA433,A:A,M:M)+_xlfn.xlookup(BA433,A:A,N:N)</f>
        <v>#NAME?</v>
      </c>
    </row>
    <row r="434" customFormat="false" ht="14.25" hidden="false" customHeight="false" outlineLevel="0" collapsed="false">
      <c r="AK434" s="15" t="e">
        <v>#NAME?</v>
      </c>
      <c r="AL434" s="15" t="e">
        <f aca="false">_xlfn.xlookup(AK434,A:A,F:F)</f>
        <v>#NAME?</v>
      </c>
      <c r="AM434" s="15" t="e">
        <f aca="false">_xlfn.xlookup(AK434,A:A,J:J)</f>
        <v>#NAME?</v>
      </c>
      <c r="AN434" s="15" t="e">
        <f aca="false">_xlfn.xlookup(AK434,A:A,M:M)+_xlfn.xlookup(AK434,A:A,N:N)</f>
        <v>#NAME?</v>
      </c>
      <c r="AO434" s="223" t="e">
        <f aca="false">_xlfn.xlookup(AK434,A:A,AG:AG)</f>
        <v>#NAME?</v>
      </c>
      <c r="AP434" s="223" t="e">
        <f aca="false">_xlfn.xlookup(AK434,A:A,AD:AD)</f>
        <v>#NAME?</v>
      </c>
      <c r="AQ434" s="223" t="e">
        <f aca="false">_xlfn.xlookup(AK434,A:A,AE:AE)</f>
        <v>#NAME?</v>
      </c>
      <c r="BB434" s="15" t="e">
        <f aca="false">_xlfn.xlookup(BA434,A:A,E:E)</f>
        <v>#NAME?</v>
      </c>
      <c r="BC434" s="15" t="e">
        <f aca="false">_xlfn.xlookup(BA434,A:A,J:J)</f>
        <v>#NAME?</v>
      </c>
      <c r="BD434" s="75" t="e">
        <f aca="false">_xlfn.xlookup(BA434,A:A,M:M)+_xlfn.xlookup(BA434,A:A,N:N)</f>
        <v>#NAME?</v>
      </c>
    </row>
    <row r="435" customFormat="false" ht="14.25" hidden="false" customHeight="false" outlineLevel="0" collapsed="false">
      <c r="AK435" s="15" t="e">
        <v>#NAME?</v>
      </c>
      <c r="AL435" s="15" t="e">
        <f aca="false">_xlfn.xlookup(AK435,A:A,F:F)</f>
        <v>#NAME?</v>
      </c>
      <c r="AM435" s="15" t="e">
        <f aca="false">_xlfn.xlookup(AK435,A:A,J:J)</f>
        <v>#NAME?</v>
      </c>
      <c r="AN435" s="15" t="e">
        <f aca="false">_xlfn.xlookup(AK435,A:A,M:M)+_xlfn.xlookup(AK435,A:A,N:N)</f>
        <v>#NAME?</v>
      </c>
      <c r="AO435" s="223" t="e">
        <f aca="false">_xlfn.xlookup(AK435,A:A,AG:AG)</f>
        <v>#NAME?</v>
      </c>
      <c r="AP435" s="223" t="e">
        <f aca="false">_xlfn.xlookup(AK435,A:A,AD:AD)</f>
        <v>#NAME?</v>
      </c>
      <c r="AQ435" s="223" t="e">
        <f aca="false">_xlfn.xlookup(AK435,A:A,AE:AE)</f>
        <v>#NAME?</v>
      </c>
      <c r="BB435" s="15" t="e">
        <f aca="false">_xlfn.xlookup(BA435,A:A,E:E)</f>
        <v>#NAME?</v>
      </c>
      <c r="BC435" s="15" t="e">
        <f aca="false">_xlfn.xlookup(BA435,A:A,J:J)</f>
        <v>#NAME?</v>
      </c>
      <c r="BD435" s="75" t="e">
        <f aca="false">_xlfn.xlookup(BA435,A:A,M:M)+_xlfn.xlookup(BA435,A:A,N:N)</f>
        <v>#NAME?</v>
      </c>
    </row>
    <row r="436" customFormat="false" ht="14.25" hidden="false" customHeight="false" outlineLevel="0" collapsed="false">
      <c r="AK436" s="15" t="e">
        <v>#NAME?</v>
      </c>
      <c r="AL436" s="15" t="e">
        <f aca="false">_xlfn.xlookup(AK436,A:A,F:F)</f>
        <v>#NAME?</v>
      </c>
      <c r="AM436" s="15" t="e">
        <f aca="false">_xlfn.xlookup(AK436,A:A,J:J)</f>
        <v>#NAME?</v>
      </c>
      <c r="AN436" s="15" t="e">
        <f aca="false">_xlfn.xlookup(AK436,A:A,M:M)+_xlfn.xlookup(AK436,A:A,N:N)</f>
        <v>#NAME?</v>
      </c>
      <c r="AO436" s="223" t="e">
        <f aca="false">_xlfn.xlookup(AK436,A:A,AG:AG)</f>
        <v>#NAME?</v>
      </c>
      <c r="AP436" s="223" t="e">
        <f aca="false">_xlfn.xlookup(AK436,A:A,AD:AD)</f>
        <v>#NAME?</v>
      </c>
      <c r="AQ436" s="223" t="e">
        <f aca="false">_xlfn.xlookup(AK436,A:A,AE:AE)</f>
        <v>#NAME?</v>
      </c>
      <c r="BB436" s="15" t="e">
        <f aca="false">_xlfn.xlookup(BA436,A:A,E:E)</f>
        <v>#NAME?</v>
      </c>
      <c r="BC436" s="15" t="e">
        <f aca="false">_xlfn.xlookup(BA436,A:A,J:J)</f>
        <v>#NAME?</v>
      </c>
      <c r="BD436" s="75" t="e">
        <f aca="false">_xlfn.xlookup(BA436,A:A,M:M)+_xlfn.xlookup(BA436,A:A,N:N)</f>
        <v>#NAME?</v>
      </c>
    </row>
    <row r="437" customFormat="false" ht="14.25" hidden="false" customHeight="false" outlineLevel="0" collapsed="false">
      <c r="AK437" s="15" t="e">
        <v>#NAME?</v>
      </c>
      <c r="AL437" s="15" t="e">
        <f aca="false">_xlfn.xlookup(AK437,A:A,F:F)</f>
        <v>#NAME?</v>
      </c>
      <c r="AM437" s="15" t="e">
        <f aca="false">_xlfn.xlookup(AK437,A:A,J:J)</f>
        <v>#NAME?</v>
      </c>
      <c r="AN437" s="15" t="e">
        <f aca="false">_xlfn.xlookup(AK437,A:A,M:M)+_xlfn.xlookup(AK437,A:A,N:N)</f>
        <v>#NAME?</v>
      </c>
      <c r="AO437" s="223" t="e">
        <f aca="false">_xlfn.xlookup(AK437,A:A,AG:AG)</f>
        <v>#NAME?</v>
      </c>
      <c r="AP437" s="223" t="e">
        <f aca="false">_xlfn.xlookup(AK437,A:A,AD:AD)</f>
        <v>#NAME?</v>
      </c>
      <c r="AQ437" s="223" t="e">
        <f aca="false">_xlfn.xlookup(AK437,A:A,AE:AE)</f>
        <v>#NAME?</v>
      </c>
      <c r="BB437" s="15" t="e">
        <f aca="false">_xlfn.xlookup(BA437,A:A,E:E)</f>
        <v>#NAME?</v>
      </c>
      <c r="BC437" s="15" t="e">
        <f aca="false">_xlfn.xlookup(BA437,A:A,J:J)</f>
        <v>#NAME?</v>
      </c>
      <c r="BD437" s="75" t="e">
        <f aca="false">_xlfn.xlookup(BA437,A:A,M:M)+_xlfn.xlookup(BA437,A:A,N:N)</f>
        <v>#NAME?</v>
      </c>
    </row>
    <row r="438" customFormat="false" ht="14.25" hidden="false" customHeight="false" outlineLevel="0" collapsed="false">
      <c r="AK438" s="15" t="e">
        <v>#NAME?</v>
      </c>
      <c r="AL438" s="15" t="e">
        <f aca="false">_xlfn.xlookup(AK438,A:A,F:F)</f>
        <v>#NAME?</v>
      </c>
      <c r="AM438" s="15" t="e">
        <f aca="false">_xlfn.xlookup(AK438,A:A,J:J)</f>
        <v>#NAME?</v>
      </c>
      <c r="AN438" s="15" t="e">
        <f aca="false">_xlfn.xlookup(AK438,A:A,M:M)+_xlfn.xlookup(AK438,A:A,N:N)</f>
        <v>#NAME?</v>
      </c>
      <c r="AO438" s="223" t="e">
        <f aca="false">_xlfn.xlookup(AK438,A:A,AG:AG)</f>
        <v>#NAME?</v>
      </c>
      <c r="AP438" s="223" t="e">
        <f aca="false">_xlfn.xlookup(AK438,A:A,AD:AD)</f>
        <v>#NAME?</v>
      </c>
      <c r="AQ438" s="223" t="e">
        <f aca="false">_xlfn.xlookup(AK438,A:A,AE:AE)</f>
        <v>#NAME?</v>
      </c>
      <c r="BB438" s="15" t="e">
        <f aca="false">_xlfn.xlookup(BA438,A:A,E:E)</f>
        <v>#NAME?</v>
      </c>
      <c r="BC438" s="15" t="e">
        <f aca="false">_xlfn.xlookup(BA438,A:A,J:J)</f>
        <v>#NAME?</v>
      </c>
      <c r="BD438" s="75" t="e">
        <f aca="false">_xlfn.xlookup(BA438,A:A,M:M)+_xlfn.xlookup(BA438,A:A,N:N)</f>
        <v>#NAME?</v>
      </c>
    </row>
    <row r="439" customFormat="false" ht="14.25" hidden="false" customHeight="false" outlineLevel="0" collapsed="false">
      <c r="AK439" s="15" t="e">
        <v>#NAME?</v>
      </c>
      <c r="AL439" s="15" t="e">
        <f aca="false">_xlfn.xlookup(AK439,A:A,F:F)</f>
        <v>#NAME?</v>
      </c>
      <c r="AM439" s="15" t="e">
        <f aca="false">_xlfn.xlookup(AK439,A:A,J:J)</f>
        <v>#NAME?</v>
      </c>
      <c r="AN439" s="15" t="e">
        <f aca="false">_xlfn.xlookup(AK439,A:A,M:M)+_xlfn.xlookup(AK439,A:A,N:N)</f>
        <v>#NAME?</v>
      </c>
      <c r="AO439" s="223" t="e">
        <f aca="false">_xlfn.xlookup(AK439,A:A,AG:AG)</f>
        <v>#NAME?</v>
      </c>
      <c r="AP439" s="223" t="e">
        <f aca="false">_xlfn.xlookup(AK439,A:A,AD:AD)</f>
        <v>#NAME?</v>
      </c>
      <c r="AQ439" s="223" t="e">
        <f aca="false">_xlfn.xlookup(AK439,A:A,AE:AE)</f>
        <v>#NAME?</v>
      </c>
      <c r="BB439" s="15" t="e">
        <f aca="false">_xlfn.xlookup(BA439,A:A,E:E)</f>
        <v>#NAME?</v>
      </c>
      <c r="BC439" s="15" t="e">
        <f aca="false">_xlfn.xlookup(BA439,A:A,J:J)</f>
        <v>#NAME?</v>
      </c>
      <c r="BD439" s="75" t="e">
        <f aca="false">_xlfn.xlookup(BA439,A:A,M:M)+_xlfn.xlookup(BA439,A:A,N:N)</f>
        <v>#NAME?</v>
      </c>
    </row>
    <row r="440" customFormat="false" ht="14.25" hidden="false" customHeight="false" outlineLevel="0" collapsed="false">
      <c r="AK440" s="15" t="e">
        <v>#NAME?</v>
      </c>
      <c r="AL440" s="15" t="e">
        <f aca="false">_xlfn.xlookup(AK440,A:A,F:F)</f>
        <v>#NAME?</v>
      </c>
      <c r="AM440" s="15" t="e">
        <f aca="false">_xlfn.xlookup(AK440,A:A,J:J)</f>
        <v>#NAME?</v>
      </c>
      <c r="AN440" s="15" t="e">
        <f aca="false">_xlfn.xlookup(AK440,A:A,M:M)+_xlfn.xlookup(AK440,A:A,N:N)</f>
        <v>#NAME?</v>
      </c>
      <c r="AO440" s="223" t="e">
        <f aca="false">_xlfn.xlookup(AK440,A:A,AG:AG)</f>
        <v>#NAME?</v>
      </c>
      <c r="AP440" s="223" t="e">
        <f aca="false">_xlfn.xlookup(AK440,A:A,AD:AD)</f>
        <v>#NAME?</v>
      </c>
      <c r="AQ440" s="223" t="e">
        <f aca="false">_xlfn.xlookup(AK440,A:A,AE:AE)</f>
        <v>#NAME?</v>
      </c>
      <c r="BB440" s="15" t="e">
        <f aca="false">_xlfn.xlookup(BA440,A:A,E:E)</f>
        <v>#NAME?</v>
      </c>
      <c r="BC440" s="15" t="e">
        <f aca="false">_xlfn.xlookup(BA440,A:A,J:J)</f>
        <v>#NAME?</v>
      </c>
      <c r="BD440" s="75" t="e">
        <f aca="false">_xlfn.xlookup(BA440,A:A,M:M)+_xlfn.xlookup(BA440,A:A,N:N)</f>
        <v>#NAME?</v>
      </c>
    </row>
    <row r="441" customFormat="false" ht="14.25" hidden="false" customHeight="false" outlineLevel="0" collapsed="false">
      <c r="AK441" s="15" t="e">
        <v>#NAME?</v>
      </c>
      <c r="AL441" s="15" t="e">
        <f aca="false">_xlfn.xlookup(AK441,A:A,F:F)</f>
        <v>#NAME?</v>
      </c>
      <c r="AM441" s="15" t="e">
        <f aca="false">_xlfn.xlookup(AK441,A:A,J:J)</f>
        <v>#NAME?</v>
      </c>
      <c r="AN441" s="15" t="e">
        <f aca="false">_xlfn.xlookup(AK441,A:A,M:M)+_xlfn.xlookup(AK441,A:A,N:N)</f>
        <v>#NAME?</v>
      </c>
      <c r="AO441" s="223" t="e">
        <f aca="false">_xlfn.xlookup(AK441,A:A,AG:AG)</f>
        <v>#NAME?</v>
      </c>
      <c r="AP441" s="223" t="e">
        <f aca="false">_xlfn.xlookup(AK441,A:A,AD:AD)</f>
        <v>#NAME?</v>
      </c>
      <c r="AQ441" s="223" t="e">
        <f aca="false">_xlfn.xlookup(AK441,A:A,AE:AE)</f>
        <v>#NAME?</v>
      </c>
      <c r="BB441" s="15" t="e">
        <f aca="false">_xlfn.xlookup(BA441,A:A,E:E)</f>
        <v>#NAME?</v>
      </c>
      <c r="BC441" s="15" t="e">
        <f aca="false">_xlfn.xlookup(BA441,A:A,J:J)</f>
        <v>#NAME?</v>
      </c>
      <c r="BD441" s="75" t="e">
        <f aca="false">_xlfn.xlookup(BA441,A:A,M:M)+_xlfn.xlookup(BA441,A:A,N:N)</f>
        <v>#NAME?</v>
      </c>
    </row>
    <row r="442" customFormat="false" ht="14.25" hidden="false" customHeight="false" outlineLevel="0" collapsed="false">
      <c r="AK442" s="15" t="e">
        <v>#NAME?</v>
      </c>
      <c r="AL442" s="15" t="e">
        <f aca="false">_xlfn.xlookup(AK442,A:A,F:F)</f>
        <v>#NAME?</v>
      </c>
      <c r="AM442" s="15" t="e">
        <f aca="false">_xlfn.xlookup(AK442,A:A,J:J)</f>
        <v>#NAME?</v>
      </c>
      <c r="AN442" s="15" t="e">
        <f aca="false">_xlfn.xlookup(AK442,A:A,M:M)+_xlfn.xlookup(AK442,A:A,N:N)</f>
        <v>#NAME?</v>
      </c>
      <c r="AO442" s="223" t="e">
        <f aca="false">_xlfn.xlookup(AK442,A:A,AG:AG)</f>
        <v>#NAME?</v>
      </c>
      <c r="AP442" s="223" t="e">
        <f aca="false">_xlfn.xlookup(AK442,A:A,AD:AD)</f>
        <v>#NAME?</v>
      </c>
      <c r="AQ442" s="223" t="e">
        <f aca="false">_xlfn.xlookup(AK442,A:A,AE:AE)</f>
        <v>#NAME?</v>
      </c>
      <c r="BB442" s="15" t="e">
        <f aca="false">_xlfn.xlookup(BA442,A:A,E:E)</f>
        <v>#NAME?</v>
      </c>
      <c r="BC442" s="15" t="e">
        <f aca="false">_xlfn.xlookup(BA442,A:A,J:J)</f>
        <v>#NAME?</v>
      </c>
      <c r="BD442" s="75" t="e">
        <f aca="false">_xlfn.xlookup(BA442,A:A,M:M)+_xlfn.xlookup(BA442,A:A,N:N)</f>
        <v>#NAME?</v>
      </c>
    </row>
    <row r="443" customFormat="false" ht="14.25" hidden="false" customHeight="false" outlineLevel="0" collapsed="false">
      <c r="AK443" s="15" t="e">
        <v>#NAME?</v>
      </c>
      <c r="AL443" s="15" t="e">
        <f aca="false">_xlfn.xlookup(AK443,A:A,F:F)</f>
        <v>#NAME?</v>
      </c>
      <c r="AM443" s="15" t="e">
        <f aca="false">_xlfn.xlookup(AK443,A:A,J:J)</f>
        <v>#NAME?</v>
      </c>
      <c r="AN443" s="15" t="e">
        <f aca="false">_xlfn.xlookup(AK443,A:A,M:M)+_xlfn.xlookup(AK443,A:A,N:N)</f>
        <v>#NAME?</v>
      </c>
      <c r="AO443" s="223" t="e">
        <f aca="false">_xlfn.xlookup(AK443,A:A,AG:AG)</f>
        <v>#NAME?</v>
      </c>
      <c r="AP443" s="223" t="e">
        <f aca="false">_xlfn.xlookup(AK443,A:A,AD:AD)</f>
        <v>#NAME?</v>
      </c>
      <c r="AQ443" s="223" t="e">
        <f aca="false">_xlfn.xlookup(AK443,A:A,AE:AE)</f>
        <v>#NAME?</v>
      </c>
      <c r="BB443" s="15" t="e">
        <f aca="false">_xlfn.xlookup(BA443,A:A,E:E)</f>
        <v>#NAME?</v>
      </c>
      <c r="BC443" s="15" t="e">
        <f aca="false">_xlfn.xlookup(BA443,A:A,J:J)</f>
        <v>#NAME?</v>
      </c>
      <c r="BD443" s="75" t="e">
        <f aca="false">_xlfn.xlookup(BA443,A:A,M:M)+_xlfn.xlookup(BA443,A:A,N:N)</f>
        <v>#NAME?</v>
      </c>
    </row>
    <row r="444" customFormat="false" ht="14.25" hidden="false" customHeight="false" outlineLevel="0" collapsed="false">
      <c r="AK444" s="15" t="e">
        <v>#NAME?</v>
      </c>
      <c r="AL444" s="15" t="e">
        <f aca="false">_xlfn.xlookup(AK444,A:A,F:F)</f>
        <v>#NAME?</v>
      </c>
      <c r="AM444" s="15" t="e">
        <f aca="false">_xlfn.xlookup(AK444,A:A,J:J)</f>
        <v>#NAME?</v>
      </c>
      <c r="AN444" s="15" t="e">
        <f aca="false">_xlfn.xlookup(AK444,A:A,M:M)+_xlfn.xlookup(AK444,A:A,N:N)</f>
        <v>#NAME?</v>
      </c>
      <c r="AO444" s="223" t="e">
        <f aca="false">_xlfn.xlookup(AK444,A:A,AG:AG)</f>
        <v>#NAME?</v>
      </c>
      <c r="AP444" s="223" t="e">
        <f aca="false">_xlfn.xlookup(AK444,A:A,AD:AD)</f>
        <v>#NAME?</v>
      </c>
      <c r="AQ444" s="223" t="e">
        <f aca="false">_xlfn.xlookup(AK444,A:A,AE:AE)</f>
        <v>#NAME?</v>
      </c>
      <c r="BB444" s="15" t="e">
        <f aca="false">_xlfn.xlookup(BA444,A:A,E:E)</f>
        <v>#NAME?</v>
      </c>
      <c r="BC444" s="15" t="e">
        <f aca="false">_xlfn.xlookup(BA444,A:A,J:J)</f>
        <v>#NAME?</v>
      </c>
      <c r="BD444" s="75" t="e">
        <f aca="false">_xlfn.xlookup(BA444,A:A,M:M)+_xlfn.xlookup(BA444,A:A,N:N)</f>
        <v>#NAME?</v>
      </c>
    </row>
    <row r="445" customFormat="false" ht="14.25" hidden="false" customHeight="false" outlineLevel="0" collapsed="false">
      <c r="AK445" s="15" t="e">
        <v>#NAME?</v>
      </c>
      <c r="AL445" s="15" t="e">
        <f aca="false">_xlfn.xlookup(AK445,A:A,F:F)</f>
        <v>#NAME?</v>
      </c>
      <c r="AM445" s="15" t="e">
        <f aca="false">_xlfn.xlookup(AK445,A:A,J:J)</f>
        <v>#NAME?</v>
      </c>
      <c r="AN445" s="15" t="e">
        <f aca="false">_xlfn.xlookup(AK445,A:A,M:M)+_xlfn.xlookup(AK445,A:A,N:N)</f>
        <v>#NAME?</v>
      </c>
      <c r="AO445" s="223" t="e">
        <f aca="false">_xlfn.xlookup(AK445,A:A,AG:AG)</f>
        <v>#NAME?</v>
      </c>
      <c r="AP445" s="223" t="e">
        <f aca="false">_xlfn.xlookup(AK445,A:A,AD:AD)</f>
        <v>#NAME?</v>
      </c>
      <c r="AQ445" s="223" t="e">
        <f aca="false">_xlfn.xlookup(AK445,A:A,AE:AE)</f>
        <v>#NAME?</v>
      </c>
      <c r="BB445" s="15" t="e">
        <f aca="false">_xlfn.xlookup(BA445,A:A,E:E)</f>
        <v>#NAME?</v>
      </c>
      <c r="BC445" s="15" t="e">
        <f aca="false">_xlfn.xlookup(BA445,A:A,J:J)</f>
        <v>#NAME?</v>
      </c>
      <c r="BD445" s="75" t="e">
        <f aca="false">_xlfn.xlookup(BA445,A:A,M:M)+_xlfn.xlookup(BA445,A:A,N:N)</f>
        <v>#NAME?</v>
      </c>
    </row>
    <row r="446" customFormat="false" ht="14.25" hidden="false" customHeight="false" outlineLevel="0" collapsed="false">
      <c r="AK446" s="15" t="e">
        <v>#NAME?</v>
      </c>
      <c r="AL446" s="15" t="e">
        <f aca="false">_xlfn.xlookup(AK446,A:A,F:F)</f>
        <v>#NAME?</v>
      </c>
      <c r="AM446" s="15" t="e">
        <f aca="false">_xlfn.xlookup(AK446,A:A,J:J)</f>
        <v>#NAME?</v>
      </c>
      <c r="AN446" s="15" t="e">
        <f aca="false">_xlfn.xlookup(AK446,A:A,M:M)+_xlfn.xlookup(AK446,A:A,N:N)</f>
        <v>#NAME?</v>
      </c>
      <c r="AO446" s="223" t="e">
        <f aca="false">_xlfn.xlookup(AK446,A:A,AG:AG)</f>
        <v>#NAME?</v>
      </c>
      <c r="AP446" s="223" t="e">
        <f aca="false">_xlfn.xlookup(AK446,A:A,AD:AD)</f>
        <v>#NAME?</v>
      </c>
      <c r="AQ446" s="223" t="e">
        <f aca="false">_xlfn.xlookup(AK446,A:A,AE:AE)</f>
        <v>#NAME?</v>
      </c>
      <c r="BB446" s="15" t="e">
        <f aca="false">_xlfn.xlookup(BA446,A:A,E:E)</f>
        <v>#NAME?</v>
      </c>
      <c r="BC446" s="15" t="e">
        <f aca="false">_xlfn.xlookup(BA446,A:A,J:J)</f>
        <v>#NAME?</v>
      </c>
      <c r="BD446" s="75" t="e">
        <f aca="false">_xlfn.xlookup(BA446,A:A,M:M)+_xlfn.xlookup(BA446,A:A,N:N)</f>
        <v>#NAME?</v>
      </c>
    </row>
    <row r="447" customFormat="false" ht="14.25" hidden="false" customHeight="false" outlineLevel="0" collapsed="false">
      <c r="AK447" s="15" t="e">
        <v>#NAME?</v>
      </c>
      <c r="AL447" s="15" t="e">
        <f aca="false">_xlfn.xlookup(AK447,A:A,F:F)</f>
        <v>#NAME?</v>
      </c>
      <c r="AM447" s="15" t="e">
        <f aca="false">_xlfn.xlookup(AK447,A:A,J:J)</f>
        <v>#NAME?</v>
      </c>
      <c r="AN447" s="15" t="e">
        <f aca="false">_xlfn.xlookup(AK447,A:A,M:M)+_xlfn.xlookup(AK447,A:A,N:N)</f>
        <v>#NAME?</v>
      </c>
      <c r="AO447" s="223" t="e">
        <f aca="false">_xlfn.xlookup(AK447,A:A,AG:AG)</f>
        <v>#NAME?</v>
      </c>
      <c r="AP447" s="223" t="e">
        <f aca="false">_xlfn.xlookup(AK447,A:A,AD:AD)</f>
        <v>#NAME?</v>
      </c>
      <c r="AQ447" s="223" t="e">
        <f aca="false">_xlfn.xlookup(AK447,A:A,AE:AE)</f>
        <v>#NAME?</v>
      </c>
      <c r="BB447" s="15" t="e">
        <f aca="false">_xlfn.xlookup(BA447,A:A,E:E)</f>
        <v>#NAME?</v>
      </c>
      <c r="BC447" s="15" t="e">
        <f aca="false">_xlfn.xlookup(BA447,A:A,J:J)</f>
        <v>#NAME?</v>
      </c>
      <c r="BD447" s="75" t="e">
        <f aca="false">_xlfn.xlookup(BA447,A:A,M:M)+_xlfn.xlookup(BA447,A:A,N:N)</f>
        <v>#NAME?</v>
      </c>
    </row>
    <row r="448" customFormat="false" ht="14.25" hidden="false" customHeight="false" outlineLevel="0" collapsed="false">
      <c r="AK448" s="15" t="e">
        <v>#NAME?</v>
      </c>
      <c r="AL448" s="15" t="e">
        <f aca="false">_xlfn.xlookup(AK448,A:A,F:F)</f>
        <v>#NAME?</v>
      </c>
      <c r="AM448" s="15" t="e">
        <f aca="false">_xlfn.xlookup(AK448,A:A,J:J)</f>
        <v>#NAME?</v>
      </c>
      <c r="AN448" s="15" t="e">
        <f aca="false">_xlfn.xlookup(AK448,A:A,M:M)+_xlfn.xlookup(AK448,A:A,N:N)</f>
        <v>#NAME?</v>
      </c>
      <c r="AO448" s="223" t="e">
        <f aca="false">_xlfn.xlookup(AK448,A:A,AG:AG)</f>
        <v>#NAME?</v>
      </c>
      <c r="AP448" s="223" t="e">
        <f aca="false">_xlfn.xlookup(AK448,A:A,AD:AD)</f>
        <v>#NAME?</v>
      </c>
      <c r="AQ448" s="223" t="e">
        <f aca="false">_xlfn.xlookup(AK448,A:A,AE:AE)</f>
        <v>#NAME?</v>
      </c>
      <c r="BB448" s="15" t="e">
        <f aca="false">_xlfn.xlookup(BA448,A:A,E:E)</f>
        <v>#NAME?</v>
      </c>
      <c r="BC448" s="15" t="e">
        <f aca="false">_xlfn.xlookup(BA448,A:A,J:J)</f>
        <v>#NAME?</v>
      </c>
      <c r="BD448" s="75" t="e">
        <f aca="false">_xlfn.xlookup(BA448,A:A,M:M)+_xlfn.xlookup(BA448,A:A,N:N)</f>
        <v>#NAME?</v>
      </c>
    </row>
    <row r="449" customFormat="false" ht="14.25" hidden="false" customHeight="false" outlineLevel="0" collapsed="false">
      <c r="AK449" s="15" t="e">
        <v>#NAME?</v>
      </c>
      <c r="AL449" s="15" t="e">
        <f aca="false">_xlfn.xlookup(AK449,A:A,F:F)</f>
        <v>#NAME?</v>
      </c>
      <c r="AM449" s="15" t="e">
        <f aca="false">_xlfn.xlookup(AK449,A:A,J:J)</f>
        <v>#NAME?</v>
      </c>
      <c r="AN449" s="15" t="e">
        <f aca="false">_xlfn.xlookup(AK449,A:A,M:M)+_xlfn.xlookup(AK449,A:A,N:N)</f>
        <v>#NAME?</v>
      </c>
      <c r="AO449" s="223" t="e">
        <f aca="false">_xlfn.xlookup(AK449,A:A,AG:AG)</f>
        <v>#NAME?</v>
      </c>
      <c r="AP449" s="223" t="e">
        <f aca="false">_xlfn.xlookup(AK449,A:A,AD:AD)</f>
        <v>#NAME?</v>
      </c>
      <c r="AQ449" s="223" t="e">
        <f aca="false">_xlfn.xlookup(AK449,A:A,AE:AE)</f>
        <v>#NAME?</v>
      </c>
      <c r="BB449" s="15" t="e">
        <f aca="false">_xlfn.xlookup(BA449,A:A,E:E)</f>
        <v>#NAME?</v>
      </c>
      <c r="BC449" s="15" t="e">
        <f aca="false">_xlfn.xlookup(BA449,A:A,J:J)</f>
        <v>#NAME?</v>
      </c>
      <c r="BD449" s="75" t="e">
        <f aca="false">_xlfn.xlookup(BA449,A:A,M:M)+_xlfn.xlookup(BA449,A:A,N:N)</f>
        <v>#NAME?</v>
      </c>
    </row>
    <row r="450" customFormat="false" ht="14.25" hidden="false" customHeight="false" outlineLevel="0" collapsed="false">
      <c r="AK450" s="15" t="e">
        <v>#NAME?</v>
      </c>
      <c r="AL450" s="15" t="e">
        <f aca="false">_xlfn.xlookup(AK450,A:A,F:F)</f>
        <v>#NAME?</v>
      </c>
      <c r="AM450" s="15" t="e">
        <f aca="false">_xlfn.xlookup(AK450,A:A,J:J)</f>
        <v>#NAME?</v>
      </c>
      <c r="AN450" s="15" t="e">
        <f aca="false">_xlfn.xlookup(AK450,A:A,M:M)+_xlfn.xlookup(AK450,A:A,N:N)</f>
        <v>#NAME?</v>
      </c>
      <c r="AO450" s="223" t="e">
        <f aca="false">_xlfn.xlookup(AK450,A:A,AG:AG)</f>
        <v>#NAME?</v>
      </c>
      <c r="AP450" s="223" t="e">
        <f aca="false">_xlfn.xlookup(AK450,A:A,AD:AD)</f>
        <v>#NAME?</v>
      </c>
      <c r="AQ450" s="223" t="e">
        <f aca="false">_xlfn.xlookup(AK450,A:A,AE:AE)</f>
        <v>#NAME?</v>
      </c>
      <c r="BB450" s="15" t="e">
        <f aca="false">_xlfn.xlookup(BA450,A:A,E:E)</f>
        <v>#NAME?</v>
      </c>
      <c r="BC450" s="15" t="e">
        <f aca="false">_xlfn.xlookup(BA450,A:A,J:J)</f>
        <v>#NAME?</v>
      </c>
      <c r="BD450" s="75" t="e">
        <f aca="false">_xlfn.xlookup(BA450,A:A,M:M)+_xlfn.xlookup(BA450,A:A,N:N)</f>
        <v>#NAME?</v>
      </c>
    </row>
    <row r="451" customFormat="false" ht="14.25" hidden="false" customHeight="false" outlineLevel="0" collapsed="false">
      <c r="AK451" s="15" t="e">
        <v>#NAME?</v>
      </c>
      <c r="AL451" s="15" t="e">
        <f aca="false">_xlfn.xlookup(AK451,A:A,F:F)</f>
        <v>#NAME?</v>
      </c>
      <c r="AM451" s="15" t="e">
        <f aca="false">_xlfn.xlookup(AK451,A:A,J:J)</f>
        <v>#NAME?</v>
      </c>
      <c r="AN451" s="15" t="e">
        <f aca="false">_xlfn.xlookup(AK451,A:A,M:M)+_xlfn.xlookup(AK451,A:A,N:N)</f>
        <v>#NAME?</v>
      </c>
      <c r="AO451" s="223" t="e">
        <f aca="false">_xlfn.xlookup(AK451,A:A,AG:AG)</f>
        <v>#NAME?</v>
      </c>
      <c r="AP451" s="223" t="e">
        <f aca="false">_xlfn.xlookup(AK451,A:A,AD:AD)</f>
        <v>#NAME?</v>
      </c>
      <c r="AQ451" s="223" t="e">
        <f aca="false">_xlfn.xlookup(AK451,A:A,AE:AE)</f>
        <v>#NAME?</v>
      </c>
      <c r="BB451" s="15" t="e">
        <f aca="false">_xlfn.xlookup(BA451,A:A,E:E)</f>
        <v>#NAME?</v>
      </c>
      <c r="BC451" s="15" t="e">
        <f aca="false">_xlfn.xlookup(BA451,A:A,J:J)</f>
        <v>#NAME?</v>
      </c>
      <c r="BD451" s="75" t="e">
        <f aca="false">_xlfn.xlookup(BA451,A:A,M:M)+_xlfn.xlookup(BA451,A:A,N:N)</f>
        <v>#NAME?</v>
      </c>
    </row>
    <row r="452" customFormat="false" ht="14.25" hidden="false" customHeight="false" outlineLevel="0" collapsed="false">
      <c r="AK452" s="15" t="e">
        <v>#NAME?</v>
      </c>
      <c r="AL452" s="15" t="e">
        <f aca="false">_xlfn.xlookup(AK452,A:A,F:F)</f>
        <v>#NAME?</v>
      </c>
      <c r="AM452" s="15" t="e">
        <f aca="false">_xlfn.xlookup(AK452,A:A,J:J)</f>
        <v>#NAME?</v>
      </c>
      <c r="AN452" s="15" t="e">
        <f aca="false">_xlfn.xlookup(AK452,A:A,M:M)+_xlfn.xlookup(AK452,A:A,N:N)</f>
        <v>#NAME?</v>
      </c>
      <c r="AO452" s="223" t="e">
        <f aca="false">_xlfn.xlookup(AK452,A:A,AG:AG)</f>
        <v>#NAME?</v>
      </c>
      <c r="AP452" s="223" t="e">
        <f aca="false">_xlfn.xlookup(AK452,A:A,AD:AD)</f>
        <v>#NAME?</v>
      </c>
      <c r="AQ452" s="223" t="e">
        <f aca="false">_xlfn.xlookup(AK452,A:A,AE:AE)</f>
        <v>#NAME?</v>
      </c>
      <c r="BB452" s="15" t="e">
        <f aca="false">_xlfn.xlookup(BA452,A:A,E:E)</f>
        <v>#NAME?</v>
      </c>
      <c r="BC452" s="15" t="e">
        <f aca="false">_xlfn.xlookup(BA452,A:A,J:J)</f>
        <v>#NAME?</v>
      </c>
      <c r="BD452" s="75" t="e">
        <f aca="false">_xlfn.xlookup(BA452,A:A,M:M)+_xlfn.xlookup(BA452,A:A,N:N)</f>
        <v>#NAME?</v>
      </c>
    </row>
    <row r="453" customFormat="false" ht="14.25" hidden="false" customHeight="false" outlineLevel="0" collapsed="false">
      <c r="AK453" s="15" t="e">
        <v>#NAME?</v>
      </c>
      <c r="AL453" s="15" t="e">
        <f aca="false">_xlfn.xlookup(AK453,A:A,F:F)</f>
        <v>#NAME?</v>
      </c>
      <c r="AM453" s="15" t="e">
        <f aca="false">_xlfn.xlookup(AK453,A:A,J:J)</f>
        <v>#NAME?</v>
      </c>
      <c r="AN453" s="15" t="e">
        <f aca="false">_xlfn.xlookup(AK453,A:A,M:M)+_xlfn.xlookup(AK453,A:A,N:N)</f>
        <v>#NAME?</v>
      </c>
      <c r="AO453" s="223" t="e">
        <f aca="false">_xlfn.xlookup(AK453,A:A,AG:AG)</f>
        <v>#NAME?</v>
      </c>
      <c r="AP453" s="223" t="e">
        <f aca="false">_xlfn.xlookup(AK453,A:A,AD:AD)</f>
        <v>#NAME?</v>
      </c>
      <c r="AQ453" s="223" t="e">
        <f aca="false">_xlfn.xlookup(AK453,A:A,AE:AE)</f>
        <v>#NAME?</v>
      </c>
      <c r="BB453" s="15" t="e">
        <f aca="false">_xlfn.xlookup(BA453,A:A,E:E)</f>
        <v>#NAME?</v>
      </c>
      <c r="BC453" s="15" t="e">
        <f aca="false">_xlfn.xlookup(BA453,A:A,J:J)</f>
        <v>#NAME?</v>
      </c>
      <c r="BD453" s="75" t="e">
        <f aca="false">_xlfn.xlookup(BA453,A:A,M:M)+_xlfn.xlookup(BA453,A:A,N:N)</f>
        <v>#NAME?</v>
      </c>
    </row>
    <row r="454" customFormat="false" ht="14.25" hidden="false" customHeight="false" outlineLevel="0" collapsed="false">
      <c r="AK454" s="15" t="e">
        <v>#NAME?</v>
      </c>
      <c r="AL454" s="15" t="e">
        <f aca="false">_xlfn.xlookup(AK454,A:A,F:F)</f>
        <v>#NAME?</v>
      </c>
      <c r="AM454" s="15" t="e">
        <f aca="false">_xlfn.xlookup(AK454,A:A,J:J)</f>
        <v>#NAME?</v>
      </c>
      <c r="AN454" s="15" t="e">
        <f aca="false">_xlfn.xlookup(AK454,A:A,M:M)+_xlfn.xlookup(AK454,A:A,N:N)</f>
        <v>#NAME?</v>
      </c>
      <c r="AO454" s="223" t="e">
        <f aca="false">_xlfn.xlookup(AK454,A:A,AG:AG)</f>
        <v>#NAME?</v>
      </c>
      <c r="AP454" s="223" t="e">
        <f aca="false">_xlfn.xlookup(AK454,A:A,AD:AD)</f>
        <v>#NAME?</v>
      </c>
      <c r="AQ454" s="223" t="e">
        <f aca="false">_xlfn.xlookup(AK454,A:A,AE:AE)</f>
        <v>#NAME?</v>
      </c>
      <c r="BB454" s="15" t="e">
        <f aca="false">_xlfn.xlookup(BA454,A:A,E:E)</f>
        <v>#NAME?</v>
      </c>
      <c r="BC454" s="15" t="e">
        <f aca="false">_xlfn.xlookup(BA454,A:A,J:J)</f>
        <v>#NAME?</v>
      </c>
      <c r="BD454" s="75" t="e">
        <f aca="false">_xlfn.xlookup(BA454,A:A,M:M)+_xlfn.xlookup(BA454,A:A,N:N)</f>
        <v>#NAME?</v>
      </c>
    </row>
    <row r="455" customFormat="false" ht="14.25" hidden="false" customHeight="false" outlineLevel="0" collapsed="false">
      <c r="AK455" s="15" t="e">
        <v>#NAME?</v>
      </c>
      <c r="AL455" s="15" t="e">
        <f aca="false">_xlfn.xlookup(AK455,A:A,F:F)</f>
        <v>#NAME?</v>
      </c>
      <c r="AM455" s="15" t="e">
        <f aca="false">_xlfn.xlookup(AK455,A:A,J:J)</f>
        <v>#NAME?</v>
      </c>
      <c r="AN455" s="15" t="e">
        <f aca="false">_xlfn.xlookup(AK455,A:A,M:M)+_xlfn.xlookup(AK455,A:A,N:N)</f>
        <v>#NAME?</v>
      </c>
      <c r="AO455" s="223" t="e">
        <f aca="false">_xlfn.xlookup(AK455,A:A,AG:AG)</f>
        <v>#NAME?</v>
      </c>
      <c r="AP455" s="223" t="e">
        <f aca="false">_xlfn.xlookup(AK455,A:A,AD:AD)</f>
        <v>#NAME?</v>
      </c>
      <c r="AQ455" s="223" t="e">
        <f aca="false">_xlfn.xlookup(AK455,A:A,AE:AE)</f>
        <v>#NAME?</v>
      </c>
      <c r="BB455" s="15" t="e">
        <f aca="false">_xlfn.xlookup(BA455,A:A,E:E)</f>
        <v>#NAME?</v>
      </c>
      <c r="BC455" s="15" t="e">
        <f aca="false">_xlfn.xlookup(BA455,A:A,J:J)</f>
        <v>#NAME?</v>
      </c>
      <c r="BD455" s="75" t="e">
        <f aca="false">_xlfn.xlookup(BA455,A:A,M:M)+_xlfn.xlookup(BA455,A:A,N:N)</f>
        <v>#NAME?</v>
      </c>
    </row>
    <row r="456" customFormat="false" ht="14.25" hidden="false" customHeight="false" outlineLevel="0" collapsed="false">
      <c r="AK456" s="15" t="e">
        <v>#NAME?</v>
      </c>
      <c r="AL456" s="15" t="e">
        <f aca="false">_xlfn.xlookup(AK456,A:A,F:F)</f>
        <v>#NAME?</v>
      </c>
      <c r="AM456" s="15" t="e">
        <f aca="false">_xlfn.xlookup(AK456,A:A,J:J)</f>
        <v>#NAME?</v>
      </c>
      <c r="AN456" s="15" t="e">
        <f aca="false">_xlfn.xlookup(AK456,A:A,M:M)+_xlfn.xlookup(AK456,A:A,N:N)</f>
        <v>#NAME?</v>
      </c>
      <c r="AO456" s="223" t="e">
        <f aca="false">_xlfn.xlookup(AK456,A:A,AG:AG)</f>
        <v>#NAME?</v>
      </c>
      <c r="AP456" s="223" t="e">
        <f aca="false">_xlfn.xlookup(AK456,A:A,AD:AD)</f>
        <v>#NAME?</v>
      </c>
      <c r="AQ456" s="223" t="e">
        <f aca="false">_xlfn.xlookup(AK456,A:A,AE:AE)</f>
        <v>#NAME?</v>
      </c>
      <c r="BB456" s="15" t="e">
        <f aca="false">_xlfn.xlookup(BA456,A:A,E:E)</f>
        <v>#NAME?</v>
      </c>
      <c r="BC456" s="15" t="e">
        <f aca="false">_xlfn.xlookup(BA456,A:A,J:J)</f>
        <v>#NAME?</v>
      </c>
      <c r="BD456" s="75" t="e">
        <f aca="false">_xlfn.xlookup(BA456,A:A,M:M)+_xlfn.xlookup(BA456,A:A,N:N)</f>
        <v>#NAME?</v>
      </c>
    </row>
    <row r="457" customFormat="false" ht="14.25" hidden="false" customHeight="false" outlineLevel="0" collapsed="false">
      <c r="AK457" s="15" t="e">
        <v>#NAME?</v>
      </c>
      <c r="AL457" s="15" t="e">
        <f aca="false">_xlfn.xlookup(AK457,A:A,F:F)</f>
        <v>#NAME?</v>
      </c>
      <c r="AM457" s="15" t="e">
        <f aca="false">_xlfn.xlookup(AK457,A:A,J:J)</f>
        <v>#NAME?</v>
      </c>
      <c r="AN457" s="15" t="e">
        <f aca="false">_xlfn.xlookup(AK457,A:A,M:M)+_xlfn.xlookup(AK457,A:A,N:N)</f>
        <v>#NAME?</v>
      </c>
      <c r="AO457" s="223" t="e">
        <f aca="false">_xlfn.xlookup(AK457,A:A,AG:AG)</f>
        <v>#NAME?</v>
      </c>
      <c r="AP457" s="223" t="e">
        <f aca="false">_xlfn.xlookup(AK457,A:A,AD:AD)</f>
        <v>#NAME?</v>
      </c>
      <c r="AQ457" s="223" t="e">
        <f aca="false">_xlfn.xlookup(AK457,A:A,AE:AE)</f>
        <v>#NAME?</v>
      </c>
      <c r="BB457" s="15" t="e">
        <f aca="false">_xlfn.xlookup(BA457,A:A,E:E)</f>
        <v>#NAME?</v>
      </c>
      <c r="BC457" s="15" t="e">
        <f aca="false">_xlfn.xlookup(BA457,A:A,J:J)</f>
        <v>#NAME?</v>
      </c>
      <c r="BD457" s="75" t="e">
        <f aca="false">_xlfn.xlookup(BA457,A:A,M:M)+_xlfn.xlookup(BA457,A:A,N:N)</f>
        <v>#NAME?</v>
      </c>
    </row>
    <row r="458" customFormat="false" ht="14.25" hidden="false" customHeight="false" outlineLevel="0" collapsed="false">
      <c r="AK458" s="15" t="e">
        <v>#NAME?</v>
      </c>
      <c r="AL458" s="15" t="e">
        <f aca="false">_xlfn.xlookup(AK458,A:A,F:F)</f>
        <v>#NAME?</v>
      </c>
      <c r="AM458" s="15" t="e">
        <f aca="false">_xlfn.xlookup(AK458,A:A,J:J)</f>
        <v>#NAME?</v>
      </c>
      <c r="AN458" s="15" t="e">
        <f aca="false">_xlfn.xlookup(AK458,A:A,M:M)+_xlfn.xlookup(AK458,A:A,N:N)</f>
        <v>#NAME?</v>
      </c>
      <c r="AO458" s="223" t="e">
        <f aca="false">_xlfn.xlookup(AK458,A:A,AG:AG)</f>
        <v>#NAME?</v>
      </c>
      <c r="AP458" s="223" t="e">
        <f aca="false">_xlfn.xlookup(AK458,A:A,AD:AD)</f>
        <v>#NAME?</v>
      </c>
      <c r="AQ458" s="223" t="e">
        <f aca="false">_xlfn.xlookup(AK458,A:A,AE:AE)</f>
        <v>#NAME?</v>
      </c>
      <c r="BB458" s="15" t="e">
        <f aca="false">_xlfn.xlookup(BA458,A:A,E:E)</f>
        <v>#NAME?</v>
      </c>
      <c r="BC458" s="15" t="e">
        <f aca="false">_xlfn.xlookup(BA458,A:A,J:J)</f>
        <v>#NAME?</v>
      </c>
      <c r="BD458" s="75" t="e">
        <f aca="false">_xlfn.xlookup(BA458,A:A,M:M)+_xlfn.xlookup(BA458,A:A,N:N)</f>
        <v>#NAME?</v>
      </c>
    </row>
    <row r="459" customFormat="false" ht="14.25" hidden="false" customHeight="false" outlineLevel="0" collapsed="false">
      <c r="AK459" s="15" t="e">
        <v>#NAME?</v>
      </c>
      <c r="AL459" s="15" t="e">
        <f aca="false">_xlfn.xlookup(AK459,A:A,F:F)</f>
        <v>#NAME?</v>
      </c>
      <c r="AM459" s="15" t="e">
        <f aca="false">_xlfn.xlookup(AK459,A:A,J:J)</f>
        <v>#NAME?</v>
      </c>
      <c r="AN459" s="15" t="e">
        <f aca="false">_xlfn.xlookup(AK459,A:A,M:M)+_xlfn.xlookup(AK459,A:A,N:N)</f>
        <v>#NAME?</v>
      </c>
      <c r="AO459" s="223" t="e">
        <f aca="false">_xlfn.xlookup(AK459,A:A,AG:AG)</f>
        <v>#NAME?</v>
      </c>
      <c r="AP459" s="223" t="e">
        <f aca="false">_xlfn.xlookup(AK459,A:A,AD:AD)</f>
        <v>#NAME?</v>
      </c>
      <c r="AQ459" s="223" t="e">
        <f aca="false">_xlfn.xlookup(AK459,A:A,AE:AE)</f>
        <v>#NAME?</v>
      </c>
      <c r="BB459" s="15" t="e">
        <f aca="false">_xlfn.xlookup(BA459,A:A,E:E)</f>
        <v>#NAME?</v>
      </c>
      <c r="BC459" s="15" t="e">
        <f aca="false">_xlfn.xlookup(BA459,A:A,J:J)</f>
        <v>#NAME?</v>
      </c>
      <c r="BD459" s="75" t="e">
        <f aca="false">_xlfn.xlookup(BA459,A:A,M:M)+_xlfn.xlookup(BA459,A:A,N:N)</f>
        <v>#NAME?</v>
      </c>
    </row>
    <row r="460" customFormat="false" ht="14.25" hidden="false" customHeight="false" outlineLevel="0" collapsed="false">
      <c r="AK460" s="15" t="e">
        <v>#NAME?</v>
      </c>
      <c r="AL460" s="15" t="e">
        <f aca="false">_xlfn.xlookup(AK460,A:A,F:F)</f>
        <v>#NAME?</v>
      </c>
      <c r="AM460" s="15" t="e">
        <f aca="false">_xlfn.xlookup(AK460,A:A,J:J)</f>
        <v>#NAME?</v>
      </c>
      <c r="AN460" s="15" t="e">
        <f aca="false">_xlfn.xlookup(AK460,A:A,M:M)+_xlfn.xlookup(AK460,A:A,N:N)</f>
        <v>#NAME?</v>
      </c>
      <c r="AO460" s="223" t="e">
        <f aca="false">_xlfn.xlookup(AK460,A:A,AG:AG)</f>
        <v>#NAME?</v>
      </c>
      <c r="AP460" s="223" t="e">
        <f aca="false">_xlfn.xlookup(AK460,A:A,AD:AD)</f>
        <v>#NAME?</v>
      </c>
      <c r="AQ460" s="223" t="e">
        <f aca="false">_xlfn.xlookup(AK460,A:A,AE:AE)</f>
        <v>#NAME?</v>
      </c>
      <c r="BB460" s="15" t="e">
        <f aca="false">_xlfn.xlookup(BA460,A:A,E:E)</f>
        <v>#NAME?</v>
      </c>
      <c r="BC460" s="15" t="e">
        <f aca="false">_xlfn.xlookup(BA460,A:A,J:J)</f>
        <v>#NAME?</v>
      </c>
      <c r="BD460" s="75" t="e">
        <f aca="false">_xlfn.xlookup(BA460,A:A,M:M)+_xlfn.xlookup(BA460,A:A,N:N)</f>
        <v>#NAME?</v>
      </c>
    </row>
    <row r="461" customFormat="false" ht="14.25" hidden="false" customHeight="false" outlineLevel="0" collapsed="false">
      <c r="AK461" s="15" t="e">
        <v>#NAME?</v>
      </c>
      <c r="AL461" s="15" t="e">
        <f aca="false">_xlfn.xlookup(AK461,A:A,F:F)</f>
        <v>#NAME?</v>
      </c>
      <c r="AM461" s="15" t="e">
        <f aca="false">_xlfn.xlookup(AK461,A:A,J:J)</f>
        <v>#NAME?</v>
      </c>
      <c r="AN461" s="15" t="e">
        <f aca="false">_xlfn.xlookup(AK461,A:A,M:M)+_xlfn.xlookup(AK461,A:A,N:N)</f>
        <v>#NAME?</v>
      </c>
      <c r="AO461" s="223" t="e">
        <f aca="false">_xlfn.xlookup(AK461,A:A,AG:AG)</f>
        <v>#NAME?</v>
      </c>
      <c r="AP461" s="223" t="e">
        <f aca="false">_xlfn.xlookup(AK461,A:A,AD:AD)</f>
        <v>#NAME?</v>
      </c>
      <c r="AQ461" s="223" t="e">
        <f aca="false">_xlfn.xlookup(AK461,A:A,AE:AE)</f>
        <v>#NAME?</v>
      </c>
      <c r="BB461" s="15" t="e">
        <f aca="false">_xlfn.xlookup(BA461,A:A,E:E)</f>
        <v>#NAME?</v>
      </c>
      <c r="BC461" s="15" t="e">
        <f aca="false">_xlfn.xlookup(BA461,A:A,J:J)</f>
        <v>#NAME?</v>
      </c>
      <c r="BD461" s="75" t="e">
        <f aca="false">_xlfn.xlookup(BA461,A:A,M:M)+_xlfn.xlookup(BA461,A:A,N:N)</f>
        <v>#NAME?</v>
      </c>
    </row>
    <row r="462" customFormat="false" ht="14.25" hidden="false" customHeight="false" outlineLevel="0" collapsed="false">
      <c r="AK462" s="15" t="e">
        <v>#NAME?</v>
      </c>
      <c r="AL462" s="15" t="e">
        <f aca="false">_xlfn.xlookup(AK462,A:A,F:F)</f>
        <v>#NAME?</v>
      </c>
      <c r="AM462" s="15" t="e">
        <f aca="false">_xlfn.xlookup(AK462,A:A,J:J)</f>
        <v>#NAME?</v>
      </c>
      <c r="AN462" s="15" t="e">
        <f aca="false">_xlfn.xlookup(AK462,A:A,M:M)+_xlfn.xlookup(AK462,A:A,N:N)</f>
        <v>#NAME?</v>
      </c>
      <c r="AO462" s="223" t="e">
        <f aca="false">_xlfn.xlookup(AK462,A:A,AG:AG)</f>
        <v>#NAME?</v>
      </c>
      <c r="AP462" s="223" t="e">
        <f aca="false">_xlfn.xlookup(AK462,A:A,AD:AD)</f>
        <v>#NAME?</v>
      </c>
      <c r="AQ462" s="223" t="e">
        <f aca="false">_xlfn.xlookup(AK462,A:A,AE:AE)</f>
        <v>#NAME?</v>
      </c>
      <c r="BB462" s="15" t="e">
        <f aca="false">_xlfn.xlookup(BA462,A:A,E:E)</f>
        <v>#NAME?</v>
      </c>
      <c r="BC462" s="15" t="e">
        <f aca="false">_xlfn.xlookup(BA462,A:A,J:J)</f>
        <v>#NAME?</v>
      </c>
      <c r="BD462" s="75" t="e">
        <f aca="false">_xlfn.xlookup(BA462,A:A,M:M)+_xlfn.xlookup(BA462,A:A,N:N)</f>
        <v>#NAME?</v>
      </c>
    </row>
    <row r="463" customFormat="false" ht="14.25" hidden="false" customHeight="false" outlineLevel="0" collapsed="false">
      <c r="AK463" s="15" t="e">
        <v>#NAME?</v>
      </c>
      <c r="AL463" s="15" t="e">
        <f aca="false">_xlfn.xlookup(AK463,A:A,F:F)</f>
        <v>#NAME?</v>
      </c>
      <c r="AM463" s="15" t="e">
        <f aca="false">_xlfn.xlookup(AK463,A:A,J:J)</f>
        <v>#NAME?</v>
      </c>
      <c r="AN463" s="15" t="e">
        <f aca="false">_xlfn.xlookup(AK463,A:A,M:M)+_xlfn.xlookup(AK463,A:A,N:N)</f>
        <v>#NAME?</v>
      </c>
      <c r="AO463" s="223" t="e">
        <f aca="false">_xlfn.xlookup(AK463,A:A,AG:AG)</f>
        <v>#NAME?</v>
      </c>
      <c r="AP463" s="223" t="e">
        <f aca="false">_xlfn.xlookup(AK463,A:A,AD:AD)</f>
        <v>#NAME?</v>
      </c>
      <c r="AQ463" s="223" t="e">
        <f aca="false">_xlfn.xlookup(AK463,A:A,AE:AE)</f>
        <v>#NAME?</v>
      </c>
      <c r="BB463" s="15" t="e">
        <f aca="false">_xlfn.xlookup(BA463,A:A,E:E)</f>
        <v>#NAME?</v>
      </c>
      <c r="BC463" s="15" t="e">
        <f aca="false">_xlfn.xlookup(BA463,A:A,J:J)</f>
        <v>#NAME?</v>
      </c>
      <c r="BD463" s="75" t="e">
        <f aca="false">_xlfn.xlookup(BA463,A:A,M:M)+_xlfn.xlookup(BA463,A:A,N:N)</f>
        <v>#NAME?</v>
      </c>
    </row>
    <row r="464" customFormat="false" ht="14.25" hidden="false" customHeight="false" outlineLevel="0" collapsed="false">
      <c r="AK464" s="15" t="e">
        <v>#NAME?</v>
      </c>
      <c r="AL464" s="15" t="e">
        <f aca="false">_xlfn.xlookup(AK464,A:A,F:F)</f>
        <v>#NAME?</v>
      </c>
      <c r="AM464" s="15" t="e">
        <f aca="false">_xlfn.xlookup(AK464,A:A,J:J)</f>
        <v>#NAME?</v>
      </c>
      <c r="AN464" s="15" t="e">
        <f aca="false">_xlfn.xlookup(AK464,A:A,M:M)+_xlfn.xlookup(AK464,A:A,N:N)</f>
        <v>#NAME?</v>
      </c>
      <c r="AO464" s="223" t="e">
        <f aca="false">_xlfn.xlookup(AK464,A:A,AG:AG)</f>
        <v>#NAME?</v>
      </c>
      <c r="AP464" s="223" t="e">
        <f aca="false">_xlfn.xlookup(AK464,A:A,AD:AD)</f>
        <v>#NAME?</v>
      </c>
      <c r="AQ464" s="223" t="e">
        <f aca="false">_xlfn.xlookup(AK464,A:A,AE:AE)</f>
        <v>#NAME?</v>
      </c>
      <c r="BB464" s="15" t="e">
        <f aca="false">_xlfn.xlookup(BA464,A:A,E:E)</f>
        <v>#NAME?</v>
      </c>
      <c r="BC464" s="15" t="e">
        <f aca="false">_xlfn.xlookup(BA464,A:A,J:J)</f>
        <v>#NAME?</v>
      </c>
      <c r="BD464" s="75" t="e">
        <f aca="false">_xlfn.xlookup(BA464,A:A,M:M)+_xlfn.xlookup(BA464,A:A,N:N)</f>
        <v>#NAME?</v>
      </c>
    </row>
    <row r="465" customFormat="false" ht="14.25" hidden="false" customHeight="false" outlineLevel="0" collapsed="false">
      <c r="AK465" s="15" t="e">
        <v>#NAME?</v>
      </c>
      <c r="AL465" s="15" t="e">
        <f aca="false">_xlfn.xlookup(AK465,A:A,F:F)</f>
        <v>#NAME?</v>
      </c>
      <c r="AM465" s="15" t="e">
        <f aca="false">_xlfn.xlookup(AK465,A:A,J:J)</f>
        <v>#NAME?</v>
      </c>
      <c r="AN465" s="15" t="e">
        <f aca="false">_xlfn.xlookup(AK465,A:A,M:M)+_xlfn.xlookup(AK465,A:A,N:N)</f>
        <v>#NAME?</v>
      </c>
      <c r="AO465" s="223" t="e">
        <f aca="false">_xlfn.xlookup(AK465,A:A,AG:AG)</f>
        <v>#NAME?</v>
      </c>
      <c r="AP465" s="223" t="e">
        <f aca="false">_xlfn.xlookup(AK465,A:A,AD:AD)</f>
        <v>#NAME?</v>
      </c>
      <c r="AQ465" s="223" t="e">
        <f aca="false">_xlfn.xlookup(AK465,A:A,AE:AE)</f>
        <v>#NAME?</v>
      </c>
      <c r="BB465" s="15" t="e">
        <f aca="false">_xlfn.xlookup(BA465,A:A,E:E)</f>
        <v>#NAME?</v>
      </c>
      <c r="BC465" s="15" t="e">
        <f aca="false">_xlfn.xlookup(BA465,A:A,J:J)</f>
        <v>#NAME?</v>
      </c>
      <c r="BD465" s="75" t="e">
        <f aca="false">_xlfn.xlookup(BA465,A:A,M:M)+_xlfn.xlookup(BA465,A:A,N:N)</f>
        <v>#NAME?</v>
      </c>
    </row>
    <row r="466" customFormat="false" ht="14.25" hidden="false" customHeight="false" outlineLevel="0" collapsed="false">
      <c r="AK466" s="15" t="e">
        <v>#NAME?</v>
      </c>
      <c r="AL466" s="15" t="e">
        <f aca="false">_xlfn.xlookup(AK466,A:A,F:F)</f>
        <v>#NAME?</v>
      </c>
      <c r="AM466" s="15" t="e">
        <f aca="false">_xlfn.xlookup(AK466,A:A,J:J)</f>
        <v>#NAME?</v>
      </c>
      <c r="AN466" s="15" t="e">
        <f aca="false">_xlfn.xlookup(AK466,A:A,M:M)+_xlfn.xlookup(AK466,A:A,N:N)</f>
        <v>#NAME?</v>
      </c>
      <c r="AO466" s="223" t="e">
        <f aca="false">_xlfn.xlookup(AK466,A:A,AG:AG)</f>
        <v>#NAME?</v>
      </c>
      <c r="AP466" s="223" t="e">
        <f aca="false">_xlfn.xlookup(AK466,A:A,AD:AD)</f>
        <v>#NAME?</v>
      </c>
      <c r="AQ466" s="223" t="e">
        <f aca="false">_xlfn.xlookup(AK466,A:A,AE:AE)</f>
        <v>#NAME?</v>
      </c>
      <c r="BB466" s="15" t="e">
        <f aca="false">_xlfn.xlookup(BA466,A:A,E:E)</f>
        <v>#NAME?</v>
      </c>
      <c r="BC466" s="15" t="e">
        <f aca="false">_xlfn.xlookup(BA466,A:A,J:J)</f>
        <v>#NAME?</v>
      </c>
      <c r="BD466" s="75" t="e">
        <f aca="false">_xlfn.xlookup(BA466,A:A,M:M)+_xlfn.xlookup(BA466,A:A,N:N)</f>
        <v>#NAME?</v>
      </c>
    </row>
    <row r="467" customFormat="false" ht="14.25" hidden="false" customHeight="false" outlineLevel="0" collapsed="false">
      <c r="AK467" s="15" t="e">
        <v>#NAME?</v>
      </c>
      <c r="AL467" s="15" t="e">
        <f aca="false">_xlfn.xlookup(AK467,A:A,F:F)</f>
        <v>#NAME?</v>
      </c>
      <c r="AM467" s="15" t="e">
        <f aca="false">_xlfn.xlookup(AK467,A:A,J:J)</f>
        <v>#NAME?</v>
      </c>
      <c r="AN467" s="15" t="e">
        <f aca="false">_xlfn.xlookup(AK467,A:A,M:M)+_xlfn.xlookup(AK467,A:A,N:N)</f>
        <v>#NAME?</v>
      </c>
      <c r="AO467" s="223" t="e">
        <f aca="false">_xlfn.xlookup(AK467,A:A,AG:AG)</f>
        <v>#NAME?</v>
      </c>
      <c r="AP467" s="223" t="e">
        <f aca="false">_xlfn.xlookup(AK467,A:A,AD:AD)</f>
        <v>#NAME?</v>
      </c>
      <c r="AQ467" s="223" t="e">
        <f aca="false">_xlfn.xlookup(AK467,A:A,AE:AE)</f>
        <v>#NAME?</v>
      </c>
      <c r="BB467" s="15" t="e">
        <f aca="false">_xlfn.xlookup(BA467,A:A,E:E)</f>
        <v>#NAME?</v>
      </c>
      <c r="BC467" s="15" t="e">
        <f aca="false">_xlfn.xlookup(BA467,A:A,J:J)</f>
        <v>#NAME?</v>
      </c>
      <c r="BD467" s="75" t="e">
        <f aca="false">_xlfn.xlookup(BA467,A:A,M:M)+_xlfn.xlookup(BA467,A:A,N:N)</f>
        <v>#NAME?</v>
      </c>
    </row>
    <row r="468" customFormat="false" ht="14.25" hidden="false" customHeight="false" outlineLevel="0" collapsed="false">
      <c r="AK468" s="15" t="e">
        <v>#NAME?</v>
      </c>
      <c r="AL468" s="15" t="e">
        <f aca="false">_xlfn.xlookup(AK468,A:A,F:F)</f>
        <v>#NAME?</v>
      </c>
      <c r="AM468" s="15" t="e">
        <f aca="false">_xlfn.xlookup(AK468,A:A,J:J)</f>
        <v>#NAME?</v>
      </c>
      <c r="AN468" s="15" t="e">
        <f aca="false">_xlfn.xlookup(AK468,A:A,M:M)+_xlfn.xlookup(AK468,A:A,N:N)</f>
        <v>#NAME?</v>
      </c>
      <c r="AO468" s="223" t="e">
        <f aca="false">_xlfn.xlookup(AK468,A:A,AG:AG)</f>
        <v>#NAME?</v>
      </c>
      <c r="AP468" s="223" t="e">
        <f aca="false">_xlfn.xlookup(AK468,A:A,AD:AD)</f>
        <v>#NAME?</v>
      </c>
      <c r="AQ468" s="223" t="e">
        <f aca="false">_xlfn.xlookup(AK468,A:A,AE:AE)</f>
        <v>#NAME?</v>
      </c>
      <c r="BB468" s="15" t="e">
        <f aca="false">_xlfn.xlookup(BA468,A:A,E:E)</f>
        <v>#NAME?</v>
      </c>
      <c r="BC468" s="15" t="e">
        <f aca="false">_xlfn.xlookup(BA468,A:A,J:J)</f>
        <v>#NAME?</v>
      </c>
      <c r="BD468" s="75" t="e">
        <f aca="false">_xlfn.xlookup(BA468,A:A,M:M)+_xlfn.xlookup(BA468,A:A,N:N)</f>
        <v>#NAME?</v>
      </c>
    </row>
    <row r="469" customFormat="false" ht="14.25" hidden="false" customHeight="false" outlineLevel="0" collapsed="false">
      <c r="AK469" s="15" t="e">
        <v>#NAME?</v>
      </c>
      <c r="AL469" s="15" t="e">
        <f aca="false">_xlfn.xlookup(AK469,A:A,F:F)</f>
        <v>#NAME?</v>
      </c>
      <c r="AM469" s="15" t="e">
        <f aca="false">_xlfn.xlookup(AK469,A:A,J:J)</f>
        <v>#NAME?</v>
      </c>
      <c r="AN469" s="15" t="e">
        <f aca="false">_xlfn.xlookup(AK469,A:A,M:M)+_xlfn.xlookup(AK469,A:A,N:N)</f>
        <v>#NAME?</v>
      </c>
      <c r="AO469" s="223" t="e">
        <f aca="false">_xlfn.xlookup(AK469,A:A,AG:AG)</f>
        <v>#NAME?</v>
      </c>
      <c r="AP469" s="223" t="e">
        <f aca="false">_xlfn.xlookup(AK469,A:A,AD:AD)</f>
        <v>#NAME?</v>
      </c>
      <c r="AQ469" s="223" t="e">
        <f aca="false">_xlfn.xlookup(AK469,A:A,AE:AE)</f>
        <v>#NAME?</v>
      </c>
      <c r="BB469" s="15" t="e">
        <f aca="false">_xlfn.xlookup(BA469,A:A,E:E)</f>
        <v>#NAME?</v>
      </c>
      <c r="BC469" s="15" t="e">
        <f aca="false">_xlfn.xlookup(BA469,A:A,J:J)</f>
        <v>#NAME?</v>
      </c>
      <c r="BD469" s="75" t="e">
        <f aca="false">_xlfn.xlookup(BA469,A:A,M:M)+_xlfn.xlookup(BA469,A:A,N:N)</f>
        <v>#NAME?</v>
      </c>
    </row>
    <row r="470" customFormat="false" ht="14.25" hidden="false" customHeight="false" outlineLevel="0" collapsed="false">
      <c r="AK470" s="15" t="e">
        <v>#NAME?</v>
      </c>
      <c r="AL470" s="15" t="e">
        <f aca="false">_xlfn.xlookup(AK470,A:A,F:F)</f>
        <v>#NAME?</v>
      </c>
      <c r="AM470" s="15" t="e">
        <f aca="false">_xlfn.xlookup(AK470,A:A,J:J)</f>
        <v>#NAME?</v>
      </c>
      <c r="AN470" s="15" t="e">
        <f aca="false">_xlfn.xlookup(AK470,A:A,M:M)+_xlfn.xlookup(AK470,A:A,N:N)</f>
        <v>#NAME?</v>
      </c>
      <c r="AO470" s="223" t="e">
        <f aca="false">_xlfn.xlookup(AK470,A:A,AG:AG)</f>
        <v>#NAME?</v>
      </c>
      <c r="AP470" s="223" t="e">
        <f aca="false">_xlfn.xlookup(AK470,A:A,AD:AD)</f>
        <v>#NAME?</v>
      </c>
      <c r="AQ470" s="223" t="e">
        <f aca="false">_xlfn.xlookup(AK470,A:A,AE:AE)</f>
        <v>#NAME?</v>
      </c>
      <c r="BB470" s="15" t="e">
        <f aca="false">_xlfn.xlookup(BA470,A:A,E:E)</f>
        <v>#NAME?</v>
      </c>
      <c r="BC470" s="15" t="e">
        <f aca="false">_xlfn.xlookup(BA470,A:A,J:J)</f>
        <v>#NAME?</v>
      </c>
      <c r="BD470" s="75" t="e">
        <f aca="false">_xlfn.xlookup(BA470,A:A,M:M)+_xlfn.xlookup(BA470,A:A,N:N)</f>
        <v>#NAME?</v>
      </c>
    </row>
    <row r="471" customFormat="false" ht="14.25" hidden="false" customHeight="false" outlineLevel="0" collapsed="false">
      <c r="AK471" s="15" t="e">
        <v>#NAME?</v>
      </c>
      <c r="AL471" s="15" t="e">
        <f aca="false">_xlfn.xlookup(AK471,A:A,F:F)</f>
        <v>#NAME?</v>
      </c>
      <c r="AM471" s="15" t="e">
        <f aca="false">_xlfn.xlookup(AK471,A:A,J:J)</f>
        <v>#NAME?</v>
      </c>
      <c r="AN471" s="15" t="e">
        <f aca="false">_xlfn.xlookup(AK471,A:A,M:M)+_xlfn.xlookup(AK471,A:A,N:N)</f>
        <v>#NAME?</v>
      </c>
      <c r="AO471" s="223" t="e">
        <f aca="false">_xlfn.xlookup(AK471,A:A,AG:AG)</f>
        <v>#NAME?</v>
      </c>
      <c r="AP471" s="223" t="e">
        <f aca="false">_xlfn.xlookup(AK471,A:A,AD:AD)</f>
        <v>#NAME?</v>
      </c>
      <c r="AQ471" s="223" t="e">
        <f aca="false">_xlfn.xlookup(AK471,A:A,AE:AE)</f>
        <v>#NAME?</v>
      </c>
      <c r="BB471" s="15" t="e">
        <f aca="false">_xlfn.xlookup(BA471,A:A,E:E)</f>
        <v>#NAME?</v>
      </c>
      <c r="BC471" s="15" t="e">
        <f aca="false">_xlfn.xlookup(BA471,A:A,J:J)</f>
        <v>#NAME?</v>
      </c>
      <c r="BD471" s="75" t="e">
        <f aca="false">_xlfn.xlookup(BA471,A:A,M:M)+_xlfn.xlookup(BA471,A:A,N:N)</f>
        <v>#NAME?</v>
      </c>
    </row>
    <row r="472" customFormat="false" ht="14.25" hidden="false" customHeight="false" outlineLevel="0" collapsed="false">
      <c r="AK472" s="15" t="e">
        <v>#NAME?</v>
      </c>
      <c r="AL472" s="15" t="e">
        <f aca="false">_xlfn.xlookup(AK472,A:A,F:F)</f>
        <v>#NAME?</v>
      </c>
      <c r="AM472" s="15" t="e">
        <f aca="false">_xlfn.xlookup(AK472,A:A,J:J)</f>
        <v>#NAME?</v>
      </c>
      <c r="AN472" s="15" t="e">
        <f aca="false">_xlfn.xlookup(AK472,A:A,M:M)+_xlfn.xlookup(AK472,A:A,N:N)</f>
        <v>#NAME?</v>
      </c>
      <c r="AO472" s="223" t="e">
        <f aca="false">_xlfn.xlookup(AK472,A:A,AG:AG)</f>
        <v>#NAME?</v>
      </c>
      <c r="AP472" s="223" t="e">
        <f aca="false">_xlfn.xlookup(AK472,A:A,AD:AD)</f>
        <v>#NAME?</v>
      </c>
      <c r="AQ472" s="223" t="e">
        <f aca="false">_xlfn.xlookup(AK472,A:A,AE:AE)</f>
        <v>#NAME?</v>
      </c>
      <c r="BB472" s="15" t="e">
        <f aca="false">_xlfn.xlookup(BA472,A:A,E:E)</f>
        <v>#NAME?</v>
      </c>
      <c r="BC472" s="15" t="e">
        <f aca="false">_xlfn.xlookup(BA472,A:A,J:J)</f>
        <v>#NAME?</v>
      </c>
      <c r="BD472" s="75" t="e">
        <f aca="false">_xlfn.xlookup(BA472,A:A,M:M)+_xlfn.xlookup(BA472,A:A,N:N)</f>
        <v>#NAME?</v>
      </c>
    </row>
    <row r="473" customFormat="false" ht="14.25" hidden="false" customHeight="false" outlineLevel="0" collapsed="false">
      <c r="AK473" s="15" t="e">
        <v>#NAME?</v>
      </c>
      <c r="AL473" s="15" t="e">
        <f aca="false">_xlfn.xlookup(AK473,A:A,F:F)</f>
        <v>#NAME?</v>
      </c>
      <c r="AM473" s="15" t="e">
        <f aca="false">_xlfn.xlookup(AK473,A:A,J:J)</f>
        <v>#NAME?</v>
      </c>
      <c r="AN473" s="15" t="e">
        <f aca="false">_xlfn.xlookup(AK473,A:A,M:M)+_xlfn.xlookup(AK473,A:A,N:N)</f>
        <v>#NAME?</v>
      </c>
      <c r="AO473" s="223" t="e">
        <f aca="false">_xlfn.xlookup(AK473,A:A,AG:AG)</f>
        <v>#NAME?</v>
      </c>
      <c r="AP473" s="223" t="e">
        <f aca="false">_xlfn.xlookup(AK473,A:A,AD:AD)</f>
        <v>#NAME?</v>
      </c>
      <c r="AQ473" s="223" t="e">
        <f aca="false">_xlfn.xlookup(AK473,A:A,AE:AE)</f>
        <v>#NAME?</v>
      </c>
      <c r="BB473" s="15" t="e">
        <f aca="false">_xlfn.xlookup(BA473,A:A,E:E)</f>
        <v>#NAME?</v>
      </c>
      <c r="BC473" s="15" t="e">
        <f aca="false">_xlfn.xlookup(BA473,A:A,J:J)</f>
        <v>#NAME?</v>
      </c>
      <c r="BD473" s="75" t="e">
        <f aca="false">_xlfn.xlookup(BA473,A:A,M:M)+_xlfn.xlookup(BA473,A:A,N:N)</f>
        <v>#NAME?</v>
      </c>
    </row>
    <row r="474" customFormat="false" ht="14.25" hidden="false" customHeight="false" outlineLevel="0" collapsed="false">
      <c r="AK474" s="15" t="e">
        <v>#NAME?</v>
      </c>
      <c r="AL474" s="15" t="e">
        <f aca="false">_xlfn.xlookup(AK474,A:A,F:F)</f>
        <v>#NAME?</v>
      </c>
      <c r="AM474" s="15" t="e">
        <f aca="false">_xlfn.xlookup(AK474,A:A,J:J)</f>
        <v>#NAME?</v>
      </c>
      <c r="AN474" s="15" t="e">
        <f aca="false">_xlfn.xlookup(AK474,A:A,M:M)+_xlfn.xlookup(AK474,A:A,N:N)</f>
        <v>#NAME?</v>
      </c>
      <c r="AO474" s="223" t="e">
        <f aca="false">_xlfn.xlookup(AK474,A:A,AG:AG)</f>
        <v>#NAME?</v>
      </c>
      <c r="AP474" s="223" t="e">
        <f aca="false">_xlfn.xlookup(AK474,A:A,AD:AD)</f>
        <v>#NAME?</v>
      </c>
      <c r="AQ474" s="223" t="e">
        <f aca="false">_xlfn.xlookup(AK474,A:A,AE:AE)</f>
        <v>#NAME?</v>
      </c>
      <c r="BB474" s="15" t="e">
        <f aca="false">_xlfn.xlookup(BA474,A:A,E:E)</f>
        <v>#NAME?</v>
      </c>
      <c r="BC474" s="15" t="e">
        <f aca="false">_xlfn.xlookup(BA474,A:A,J:J)</f>
        <v>#NAME?</v>
      </c>
      <c r="BD474" s="75" t="e">
        <f aca="false">_xlfn.xlookup(BA474,A:A,M:M)+_xlfn.xlookup(BA474,A:A,N:N)</f>
        <v>#NAME?</v>
      </c>
    </row>
    <row r="475" customFormat="false" ht="14.25" hidden="false" customHeight="false" outlineLevel="0" collapsed="false">
      <c r="AK475" s="15" t="e">
        <v>#NAME?</v>
      </c>
      <c r="AL475" s="15" t="e">
        <f aca="false">_xlfn.xlookup(AK475,A:A,F:F)</f>
        <v>#NAME?</v>
      </c>
      <c r="AM475" s="15" t="e">
        <f aca="false">_xlfn.xlookup(AK475,A:A,J:J)</f>
        <v>#NAME?</v>
      </c>
      <c r="AN475" s="15" t="e">
        <f aca="false">_xlfn.xlookup(AK475,A:A,M:M)+_xlfn.xlookup(AK475,A:A,N:N)</f>
        <v>#NAME?</v>
      </c>
      <c r="AO475" s="223" t="e">
        <f aca="false">_xlfn.xlookup(AK475,A:A,AG:AG)</f>
        <v>#NAME?</v>
      </c>
      <c r="AP475" s="223" t="e">
        <f aca="false">_xlfn.xlookup(AK475,A:A,AD:AD)</f>
        <v>#NAME?</v>
      </c>
      <c r="AQ475" s="223" t="e">
        <f aca="false">_xlfn.xlookup(AK475,A:A,AE:AE)</f>
        <v>#NAME?</v>
      </c>
      <c r="BB475" s="15" t="e">
        <f aca="false">_xlfn.xlookup(BA475,A:A,E:E)</f>
        <v>#NAME?</v>
      </c>
      <c r="BC475" s="15" t="e">
        <f aca="false">_xlfn.xlookup(BA475,A:A,J:J)</f>
        <v>#NAME?</v>
      </c>
      <c r="BD475" s="75" t="e">
        <f aca="false">_xlfn.xlookup(BA475,A:A,M:M)+_xlfn.xlookup(BA475,A:A,N:N)</f>
        <v>#NAME?</v>
      </c>
    </row>
    <row r="476" customFormat="false" ht="14.25" hidden="false" customHeight="false" outlineLevel="0" collapsed="false">
      <c r="AK476" s="15" t="e">
        <v>#NAME?</v>
      </c>
      <c r="AL476" s="15" t="e">
        <f aca="false">_xlfn.xlookup(AK476,A:A,F:F)</f>
        <v>#NAME?</v>
      </c>
      <c r="AM476" s="15" t="e">
        <f aca="false">_xlfn.xlookup(AK476,A:A,J:J)</f>
        <v>#NAME?</v>
      </c>
      <c r="AN476" s="15" t="e">
        <f aca="false">_xlfn.xlookup(AK476,A:A,M:M)+_xlfn.xlookup(AK476,A:A,N:N)</f>
        <v>#NAME?</v>
      </c>
      <c r="AO476" s="223" t="e">
        <f aca="false">_xlfn.xlookup(AK476,A:A,AG:AG)</f>
        <v>#NAME?</v>
      </c>
      <c r="AP476" s="223" t="e">
        <f aca="false">_xlfn.xlookup(AK476,A:A,AD:AD)</f>
        <v>#NAME?</v>
      </c>
      <c r="AQ476" s="223" t="e">
        <f aca="false">_xlfn.xlookup(AK476,A:A,AE:AE)</f>
        <v>#NAME?</v>
      </c>
      <c r="BB476" s="15" t="e">
        <f aca="false">_xlfn.xlookup(BA476,A:A,E:E)</f>
        <v>#NAME?</v>
      </c>
      <c r="BC476" s="15" t="e">
        <f aca="false">_xlfn.xlookup(BA476,A:A,J:J)</f>
        <v>#NAME?</v>
      </c>
      <c r="BD476" s="75" t="e">
        <f aca="false">_xlfn.xlookup(BA476,A:A,M:M)+_xlfn.xlookup(BA476,A:A,N:N)</f>
        <v>#NAME?</v>
      </c>
    </row>
    <row r="477" customFormat="false" ht="14.25" hidden="false" customHeight="false" outlineLevel="0" collapsed="false">
      <c r="AK477" s="15" t="e">
        <v>#NAME?</v>
      </c>
      <c r="AL477" s="15" t="e">
        <f aca="false">_xlfn.xlookup(AK477,A:A,F:F)</f>
        <v>#NAME?</v>
      </c>
      <c r="AM477" s="15" t="e">
        <f aca="false">_xlfn.xlookup(AK477,A:A,J:J)</f>
        <v>#NAME?</v>
      </c>
      <c r="AN477" s="15" t="e">
        <f aca="false">_xlfn.xlookup(AK477,A:A,M:M)+_xlfn.xlookup(AK477,A:A,N:N)</f>
        <v>#NAME?</v>
      </c>
      <c r="AO477" s="223" t="e">
        <f aca="false">_xlfn.xlookup(AK477,A:A,AG:AG)</f>
        <v>#NAME?</v>
      </c>
      <c r="AP477" s="223" t="e">
        <f aca="false">_xlfn.xlookup(AK477,A:A,AD:AD)</f>
        <v>#NAME?</v>
      </c>
      <c r="AQ477" s="223" t="e">
        <f aca="false">_xlfn.xlookup(AK477,A:A,AE:AE)</f>
        <v>#NAME?</v>
      </c>
      <c r="BB477" s="15" t="e">
        <f aca="false">_xlfn.xlookup(BA477,A:A,E:E)</f>
        <v>#NAME?</v>
      </c>
      <c r="BC477" s="15" t="e">
        <f aca="false">_xlfn.xlookup(BA477,A:A,J:J)</f>
        <v>#NAME?</v>
      </c>
      <c r="BD477" s="75" t="e">
        <f aca="false">_xlfn.xlookup(BA477,A:A,M:M)+_xlfn.xlookup(BA477,A:A,N:N)</f>
        <v>#NAME?</v>
      </c>
    </row>
    <row r="478" customFormat="false" ht="14.25" hidden="false" customHeight="false" outlineLevel="0" collapsed="false">
      <c r="AK478" s="15" t="e">
        <v>#NAME?</v>
      </c>
      <c r="AL478" s="15" t="e">
        <f aca="false">_xlfn.xlookup(AK478,A:A,F:F)</f>
        <v>#NAME?</v>
      </c>
      <c r="AM478" s="15" t="e">
        <f aca="false">_xlfn.xlookup(AK478,A:A,J:J)</f>
        <v>#NAME?</v>
      </c>
      <c r="AN478" s="15" t="e">
        <f aca="false">_xlfn.xlookup(AK478,A:A,M:M)+_xlfn.xlookup(AK478,A:A,N:N)</f>
        <v>#NAME?</v>
      </c>
      <c r="AO478" s="223" t="e">
        <f aca="false">_xlfn.xlookup(AK478,A:A,AG:AG)</f>
        <v>#NAME?</v>
      </c>
      <c r="AP478" s="223" t="e">
        <f aca="false">_xlfn.xlookup(AK478,A:A,AD:AD)</f>
        <v>#NAME?</v>
      </c>
      <c r="AQ478" s="223" t="e">
        <f aca="false">_xlfn.xlookup(AK478,A:A,AE:AE)</f>
        <v>#NAME?</v>
      </c>
      <c r="BB478" s="15" t="e">
        <f aca="false">_xlfn.xlookup(BA478,A:A,E:E)</f>
        <v>#NAME?</v>
      </c>
      <c r="BC478" s="15" t="e">
        <f aca="false">_xlfn.xlookup(BA478,A:A,J:J)</f>
        <v>#NAME?</v>
      </c>
      <c r="BD478" s="75" t="e">
        <f aca="false">_xlfn.xlookup(BA478,A:A,M:M)+_xlfn.xlookup(BA478,A:A,N:N)</f>
        <v>#NAME?</v>
      </c>
    </row>
    <row r="479" customFormat="false" ht="14.25" hidden="false" customHeight="false" outlineLevel="0" collapsed="false">
      <c r="AK479" s="15" t="e">
        <v>#NAME?</v>
      </c>
      <c r="AL479" s="15" t="e">
        <f aca="false">_xlfn.xlookup(AK479,A:A,F:F)</f>
        <v>#NAME?</v>
      </c>
      <c r="AM479" s="15" t="e">
        <f aca="false">_xlfn.xlookup(AK479,A:A,J:J)</f>
        <v>#NAME?</v>
      </c>
      <c r="AN479" s="15" t="e">
        <f aca="false">_xlfn.xlookup(AK479,A:A,M:M)+_xlfn.xlookup(AK479,A:A,N:N)</f>
        <v>#NAME?</v>
      </c>
      <c r="AO479" s="223" t="e">
        <f aca="false">_xlfn.xlookup(AK479,A:A,AG:AG)</f>
        <v>#NAME?</v>
      </c>
      <c r="AP479" s="223" t="e">
        <f aca="false">_xlfn.xlookup(AK479,A:A,AD:AD)</f>
        <v>#NAME?</v>
      </c>
      <c r="AQ479" s="223" t="e">
        <f aca="false">_xlfn.xlookup(AK479,A:A,AE:AE)</f>
        <v>#NAME?</v>
      </c>
      <c r="BB479" s="15" t="e">
        <f aca="false">_xlfn.xlookup(BA479,A:A,E:E)</f>
        <v>#NAME?</v>
      </c>
      <c r="BC479" s="15" t="e">
        <f aca="false">_xlfn.xlookup(BA479,A:A,J:J)</f>
        <v>#NAME?</v>
      </c>
      <c r="BD479" s="75" t="e">
        <f aca="false">_xlfn.xlookup(BA479,A:A,M:M)+_xlfn.xlookup(BA479,A:A,N:N)</f>
        <v>#NAME?</v>
      </c>
    </row>
    <row r="480" customFormat="false" ht="14.25" hidden="false" customHeight="false" outlineLevel="0" collapsed="false">
      <c r="AK480" s="15" t="e">
        <v>#NAME?</v>
      </c>
      <c r="AL480" s="15" t="e">
        <f aca="false">_xlfn.xlookup(AK480,A:A,F:F)</f>
        <v>#NAME?</v>
      </c>
      <c r="AM480" s="15" t="e">
        <f aca="false">_xlfn.xlookup(AK480,A:A,J:J)</f>
        <v>#NAME?</v>
      </c>
      <c r="AN480" s="15" t="e">
        <f aca="false">_xlfn.xlookup(AK480,A:A,M:M)+_xlfn.xlookup(AK480,A:A,N:N)</f>
        <v>#NAME?</v>
      </c>
      <c r="AO480" s="223" t="e">
        <f aca="false">_xlfn.xlookup(AK480,A:A,AG:AG)</f>
        <v>#NAME?</v>
      </c>
      <c r="AP480" s="223" t="e">
        <f aca="false">_xlfn.xlookup(AK480,A:A,AD:AD)</f>
        <v>#NAME?</v>
      </c>
      <c r="AQ480" s="223" t="e">
        <f aca="false">_xlfn.xlookup(AK480,A:A,AE:AE)</f>
        <v>#NAME?</v>
      </c>
      <c r="BB480" s="15" t="e">
        <f aca="false">_xlfn.xlookup(BA480,A:A,E:E)</f>
        <v>#NAME?</v>
      </c>
      <c r="BC480" s="15" t="e">
        <f aca="false">_xlfn.xlookup(BA480,A:A,J:J)</f>
        <v>#NAME?</v>
      </c>
      <c r="BD480" s="75" t="e">
        <f aca="false">_xlfn.xlookup(BA480,A:A,M:M)+_xlfn.xlookup(BA480,A:A,N:N)</f>
        <v>#NAME?</v>
      </c>
    </row>
    <row r="481" customFormat="false" ht="14.25" hidden="false" customHeight="false" outlineLevel="0" collapsed="false">
      <c r="AK481" s="15" t="e">
        <v>#NAME?</v>
      </c>
      <c r="AL481" s="15" t="e">
        <f aca="false">_xlfn.xlookup(AK481,A:A,F:F)</f>
        <v>#NAME?</v>
      </c>
      <c r="AM481" s="15" t="e">
        <f aca="false">_xlfn.xlookup(AK481,A:A,J:J)</f>
        <v>#NAME?</v>
      </c>
      <c r="AN481" s="15" t="e">
        <f aca="false">_xlfn.xlookup(AK481,A:A,M:M)+_xlfn.xlookup(AK481,A:A,N:N)</f>
        <v>#NAME?</v>
      </c>
      <c r="AO481" s="223" t="e">
        <f aca="false">_xlfn.xlookup(AK481,A:A,AG:AG)</f>
        <v>#NAME?</v>
      </c>
      <c r="AP481" s="223" t="e">
        <f aca="false">_xlfn.xlookup(AK481,A:A,AD:AD)</f>
        <v>#NAME?</v>
      </c>
      <c r="AQ481" s="223" t="e">
        <f aca="false">_xlfn.xlookup(AK481,A:A,AE:AE)</f>
        <v>#NAME?</v>
      </c>
      <c r="BB481" s="15" t="e">
        <f aca="false">_xlfn.xlookup(BA481,A:A,E:E)</f>
        <v>#NAME?</v>
      </c>
      <c r="BC481" s="15" t="e">
        <f aca="false">_xlfn.xlookup(BA481,A:A,J:J)</f>
        <v>#NAME?</v>
      </c>
      <c r="BD481" s="75" t="e">
        <f aca="false">_xlfn.xlookup(BA481,A:A,M:M)+_xlfn.xlookup(BA481,A:A,N:N)</f>
        <v>#NAME?</v>
      </c>
    </row>
    <row r="482" customFormat="false" ht="14.25" hidden="false" customHeight="false" outlineLevel="0" collapsed="false">
      <c r="AK482" s="15" t="e">
        <v>#NAME?</v>
      </c>
      <c r="AL482" s="15" t="e">
        <f aca="false">_xlfn.xlookup(AK482,A:A,F:F)</f>
        <v>#NAME?</v>
      </c>
      <c r="AM482" s="15" t="e">
        <f aca="false">_xlfn.xlookup(AK482,A:A,J:J)</f>
        <v>#NAME?</v>
      </c>
      <c r="AN482" s="15" t="e">
        <f aca="false">_xlfn.xlookup(AK482,A:A,M:M)+_xlfn.xlookup(AK482,A:A,N:N)</f>
        <v>#NAME?</v>
      </c>
      <c r="AO482" s="223" t="e">
        <f aca="false">_xlfn.xlookup(AK482,A:A,AG:AG)</f>
        <v>#NAME?</v>
      </c>
      <c r="AP482" s="223" t="e">
        <f aca="false">_xlfn.xlookup(AK482,A:A,AD:AD)</f>
        <v>#NAME?</v>
      </c>
      <c r="AQ482" s="223" t="e">
        <f aca="false">_xlfn.xlookup(AK482,A:A,AE:AE)</f>
        <v>#NAME?</v>
      </c>
      <c r="BB482" s="15" t="e">
        <f aca="false">_xlfn.xlookup(BA482,A:A,E:E)</f>
        <v>#NAME?</v>
      </c>
      <c r="BC482" s="15" t="e">
        <f aca="false">_xlfn.xlookup(BA482,A:A,J:J)</f>
        <v>#NAME?</v>
      </c>
      <c r="BD482" s="75" t="e">
        <f aca="false">_xlfn.xlookup(BA482,A:A,M:M)+_xlfn.xlookup(BA482,A:A,N:N)</f>
        <v>#NAME?</v>
      </c>
    </row>
    <row r="483" customFormat="false" ht="14.25" hidden="false" customHeight="false" outlineLevel="0" collapsed="false">
      <c r="AK483" s="15" t="e">
        <v>#NAME?</v>
      </c>
      <c r="AL483" s="15" t="e">
        <f aca="false">_xlfn.xlookup(AK483,A:A,F:F)</f>
        <v>#NAME?</v>
      </c>
      <c r="AM483" s="15" t="e">
        <f aca="false">_xlfn.xlookup(AK483,A:A,J:J)</f>
        <v>#NAME?</v>
      </c>
      <c r="AN483" s="15" t="e">
        <f aca="false">_xlfn.xlookup(AK483,A:A,M:M)+_xlfn.xlookup(AK483,A:A,N:N)</f>
        <v>#NAME?</v>
      </c>
      <c r="AO483" s="223" t="e">
        <f aca="false">_xlfn.xlookup(AK483,A:A,AG:AG)</f>
        <v>#NAME?</v>
      </c>
      <c r="AP483" s="223" t="e">
        <f aca="false">_xlfn.xlookup(AK483,A:A,AD:AD)</f>
        <v>#NAME?</v>
      </c>
      <c r="AQ483" s="223" t="e">
        <f aca="false">_xlfn.xlookup(AK483,A:A,AE:AE)</f>
        <v>#NAME?</v>
      </c>
      <c r="BB483" s="15" t="e">
        <f aca="false">_xlfn.xlookup(BA483,A:A,E:E)</f>
        <v>#NAME?</v>
      </c>
      <c r="BC483" s="15" t="e">
        <f aca="false">_xlfn.xlookup(BA483,A:A,J:J)</f>
        <v>#NAME?</v>
      </c>
      <c r="BD483" s="75" t="e">
        <f aca="false">_xlfn.xlookup(BA483,A:A,M:M)+_xlfn.xlookup(BA483,A:A,N:N)</f>
        <v>#NAME?</v>
      </c>
    </row>
    <row r="484" customFormat="false" ht="14.25" hidden="false" customHeight="false" outlineLevel="0" collapsed="false">
      <c r="AK484" s="15" t="e">
        <v>#NAME?</v>
      </c>
      <c r="AL484" s="15" t="e">
        <f aca="false">_xlfn.xlookup(AK484,A:A,F:F)</f>
        <v>#NAME?</v>
      </c>
      <c r="AM484" s="15" t="e">
        <f aca="false">_xlfn.xlookup(AK484,A:A,J:J)</f>
        <v>#NAME?</v>
      </c>
      <c r="AN484" s="15" t="e">
        <f aca="false">_xlfn.xlookup(AK484,A:A,M:M)+_xlfn.xlookup(AK484,A:A,N:N)</f>
        <v>#NAME?</v>
      </c>
      <c r="AO484" s="223" t="e">
        <f aca="false">_xlfn.xlookup(AK484,A:A,AG:AG)</f>
        <v>#NAME?</v>
      </c>
      <c r="AP484" s="223" t="e">
        <f aca="false">_xlfn.xlookup(AK484,A:A,AD:AD)</f>
        <v>#NAME?</v>
      </c>
      <c r="AQ484" s="223" t="e">
        <f aca="false">_xlfn.xlookup(AK484,A:A,AE:AE)</f>
        <v>#NAME?</v>
      </c>
      <c r="BB484" s="15" t="e">
        <f aca="false">_xlfn.xlookup(BA484,A:A,E:E)</f>
        <v>#NAME?</v>
      </c>
      <c r="BC484" s="15" t="e">
        <f aca="false">_xlfn.xlookup(BA484,A:A,J:J)</f>
        <v>#NAME?</v>
      </c>
      <c r="BD484" s="75" t="e">
        <f aca="false">_xlfn.xlookup(BA484,A:A,M:M)+_xlfn.xlookup(BA484,A:A,N:N)</f>
        <v>#NAME?</v>
      </c>
    </row>
    <row r="485" customFormat="false" ht="14.25" hidden="false" customHeight="false" outlineLevel="0" collapsed="false">
      <c r="AK485" s="15" t="e">
        <v>#NAME?</v>
      </c>
      <c r="AL485" s="15" t="e">
        <f aca="false">_xlfn.xlookup(AK485,A:A,F:F)</f>
        <v>#NAME?</v>
      </c>
      <c r="AM485" s="15" t="e">
        <f aca="false">_xlfn.xlookup(AK485,A:A,J:J)</f>
        <v>#NAME?</v>
      </c>
      <c r="AN485" s="15" t="e">
        <f aca="false">_xlfn.xlookup(AK485,A:A,M:M)+_xlfn.xlookup(AK485,A:A,N:N)</f>
        <v>#NAME?</v>
      </c>
      <c r="AO485" s="223" t="e">
        <f aca="false">_xlfn.xlookup(AK485,A:A,AG:AG)</f>
        <v>#NAME?</v>
      </c>
      <c r="AP485" s="223" t="e">
        <f aca="false">_xlfn.xlookup(AK485,A:A,AD:AD)</f>
        <v>#NAME?</v>
      </c>
      <c r="AQ485" s="223" t="e">
        <f aca="false">_xlfn.xlookup(AK485,A:A,AE:AE)</f>
        <v>#NAME?</v>
      </c>
      <c r="BB485" s="15" t="e">
        <f aca="false">_xlfn.xlookup(BA485,A:A,E:E)</f>
        <v>#NAME?</v>
      </c>
      <c r="BC485" s="15" t="e">
        <f aca="false">_xlfn.xlookup(BA485,A:A,J:J)</f>
        <v>#NAME?</v>
      </c>
      <c r="BD485" s="75" t="e">
        <f aca="false">_xlfn.xlookup(BA485,A:A,M:M)+_xlfn.xlookup(BA485,A:A,N:N)</f>
        <v>#NAME?</v>
      </c>
    </row>
    <row r="486" customFormat="false" ht="14.25" hidden="false" customHeight="false" outlineLevel="0" collapsed="false">
      <c r="AK486" s="15" t="e">
        <v>#NAME?</v>
      </c>
      <c r="AL486" s="15" t="e">
        <f aca="false">_xlfn.xlookup(AK486,A:A,F:F)</f>
        <v>#NAME?</v>
      </c>
      <c r="AM486" s="15" t="e">
        <f aca="false">_xlfn.xlookup(AK486,A:A,J:J)</f>
        <v>#NAME?</v>
      </c>
      <c r="AN486" s="15" t="e">
        <f aca="false">_xlfn.xlookup(AK486,A:A,M:M)+_xlfn.xlookup(AK486,A:A,N:N)</f>
        <v>#NAME?</v>
      </c>
      <c r="AO486" s="223" t="e">
        <f aca="false">_xlfn.xlookup(AK486,A:A,AG:AG)</f>
        <v>#NAME?</v>
      </c>
      <c r="AP486" s="223" t="e">
        <f aca="false">_xlfn.xlookup(AK486,A:A,AD:AD)</f>
        <v>#NAME?</v>
      </c>
      <c r="AQ486" s="223" t="e">
        <f aca="false">_xlfn.xlookup(AK486,A:A,AE:AE)</f>
        <v>#NAME?</v>
      </c>
      <c r="BB486" s="15" t="e">
        <f aca="false">_xlfn.xlookup(BA486,A:A,E:E)</f>
        <v>#NAME?</v>
      </c>
      <c r="BC486" s="15" t="e">
        <f aca="false">_xlfn.xlookup(BA486,A:A,J:J)</f>
        <v>#NAME?</v>
      </c>
      <c r="BD486" s="75" t="e">
        <f aca="false">_xlfn.xlookup(BA486,A:A,M:M)+_xlfn.xlookup(BA486,A:A,N:N)</f>
        <v>#NAME?</v>
      </c>
    </row>
    <row r="487" customFormat="false" ht="14.25" hidden="false" customHeight="false" outlineLevel="0" collapsed="false">
      <c r="AK487" s="15" t="e">
        <v>#NAME?</v>
      </c>
      <c r="AL487" s="15" t="e">
        <f aca="false">_xlfn.xlookup(AK487,A:A,F:F)</f>
        <v>#NAME?</v>
      </c>
      <c r="AM487" s="15" t="e">
        <f aca="false">_xlfn.xlookup(AK487,A:A,J:J)</f>
        <v>#NAME?</v>
      </c>
      <c r="AN487" s="15" t="e">
        <f aca="false">_xlfn.xlookup(AK487,A:A,M:M)+_xlfn.xlookup(AK487,A:A,N:N)</f>
        <v>#NAME?</v>
      </c>
      <c r="AO487" s="223" t="e">
        <f aca="false">_xlfn.xlookup(AK487,A:A,AG:AG)</f>
        <v>#NAME?</v>
      </c>
      <c r="AP487" s="223" t="e">
        <f aca="false">_xlfn.xlookup(AK487,A:A,AD:AD)</f>
        <v>#NAME?</v>
      </c>
      <c r="AQ487" s="223" t="e">
        <f aca="false">_xlfn.xlookup(AK487,A:A,AE:AE)</f>
        <v>#NAME?</v>
      </c>
      <c r="BB487" s="15" t="e">
        <f aca="false">_xlfn.xlookup(BA487,A:A,E:E)</f>
        <v>#NAME?</v>
      </c>
      <c r="BC487" s="15" t="e">
        <f aca="false">_xlfn.xlookup(BA487,A:A,J:J)</f>
        <v>#NAME?</v>
      </c>
      <c r="BD487" s="75" t="e">
        <f aca="false">_xlfn.xlookup(BA487,A:A,M:M)+_xlfn.xlookup(BA487,A:A,N:N)</f>
        <v>#NAME?</v>
      </c>
    </row>
    <row r="488" customFormat="false" ht="14.25" hidden="false" customHeight="false" outlineLevel="0" collapsed="false">
      <c r="AK488" s="15" t="e">
        <v>#NAME?</v>
      </c>
      <c r="AL488" s="15" t="e">
        <f aca="false">_xlfn.xlookup(AK488,A:A,F:F)</f>
        <v>#NAME?</v>
      </c>
      <c r="AM488" s="15" t="e">
        <f aca="false">_xlfn.xlookup(AK488,A:A,J:J)</f>
        <v>#NAME?</v>
      </c>
      <c r="AN488" s="15" t="e">
        <f aca="false">_xlfn.xlookup(AK488,A:A,M:M)+_xlfn.xlookup(AK488,A:A,N:N)</f>
        <v>#NAME?</v>
      </c>
      <c r="AO488" s="223" t="e">
        <f aca="false">_xlfn.xlookup(AK488,A:A,AG:AG)</f>
        <v>#NAME?</v>
      </c>
      <c r="AP488" s="223" t="e">
        <f aca="false">_xlfn.xlookup(AK488,A:A,AD:AD)</f>
        <v>#NAME?</v>
      </c>
      <c r="AQ488" s="223" t="e">
        <f aca="false">_xlfn.xlookup(AK488,A:A,AE:AE)</f>
        <v>#NAME?</v>
      </c>
      <c r="BB488" s="15" t="e">
        <f aca="false">_xlfn.xlookup(BA488,A:A,E:E)</f>
        <v>#NAME?</v>
      </c>
      <c r="BC488" s="15" t="e">
        <f aca="false">_xlfn.xlookup(BA488,A:A,J:J)</f>
        <v>#NAME?</v>
      </c>
      <c r="BD488" s="75" t="e">
        <f aca="false">_xlfn.xlookup(BA488,A:A,M:M)+_xlfn.xlookup(BA488,A:A,N:N)</f>
        <v>#NAME?</v>
      </c>
    </row>
    <row r="489" customFormat="false" ht="14.25" hidden="false" customHeight="false" outlineLevel="0" collapsed="false">
      <c r="AK489" s="15" t="e">
        <v>#NAME?</v>
      </c>
      <c r="AL489" s="15" t="e">
        <f aca="false">_xlfn.xlookup(AK489,A:A,F:F)</f>
        <v>#NAME?</v>
      </c>
      <c r="AM489" s="15" t="e">
        <f aca="false">_xlfn.xlookup(AK489,A:A,J:J)</f>
        <v>#NAME?</v>
      </c>
      <c r="AN489" s="15" t="e">
        <f aca="false">_xlfn.xlookup(AK489,A:A,M:M)+_xlfn.xlookup(AK489,A:A,N:N)</f>
        <v>#NAME?</v>
      </c>
      <c r="AO489" s="223" t="e">
        <f aca="false">_xlfn.xlookup(AK489,A:A,AG:AG)</f>
        <v>#NAME?</v>
      </c>
      <c r="AP489" s="223" t="e">
        <f aca="false">_xlfn.xlookup(AK489,A:A,AD:AD)</f>
        <v>#NAME?</v>
      </c>
      <c r="AQ489" s="223" t="e">
        <f aca="false">_xlfn.xlookup(AK489,A:A,AE:AE)</f>
        <v>#NAME?</v>
      </c>
      <c r="BB489" s="15" t="e">
        <f aca="false">_xlfn.xlookup(BA489,A:A,E:E)</f>
        <v>#NAME?</v>
      </c>
      <c r="BC489" s="15" t="e">
        <f aca="false">_xlfn.xlookup(BA489,A:A,J:J)</f>
        <v>#NAME?</v>
      </c>
      <c r="BD489" s="75" t="e">
        <f aca="false">_xlfn.xlookup(BA489,A:A,M:M)+_xlfn.xlookup(BA489,A:A,N:N)</f>
        <v>#NAME?</v>
      </c>
    </row>
    <row r="490" customFormat="false" ht="14.25" hidden="false" customHeight="false" outlineLevel="0" collapsed="false">
      <c r="AK490" s="15" t="e">
        <v>#NAME?</v>
      </c>
      <c r="AL490" s="15" t="e">
        <f aca="false">_xlfn.xlookup(AK490,A:A,F:F)</f>
        <v>#NAME?</v>
      </c>
      <c r="AM490" s="15" t="e">
        <f aca="false">_xlfn.xlookup(AK490,A:A,J:J)</f>
        <v>#NAME?</v>
      </c>
      <c r="AN490" s="15" t="e">
        <f aca="false">_xlfn.xlookup(AK490,A:A,M:M)+_xlfn.xlookup(AK490,A:A,N:N)</f>
        <v>#NAME?</v>
      </c>
      <c r="AO490" s="223" t="e">
        <f aca="false">_xlfn.xlookup(AK490,A:A,AG:AG)</f>
        <v>#NAME?</v>
      </c>
      <c r="AP490" s="223" t="e">
        <f aca="false">_xlfn.xlookup(AK490,A:A,AD:AD)</f>
        <v>#NAME?</v>
      </c>
      <c r="AQ490" s="223" t="e">
        <f aca="false">_xlfn.xlookup(AK490,A:A,AE:AE)</f>
        <v>#NAME?</v>
      </c>
      <c r="BB490" s="15" t="e">
        <f aca="false">_xlfn.xlookup(BA490,A:A,E:E)</f>
        <v>#NAME?</v>
      </c>
      <c r="BC490" s="15" t="e">
        <f aca="false">_xlfn.xlookup(BA490,A:A,J:J)</f>
        <v>#NAME?</v>
      </c>
      <c r="BD490" s="75" t="e">
        <f aca="false">_xlfn.xlookup(BA490,A:A,M:M)+_xlfn.xlookup(BA490,A:A,N:N)</f>
        <v>#NAME?</v>
      </c>
    </row>
    <row r="491" customFormat="false" ht="14.25" hidden="false" customHeight="false" outlineLevel="0" collapsed="false">
      <c r="AK491" s="15" t="e">
        <v>#NAME?</v>
      </c>
      <c r="AL491" s="15" t="e">
        <f aca="false">_xlfn.xlookup(AK491,A:A,F:F)</f>
        <v>#NAME?</v>
      </c>
      <c r="AM491" s="15" t="e">
        <f aca="false">_xlfn.xlookup(AK491,A:A,J:J)</f>
        <v>#NAME?</v>
      </c>
      <c r="AN491" s="15" t="e">
        <f aca="false">_xlfn.xlookup(AK491,A:A,M:M)+_xlfn.xlookup(AK491,A:A,N:N)</f>
        <v>#NAME?</v>
      </c>
      <c r="AO491" s="223" t="e">
        <f aca="false">_xlfn.xlookup(AK491,A:A,AG:AG)</f>
        <v>#NAME?</v>
      </c>
      <c r="AP491" s="223" t="e">
        <f aca="false">_xlfn.xlookup(AK491,A:A,AD:AD)</f>
        <v>#NAME?</v>
      </c>
      <c r="AQ491" s="223" t="e">
        <f aca="false">_xlfn.xlookup(AK491,A:A,AE:AE)</f>
        <v>#NAME?</v>
      </c>
      <c r="BB491" s="15" t="e">
        <f aca="false">_xlfn.xlookup(BA491,A:A,E:E)</f>
        <v>#NAME?</v>
      </c>
      <c r="BC491" s="15" t="e">
        <f aca="false">_xlfn.xlookup(BA491,A:A,J:J)</f>
        <v>#NAME?</v>
      </c>
      <c r="BD491" s="75" t="e">
        <f aca="false">_xlfn.xlookup(BA491,A:A,M:M)+_xlfn.xlookup(BA491,A:A,N:N)</f>
        <v>#NAME?</v>
      </c>
    </row>
    <row r="492" customFormat="false" ht="14.25" hidden="false" customHeight="false" outlineLevel="0" collapsed="false">
      <c r="AK492" s="15" t="e">
        <v>#NAME?</v>
      </c>
      <c r="AL492" s="15" t="e">
        <f aca="false">_xlfn.xlookup(AK492,A:A,F:F)</f>
        <v>#NAME?</v>
      </c>
      <c r="AM492" s="15" t="e">
        <f aca="false">_xlfn.xlookup(AK492,A:A,J:J)</f>
        <v>#NAME?</v>
      </c>
      <c r="AN492" s="15" t="e">
        <f aca="false">_xlfn.xlookup(AK492,A:A,M:M)+_xlfn.xlookup(AK492,A:A,N:N)</f>
        <v>#NAME?</v>
      </c>
      <c r="AO492" s="223" t="e">
        <f aca="false">_xlfn.xlookup(AK492,A:A,AG:AG)</f>
        <v>#NAME?</v>
      </c>
      <c r="AP492" s="223" t="e">
        <f aca="false">_xlfn.xlookup(AK492,A:A,AD:AD)</f>
        <v>#NAME?</v>
      </c>
      <c r="AQ492" s="223" t="e">
        <f aca="false">_xlfn.xlookup(AK492,A:A,AE:AE)</f>
        <v>#NAME?</v>
      </c>
      <c r="BB492" s="15" t="e">
        <f aca="false">_xlfn.xlookup(BA492,A:A,E:E)</f>
        <v>#NAME?</v>
      </c>
      <c r="BC492" s="15" t="e">
        <f aca="false">_xlfn.xlookup(BA492,A:A,J:J)</f>
        <v>#NAME?</v>
      </c>
      <c r="BD492" s="75" t="e">
        <f aca="false">_xlfn.xlookup(BA492,A:A,M:M)+_xlfn.xlookup(BA492,A:A,N:N)</f>
        <v>#NAME?</v>
      </c>
    </row>
    <row r="493" customFormat="false" ht="14.25" hidden="false" customHeight="false" outlineLevel="0" collapsed="false">
      <c r="AK493" s="15" t="e">
        <v>#NAME?</v>
      </c>
      <c r="AL493" s="15" t="e">
        <f aca="false">_xlfn.xlookup(AK493,A:A,F:F)</f>
        <v>#NAME?</v>
      </c>
      <c r="AM493" s="15" t="e">
        <f aca="false">_xlfn.xlookup(AK493,A:A,J:J)</f>
        <v>#NAME?</v>
      </c>
      <c r="AN493" s="15" t="e">
        <f aca="false">_xlfn.xlookup(AK493,A:A,M:M)+_xlfn.xlookup(AK493,A:A,N:N)</f>
        <v>#NAME?</v>
      </c>
      <c r="AO493" s="223" t="e">
        <f aca="false">_xlfn.xlookup(AK493,A:A,AG:AG)</f>
        <v>#NAME?</v>
      </c>
      <c r="AP493" s="223" t="e">
        <f aca="false">_xlfn.xlookup(AK493,A:A,AD:AD)</f>
        <v>#NAME?</v>
      </c>
      <c r="AQ493" s="223" t="e">
        <f aca="false">_xlfn.xlookup(AK493,A:A,AE:AE)</f>
        <v>#NAME?</v>
      </c>
      <c r="BB493" s="15" t="e">
        <f aca="false">_xlfn.xlookup(BA493,A:A,E:E)</f>
        <v>#NAME?</v>
      </c>
      <c r="BC493" s="15" t="e">
        <f aca="false">_xlfn.xlookup(BA493,A:A,J:J)</f>
        <v>#NAME?</v>
      </c>
      <c r="BD493" s="75" t="e">
        <f aca="false">_xlfn.xlookup(BA493,A:A,M:M)+_xlfn.xlookup(BA493,A:A,N:N)</f>
        <v>#NAME?</v>
      </c>
    </row>
    <row r="494" customFormat="false" ht="14.25" hidden="false" customHeight="false" outlineLevel="0" collapsed="false">
      <c r="AK494" s="15" t="e">
        <v>#NAME?</v>
      </c>
      <c r="AL494" s="15" t="e">
        <f aca="false">_xlfn.xlookup(AK494,A:A,F:F)</f>
        <v>#NAME?</v>
      </c>
      <c r="AM494" s="15" t="e">
        <f aca="false">_xlfn.xlookup(AK494,A:A,J:J)</f>
        <v>#NAME?</v>
      </c>
      <c r="AN494" s="15" t="e">
        <f aca="false">_xlfn.xlookup(AK494,A:A,M:M)+_xlfn.xlookup(AK494,A:A,N:N)</f>
        <v>#NAME?</v>
      </c>
      <c r="AO494" s="223" t="e">
        <f aca="false">_xlfn.xlookup(AK494,A:A,AG:AG)</f>
        <v>#NAME?</v>
      </c>
      <c r="AP494" s="223" t="e">
        <f aca="false">_xlfn.xlookup(AK494,A:A,AD:AD)</f>
        <v>#NAME?</v>
      </c>
      <c r="AQ494" s="223" t="e">
        <f aca="false">_xlfn.xlookup(AK494,A:A,AE:AE)</f>
        <v>#NAME?</v>
      </c>
      <c r="BB494" s="15" t="e">
        <f aca="false">_xlfn.xlookup(BA494,A:A,E:E)</f>
        <v>#NAME?</v>
      </c>
      <c r="BC494" s="15" t="e">
        <f aca="false">_xlfn.xlookup(BA494,A:A,J:J)</f>
        <v>#NAME?</v>
      </c>
      <c r="BD494" s="75" t="e">
        <f aca="false">_xlfn.xlookup(BA494,A:A,M:M)+_xlfn.xlookup(BA494,A:A,N:N)</f>
        <v>#NAME?</v>
      </c>
    </row>
    <row r="495" customFormat="false" ht="14.25" hidden="false" customHeight="false" outlineLevel="0" collapsed="false">
      <c r="AK495" s="15" t="e">
        <v>#NAME?</v>
      </c>
      <c r="AL495" s="15" t="e">
        <f aca="false">_xlfn.xlookup(AK495,A:A,F:F)</f>
        <v>#NAME?</v>
      </c>
      <c r="AM495" s="15" t="e">
        <f aca="false">_xlfn.xlookup(AK495,A:A,J:J)</f>
        <v>#NAME?</v>
      </c>
      <c r="AN495" s="15" t="e">
        <f aca="false">_xlfn.xlookup(AK495,A:A,M:M)+_xlfn.xlookup(AK495,A:A,N:N)</f>
        <v>#NAME?</v>
      </c>
      <c r="AO495" s="223" t="e">
        <f aca="false">_xlfn.xlookup(AK495,A:A,AG:AG)</f>
        <v>#NAME?</v>
      </c>
      <c r="AP495" s="223" t="e">
        <f aca="false">_xlfn.xlookup(AK495,A:A,AD:AD)</f>
        <v>#NAME?</v>
      </c>
      <c r="AQ495" s="223" t="e">
        <f aca="false">_xlfn.xlookup(AK495,A:A,AE:AE)</f>
        <v>#NAME?</v>
      </c>
      <c r="BB495" s="15" t="e">
        <f aca="false">_xlfn.xlookup(BA495,A:A,E:E)</f>
        <v>#NAME?</v>
      </c>
      <c r="BC495" s="15" t="e">
        <f aca="false">_xlfn.xlookup(BA495,A:A,J:J)</f>
        <v>#NAME?</v>
      </c>
      <c r="BD495" s="75" t="e">
        <f aca="false">_xlfn.xlookup(BA495,A:A,M:M)+_xlfn.xlookup(BA495,A:A,N:N)</f>
        <v>#NAME?</v>
      </c>
    </row>
    <row r="496" customFormat="false" ht="14.25" hidden="false" customHeight="false" outlineLevel="0" collapsed="false">
      <c r="AK496" s="15" t="e">
        <v>#NAME?</v>
      </c>
      <c r="AL496" s="15" t="e">
        <f aca="false">_xlfn.xlookup(AK496,A:A,F:F)</f>
        <v>#NAME?</v>
      </c>
      <c r="AM496" s="15" t="e">
        <f aca="false">_xlfn.xlookup(AK496,A:A,J:J)</f>
        <v>#NAME?</v>
      </c>
      <c r="AN496" s="15" t="e">
        <f aca="false">_xlfn.xlookup(AK496,A:A,M:M)+_xlfn.xlookup(AK496,A:A,N:N)</f>
        <v>#NAME?</v>
      </c>
      <c r="AO496" s="223" t="e">
        <f aca="false">_xlfn.xlookup(AK496,A:A,AG:AG)</f>
        <v>#NAME?</v>
      </c>
      <c r="AP496" s="223" t="e">
        <f aca="false">_xlfn.xlookup(AK496,A:A,AD:AD)</f>
        <v>#NAME?</v>
      </c>
      <c r="AQ496" s="223" t="e">
        <f aca="false">_xlfn.xlookup(AK496,A:A,AE:AE)</f>
        <v>#NAME?</v>
      </c>
      <c r="BB496" s="15" t="e">
        <f aca="false">_xlfn.xlookup(BA496,A:A,E:E)</f>
        <v>#NAME?</v>
      </c>
      <c r="BC496" s="15" t="e">
        <f aca="false">_xlfn.xlookup(BA496,A:A,J:J)</f>
        <v>#NAME?</v>
      </c>
      <c r="BD496" s="75" t="e">
        <f aca="false">_xlfn.xlookup(BA496,A:A,M:M)+_xlfn.xlookup(BA496,A:A,N:N)</f>
        <v>#NAME?</v>
      </c>
    </row>
    <row r="497" customFormat="false" ht="14.25" hidden="false" customHeight="false" outlineLevel="0" collapsed="false">
      <c r="AK497" s="15" t="e">
        <v>#NAME?</v>
      </c>
      <c r="AL497" s="15" t="e">
        <f aca="false">_xlfn.xlookup(AK497,A:A,F:F)</f>
        <v>#NAME?</v>
      </c>
      <c r="AM497" s="15" t="e">
        <f aca="false">_xlfn.xlookup(AK497,A:A,J:J)</f>
        <v>#NAME?</v>
      </c>
      <c r="AN497" s="15" t="e">
        <f aca="false">_xlfn.xlookup(AK497,A:A,M:M)+_xlfn.xlookup(AK497,A:A,N:N)</f>
        <v>#NAME?</v>
      </c>
      <c r="AO497" s="223" t="e">
        <f aca="false">_xlfn.xlookup(AK497,A:A,AG:AG)</f>
        <v>#NAME?</v>
      </c>
      <c r="AP497" s="223" t="e">
        <f aca="false">_xlfn.xlookup(AK497,A:A,AD:AD)</f>
        <v>#NAME?</v>
      </c>
      <c r="AQ497" s="223" t="e">
        <f aca="false">_xlfn.xlookup(AK497,A:A,AE:AE)</f>
        <v>#NAME?</v>
      </c>
      <c r="BB497" s="15" t="e">
        <f aca="false">_xlfn.xlookup(BA497,A:A,E:E)</f>
        <v>#NAME?</v>
      </c>
      <c r="BC497" s="15" t="e">
        <f aca="false">_xlfn.xlookup(BA497,A:A,J:J)</f>
        <v>#NAME?</v>
      </c>
      <c r="BD497" s="75" t="e">
        <f aca="false">_xlfn.xlookup(BA497,A:A,M:M)+_xlfn.xlookup(BA497,A:A,N:N)</f>
        <v>#NAME?</v>
      </c>
    </row>
    <row r="498" customFormat="false" ht="14.25" hidden="false" customHeight="false" outlineLevel="0" collapsed="false">
      <c r="AK498" s="15" t="e">
        <v>#NAME?</v>
      </c>
      <c r="AL498" s="15" t="e">
        <f aca="false">_xlfn.xlookup(AK498,A:A,F:F)</f>
        <v>#NAME?</v>
      </c>
      <c r="AM498" s="15" t="e">
        <f aca="false">_xlfn.xlookup(AK498,A:A,J:J)</f>
        <v>#NAME?</v>
      </c>
      <c r="AN498" s="15" t="e">
        <f aca="false">_xlfn.xlookup(AK498,A:A,M:M)+_xlfn.xlookup(AK498,A:A,N:N)</f>
        <v>#NAME?</v>
      </c>
      <c r="AO498" s="223" t="e">
        <f aca="false">_xlfn.xlookup(AK498,A:A,AG:AG)</f>
        <v>#NAME?</v>
      </c>
      <c r="AP498" s="223" t="e">
        <f aca="false">_xlfn.xlookup(AK498,A:A,AD:AD)</f>
        <v>#NAME?</v>
      </c>
      <c r="AQ498" s="223" t="e">
        <f aca="false">_xlfn.xlookup(AK498,A:A,AE:AE)</f>
        <v>#NAME?</v>
      </c>
      <c r="BB498" s="15" t="e">
        <f aca="false">_xlfn.xlookup(BA498,A:A,E:E)</f>
        <v>#NAME?</v>
      </c>
      <c r="BC498" s="15" t="e">
        <f aca="false">_xlfn.xlookup(BA498,A:A,J:J)</f>
        <v>#NAME?</v>
      </c>
      <c r="BD498" s="75" t="e">
        <f aca="false">_xlfn.xlookup(BA498,A:A,M:M)+_xlfn.xlookup(BA498,A:A,N:N)</f>
        <v>#NAME?</v>
      </c>
    </row>
    <row r="499" customFormat="false" ht="14.25" hidden="false" customHeight="false" outlineLevel="0" collapsed="false">
      <c r="AK499" s="15" t="e">
        <v>#NAME?</v>
      </c>
      <c r="AL499" s="15" t="e">
        <f aca="false">_xlfn.xlookup(AK499,A:A,F:F)</f>
        <v>#NAME?</v>
      </c>
      <c r="AM499" s="15" t="e">
        <f aca="false">_xlfn.xlookup(AK499,A:A,J:J)</f>
        <v>#NAME?</v>
      </c>
      <c r="AN499" s="15" t="e">
        <f aca="false">_xlfn.xlookup(AK499,A:A,M:M)+_xlfn.xlookup(AK499,A:A,N:N)</f>
        <v>#NAME?</v>
      </c>
      <c r="AO499" s="223" t="e">
        <f aca="false">_xlfn.xlookup(AK499,A:A,AG:AG)</f>
        <v>#NAME?</v>
      </c>
      <c r="AP499" s="223" t="e">
        <f aca="false">_xlfn.xlookup(AK499,A:A,AD:AD)</f>
        <v>#NAME?</v>
      </c>
      <c r="AQ499" s="223" t="e">
        <f aca="false">_xlfn.xlookup(AK499,A:A,AE:AE)</f>
        <v>#NAME?</v>
      </c>
      <c r="BB499" s="15" t="e">
        <f aca="false">_xlfn.xlookup(BA499,A:A,E:E)</f>
        <v>#NAME?</v>
      </c>
      <c r="BC499" s="15" t="e">
        <f aca="false">_xlfn.xlookup(BA499,A:A,J:J)</f>
        <v>#NAME?</v>
      </c>
      <c r="BD499" s="75" t="e">
        <f aca="false">_xlfn.xlookup(BA499,A:A,M:M)+_xlfn.xlookup(BA499,A:A,N:N)</f>
        <v>#NAME?</v>
      </c>
    </row>
    <row r="500" customFormat="false" ht="14.25" hidden="false" customHeight="false" outlineLevel="0" collapsed="false">
      <c r="AK500" s="15" t="e">
        <v>#NAME?</v>
      </c>
      <c r="AL500" s="15" t="e">
        <f aca="false">_xlfn.xlookup(AK500,A:A,F:F)</f>
        <v>#NAME?</v>
      </c>
      <c r="AM500" s="15" t="e">
        <f aca="false">_xlfn.xlookup(AK500,A:A,J:J)</f>
        <v>#NAME?</v>
      </c>
      <c r="AN500" s="15" t="e">
        <f aca="false">_xlfn.xlookup(AK500,A:A,M:M)+_xlfn.xlookup(AK500,A:A,N:N)</f>
        <v>#NAME?</v>
      </c>
      <c r="AO500" s="223" t="e">
        <f aca="false">_xlfn.xlookup(AK500,A:A,AG:AG)</f>
        <v>#NAME?</v>
      </c>
      <c r="AP500" s="223" t="e">
        <f aca="false">_xlfn.xlookup(AK500,A:A,AD:AD)</f>
        <v>#NAME?</v>
      </c>
      <c r="AQ500" s="223" t="e">
        <f aca="false">_xlfn.xlookup(AK500,A:A,AE:AE)</f>
        <v>#NAME?</v>
      </c>
      <c r="BB500" s="15" t="e">
        <f aca="false">_xlfn.xlookup(BA500,A:A,E:E)</f>
        <v>#NAME?</v>
      </c>
      <c r="BC500" s="15" t="e">
        <f aca="false">_xlfn.xlookup(BA500,A:A,J:J)</f>
        <v>#NAME?</v>
      </c>
      <c r="BD500" s="75" t="e">
        <f aca="false">_xlfn.xlookup(BA500,A:A,M:M)+_xlfn.xlookup(BA500,A:A,N:N)</f>
        <v>#NAME?</v>
      </c>
    </row>
    <row r="501" customFormat="false" ht="14.25" hidden="false" customHeight="false" outlineLevel="0" collapsed="false">
      <c r="AK501" s="15" t="e">
        <v>#NAME?</v>
      </c>
      <c r="AL501" s="15" t="e">
        <f aca="false">_xlfn.xlookup(AK501,A:A,F:F)</f>
        <v>#NAME?</v>
      </c>
      <c r="AM501" s="15" t="e">
        <f aca="false">_xlfn.xlookup(AK501,A:A,J:J)</f>
        <v>#NAME?</v>
      </c>
      <c r="AN501" s="15" t="e">
        <f aca="false">_xlfn.xlookup(AK501,A:A,M:M)+_xlfn.xlookup(AK501,A:A,N:N)</f>
        <v>#NAME?</v>
      </c>
      <c r="AO501" s="223" t="e">
        <f aca="false">_xlfn.xlookup(AK501,A:A,AG:AG)</f>
        <v>#NAME?</v>
      </c>
      <c r="AP501" s="223" t="e">
        <f aca="false">_xlfn.xlookup(AK501,A:A,AD:AD)</f>
        <v>#NAME?</v>
      </c>
      <c r="AQ501" s="223" t="e">
        <f aca="false">_xlfn.xlookup(AK501,A:A,AE:AE)</f>
        <v>#NAME?</v>
      </c>
      <c r="BB501" s="15" t="e">
        <f aca="false">_xlfn.xlookup(BA501,A:A,E:E)</f>
        <v>#NAME?</v>
      </c>
      <c r="BC501" s="15" t="e">
        <f aca="false">_xlfn.xlookup(BA501,A:A,J:J)</f>
        <v>#NAME?</v>
      </c>
      <c r="BD501" s="75" t="e">
        <f aca="false">_xlfn.xlookup(BA501,A:A,M:M)+_xlfn.xlookup(BA501,A:A,N:N)</f>
        <v>#NAME?</v>
      </c>
    </row>
    <row r="502" customFormat="false" ht="14.25" hidden="false" customHeight="false" outlineLevel="0" collapsed="false">
      <c r="AK502" s="15" t="e">
        <v>#NAME?</v>
      </c>
      <c r="AL502" s="15" t="e">
        <f aca="false">_xlfn.xlookup(AK502,A:A,F:F)</f>
        <v>#NAME?</v>
      </c>
      <c r="AM502" s="15" t="e">
        <f aca="false">_xlfn.xlookup(AK502,A:A,J:J)</f>
        <v>#NAME?</v>
      </c>
      <c r="AN502" s="15" t="e">
        <f aca="false">_xlfn.xlookup(AK502,A:A,M:M)+_xlfn.xlookup(AK502,A:A,N:N)</f>
        <v>#NAME?</v>
      </c>
      <c r="AO502" s="223" t="e">
        <f aca="false">_xlfn.xlookup(AK502,A:A,AG:AG)</f>
        <v>#NAME?</v>
      </c>
      <c r="AP502" s="223" t="e">
        <f aca="false">_xlfn.xlookup(AK502,A:A,AD:AD)</f>
        <v>#NAME?</v>
      </c>
      <c r="AQ502" s="223" t="e">
        <f aca="false">_xlfn.xlookup(AK502,A:A,AE:AE)</f>
        <v>#NAME?</v>
      </c>
      <c r="BB502" s="15" t="e">
        <f aca="false">_xlfn.xlookup(BA502,A:A,E:E)</f>
        <v>#NAME?</v>
      </c>
      <c r="BC502" s="15" t="e">
        <f aca="false">_xlfn.xlookup(BA502,A:A,J:J)</f>
        <v>#NAME?</v>
      </c>
      <c r="BD502" s="75" t="e">
        <f aca="false">_xlfn.xlookup(BA502,A:A,M:M)+_xlfn.xlookup(BA502,A:A,N:N)</f>
        <v>#NAME?</v>
      </c>
    </row>
    <row r="503" customFormat="false" ht="14.25" hidden="false" customHeight="false" outlineLevel="0" collapsed="false">
      <c r="AK503" s="15" t="e">
        <v>#NAME?</v>
      </c>
      <c r="AL503" s="15" t="e">
        <f aca="false">_xlfn.xlookup(AK503,A:A,F:F)</f>
        <v>#NAME?</v>
      </c>
      <c r="AM503" s="15" t="e">
        <f aca="false">_xlfn.xlookup(AK503,A:A,J:J)</f>
        <v>#NAME?</v>
      </c>
      <c r="AN503" s="15" t="e">
        <f aca="false">_xlfn.xlookup(AK503,A:A,M:M)+_xlfn.xlookup(AK503,A:A,N:N)</f>
        <v>#NAME?</v>
      </c>
      <c r="AO503" s="223" t="e">
        <f aca="false">_xlfn.xlookup(AK503,A:A,AG:AG)</f>
        <v>#NAME?</v>
      </c>
      <c r="AP503" s="223" t="e">
        <f aca="false">_xlfn.xlookup(AK503,A:A,AD:AD)</f>
        <v>#NAME?</v>
      </c>
      <c r="AQ503" s="223" t="e">
        <f aca="false">_xlfn.xlookup(AK503,A:A,AE:AE)</f>
        <v>#NAME?</v>
      </c>
      <c r="BB503" s="15" t="e">
        <f aca="false">_xlfn.xlookup(BA503,A:A,E:E)</f>
        <v>#NAME?</v>
      </c>
      <c r="BC503" s="15" t="e">
        <f aca="false">_xlfn.xlookup(BA503,A:A,J:J)</f>
        <v>#NAME?</v>
      </c>
      <c r="BD503" s="75" t="e">
        <f aca="false">_xlfn.xlookup(BA503,A:A,M:M)+_xlfn.xlookup(BA503,A:A,N:N)</f>
        <v>#NAME?</v>
      </c>
    </row>
    <row r="504" customFormat="false" ht="14.25" hidden="false" customHeight="false" outlineLevel="0" collapsed="false">
      <c r="AK504" s="15" t="e">
        <v>#NAME?</v>
      </c>
      <c r="AL504" s="15" t="e">
        <f aca="false">_xlfn.xlookup(AK504,A:A,F:F)</f>
        <v>#NAME?</v>
      </c>
      <c r="AM504" s="15" t="e">
        <f aca="false">_xlfn.xlookup(AK504,A:A,J:J)</f>
        <v>#NAME?</v>
      </c>
      <c r="AN504" s="15" t="e">
        <f aca="false">_xlfn.xlookup(AK504,A:A,M:M)+_xlfn.xlookup(AK504,A:A,N:N)</f>
        <v>#NAME?</v>
      </c>
      <c r="AO504" s="223" t="e">
        <f aca="false">_xlfn.xlookup(AK504,A:A,AG:AG)</f>
        <v>#NAME?</v>
      </c>
      <c r="AP504" s="223" t="e">
        <f aca="false">_xlfn.xlookup(AK504,A:A,AD:AD)</f>
        <v>#NAME?</v>
      </c>
      <c r="AQ504" s="223" t="e">
        <f aca="false">_xlfn.xlookup(AK504,A:A,AE:AE)</f>
        <v>#NAME?</v>
      </c>
      <c r="BB504" s="15" t="e">
        <f aca="false">_xlfn.xlookup(BA504,A:A,E:E)</f>
        <v>#NAME?</v>
      </c>
      <c r="BC504" s="15" t="e">
        <f aca="false">_xlfn.xlookup(BA504,A:A,J:J)</f>
        <v>#NAME?</v>
      </c>
      <c r="BD504" s="75" t="e">
        <f aca="false">_xlfn.xlookup(BA504,A:A,M:M)+_xlfn.xlookup(BA504,A:A,N:N)</f>
        <v>#NAME?</v>
      </c>
    </row>
    <row r="505" customFormat="false" ht="14.25" hidden="false" customHeight="false" outlineLevel="0" collapsed="false">
      <c r="AK505" s="15" t="e">
        <v>#NAME?</v>
      </c>
      <c r="AL505" s="15" t="e">
        <f aca="false">_xlfn.xlookup(AK505,A:A,F:F)</f>
        <v>#NAME?</v>
      </c>
      <c r="AM505" s="15" t="e">
        <f aca="false">_xlfn.xlookup(AK505,A:A,J:J)</f>
        <v>#NAME?</v>
      </c>
      <c r="AN505" s="15" t="e">
        <f aca="false">_xlfn.xlookup(AK505,A:A,M:M)+_xlfn.xlookup(AK505,A:A,N:N)</f>
        <v>#NAME?</v>
      </c>
      <c r="AO505" s="223" t="e">
        <f aca="false">_xlfn.xlookup(AK505,A:A,AG:AG)</f>
        <v>#NAME?</v>
      </c>
      <c r="AP505" s="223" t="e">
        <f aca="false">_xlfn.xlookup(AK505,A:A,AD:AD)</f>
        <v>#NAME?</v>
      </c>
      <c r="AQ505" s="223" t="e">
        <f aca="false">_xlfn.xlookup(AK505,A:A,AE:AE)</f>
        <v>#NAME?</v>
      </c>
      <c r="BB505" s="15" t="e">
        <f aca="false">_xlfn.xlookup(BA505,A:A,E:E)</f>
        <v>#NAME?</v>
      </c>
      <c r="BC505" s="15" t="e">
        <f aca="false">_xlfn.xlookup(BA505,A:A,J:J)</f>
        <v>#NAME?</v>
      </c>
      <c r="BD505" s="75" t="e">
        <f aca="false">_xlfn.xlookup(BA505,A:A,M:M)+_xlfn.xlookup(BA505,A:A,N:N)</f>
        <v>#NAME?</v>
      </c>
    </row>
    <row r="506" customFormat="false" ht="14.25" hidden="false" customHeight="false" outlineLevel="0" collapsed="false">
      <c r="AK506" s="15" t="e">
        <v>#NAME?</v>
      </c>
      <c r="AL506" s="15" t="e">
        <f aca="false">_xlfn.xlookup(AK506,A:A,F:F)</f>
        <v>#NAME?</v>
      </c>
      <c r="AM506" s="15" t="e">
        <f aca="false">_xlfn.xlookup(AK506,A:A,J:J)</f>
        <v>#NAME?</v>
      </c>
      <c r="AN506" s="15" t="e">
        <f aca="false">_xlfn.xlookup(AK506,A:A,M:M)+_xlfn.xlookup(AK506,A:A,N:N)</f>
        <v>#NAME?</v>
      </c>
      <c r="AO506" s="223" t="e">
        <f aca="false">_xlfn.xlookup(AK506,A:A,AG:AG)</f>
        <v>#NAME?</v>
      </c>
      <c r="AP506" s="223" t="e">
        <f aca="false">_xlfn.xlookup(AK506,A:A,AD:AD)</f>
        <v>#NAME?</v>
      </c>
      <c r="AQ506" s="223" t="e">
        <f aca="false">_xlfn.xlookup(AK506,A:A,AE:AE)</f>
        <v>#NAME?</v>
      </c>
      <c r="BB506" s="15" t="e">
        <f aca="false">_xlfn.xlookup(BA506,A:A,E:E)</f>
        <v>#NAME?</v>
      </c>
      <c r="BC506" s="15" t="e">
        <f aca="false">_xlfn.xlookup(BA506,A:A,J:J)</f>
        <v>#NAME?</v>
      </c>
      <c r="BD506" s="75" t="e">
        <f aca="false">_xlfn.xlookup(BA506,A:A,M:M)+_xlfn.xlookup(BA506,A:A,N:N)</f>
        <v>#NAME?</v>
      </c>
    </row>
    <row r="507" customFormat="false" ht="14.25" hidden="false" customHeight="false" outlineLevel="0" collapsed="false">
      <c r="AK507" s="15" t="e">
        <v>#NAME?</v>
      </c>
      <c r="AL507" s="15" t="e">
        <f aca="false">_xlfn.xlookup(AK507,A:A,F:F)</f>
        <v>#NAME?</v>
      </c>
      <c r="AM507" s="15" t="e">
        <f aca="false">_xlfn.xlookup(AK507,A:A,J:J)</f>
        <v>#NAME?</v>
      </c>
      <c r="AN507" s="15" t="e">
        <f aca="false">_xlfn.xlookup(AK507,A:A,M:M)+_xlfn.xlookup(AK507,A:A,N:N)</f>
        <v>#NAME?</v>
      </c>
      <c r="AO507" s="223" t="e">
        <f aca="false">_xlfn.xlookup(AK507,A:A,AG:AG)</f>
        <v>#NAME?</v>
      </c>
      <c r="AP507" s="223" t="e">
        <f aca="false">_xlfn.xlookup(AK507,A:A,AD:AD)</f>
        <v>#NAME?</v>
      </c>
      <c r="AQ507" s="223" t="e">
        <f aca="false">_xlfn.xlookup(AK507,A:A,AE:AE)</f>
        <v>#NAME?</v>
      </c>
      <c r="BB507" s="15" t="e">
        <f aca="false">_xlfn.xlookup(BA507,A:A,E:E)</f>
        <v>#NAME?</v>
      </c>
      <c r="BC507" s="15" t="e">
        <f aca="false">_xlfn.xlookup(BA507,A:A,J:J)</f>
        <v>#NAME?</v>
      </c>
      <c r="BD507" s="75" t="e">
        <f aca="false">_xlfn.xlookup(BA507,A:A,M:M)+_xlfn.xlookup(BA507,A:A,N:N)</f>
        <v>#NAME?</v>
      </c>
    </row>
    <row r="508" customFormat="false" ht="14.25" hidden="false" customHeight="false" outlineLevel="0" collapsed="false">
      <c r="AK508" s="15" t="e">
        <v>#NAME?</v>
      </c>
      <c r="AL508" s="15" t="e">
        <f aca="false">_xlfn.xlookup(AK508,A:A,F:F)</f>
        <v>#NAME?</v>
      </c>
      <c r="AM508" s="15" t="e">
        <f aca="false">_xlfn.xlookup(AK508,A:A,J:J)</f>
        <v>#NAME?</v>
      </c>
      <c r="AN508" s="15" t="e">
        <f aca="false">_xlfn.xlookup(AK508,A:A,M:M)+_xlfn.xlookup(AK508,A:A,N:N)</f>
        <v>#NAME?</v>
      </c>
      <c r="AO508" s="223" t="e">
        <f aca="false">_xlfn.xlookup(AK508,A:A,AG:AG)</f>
        <v>#NAME?</v>
      </c>
      <c r="AP508" s="223" t="e">
        <f aca="false">_xlfn.xlookup(AK508,A:A,AD:AD)</f>
        <v>#NAME?</v>
      </c>
      <c r="AQ508" s="223" t="e">
        <f aca="false">_xlfn.xlookup(AK508,A:A,AE:AE)</f>
        <v>#NAME?</v>
      </c>
      <c r="BB508" s="15" t="e">
        <f aca="false">_xlfn.xlookup(BA508,A:A,E:E)</f>
        <v>#NAME?</v>
      </c>
      <c r="BC508" s="15" t="e">
        <f aca="false">_xlfn.xlookup(BA508,A:A,J:J)</f>
        <v>#NAME?</v>
      </c>
      <c r="BD508" s="75" t="e">
        <f aca="false">_xlfn.xlookup(BA508,A:A,M:M)+_xlfn.xlookup(BA508,A:A,N:N)</f>
        <v>#NAME?</v>
      </c>
    </row>
    <row r="509" customFormat="false" ht="14.25" hidden="false" customHeight="false" outlineLevel="0" collapsed="false">
      <c r="AK509" s="15" t="e">
        <v>#NAME?</v>
      </c>
      <c r="AL509" s="15" t="e">
        <f aca="false">_xlfn.xlookup(AK509,A:A,F:F)</f>
        <v>#NAME?</v>
      </c>
      <c r="AM509" s="15" t="e">
        <f aca="false">_xlfn.xlookup(AK509,A:A,J:J)</f>
        <v>#NAME?</v>
      </c>
      <c r="AN509" s="15" t="e">
        <f aca="false">_xlfn.xlookup(AK509,A:A,M:M)+_xlfn.xlookup(AK509,A:A,N:N)</f>
        <v>#NAME?</v>
      </c>
      <c r="AO509" s="223" t="e">
        <f aca="false">_xlfn.xlookup(AK509,A:A,AG:AG)</f>
        <v>#NAME?</v>
      </c>
      <c r="AP509" s="223" t="e">
        <f aca="false">_xlfn.xlookup(AK509,A:A,AD:AD)</f>
        <v>#NAME?</v>
      </c>
      <c r="AQ509" s="223" t="e">
        <f aca="false">_xlfn.xlookup(AK509,A:A,AE:AE)</f>
        <v>#NAME?</v>
      </c>
      <c r="BB509" s="15" t="e">
        <f aca="false">_xlfn.xlookup(BA509,A:A,E:E)</f>
        <v>#NAME?</v>
      </c>
      <c r="BC509" s="15" t="e">
        <f aca="false">_xlfn.xlookup(BA509,A:A,J:J)</f>
        <v>#NAME?</v>
      </c>
      <c r="BD509" s="75" t="e">
        <f aca="false">_xlfn.xlookup(BA509,A:A,M:M)+_xlfn.xlookup(BA509,A:A,N:N)</f>
        <v>#NAME?</v>
      </c>
    </row>
    <row r="510" customFormat="false" ht="14.25" hidden="false" customHeight="false" outlineLevel="0" collapsed="false">
      <c r="AK510" s="15" t="e">
        <v>#NAME?</v>
      </c>
      <c r="AL510" s="15" t="e">
        <f aca="false">_xlfn.xlookup(AK510,A:A,F:F)</f>
        <v>#NAME?</v>
      </c>
      <c r="AM510" s="15" t="e">
        <f aca="false">_xlfn.xlookup(AK510,A:A,J:J)</f>
        <v>#NAME?</v>
      </c>
      <c r="AN510" s="15" t="e">
        <f aca="false">_xlfn.xlookup(AK510,A:A,M:M)+_xlfn.xlookup(AK510,A:A,N:N)</f>
        <v>#NAME?</v>
      </c>
      <c r="AO510" s="223" t="e">
        <f aca="false">_xlfn.xlookup(AK510,A:A,AG:AG)</f>
        <v>#NAME?</v>
      </c>
      <c r="AP510" s="223" t="e">
        <f aca="false">_xlfn.xlookup(AK510,A:A,AD:AD)</f>
        <v>#NAME?</v>
      </c>
      <c r="AQ510" s="223" t="e">
        <f aca="false">_xlfn.xlookup(AK510,A:A,AE:AE)</f>
        <v>#NAME?</v>
      </c>
      <c r="BB510" s="15" t="e">
        <f aca="false">_xlfn.xlookup(BA510,A:A,E:E)</f>
        <v>#NAME?</v>
      </c>
      <c r="BC510" s="15" t="e">
        <f aca="false">_xlfn.xlookup(BA510,A:A,J:J)</f>
        <v>#NAME?</v>
      </c>
      <c r="BD510" s="75" t="e">
        <f aca="false">_xlfn.xlookup(BA510,A:A,M:M)+_xlfn.xlookup(BA510,A:A,N:N)</f>
        <v>#NAME?</v>
      </c>
    </row>
    <row r="511" customFormat="false" ht="14.25" hidden="false" customHeight="false" outlineLevel="0" collapsed="false">
      <c r="AK511" s="15" t="e">
        <v>#NAME?</v>
      </c>
      <c r="AL511" s="15" t="e">
        <f aca="false">_xlfn.xlookup(AK511,A:A,F:F)</f>
        <v>#NAME?</v>
      </c>
      <c r="AM511" s="15" t="e">
        <f aca="false">_xlfn.xlookup(AK511,A:A,J:J)</f>
        <v>#NAME?</v>
      </c>
      <c r="AN511" s="15" t="e">
        <f aca="false">_xlfn.xlookup(AK511,A:A,M:M)+_xlfn.xlookup(AK511,A:A,N:N)</f>
        <v>#NAME?</v>
      </c>
      <c r="AO511" s="223" t="e">
        <f aca="false">_xlfn.xlookup(AK511,A:A,AG:AG)</f>
        <v>#NAME?</v>
      </c>
      <c r="AP511" s="223" t="e">
        <f aca="false">_xlfn.xlookup(AK511,A:A,AD:AD)</f>
        <v>#NAME?</v>
      </c>
      <c r="AQ511" s="223" t="e">
        <f aca="false">_xlfn.xlookup(AK511,A:A,AE:AE)</f>
        <v>#NAME?</v>
      </c>
      <c r="BB511" s="15" t="e">
        <f aca="false">_xlfn.xlookup(BA511,A:A,E:E)</f>
        <v>#NAME?</v>
      </c>
      <c r="BC511" s="15" t="e">
        <f aca="false">_xlfn.xlookup(BA511,A:A,J:J)</f>
        <v>#NAME?</v>
      </c>
      <c r="BD511" s="75" t="e">
        <f aca="false">_xlfn.xlookup(BA511,A:A,M:M)+_xlfn.xlookup(BA511,A:A,N:N)</f>
        <v>#NAME?</v>
      </c>
    </row>
    <row r="512" customFormat="false" ht="14.25" hidden="false" customHeight="false" outlineLevel="0" collapsed="false">
      <c r="AK512" s="15" t="e">
        <v>#NAME?</v>
      </c>
      <c r="AL512" s="15" t="e">
        <f aca="false">_xlfn.xlookup(AK512,A:A,F:F)</f>
        <v>#NAME?</v>
      </c>
      <c r="AM512" s="15" t="e">
        <f aca="false">_xlfn.xlookup(AK512,A:A,J:J)</f>
        <v>#NAME?</v>
      </c>
      <c r="AN512" s="15" t="e">
        <f aca="false">_xlfn.xlookup(AK512,A:A,M:M)+_xlfn.xlookup(AK512,A:A,N:N)</f>
        <v>#NAME?</v>
      </c>
      <c r="AO512" s="223" t="e">
        <f aca="false">_xlfn.xlookup(AK512,A:A,AG:AG)</f>
        <v>#NAME?</v>
      </c>
      <c r="AP512" s="223" t="e">
        <f aca="false">_xlfn.xlookup(AK512,A:A,AD:AD)</f>
        <v>#NAME?</v>
      </c>
      <c r="AQ512" s="223" t="e">
        <f aca="false">_xlfn.xlookup(AK512,A:A,AE:AE)</f>
        <v>#NAME?</v>
      </c>
      <c r="BB512" s="15" t="e">
        <f aca="false">_xlfn.xlookup(BA512,A:A,E:E)</f>
        <v>#NAME?</v>
      </c>
      <c r="BC512" s="15" t="e">
        <f aca="false">_xlfn.xlookup(BA512,A:A,J:J)</f>
        <v>#NAME?</v>
      </c>
      <c r="BD512" s="75" t="e">
        <f aca="false">_xlfn.xlookup(BA512,A:A,M:M)+_xlfn.xlookup(BA512,A:A,N:N)</f>
        <v>#NAME?</v>
      </c>
    </row>
    <row r="513" customFormat="false" ht="14.25" hidden="false" customHeight="false" outlineLevel="0" collapsed="false">
      <c r="AK513" s="15" t="e">
        <v>#NAME?</v>
      </c>
      <c r="AL513" s="15" t="e">
        <f aca="false">_xlfn.xlookup(AK513,A:A,F:F)</f>
        <v>#NAME?</v>
      </c>
      <c r="AM513" s="15" t="e">
        <f aca="false">_xlfn.xlookup(AK513,A:A,J:J)</f>
        <v>#NAME?</v>
      </c>
      <c r="AN513" s="15" t="e">
        <f aca="false">_xlfn.xlookup(AK513,A:A,M:M)+_xlfn.xlookup(AK513,A:A,N:N)</f>
        <v>#NAME?</v>
      </c>
      <c r="AO513" s="223" t="e">
        <f aca="false">_xlfn.xlookup(AK513,A:A,AG:AG)</f>
        <v>#NAME?</v>
      </c>
      <c r="AP513" s="223" t="e">
        <f aca="false">_xlfn.xlookup(AK513,A:A,AD:AD)</f>
        <v>#NAME?</v>
      </c>
      <c r="AQ513" s="223" t="e">
        <f aca="false">_xlfn.xlookup(AK513,A:A,AE:AE)</f>
        <v>#NAME?</v>
      </c>
      <c r="BB513" s="15" t="e">
        <f aca="false">_xlfn.xlookup(BA513,A:A,E:E)</f>
        <v>#NAME?</v>
      </c>
      <c r="BC513" s="15" t="e">
        <f aca="false">_xlfn.xlookup(BA513,A:A,J:J)</f>
        <v>#NAME?</v>
      </c>
      <c r="BD513" s="75" t="e">
        <f aca="false">_xlfn.xlookup(BA513,A:A,M:M)+_xlfn.xlookup(BA513,A:A,N:N)</f>
        <v>#NAME?</v>
      </c>
    </row>
    <row r="514" customFormat="false" ht="14.25" hidden="false" customHeight="false" outlineLevel="0" collapsed="false">
      <c r="AK514" s="15" t="e">
        <v>#NAME?</v>
      </c>
      <c r="AL514" s="15" t="e">
        <f aca="false">_xlfn.xlookup(AK514,A:A,F:F)</f>
        <v>#NAME?</v>
      </c>
      <c r="AM514" s="15" t="e">
        <f aca="false">_xlfn.xlookup(AK514,A:A,J:J)</f>
        <v>#NAME?</v>
      </c>
      <c r="AN514" s="15" t="e">
        <f aca="false">_xlfn.xlookup(AK514,A:A,M:M)+_xlfn.xlookup(AK514,A:A,N:N)</f>
        <v>#NAME?</v>
      </c>
      <c r="AO514" s="223" t="e">
        <f aca="false">_xlfn.xlookup(AK514,A:A,AG:AG)</f>
        <v>#NAME?</v>
      </c>
      <c r="AP514" s="223" t="e">
        <f aca="false">_xlfn.xlookup(AK514,A:A,AD:AD)</f>
        <v>#NAME?</v>
      </c>
      <c r="AQ514" s="223" t="e">
        <f aca="false">_xlfn.xlookup(AK514,A:A,AE:AE)</f>
        <v>#NAME?</v>
      </c>
      <c r="BB514" s="15" t="e">
        <f aca="false">_xlfn.xlookup(BA514,A:A,E:E)</f>
        <v>#NAME?</v>
      </c>
      <c r="BC514" s="15" t="e">
        <f aca="false">_xlfn.xlookup(BA514,A:A,J:J)</f>
        <v>#NAME?</v>
      </c>
      <c r="BD514" s="75" t="e">
        <f aca="false">_xlfn.xlookup(BA514,A:A,M:M)+_xlfn.xlookup(BA514,A:A,N:N)</f>
        <v>#NAME?</v>
      </c>
    </row>
    <row r="515" customFormat="false" ht="14.25" hidden="false" customHeight="false" outlineLevel="0" collapsed="false">
      <c r="AK515" s="15" t="e">
        <v>#NAME?</v>
      </c>
      <c r="AL515" s="15" t="e">
        <f aca="false">_xlfn.xlookup(AK515,A:A,F:F)</f>
        <v>#NAME?</v>
      </c>
      <c r="AM515" s="15" t="e">
        <f aca="false">_xlfn.xlookup(AK515,A:A,J:J)</f>
        <v>#NAME?</v>
      </c>
      <c r="AN515" s="15" t="e">
        <f aca="false">_xlfn.xlookup(AK515,A:A,M:M)+_xlfn.xlookup(AK515,A:A,N:N)</f>
        <v>#NAME?</v>
      </c>
      <c r="AO515" s="223" t="e">
        <f aca="false">_xlfn.xlookup(AK515,A:A,AG:AG)</f>
        <v>#NAME?</v>
      </c>
      <c r="AP515" s="223" t="e">
        <f aca="false">_xlfn.xlookup(AK515,A:A,AD:AD)</f>
        <v>#NAME?</v>
      </c>
      <c r="AQ515" s="223" t="e">
        <f aca="false">_xlfn.xlookup(AK515,A:A,AE:AE)</f>
        <v>#NAME?</v>
      </c>
      <c r="BB515" s="15" t="e">
        <f aca="false">_xlfn.xlookup(BA515,A:A,E:E)</f>
        <v>#NAME?</v>
      </c>
      <c r="BC515" s="15" t="e">
        <f aca="false">_xlfn.xlookup(BA515,A:A,J:J)</f>
        <v>#NAME?</v>
      </c>
      <c r="BD515" s="75" t="e">
        <f aca="false">_xlfn.xlookup(BA515,A:A,M:M)+_xlfn.xlookup(BA515,A:A,N:N)</f>
        <v>#NAME?</v>
      </c>
    </row>
    <row r="516" customFormat="false" ht="14.25" hidden="false" customHeight="false" outlineLevel="0" collapsed="false">
      <c r="AK516" s="15" t="e">
        <v>#NAME?</v>
      </c>
      <c r="AL516" s="15" t="e">
        <f aca="false">_xlfn.xlookup(AK516,A:A,F:F)</f>
        <v>#NAME?</v>
      </c>
      <c r="AM516" s="15" t="e">
        <f aca="false">_xlfn.xlookup(AK516,A:A,J:J)</f>
        <v>#NAME?</v>
      </c>
      <c r="AN516" s="15" t="e">
        <f aca="false">_xlfn.xlookup(AK516,A:A,M:M)+_xlfn.xlookup(AK516,A:A,N:N)</f>
        <v>#NAME?</v>
      </c>
      <c r="AO516" s="223" t="e">
        <f aca="false">_xlfn.xlookup(AK516,A:A,AG:AG)</f>
        <v>#NAME?</v>
      </c>
      <c r="AP516" s="223" t="e">
        <f aca="false">_xlfn.xlookup(AK516,A:A,AD:AD)</f>
        <v>#NAME?</v>
      </c>
      <c r="AQ516" s="223" t="e">
        <f aca="false">_xlfn.xlookup(AK516,A:A,AE:AE)</f>
        <v>#NAME?</v>
      </c>
      <c r="BB516" s="15" t="e">
        <f aca="false">_xlfn.xlookup(BA516,A:A,E:E)</f>
        <v>#NAME?</v>
      </c>
      <c r="BC516" s="15" t="e">
        <f aca="false">_xlfn.xlookup(BA516,A:A,J:J)</f>
        <v>#NAME?</v>
      </c>
      <c r="BD516" s="75" t="e">
        <f aca="false">_xlfn.xlookup(BA516,A:A,M:M)+_xlfn.xlookup(BA516,A:A,N:N)</f>
        <v>#NAME?</v>
      </c>
    </row>
    <row r="517" customFormat="false" ht="14.25" hidden="false" customHeight="false" outlineLevel="0" collapsed="false">
      <c r="AK517" s="15" t="e">
        <v>#NAME?</v>
      </c>
      <c r="AL517" s="15" t="e">
        <f aca="false">_xlfn.xlookup(AK517,A:A,F:F)</f>
        <v>#NAME?</v>
      </c>
      <c r="AM517" s="15" t="e">
        <f aca="false">_xlfn.xlookup(AK517,A:A,J:J)</f>
        <v>#NAME?</v>
      </c>
      <c r="AN517" s="15" t="e">
        <f aca="false">_xlfn.xlookup(AK517,A:A,M:M)+_xlfn.xlookup(AK517,A:A,N:N)</f>
        <v>#NAME?</v>
      </c>
      <c r="AO517" s="223" t="e">
        <f aca="false">_xlfn.xlookup(AK517,A:A,AG:AG)</f>
        <v>#NAME?</v>
      </c>
      <c r="AP517" s="223" t="e">
        <f aca="false">_xlfn.xlookup(AK517,A:A,AD:AD)</f>
        <v>#NAME?</v>
      </c>
      <c r="AQ517" s="223" t="e">
        <f aca="false">_xlfn.xlookup(AK517,A:A,AE:AE)</f>
        <v>#NAME?</v>
      </c>
      <c r="BB517" s="15" t="e">
        <f aca="false">_xlfn.xlookup(BA517,A:A,E:E)</f>
        <v>#NAME?</v>
      </c>
      <c r="BC517" s="15" t="e">
        <f aca="false">_xlfn.xlookup(BA517,A:A,J:J)</f>
        <v>#NAME?</v>
      </c>
      <c r="BD517" s="75" t="e">
        <f aca="false">_xlfn.xlookup(BA517,A:A,M:M)+_xlfn.xlookup(BA517,A:A,N:N)</f>
        <v>#NAME?</v>
      </c>
    </row>
    <row r="518" customFormat="false" ht="14.25" hidden="false" customHeight="false" outlineLevel="0" collapsed="false">
      <c r="AK518" s="15" t="e">
        <v>#NAME?</v>
      </c>
      <c r="AL518" s="15" t="e">
        <f aca="false">_xlfn.xlookup(AK518,A:A,F:F)</f>
        <v>#NAME?</v>
      </c>
      <c r="AM518" s="15" t="e">
        <f aca="false">_xlfn.xlookup(AK518,A:A,J:J)</f>
        <v>#NAME?</v>
      </c>
      <c r="AN518" s="15" t="e">
        <f aca="false">_xlfn.xlookup(AK518,A:A,M:M)+_xlfn.xlookup(AK518,A:A,N:N)</f>
        <v>#NAME?</v>
      </c>
      <c r="AO518" s="223" t="e">
        <f aca="false">_xlfn.xlookup(AK518,A:A,AG:AG)</f>
        <v>#NAME?</v>
      </c>
      <c r="AP518" s="223" t="e">
        <f aca="false">_xlfn.xlookup(AK518,A:A,AD:AD)</f>
        <v>#NAME?</v>
      </c>
      <c r="AQ518" s="223" t="e">
        <f aca="false">_xlfn.xlookup(AK518,A:A,AE:AE)</f>
        <v>#NAME?</v>
      </c>
      <c r="BB518" s="15" t="e">
        <f aca="false">_xlfn.xlookup(BA518,A:A,E:E)</f>
        <v>#NAME?</v>
      </c>
      <c r="BC518" s="15" t="e">
        <f aca="false">_xlfn.xlookup(BA518,A:A,J:J)</f>
        <v>#NAME?</v>
      </c>
      <c r="BD518" s="75" t="e">
        <f aca="false">_xlfn.xlookup(BA518,A:A,M:M)+_xlfn.xlookup(BA518,A:A,N:N)</f>
        <v>#NAME?</v>
      </c>
    </row>
    <row r="519" customFormat="false" ht="14.25" hidden="false" customHeight="false" outlineLevel="0" collapsed="false">
      <c r="AK519" s="15" t="e">
        <v>#NAME?</v>
      </c>
      <c r="AL519" s="15" t="e">
        <f aca="false">_xlfn.xlookup(AK519,A:A,F:F)</f>
        <v>#NAME?</v>
      </c>
      <c r="AM519" s="15" t="e">
        <f aca="false">_xlfn.xlookup(AK519,A:A,J:J)</f>
        <v>#NAME?</v>
      </c>
      <c r="AN519" s="15" t="e">
        <f aca="false">_xlfn.xlookup(AK519,A:A,M:M)+_xlfn.xlookup(AK519,A:A,N:N)</f>
        <v>#NAME?</v>
      </c>
      <c r="AO519" s="223" t="e">
        <f aca="false">_xlfn.xlookup(AK519,A:A,AG:AG)</f>
        <v>#NAME?</v>
      </c>
      <c r="AP519" s="223" t="e">
        <f aca="false">_xlfn.xlookup(AK519,A:A,AD:AD)</f>
        <v>#NAME?</v>
      </c>
      <c r="AQ519" s="223" t="e">
        <f aca="false">_xlfn.xlookup(AK519,A:A,AE:AE)</f>
        <v>#NAME?</v>
      </c>
      <c r="BB519" s="15" t="e">
        <f aca="false">_xlfn.xlookup(BA519,A:A,E:E)</f>
        <v>#NAME?</v>
      </c>
      <c r="BC519" s="15" t="e">
        <f aca="false">_xlfn.xlookup(BA519,A:A,J:J)</f>
        <v>#NAME?</v>
      </c>
      <c r="BD519" s="75" t="e">
        <f aca="false">_xlfn.xlookup(BA519,A:A,M:M)+_xlfn.xlookup(BA519,A:A,N:N)</f>
        <v>#NAME?</v>
      </c>
    </row>
    <row r="520" customFormat="false" ht="14.25" hidden="false" customHeight="false" outlineLevel="0" collapsed="false">
      <c r="AK520" s="15" t="e">
        <v>#NAME?</v>
      </c>
      <c r="AL520" s="15" t="e">
        <f aca="false">_xlfn.xlookup(AK520,A:A,F:F)</f>
        <v>#NAME?</v>
      </c>
      <c r="AM520" s="15" t="e">
        <f aca="false">_xlfn.xlookup(AK520,A:A,J:J)</f>
        <v>#NAME?</v>
      </c>
      <c r="AN520" s="15" t="e">
        <f aca="false">_xlfn.xlookup(AK520,A:A,M:M)+_xlfn.xlookup(AK520,A:A,N:N)</f>
        <v>#NAME?</v>
      </c>
      <c r="AO520" s="223" t="e">
        <f aca="false">_xlfn.xlookup(AK520,A:A,AG:AG)</f>
        <v>#NAME?</v>
      </c>
      <c r="AP520" s="223" t="e">
        <f aca="false">_xlfn.xlookup(AK520,A:A,AD:AD)</f>
        <v>#NAME?</v>
      </c>
      <c r="AQ520" s="223" t="e">
        <f aca="false">_xlfn.xlookup(AK520,A:A,AE:AE)</f>
        <v>#NAME?</v>
      </c>
      <c r="BB520" s="15" t="e">
        <f aca="false">_xlfn.xlookup(BA520,A:A,E:E)</f>
        <v>#NAME?</v>
      </c>
      <c r="BC520" s="15" t="e">
        <f aca="false">_xlfn.xlookup(BA520,A:A,J:J)</f>
        <v>#NAME?</v>
      </c>
      <c r="BD520" s="75" t="e">
        <f aca="false">_xlfn.xlookup(BA520,A:A,M:M)+_xlfn.xlookup(BA520,A:A,N:N)</f>
        <v>#NAME?</v>
      </c>
    </row>
    <row r="521" customFormat="false" ht="14.25" hidden="false" customHeight="false" outlineLevel="0" collapsed="false">
      <c r="AK521" s="15" t="e">
        <v>#NAME?</v>
      </c>
      <c r="AL521" s="15" t="e">
        <f aca="false">_xlfn.xlookup(AK521,A:A,F:F)</f>
        <v>#NAME?</v>
      </c>
      <c r="AM521" s="15" t="e">
        <f aca="false">_xlfn.xlookup(AK521,A:A,J:J)</f>
        <v>#NAME?</v>
      </c>
      <c r="AN521" s="15" t="e">
        <f aca="false">_xlfn.xlookup(AK521,A:A,M:M)+_xlfn.xlookup(AK521,A:A,N:N)</f>
        <v>#NAME?</v>
      </c>
      <c r="AO521" s="223" t="e">
        <f aca="false">_xlfn.xlookup(AK521,A:A,AG:AG)</f>
        <v>#NAME?</v>
      </c>
      <c r="AP521" s="223" t="e">
        <f aca="false">_xlfn.xlookup(AK521,A:A,AD:AD)</f>
        <v>#NAME?</v>
      </c>
      <c r="AQ521" s="223" t="e">
        <f aca="false">_xlfn.xlookup(AK521,A:A,AE:AE)</f>
        <v>#NAME?</v>
      </c>
      <c r="BB521" s="15" t="e">
        <f aca="false">_xlfn.xlookup(BA521,A:A,E:E)</f>
        <v>#NAME?</v>
      </c>
      <c r="BC521" s="15" t="e">
        <f aca="false">_xlfn.xlookup(BA521,A:A,J:J)</f>
        <v>#NAME?</v>
      </c>
      <c r="BD521" s="75" t="e">
        <f aca="false">_xlfn.xlookup(BA521,A:A,M:M)+_xlfn.xlookup(BA521,A:A,N:N)</f>
        <v>#NAME?</v>
      </c>
    </row>
    <row r="522" customFormat="false" ht="14.25" hidden="false" customHeight="false" outlineLevel="0" collapsed="false">
      <c r="AK522" s="15" t="e">
        <v>#NAME?</v>
      </c>
      <c r="AL522" s="15" t="e">
        <f aca="false">_xlfn.xlookup(AK522,A:A,F:F)</f>
        <v>#NAME?</v>
      </c>
      <c r="AM522" s="15" t="e">
        <f aca="false">_xlfn.xlookup(AK522,A:A,J:J)</f>
        <v>#NAME?</v>
      </c>
      <c r="AN522" s="15" t="e">
        <f aca="false">_xlfn.xlookup(AK522,A:A,M:M)+_xlfn.xlookup(AK522,A:A,N:N)</f>
        <v>#NAME?</v>
      </c>
      <c r="AO522" s="223" t="e">
        <f aca="false">_xlfn.xlookup(AK522,A:A,AG:AG)</f>
        <v>#NAME?</v>
      </c>
      <c r="AP522" s="223" t="e">
        <f aca="false">_xlfn.xlookup(AK522,A:A,AD:AD)</f>
        <v>#NAME?</v>
      </c>
      <c r="AQ522" s="223" t="e">
        <f aca="false">_xlfn.xlookup(AK522,A:A,AE:AE)</f>
        <v>#NAME?</v>
      </c>
      <c r="BB522" s="15" t="e">
        <f aca="false">_xlfn.xlookup(BA522,A:A,E:E)</f>
        <v>#NAME?</v>
      </c>
      <c r="BC522" s="15" t="e">
        <f aca="false">_xlfn.xlookup(BA522,A:A,J:J)</f>
        <v>#NAME?</v>
      </c>
      <c r="BD522" s="75" t="e">
        <f aca="false">_xlfn.xlookup(BA522,A:A,M:M)+_xlfn.xlookup(BA522,A:A,N:N)</f>
        <v>#NAME?</v>
      </c>
    </row>
    <row r="523" customFormat="false" ht="14.25" hidden="false" customHeight="false" outlineLevel="0" collapsed="false">
      <c r="AK523" s="15" t="e">
        <v>#NAME?</v>
      </c>
      <c r="AL523" s="15" t="e">
        <f aca="false">_xlfn.xlookup(AK523,A:A,F:F)</f>
        <v>#NAME?</v>
      </c>
      <c r="AM523" s="15" t="e">
        <f aca="false">_xlfn.xlookup(AK523,A:A,J:J)</f>
        <v>#NAME?</v>
      </c>
      <c r="AN523" s="15" t="e">
        <f aca="false">_xlfn.xlookup(AK523,A:A,M:M)+_xlfn.xlookup(AK523,A:A,N:N)</f>
        <v>#NAME?</v>
      </c>
      <c r="AO523" s="223" t="e">
        <f aca="false">_xlfn.xlookup(AK523,A:A,AG:AG)</f>
        <v>#NAME?</v>
      </c>
      <c r="AP523" s="223" t="e">
        <f aca="false">_xlfn.xlookup(AK523,A:A,AD:AD)</f>
        <v>#NAME?</v>
      </c>
      <c r="AQ523" s="223" t="e">
        <f aca="false">_xlfn.xlookup(AK523,A:A,AE:AE)</f>
        <v>#NAME?</v>
      </c>
      <c r="BB523" s="15" t="e">
        <f aca="false">_xlfn.xlookup(BA523,A:A,E:E)</f>
        <v>#NAME?</v>
      </c>
      <c r="BC523" s="15" t="e">
        <f aca="false">_xlfn.xlookup(BA523,A:A,J:J)</f>
        <v>#NAME?</v>
      </c>
      <c r="BD523" s="75" t="e">
        <f aca="false">_xlfn.xlookup(BA523,A:A,M:M)+_xlfn.xlookup(BA523,A:A,N:N)</f>
        <v>#NAME?</v>
      </c>
    </row>
    <row r="524" customFormat="false" ht="14.25" hidden="false" customHeight="false" outlineLevel="0" collapsed="false">
      <c r="AK524" s="15" t="e">
        <v>#NAME?</v>
      </c>
      <c r="AL524" s="15" t="e">
        <f aca="false">_xlfn.xlookup(AK524,A:A,F:F)</f>
        <v>#NAME?</v>
      </c>
      <c r="AM524" s="15" t="e">
        <f aca="false">_xlfn.xlookup(AK524,A:A,J:J)</f>
        <v>#NAME?</v>
      </c>
      <c r="AN524" s="15" t="e">
        <f aca="false">_xlfn.xlookup(AK524,A:A,M:M)+_xlfn.xlookup(AK524,A:A,N:N)</f>
        <v>#NAME?</v>
      </c>
      <c r="AO524" s="223" t="e">
        <f aca="false">_xlfn.xlookup(AK524,A:A,AG:AG)</f>
        <v>#NAME?</v>
      </c>
      <c r="AP524" s="223" t="e">
        <f aca="false">_xlfn.xlookup(AK524,A:A,AD:AD)</f>
        <v>#NAME?</v>
      </c>
      <c r="AQ524" s="223" t="e">
        <f aca="false">_xlfn.xlookup(AK524,A:A,AE:AE)</f>
        <v>#NAME?</v>
      </c>
      <c r="BB524" s="15" t="e">
        <f aca="false">_xlfn.xlookup(BA524,A:A,E:E)</f>
        <v>#NAME?</v>
      </c>
      <c r="BC524" s="15" t="e">
        <f aca="false">_xlfn.xlookup(BA524,A:A,J:J)</f>
        <v>#NAME?</v>
      </c>
      <c r="BD524" s="75" t="e">
        <f aca="false">_xlfn.xlookup(BA524,A:A,M:M)+_xlfn.xlookup(BA524,A:A,N:N)</f>
        <v>#NAME?</v>
      </c>
    </row>
    <row r="525" customFormat="false" ht="14.25" hidden="false" customHeight="false" outlineLevel="0" collapsed="false">
      <c r="AK525" s="15" t="e">
        <v>#NAME?</v>
      </c>
      <c r="AL525" s="15" t="e">
        <f aca="false">_xlfn.xlookup(AK525,A:A,F:F)</f>
        <v>#NAME?</v>
      </c>
      <c r="AM525" s="15" t="e">
        <f aca="false">_xlfn.xlookup(AK525,A:A,J:J)</f>
        <v>#NAME?</v>
      </c>
      <c r="AN525" s="15" t="e">
        <f aca="false">_xlfn.xlookup(AK525,A:A,M:M)+_xlfn.xlookup(AK525,A:A,N:N)</f>
        <v>#NAME?</v>
      </c>
      <c r="AO525" s="223" t="e">
        <f aca="false">_xlfn.xlookup(AK525,A:A,AG:AG)</f>
        <v>#NAME?</v>
      </c>
      <c r="AP525" s="223" t="e">
        <f aca="false">_xlfn.xlookup(AK525,A:A,AD:AD)</f>
        <v>#NAME?</v>
      </c>
      <c r="AQ525" s="223" t="e">
        <f aca="false">_xlfn.xlookup(AK525,A:A,AE:AE)</f>
        <v>#NAME?</v>
      </c>
      <c r="BB525" s="15" t="e">
        <f aca="false">_xlfn.xlookup(BA525,A:A,E:E)</f>
        <v>#NAME?</v>
      </c>
      <c r="BC525" s="15" t="e">
        <f aca="false">_xlfn.xlookup(BA525,A:A,J:J)</f>
        <v>#NAME?</v>
      </c>
      <c r="BD525" s="75" t="e">
        <f aca="false">_xlfn.xlookup(BA525,A:A,M:M)+_xlfn.xlookup(BA525,A:A,N:N)</f>
        <v>#NAME?</v>
      </c>
    </row>
    <row r="526" customFormat="false" ht="14.25" hidden="false" customHeight="false" outlineLevel="0" collapsed="false">
      <c r="AK526" s="15" t="e">
        <v>#NAME?</v>
      </c>
      <c r="AL526" s="15" t="e">
        <f aca="false">_xlfn.xlookup(AK526,A:A,F:F)</f>
        <v>#NAME?</v>
      </c>
      <c r="AM526" s="15" t="e">
        <f aca="false">_xlfn.xlookup(AK526,A:A,J:J)</f>
        <v>#NAME?</v>
      </c>
      <c r="AN526" s="15" t="e">
        <f aca="false">_xlfn.xlookup(AK526,A:A,M:M)+_xlfn.xlookup(AK526,A:A,N:N)</f>
        <v>#NAME?</v>
      </c>
      <c r="AO526" s="223" t="e">
        <f aca="false">_xlfn.xlookup(AK526,A:A,AG:AG)</f>
        <v>#NAME?</v>
      </c>
      <c r="AP526" s="223" t="e">
        <f aca="false">_xlfn.xlookup(AK526,A:A,AD:AD)</f>
        <v>#NAME?</v>
      </c>
      <c r="AQ526" s="223" t="e">
        <f aca="false">_xlfn.xlookup(AK526,A:A,AE:AE)</f>
        <v>#NAME?</v>
      </c>
      <c r="BB526" s="15" t="e">
        <f aca="false">_xlfn.xlookup(BA526,A:A,E:E)</f>
        <v>#NAME?</v>
      </c>
      <c r="BC526" s="15" t="e">
        <f aca="false">_xlfn.xlookup(BA526,A:A,J:J)</f>
        <v>#NAME?</v>
      </c>
      <c r="BD526" s="75" t="e">
        <f aca="false">_xlfn.xlookup(BA526,A:A,M:M)+_xlfn.xlookup(BA526,A:A,N:N)</f>
        <v>#NAME?</v>
      </c>
    </row>
    <row r="527" customFormat="false" ht="14.25" hidden="false" customHeight="false" outlineLevel="0" collapsed="false">
      <c r="AK527" s="15" t="e">
        <v>#NAME?</v>
      </c>
      <c r="AL527" s="15" t="e">
        <f aca="false">_xlfn.xlookup(AK527,A:A,F:F)</f>
        <v>#NAME?</v>
      </c>
      <c r="AM527" s="15" t="e">
        <f aca="false">_xlfn.xlookup(AK527,A:A,J:J)</f>
        <v>#NAME?</v>
      </c>
      <c r="AN527" s="15" t="e">
        <f aca="false">_xlfn.xlookup(AK527,A:A,M:M)+_xlfn.xlookup(AK527,A:A,N:N)</f>
        <v>#NAME?</v>
      </c>
      <c r="AO527" s="223" t="e">
        <f aca="false">_xlfn.xlookup(AK527,A:A,AG:AG)</f>
        <v>#NAME?</v>
      </c>
      <c r="AP527" s="223" t="e">
        <f aca="false">_xlfn.xlookup(AK527,A:A,AD:AD)</f>
        <v>#NAME?</v>
      </c>
      <c r="AQ527" s="223" t="e">
        <f aca="false">_xlfn.xlookup(AK527,A:A,AE:AE)</f>
        <v>#NAME?</v>
      </c>
      <c r="BB527" s="15" t="e">
        <f aca="false">_xlfn.xlookup(BA527,A:A,E:E)</f>
        <v>#NAME?</v>
      </c>
      <c r="BC527" s="15" t="e">
        <f aca="false">_xlfn.xlookup(BA527,A:A,J:J)</f>
        <v>#NAME?</v>
      </c>
      <c r="BD527" s="75" t="e">
        <f aca="false">_xlfn.xlookup(BA527,A:A,M:M)+_xlfn.xlookup(BA527,A:A,N:N)</f>
        <v>#NAME?</v>
      </c>
    </row>
    <row r="528" customFormat="false" ht="14.25" hidden="false" customHeight="false" outlineLevel="0" collapsed="false">
      <c r="AK528" s="15" t="e">
        <v>#NAME?</v>
      </c>
      <c r="AL528" s="15" t="e">
        <f aca="false">_xlfn.xlookup(AK528,A:A,F:F)</f>
        <v>#NAME?</v>
      </c>
      <c r="AM528" s="15" t="e">
        <f aca="false">_xlfn.xlookup(AK528,A:A,J:J)</f>
        <v>#NAME?</v>
      </c>
      <c r="AN528" s="15" t="e">
        <f aca="false">_xlfn.xlookup(AK528,A:A,M:M)+_xlfn.xlookup(AK528,A:A,N:N)</f>
        <v>#NAME?</v>
      </c>
      <c r="AO528" s="223" t="e">
        <f aca="false">_xlfn.xlookup(AK528,A:A,AG:AG)</f>
        <v>#NAME?</v>
      </c>
      <c r="AP528" s="223" t="e">
        <f aca="false">_xlfn.xlookup(AK528,A:A,AD:AD)</f>
        <v>#NAME?</v>
      </c>
      <c r="AQ528" s="223" t="e">
        <f aca="false">_xlfn.xlookup(AK528,A:A,AE:AE)</f>
        <v>#NAME?</v>
      </c>
      <c r="BB528" s="15" t="e">
        <f aca="false">_xlfn.xlookup(BA528,A:A,E:E)</f>
        <v>#NAME?</v>
      </c>
      <c r="BC528" s="15" t="e">
        <f aca="false">_xlfn.xlookup(BA528,A:A,J:J)</f>
        <v>#NAME?</v>
      </c>
      <c r="BD528" s="75" t="e">
        <f aca="false">_xlfn.xlookup(BA528,A:A,M:M)+_xlfn.xlookup(BA528,A:A,N:N)</f>
        <v>#NAME?</v>
      </c>
    </row>
    <row r="529" customFormat="false" ht="14.25" hidden="false" customHeight="false" outlineLevel="0" collapsed="false">
      <c r="AK529" s="15" t="e">
        <v>#NAME?</v>
      </c>
      <c r="AL529" s="15" t="e">
        <f aca="false">_xlfn.xlookup(AK529,A:A,F:F)</f>
        <v>#NAME?</v>
      </c>
      <c r="AM529" s="15" t="e">
        <f aca="false">_xlfn.xlookup(AK529,A:A,J:J)</f>
        <v>#NAME?</v>
      </c>
      <c r="AN529" s="15" t="e">
        <f aca="false">_xlfn.xlookup(AK529,A:A,M:M)+_xlfn.xlookup(AK529,A:A,N:N)</f>
        <v>#NAME?</v>
      </c>
      <c r="AO529" s="223" t="e">
        <f aca="false">_xlfn.xlookup(AK529,A:A,AG:AG)</f>
        <v>#NAME?</v>
      </c>
      <c r="AP529" s="223" t="e">
        <f aca="false">_xlfn.xlookup(AK529,A:A,AD:AD)</f>
        <v>#NAME?</v>
      </c>
      <c r="AQ529" s="223" t="e">
        <f aca="false">_xlfn.xlookup(AK529,A:A,AE:AE)</f>
        <v>#NAME?</v>
      </c>
      <c r="BB529" s="15" t="e">
        <f aca="false">_xlfn.xlookup(BA529,A:A,E:E)</f>
        <v>#NAME?</v>
      </c>
      <c r="BC529" s="15" t="e">
        <f aca="false">_xlfn.xlookup(BA529,A:A,J:J)</f>
        <v>#NAME?</v>
      </c>
      <c r="BD529" s="75" t="e">
        <f aca="false">_xlfn.xlookup(BA529,A:A,M:M)+_xlfn.xlookup(BA529,A:A,N:N)</f>
        <v>#NAME?</v>
      </c>
    </row>
    <row r="530" customFormat="false" ht="14.25" hidden="false" customHeight="false" outlineLevel="0" collapsed="false">
      <c r="AK530" s="15" t="e">
        <v>#NAME?</v>
      </c>
      <c r="AL530" s="15" t="e">
        <f aca="false">_xlfn.xlookup(AK530,A:A,F:F)</f>
        <v>#NAME?</v>
      </c>
      <c r="AM530" s="15" t="e">
        <f aca="false">_xlfn.xlookup(AK530,A:A,J:J)</f>
        <v>#NAME?</v>
      </c>
      <c r="AN530" s="15" t="e">
        <f aca="false">_xlfn.xlookup(AK530,A:A,M:M)+_xlfn.xlookup(AK530,A:A,N:N)</f>
        <v>#NAME?</v>
      </c>
      <c r="AO530" s="223" t="e">
        <f aca="false">_xlfn.xlookup(AK530,A:A,AG:AG)</f>
        <v>#NAME?</v>
      </c>
      <c r="AP530" s="223" t="e">
        <f aca="false">_xlfn.xlookup(AK530,A:A,AD:AD)</f>
        <v>#NAME?</v>
      </c>
      <c r="AQ530" s="223" t="e">
        <f aca="false">_xlfn.xlookup(AK530,A:A,AE:AE)</f>
        <v>#NAME?</v>
      </c>
      <c r="BB530" s="15" t="e">
        <f aca="false">_xlfn.xlookup(BA530,A:A,E:E)</f>
        <v>#NAME?</v>
      </c>
      <c r="BC530" s="15" t="e">
        <f aca="false">_xlfn.xlookup(BA530,A:A,J:J)</f>
        <v>#NAME?</v>
      </c>
      <c r="BD530" s="75" t="e">
        <f aca="false">_xlfn.xlookup(BA530,A:A,M:M)+_xlfn.xlookup(BA530,A:A,N:N)</f>
        <v>#NAME?</v>
      </c>
    </row>
    <row r="531" customFormat="false" ht="14.25" hidden="false" customHeight="false" outlineLevel="0" collapsed="false">
      <c r="AK531" s="15" t="e">
        <v>#NAME?</v>
      </c>
      <c r="AL531" s="15" t="e">
        <f aca="false">_xlfn.xlookup(AK531,A:A,F:F)</f>
        <v>#NAME?</v>
      </c>
      <c r="AM531" s="15" t="e">
        <f aca="false">_xlfn.xlookup(AK531,A:A,J:J)</f>
        <v>#NAME?</v>
      </c>
      <c r="AN531" s="15" t="e">
        <f aca="false">_xlfn.xlookup(AK531,A:A,M:M)+_xlfn.xlookup(AK531,A:A,N:N)</f>
        <v>#NAME?</v>
      </c>
      <c r="AO531" s="223" t="e">
        <f aca="false">_xlfn.xlookup(AK531,A:A,AG:AG)</f>
        <v>#NAME?</v>
      </c>
      <c r="AP531" s="223" t="e">
        <f aca="false">_xlfn.xlookup(AK531,A:A,AD:AD)</f>
        <v>#NAME?</v>
      </c>
      <c r="AQ531" s="223" t="e">
        <f aca="false">_xlfn.xlookup(AK531,A:A,AE:AE)</f>
        <v>#NAME?</v>
      </c>
      <c r="BB531" s="15" t="e">
        <f aca="false">_xlfn.xlookup(BA531,A:A,E:E)</f>
        <v>#NAME?</v>
      </c>
      <c r="BC531" s="15" t="e">
        <f aca="false">_xlfn.xlookup(BA531,A:A,J:J)</f>
        <v>#NAME?</v>
      </c>
      <c r="BD531" s="75" t="e">
        <f aca="false">_xlfn.xlookup(BA531,A:A,M:M)+_xlfn.xlookup(BA531,A:A,N:N)</f>
        <v>#NAME?</v>
      </c>
    </row>
    <row r="532" customFormat="false" ht="14.25" hidden="false" customHeight="false" outlineLevel="0" collapsed="false">
      <c r="AK532" s="15" t="e">
        <v>#NAME?</v>
      </c>
      <c r="AL532" s="15" t="e">
        <f aca="false">_xlfn.xlookup(AK532,A:A,F:F)</f>
        <v>#NAME?</v>
      </c>
      <c r="AM532" s="15" t="e">
        <f aca="false">_xlfn.xlookup(AK532,A:A,J:J)</f>
        <v>#NAME?</v>
      </c>
      <c r="AN532" s="15" t="e">
        <f aca="false">_xlfn.xlookup(AK532,A:A,M:M)+_xlfn.xlookup(AK532,A:A,N:N)</f>
        <v>#NAME?</v>
      </c>
      <c r="AO532" s="223" t="e">
        <f aca="false">_xlfn.xlookup(AK532,A:A,AG:AG)</f>
        <v>#NAME?</v>
      </c>
      <c r="AP532" s="223" t="e">
        <f aca="false">_xlfn.xlookup(AK532,A:A,AD:AD)</f>
        <v>#NAME?</v>
      </c>
      <c r="AQ532" s="223" t="e">
        <f aca="false">_xlfn.xlookup(AK532,A:A,AE:AE)</f>
        <v>#NAME?</v>
      </c>
      <c r="BB532" s="15" t="e">
        <f aca="false">_xlfn.xlookup(BA532,A:A,E:E)</f>
        <v>#NAME?</v>
      </c>
      <c r="BC532" s="15" t="e">
        <f aca="false">_xlfn.xlookup(BA532,A:A,J:J)</f>
        <v>#NAME?</v>
      </c>
      <c r="BD532" s="75" t="e">
        <f aca="false">_xlfn.xlookup(BA532,A:A,M:M)+_xlfn.xlookup(BA532,A:A,N:N)</f>
        <v>#NAME?</v>
      </c>
    </row>
    <row r="533" customFormat="false" ht="14.25" hidden="false" customHeight="false" outlineLevel="0" collapsed="false">
      <c r="AK533" s="15" t="e">
        <v>#NAME?</v>
      </c>
      <c r="AL533" s="15" t="e">
        <f aca="false">_xlfn.xlookup(AK533,A:A,F:F)</f>
        <v>#NAME?</v>
      </c>
      <c r="AM533" s="15" t="e">
        <f aca="false">_xlfn.xlookup(AK533,A:A,J:J)</f>
        <v>#NAME?</v>
      </c>
      <c r="AN533" s="15" t="e">
        <f aca="false">_xlfn.xlookup(AK533,A:A,M:M)+_xlfn.xlookup(AK533,A:A,N:N)</f>
        <v>#NAME?</v>
      </c>
      <c r="AO533" s="223" t="e">
        <f aca="false">_xlfn.xlookup(AK533,A:A,AG:AG)</f>
        <v>#NAME?</v>
      </c>
      <c r="AP533" s="223" t="e">
        <f aca="false">_xlfn.xlookup(AK533,A:A,AD:AD)</f>
        <v>#NAME?</v>
      </c>
      <c r="AQ533" s="223" t="e">
        <f aca="false">_xlfn.xlookup(AK533,A:A,AE:AE)</f>
        <v>#NAME?</v>
      </c>
      <c r="BB533" s="15" t="e">
        <f aca="false">_xlfn.xlookup(BA533,A:A,E:E)</f>
        <v>#NAME?</v>
      </c>
      <c r="BC533" s="15" t="e">
        <f aca="false">_xlfn.xlookup(BA533,A:A,J:J)</f>
        <v>#NAME?</v>
      </c>
      <c r="BD533" s="75" t="e">
        <f aca="false">_xlfn.xlookup(BA533,A:A,M:M)+_xlfn.xlookup(BA533,A:A,N:N)</f>
        <v>#NAME?</v>
      </c>
    </row>
    <row r="534" customFormat="false" ht="14.25" hidden="false" customHeight="false" outlineLevel="0" collapsed="false">
      <c r="AK534" s="15" t="e">
        <v>#NAME?</v>
      </c>
      <c r="AL534" s="15" t="e">
        <f aca="false">_xlfn.xlookup(AK534,A:A,F:F)</f>
        <v>#NAME?</v>
      </c>
      <c r="AM534" s="15" t="e">
        <f aca="false">_xlfn.xlookup(AK534,A:A,J:J)</f>
        <v>#NAME?</v>
      </c>
      <c r="AN534" s="15" t="e">
        <f aca="false">_xlfn.xlookup(AK534,A:A,M:M)+_xlfn.xlookup(AK534,A:A,N:N)</f>
        <v>#NAME?</v>
      </c>
      <c r="AO534" s="223" t="e">
        <f aca="false">_xlfn.xlookup(AK534,A:A,AG:AG)</f>
        <v>#NAME?</v>
      </c>
      <c r="AP534" s="223" t="e">
        <f aca="false">_xlfn.xlookup(AK534,A:A,AD:AD)</f>
        <v>#NAME?</v>
      </c>
      <c r="AQ534" s="223" t="e">
        <f aca="false">_xlfn.xlookup(AK534,A:A,AE:AE)</f>
        <v>#NAME?</v>
      </c>
      <c r="BB534" s="15" t="e">
        <f aca="false">_xlfn.xlookup(BA534,A:A,E:E)</f>
        <v>#NAME?</v>
      </c>
      <c r="BC534" s="15" t="e">
        <f aca="false">_xlfn.xlookup(BA534,A:A,J:J)</f>
        <v>#NAME?</v>
      </c>
      <c r="BD534" s="75" t="e">
        <f aca="false">_xlfn.xlookup(BA534,A:A,M:M)+_xlfn.xlookup(BA534,A:A,N:N)</f>
        <v>#NAME?</v>
      </c>
    </row>
    <row r="535" customFormat="false" ht="14.25" hidden="false" customHeight="false" outlineLevel="0" collapsed="false">
      <c r="AK535" s="15" t="e">
        <v>#NAME?</v>
      </c>
      <c r="AL535" s="15" t="e">
        <f aca="false">_xlfn.xlookup(AK535,A:A,F:F)</f>
        <v>#NAME?</v>
      </c>
      <c r="AM535" s="15" t="e">
        <f aca="false">_xlfn.xlookup(AK535,A:A,J:J)</f>
        <v>#NAME?</v>
      </c>
      <c r="AN535" s="15" t="e">
        <f aca="false">_xlfn.xlookup(AK535,A:A,M:M)+_xlfn.xlookup(AK535,A:A,N:N)</f>
        <v>#NAME?</v>
      </c>
      <c r="AO535" s="223" t="e">
        <f aca="false">_xlfn.xlookup(AK535,A:A,AG:AG)</f>
        <v>#NAME?</v>
      </c>
      <c r="AP535" s="223" t="e">
        <f aca="false">_xlfn.xlookup(AK535,A:A,AD:AD)</f>
        <v>#NAME?</v>
      </c>
      <c r="AQ535" s="223" t="e">
        <f aca="false">_xlfn.xlookup(AK535,A:A,AE:AE)</f>
        <v>#NAME?</v>
      </c>
      <c r="BB535" s="15" t="e">
        <f aca="false">_xlfn.xlookup(BA535,A:A,E:E)</f>
        <v>#NAME?</v>
      </c>
      <c r="BC535" s="15" t="e">
        <f aca="false">_xlfn.xlookup(BA535,A:A,J:J)</f>
        <v>#NAME?</v>
      </c>
      <c r="BD535" s="75" t="e">
        <f aca="false">_xlfn.xlookup(BA535,A:A,M:M)+_xlfn.xlookup(BA535,A:A,N:N)</f>
        <v>#NAME?</v>
      </c>
    </row>
    <row r="536" customFormat="false" ht="14.25" hidden="false" customHeight="false" outlineLevel="0" collapsed="false">
      <c r="AK536" s="15" t="e">
        <v>#NAME?</v>
      </c>
      <c r="AL536" s="15" t="e">
        <f aca="false">_xlfn.xlookup(AK536,A:A,F:F)</f>
        <v>#NAME?</v>
      </c>
      <c r="AM536" s="15" t="e">
        <f aca="false">_xlfn.xlookup(AK536,A:A,J:J)</f>
        <v>#NAME?</v>
      </c>
      <c r="AN536" s="15" t="e">
        <f aca="false">_xlfn.xlookup(AK536,A:A,M:M)+_xlfn.xlookup(AK536,A:A,N:N)</f>
        <v>#NAME?</v>
      </c>
      <c r="AO536" s="223" t="e">
        <f aca="false">_xlfn.xlookup(AK536,A:A,AG:AG)</f>
        <v>#NAME?</v>
      </c>
      <c r="AP536" s="223" t="e">
        <f aca="false">_xlfn.xlookup(AK536,A:A,AD:AD)</f>
        <v>#NAME?</v>
      </c>
      <c r="AQ536" s="223" t="e">
        <f aca="false">_xlfn.xlookup(AK536,A:A,AE:AE)</f>
        <v>#NAME?</v>
      </c>
      <c r="BB536" s="15" t="e">
        <f aca="false">_xlfn.xlookup(BA536,A:A,E:E)</f>
        <v>#NAME?</v>
      </c>
      <c r="BC536" s="15" t="e">
        <f aca="false">_xlfn.xlookup(BA536,A:A,J:J)</f>
        <v>#NAME?</v>
      </c>
      <c r="BD536" s="75" t="e">
        <f aca="false">_xlfn.xlookup(BA536,A:A,M:M)+_xlfn.xlookup(BA536,A:A,N:N)</f>
        <v>#NAME?</v>
      </c>
    </row>
    <row r="537" customFormat="false" ht="14.25" hidden="false" customHeight="false" outlineLevel="0" collapsed="false">
      <c r="AK537" s="15" t="e">
        <v>#NAME?</v>
      </c>
      <c r="AL537" s="15" t="e">
        <f aca="false">_xlfn.xlookup(AK537,A:A,F:F)</f>
        <v>#NAME?</v>
      </c>
      <c r="AM537" s="15" t="e">
        <f aca="false">_xlfn.xlookup(AK537,A:A,J:J)</f>
        <v>#NAME?</v>
      </c>
      <c r="AN537" s="15" t="e">
        <f aca="false">_xlfn.xlookup(AK537,A:A,M:M)+_xlfn.xlookup(AK537,A:A,N:N)</f>
        <v>#NAME?</v>
      </c>
      <c r="AO537" s="223" t="e">
        <f aca="false">_xlfn.xlookup(AK537,A:A,AG:AG)</f>
        <v>#NAME?</v>
      </c>
      <c r="AP537" s="223" t="e">
        <f aca="false">_xlfn.xlookup(AK537,A:A,AD:AD)</f>
        <v>#NAME?</v>
      </c>
      <c r="AQ537" s="223" t="e">
        <f aca="false">_xlfn.xlookup(AK537,A:A,AE:AE)</f>
        <v>#NAME?</v>
      </c>
      <c r="BB537" s="15" t="e">
        <f aca="false">_xlfn.xlookup(BA537,A:A,E:E)</f>
        <v>#NAME?</v>
      </c>
      <c r="BC537" s="15" t="e">
        <f aca="false">_xlfn.xlookup(BA537,A:A,J:J)</f>
        <v>#NAME?</v>
      </c>
      <c r="BD537" s="75" t="e">
        <f aca="false">_xlfn.xlookup(BA537,A:A,M:M)+_xlfn.xlookup(BA537,A:A,N:N)</f>
        <v>#NAME?</v>
      </c>
    </row>
    <row r="538" customFormat="false" ht="14.25" hidden="false" customHeight="false" outlineLevel="0" collapsed="false">
      <c r="AK538" s="15" t="e">
        <v>#NAME?</v>
      </c>
      <c r="AL538" s="15" t="e">
        <f aca="false">_xlfn.xlookup(AK538,A:A,F:F)</f>
        <v>#NAME?</v>
      </c>
      <c r="AM538" s="15" t="e">
        <f aca="false">_xlfn.xlookup(AK538,A:A,J:J)</f>
        <v>#NAME?</v>
      </c>
      <c r="AN538" s="15" t="e">
        <f aca="false">_xlfn.xlookup(AK538,A:A,M:M)+_xlfn.xlookup(AK538,A:A,N:N)</f>
        <v>#NAME?</v>
      </c>
      <c r="AO538" s="223" t="e">
        <f aca="false">_xlfn.xlookup(AK538,A:A,AG:AG)</f>
        <v>#NAME?</v>
      </c>
      <c r="AP538" s="223" t="e">
        <f aca="false">_xlfn.xlookup(AK538,A:A,AD:AD)</f>
        <v>#NAME?</v>
      </c>
      <c r="AQ538" s="223" t="e">
        <f aca="false">_xlfn.xlookup(AK538,A:A,AE:AE)</f>
        <v>#NAME?</v>
      </c>
      <c r="BB538" s="15" t="e">
        <f aca="false">_xlfn.xlookup(BA538,A:A,E:E)</f>
        <v>#NAME?</v>
      </c>
      <c r="BC538" s="15" t="e">
        <f aca="false">_xlfn.xlookup(BA538,A:A,J:J)</f>
        <v>#NAME?</v>
      </c>
      <c r="BD538" s="75" t="e">
        <f aca="false">_xlfn.xlookup(BA538,A:A,M:M)+_xlfn.xlookup(BA538,A:A,N:N)</f>
        <v>#NAME?</v>
      </c>
    </row>
    <row r="539" customFormat="false" ht="14.25" hidden="false" customHeight="false" outlineLevel="0" collapsed="false">
      <c r="AK539" s="15" t="e">
        <v>#NAME?</v>
      </c>
      <c r="AL539" s="15" t="e">
        <f aca="false">_xlfn.xlookup(AK539,A:A,F:F)</f>
        <v>#NAME?</v>
      </c>
      <c r="AM539" s="15" t="e">
        <f aca="false">_xlfn.xlookup(AK539,A:A,J:J)</f>
        <v>#NAME?</v>
      </c>
      <c r="AN539" s="15" t="e">
        <f aca="false">_xlfn.xlookup(AK539,A:A,M:M)+_xlfn.xlookup(AK539,A:A,N:N)</f>
        <v>#NAME?</v>
      </c>
      <c r="AO539" s="223" t="e">
        <f aca="false">_xlfn.xlookup(AK539,A:A,AG:AG)</f>
        <v>#NAME?</v>
      </c>
      <c r="AP539" s="223" t="e">
        <f aca="false">_xlfn.xlookup(AK539,A:A,AD:AD)</f>
        <v>#NAME?</v>
      </c>
      <c r="AQ539" s="223" t="e">
        <f aca="false">_xlfn.xlookup(AK539,A:A,AE:AE)</f>
        <v>#NAME?</v>
      </c>
      <c r="BB539" s="15" t="e">
        <f aca="false">_xlfn.xlookup(BA539,A:A,E:E)</f>
        <v>#NAME?</v>
      </c>
      <c r="BC539" s="15" t="e">
        <f aca="false">_xlfn.xlookup(BA539,A:A,J:J)</f>
        <v>#NAME?</v>
      </c>
      <c r="BD539" s="75" t="e">
        <f aca="false">_xlfn.xlookup(BA539,A:A,M:M)+_xlfn.xlookup(BA539,A:A,N:N)</f>
        <v>#NAME?</v>
      </c>
    </row>
    <row r="540" customFormat="false" ht="14.25" hidden="false" customHeight="false" outlineLevel="0" collapsed="false">
      <c r="AK540" s="15" t="e">
        <v>#NAME?</v>
      </c>
      <c r="AL540" s="15" t="e">
        <f aca="false">_xlfn.xlookup(AK540,A:A,F:F)</f>
        <v>#NAME?</v>
      </c>
      <c r="AM540" s="15" t="e">
        <f aca="false">_xlfn.xlookup(AK540,A:A,J:J)</f>
        <v>#NAME?</v>
      </c>
      <c r="AN540" s="15" t="e">
        <f aca="false">_xlfn.xlookup(AK540,A:A,M:M)+_xlfn.xlookup(AK540,A:A,N:N)</f>
        <v>#NAME?</v>
      </c>
      <c r="AO540" s="223" t="e">
        <f aca="false">_xlfn.xlookup(AK540,A:A,AG:AG)</f>
        <v>#NAME?</v>
      </c>
      <c r="AP540" s="223" t="e">
        <f aca="false">_xlfn.xlookup(AK540,A:A,AD:AD)</f>
        <v>#NAME?</v>
      </c>
      <c r="AQ540" s="223" t="e">
        <f aca="false">_xlfn.xlookup(AK540,A:A,AE:AE)</f>
        <v>#NAME?</v>
      </c>
      <c r="BB540" s="15" t="e">
        <f aca="false">_xlfn.xlookup(BA540,A:A,E:E)</f>
        <v>#NAME?</v>
      </c>
      <c r="BC540" s="15" t="e">
        <f aca="false">_xlfn.xlookup(BA540,A:A,J:J)</f>
        <v>#NAME?</v>
      </c>
      <c r="BD540" s="75" t="e">
        <f aca="false">_xlfn.xlookup(BA540,A:A,M:M)+_xlfn.xlookup(BA540,A:A,N:N)</f>
        <v>#NAME?</v>
      </c>
    </row>
    <row r="541" customFormat="false" ht="14.25" hidden="false" customHeight="false" outlineLevel="0" collapsed="false">
      <c r="AK541" s="15" t="e">
        <v>#NAME?</v>
      </c>
      <c r="AL541" s="15" t="e">
        <f aca="false">_xlfn.xlookup(AK541,A:A,F:F)</f>
        <v>#NAME?</v>
      </c>
      <c r="AM541" s="15" t="e">
        <f aca="false">_xlfn.xlookup(AK541,A:A,J:J)</f>
        <v>#NAME?</v>
      </c>
      <c r="AN541" s="15" t="e">
        <f aca="false">_xlfn.xlookup(AK541,A:A,M:M)+_xlfn.xlookup(AK541,A:A,N:N)</f>
        <v>#NAME?</v>
      </c>
      <c r="AO541" s="223" t="e">
        <f aca="false">_xlfn.xlookup(AK541,A:A,AG:AG)</f>
        <v>#NAME?</v>
      </c>
      <c r="AP541" s="223" t="e">
        <f aca="false">_xlfn.xlookup(AK541,A:A,AD:AD)</f>
        <v>#NAME?</v>
      </c>
      <c r="AQ541" s="223" t="e">
        <f aca="false">_xlfn.xlookup(AK541,A:A,AE:AE)</f>
        <v>#NAME?</v>
      </c>
      <c r="BB541" s="15" t="e">
        <f aca="false">_xlfn.xlookup(BA541,A:A,E:E)</f>
        <v>#NAME?</v>
      </c>
      <c r="BC541" s="15" t="e">
        <f aca="false">_xlfn.xlookup(BA541,A:A,J:J)</f>
        <v>#NAME?</v>
      </c>
      <c r="BD541" s="75" t="e">
        <f aca="false">_xlfn.xlookup(BA541,A:A,M:M)+_xlfn.xlookup(BA541,A:A,N:N)</f>
        <v>#NAME?</v>
      </c>
    </row>
    <row r="542" customFormat="false" ht="14.25" hidden="false" customHeight="false" outlineLevel="0" collapsed="false">
      <c r="AK542" s="15" t="e">
        <v>#NAME?</v>
      </c>
      <c r="AL542" s="15" t="e">
        <f aca="false">_xlfn.xlookup(AK542,A:A,F:F)</f>
        <v>#NAME?</v>
      </c>
      <c r="AM542" s="15" t="e">
        <f aca="false">_xlfn.xlookup(AK542,A:A,J:J)</f>
        <v>#NAME?</v>
      </c>
      <c r="AN542" s="15" t="e">
        <f aca="false">_xlfn.xlookup(AK542,A:A,M:M)+_xlfn.xlookup(AK542,A:A,N:N)</f>
        <v>#NAME?</v>
      </c>
      <c r="AO542" s="223" t="e">
        <f aca="false">_xlfn.xlookup(AK542,A:A,AG:AG)</f>
        <v>#NAME?</v>
      </c>
      <c r="AP542" s="223" t="e">
        <f aca="false">_xlfn.xlookup(AK542,A:A,AD:AD)</f>
        <v>#NAME?</v>
      </c>
      <c r="AQ542" s="223" t="e">
        <f aca="false">_xlfn.xlookup(AK542,A:A,AE:AE)</f>
        <v>#NAME?</v>
      </c>
      <c r="BB542" s="15" t="e">
        <f aca="false">_xlfn.xlookup(BA542,A:A,E:E)</f>
        <v>#NAME?</v>
      </c>
      <c r="BC542" s="15" t="e">
        <f aca="false">_xlfn.xlookup(BA542,A:A,J:J)</f>
        <v>#NAME?</v>
      </c>
      <c r="BD542" s="75" t="e">
        <f aca="false">_xlfn.xlookup(BA542,A:A,M:M)+_xlfn.xlookup(BA542,A:A,N:N)</f>
        <v>#NAME?</v>
      </c>
    </row>
    <row r="543" customFormat="false" ht="14.25" hidden="false" customHeight="false" outlineLevel="0" collapsed="false">
      <c r="AK543" s="15" t="e">
        <v>#NAME?</v>
      </c>
      <c r="AL543" s="15" t="e">
        <f aca="false">_xlfn.xlookup(AK543,A:A,F:F)</f>
        <v>#NAME?</v>
      </c>
      <c r="AM543" s="15" t="e">
        <f aca="false">_xlfn.xlookup(AK543,A:A,J:J)</f>
        <v>#NAME?</v>
      </c>
      <c r="AN543" s="15" t="e">
        <f aca="false">_xlfn.xlookup(AK543,A:A,M:M)+_xlfn.xlookup(AK543,A:A,N:N)</f>
        <v>#NAME?</v>
      </c>
      <c r="AO543" s="223" t="e">
        <f aca="false">_xlfn.xlookup(AK543,A:A,AG:AG)</f>
        <v>#NAME?</v>
      </c>
      <c r="AP543" s="223" t="e">
        <f aca="false">_xlfn.xlookup(AK543,A:A,AD:AD)</f>
        <v>#NAME?</v>
      </c>
      <c r="AQ543" s="223" t="e">
        <f aca="false">_xlfn.xlookup(AK543,A:A,AE:AE)</f>
        <v>#NAME?</v>
      </c>
      <c r="BB543" s="15" t="e">
        <f aca="false">_xlfn.xlookup(BA543,A:A,E:E)</f>
        <v>#NAME?</v>
      </c>
      <c r="BC543" s="15" t="e">
        <f aca="false">_xlfn.xlookup(BA543,A:A,J:J)</f>
        <v>#NAME?</v>
      </c>
      <c r="BD543" s="75" t="e">
        <f aca="false">_xlfn.xlookup(BA543,A:A,M:M)+_xlfn.xlookup(BA543,A:A,N:N)</f>
        <v>#NAME?</v>
      </c>
    </row>
    <row r="544" customFormat="false" ht="14.25" hidden="false" customHeight="false" outlineLevel="0" collapsed="false">
      <c r="AK544" s="15" t="e">
        <v>#NAME?</v>
      </c>
      <c r="AL544" s="15" t="e">
        <f aca="false">_xlfn.xlookup(AK544,A:A,F:F)</f>
        <v>#NAME?</v>
      </c>
      <c r="AM544" s="15" t="e">
        <f aca="false">_xlfn.xlookup(AK544,A:A,J:J)</f>
        <v>#NAME?</v>
      </c>
      <c r="AN544" s="15" t="e">
        <f aca="false">_xlfn.xlookup(AK544,A:A,M:M)+_xlfn.xlookup(AK544,A:A,N:N)</f>
        <v>#NAME?</v>
      </c>
      <c r="AO544" s="223" t="e">
        <f aca="false">_xlfn.xlookup(AK544,A:A,AG:AG)</f>
        <v>#NAME?</v>
      </c>
      <c r="AP544" s="223" t="e">
        <f aca="false">_xlfn.xlookup(AK544,A:A,AD:AD)</f>
        <v>#NAME?</v>
      </c>
      <c r="AQ544" s="223" t="e">
        <f aca="false">_xlfn.xlookup(AK544,A:A,AE:AE)</f>
        <v>#NAME?</v>
      </c>
      <c r="BB544" s="15" t="e">
        <f aca="false">_xlfn.xlookup(BA544,A:A,E:E)</f>
        <v>#NAME?</v>
      </c>
      <c r="BC544" s="15" t="e">
        <f aca="false">_xlfn.xlookup(BA544,A:A,J:J)</f>
        <v>#NAME?</v>
      </c>
      <c r="BD544" s="75" t="e">
        <f aca="false">_xlfn.xlookup(BA544,A:A,M:M)+_xlfn.xlookup(BA544,A:A,N:N)</f>
        <v>#NAME?</v>
      </c>
    </row>
    <row r="545" customFormat="false" ht="14.25" hidden="false" customHeight="false" outlineLevel="0" collapsed="false">
      <c r="AK545" s="15" t="e">
        <v>#NAME?</v>
      </c>
      <c r="AL545" s="15" t="e">
        <f aca="false">_xlfn.xlookup(AK545,A:A,F:F)</f>
        <v>#NAME?</v>
      </c>
      <c r="AM545" s="15" t="e">
        <f aca="false">_xlfn.xlookup(AK545,A:A,J:J)</f>
        <v>#NAME?</v>
      </c>
      <c r="AN545" s="15" t="e">
        <f aca="false">_xlfn.xlookup(AK545,A:A,M:M)+_xlfn.xlookup(AK545,A:A,N:N)</f>
        <v>#NAME?</v>
      </c>
      <c r="AO545" s="223" t="e">
        <f aca="false">_xlfn.xlookup(AK545,A:A,AG:AG)</f>
        <v>#NAME?</v>
      </c>
      <c r="AP545" s="223" t="e">
        <f aca="false">_xlfn.xlookup(AK545,A:A,AD:AD)</f>
        <v>#NAME?</v>
      </c>
      <c r="AQ545" s="223" t="e">
        <f aca="false">_xlfn.xlookup(AK545,A:A,AE:AE)</f>
        <v>#NAME?</v>
      </c>
      <c r="BB545" s="15" t="e">
        <f aca="false">_xlfn.xlookup(BA545,A:A,E:E)</f>
        <v>#NAME?</v>
      </c>
      <c r="BC545" s="15" t="e">
        <f aca="false">_xlfn.xlookup(BA545,A:A,J:J)</f>
        <v>#NAME?</v>
      </c>
      <c r="BD545" s="75" t="e">
        <f aca="false">_xlfn.xlookup(BA545,A:A,M:M)+_xlfn.xlookup(BA545,A:A,N:N)</f>
        <v>#NAME?</v>
      </c>
    </row>
    <row r="546" customFormat="false" ht="14.25" hidden="false" customHeight="false" outlineLevel="0" collapsed="false">
      <c r="AK546" s="15" t="e">
        <v>#NAME?</v>
      </c>
      <c r="AL546" s="15" t="e">
        <f aca="false">_xlfn.xlookup(AK546,A:A,F:F)</f>
        <v>#NAME?</v>
      </c>
      <c r="AM546" s="15" t="e">
        <f aca="false">_xlfn.xlookup(AK546,A:A,J:J)</f>
        <v>#NAME?</v>
      </c>
      <c r="AN546" s="15" t="e">
        <f aca="false">_xlfn.xlookup(AK546,A:A,M:M)+_xlfn.xlookup(AK546,A:A,N:N)</f>
        <v>#NAME?</v>
      </c>
      <c r="AO546" s="223" t="e">
        <f aca="false">_xlfn.xlookup(AK546,A:A,AG:AG)</f>
        <v>#NAME?</v>
      </c>
      <c r="AP546" s="223" t="e">
        <f aca="false">_xlfn.xlookup(AK546,A:A,AD:AD)</f>
        <v>#NAME?</v>
      </c>
      <c r="AQ546" s="223" t="e">
        <f aca="false">_xlfn.xlookup(AK546,A:A,AE:AE)</f>
        <v>#NAME?</v>
      </c>
      <c r="BB546" s="15" t="e">
        <f aca="false">_xlfn.xlookup(BA546,A:A,E:E)</f>
        <v>#NAME?</v>
      </c>
      <c r="BC546" s="15" t="e">
        <f aca="false">_xlfn.xlookup(BA546,A:A,J:J)</f>
        <v>#NAME?</v>
      </c>
      <c r="BD546" s="75" t="e">
        <f aca="false">_xlfn.xlookup(BA546,A:A,M:M)+_xlfn.xlookup(BA546,A:A,N:N)</f>
        <v>#NAME?</v>
      </c>
    </row>
    <row r="547" customFormat="false" ht="14.25" hidden="false" customHeight="false" outlineLevel="0" collapsed="false">
      <c r="AK547" s="15" t="e">
        <v>#NAME?</v>
      </c>
      <c r="AL547" s="15" t="e">
        <f aca="false">_xlfn.xlookup(AK547,A:A,F:F)</f>
        <v>#NAME?</v>
      </c>
      <c r="AM547" s="15" t="e">
        <f aca="false">_xlfn.xlookup(AK547,A:A,J:J)</f>
        <v>#NAME?</v>
      </c>
      <c r="AN547" s="15" t="e">
        <f aca="false">_xlfn.xlookup(AK547,A:A,M:M)+_xlfn.xlookup(AK547,A:A,N:N)</f>
        <v>#NAME?</v>
      </c>
      <c r="AO547" s="223" t="e">
        <f aca="false">_xlfn.xlookup(AK547,A:A,AG:AG)</f>
        <v>#NAME?</v>
      </c>
      <c r="AP547" s="223" t="e">
        <f aca="false">_xlfn.xlookup(AK547,A:A,AD:AD)</f>
        <v>#NAME?</v>
      </c>
      <c r="AQ547" s="223" t="e">
        <f aca="false">_xlfn.xlookup(AK547,A:A,AE:AE)</f>
        <v>#NAME?</v>
      </c>
      <c r="BB547" s="15" t="e">
        <f aca="false">_xlfn.xlookup(BA547,A:A,E:E)</f>
        <v>#NAME?</v>
      </c>
      <c r="BC547" s="15" t="e">
        <f aca="false">_xlfn.xlookup(BA547,A:A,J:J)</f>
        <v>#NAME?</v>
      </c>
      <c r="BD547" s="75" t="e">
        <f aca="false">_xlfn.xlookup(BA547,A:A,M:M)+_xlfn.xlookup(BA547,A:A,N:N)</f>
        <v>#NAME?</v>
      </c>
    </row>
    <row r="548" customFormat="false" ht="14.25" hidden="false" customHeight="false" outlineLevel="0" collapsed="false">
      <c r="AK548" s="15" t="e">
        <v>#NAME?</v>
      </c>
      <c r="AL548" s="15" t="e">
        <f aca="false">_xlfn.xlookup(AK548,A:A,F:F)</f>
        <v>#NAME?</v>
      </c>
      <c r="AM548" s="15" t="e">
        <f aca="false">_xlfn.xlookup(AK548,A:A,J:J)</f>
        <v>#NAME?</v>
      </c>
      <c r="AN548" s="15" t="e">
        <f aca="false">_xlfn.xlookup(AK548,A:A,M:M)+_xlfn.xlookup(AK548,A:A,N:N)</f>
        <v>#NAME?</v>
      </c>
      <c r="AO548" s="223" t="e">
        <f aca="false">_xlfn.xlookup(AK548,A:A,AG:AG)</f>
        <v>#NAME?</v>
      </c>
      <c r="AP548" s="223" t="e">
        <f aca="false">_xlfn.xlookup(AK548,A:A,AD:AD)</f>
        <v>#NAME?</v>
      </c>
      <c r="AQ548" s="223" t="e">
        <f aca="false">_xlfn.xlookup(AK548,A:A,AE:AE)</f>
        <v>#NAME?</v>
      </c>
      <c r="BB548" s="15" t="e">
        <f aca="false">_xlfn.xlookup(BA548,A:A,E:E)</f>
        <v>#NAME?</v>
      </c>
      <c r="BC548" s="15" t="e">
        <f aca="false">_xlfn.xlookup(BA548,A:A,J:J)</f>
        <v>#NAME?</v>
      </c>
      <c r="BD548" s="75" t="e">
        <f aca="false">_xlfn.xlookup(BA548,A:A,M:M)+_xlfn.xlookup(BA548,A:A,N:N)</f>
        <v>#NAME?</v>
      </c>
    </row>
    <row r="549" customFormat="false" ht="14.25" hidden="false" customHeight="false" outlineLevel="0" collapsed="false">
      <c r="AK549" s="15" t="e">
        <v>#NAME?</v>
      </c>
      <c r="AL549" s="15" t="e">
        <f aca="false">_xlfn.xlookup(AK549,A:A,F:F)</f>
        <v>#NAME?</v>
      </c>
      <c r="AM549" s="15" t="e">
        <f aca="false">_xlfn.xlookup(AK549,A:A,J:J)</f>
        <v>#NAME?</v>
      </c>
      <c r="AN549" s="15" t="e">
        <f aca="false">_xlfn.xlookup(AK549,A:A,M:M)+_xlfn.xlookup(AK549,A:A,N:N)</f>
        <v>#NAME?</v>
      </c>
      <c r="AO549" s="223" t="e">
        <f aca="false">_xlfn.xlookup(AK549,A:A,AG:AG)</f>
        <v>#NAME?</v>
      </c>
      <c r="AP549" s="223" t="e">
        <f aca="false">_xlfn.xlookup(AK549,A:A,AD:AD)</f>
        <v>#NAME?</v>
      </c>
      <c r="AQ549" s="223" t="e">
        <f aca="false">_xlfn.xlookup(AK549,A:A,AE:AE)</f>
        <v>#NAME?</v>
      </c>
      <c r="BB549" s="15" t="e">
        <f aca="false">_xlfn.xlookup(BA549,A:A,E:E)</f>
        <v>#NAME?</v>
      </c>
      <c r="BC549" s="15" t="e">
        <f aca="false">_xlfn.xlookup(BA549,A:A,J:J)</f>
        <v>#NAME?</v>
      </c>
      <c r="BD549" s="75" t="e">
        <f aca="false">_xlfn.xlookup(BA549,A:A,M:M)+_xlfn.xlookup(BA549,A:A,N:N)</f>
        <v>#NAME?</v>
      </c>
    </row>
    <row r="550" customFormat="false" ht="14.25" hidden="false" customHeight="false" outlineLevel="0" collapsed="false">
      <c r="AK550" s="15" t="e">
        <v>#NAME?</v>
      </c>
      <c r="AL550" s="15" t="e">
        <f aca="false">_xlfn.xlookup(AK550,A:A,F:F)</f>
        <v>#NAME?</v>
      </c>
      <c r="AM550" s="15" t="e">
        <f aca="false">_xlfn.xlookup(AK550,A:A,J:J)</f>
        <v>#NAME?</v>
      </c>
      <c r="AN550" s="15" t="e">
        <f aca="false">_xlfn.xlookup(AK550,A:A,M:M)+_xlfn.xlookup(AK550,A:A,N:N)</f>
        <v>#NAME?</v>
      </c>
      <c r="AO550" s="223" t="e">
        <f aca="false">_xlfn.xlookup(AK550,A:A,AG:AG)</f>
        <v>#NAME?</v>
      </c>
      <c r="AP550" s="223" t="e">
        <f aca="false">_xlfn.xlookup(AK550,A:A,AD:AD)</f>
        <v>#NAME?</v>
      </c>
      <c r="AQ550" s="223" t="e">
        <f aca="false">_xlfn.xlookup(AK550,A:A,AE:AE)</f>
        <v>#NAME?</v>
      </c>
      <c r="BB550" s="15" t="e">
        <f aca="false">_xlfn.xlookup(BA550,A:A,E:E)</f>
        <v>#NAME?</v>
      </c>
      <c r="BC550" s="15" t="e">
        <f aca="false">_xlfn.xlookup(BA550,A:A,J:J)</f>
        <v>#NAME?</v>
      </c>
      <c r="BD550" s="75" t="e">
        <f aca="false">_xlfn.xlookup(BA550,A:A,M:M)+_xlfn.xlookup(BA550,A:A,N:N)</f>
        <v>#NAME?</v>
      </c>
    </row>
    <row r="551" customFormat="false" ht="14.25" hidden="false" customHeight="false" outlineLevel="0" collapsed="false">
      <c r="AK551" s="15" t="e">
        <v>#NAME?</v>
      </c>
      <c r="AL551" s="15" t="e">
        <f aca="false">_xlfn.xlookup(AK551,A:A,F:F)</f>
        <v>#NAME?</v>
      </c>
      <c r="AM551" s="15" t="e">
        <f aca="false">_xlfn.xlookup(AK551,A:A,J:J)</f>
        <v>#NAME?</v>
      </c>
      <c r="AN551" s="15" t="e">
        <f aca="false">_xlfn.xlookup(AK551,A:A,M:M)+_xlfn.xlookup(AK551,A:A,N:N)</f>
        <v>#NAME?</v>
      </c>
      <c r="AO551" s="223" t="e">
        <f aca="false">_xlfn.xlookup(AK551,A:A,AG:AG)</f>
        <v>#NAME?</v>
      </c>
      <c r="AP551" s="223" t="e">
        <f aca="false">_xlfn.xlookup(AK551,A:A,AD:AD)</f>
        <v>#NAME?</v>
      </c>
      <c r="AQ551" s="223" t="e">
        <f aca="false">_xlfn.xlookup(AK551,A:A,AE:AE)</f>
        <v>#NAME?</v>
      </c>
      <c r="BB551" s="15" t="e">
        <f aca="false">_xlfn.xlookup(BA551,A:A,E:E)</f>
        <v>#NAME?</v>
      </c>
      <c r="BC551" s="15" t="e">
        <f aca="false">_xlfn.xlookup(BA551,A:A,J:J)</f>
        <v>#NAME?</v>
      </c>
      <c r="BD551" s="75" t="e">
        <f aca="false">_xlfn.xlookup(BA551,A:A,M:M)+_xlfn.xlookup(BA551,A:A,N:N)</f>
        <v>#NAME?</v>
      </c>
    </row>
    <row r="552" customFormat="false" ht="14.25" hidden="false" customHeight="false" outlineLevel="0" collapsed="false">
      <c r="AK552" s="15" t="e">
        <v>#NAME?</v>
      </c>
      <c r="AL552" s="15" t="e">
        <f aca="false">_xlfn.xlookup(AK552,A:A,F:F)</f>
        <v>#NAME?</v>
      </c>
      <c r="AM552" s="15" t="e">
        <f aca="false">_xlfn.xlookup(AK552,A:A,J:J)</f>
        <v>#NAME?</v>
      </c>
      <c r="AN552" s="15" t="e">
        <f aca="false">_xlfn.xlookup(AK552,A:A,M:M)+_xlfn.xlookup(AK552,A:A,N:N)</f>
        <v>#NAME?</v>
      </c>
      <c r="AO552" s="223" t="e">
        <f aca="false">_xlfn.xlookup(AK552,A:A,AG:AG)</f>
        <v>#NAME?</v>
      </c>
      <c r="AP552" s="223" t="e">
        <f aca="false">_xlfn.xlookup(AK552,A:A,AD:AD)</f>
        <v>#NAME?</v>
      </c>
      <c r="AQ552" s="223" t="e">
        <f aca="false">_xlfn.xlookup(AK552,A:A,AE:AE)</f>
        <v>#NAME?</v>
      </c>
      <c r="BB552" s="15" t="e">
        <f aca="false">_xlfn.xlookup(BA552,A:A,E:E)</f>
        <v>#NAME?</v>
      </c>
      <c r="BC552" s="15" t="e">
        <f aca="false">_xlfn.xlookup(BA552,A:A,J:J)</f>
        <v>#NAME?</v>
      </c>
      <c r="BD552" s="75" t="e">
        <f aca="false">_xlfn.xlookup(BA552,A:A,M:M)+_xlfn.xlookup(BA552,A:A,N:N)</f>
        <v>#NAME?</v>
      </c>
    </row>
    <row r="553" customFormat="false" ht="14.25" hidden="false" customHeight="false" outlineLevel="0" collapsed="false">
      <c r="AK553" s="15" t="e">
        <v>#NAME?</v>
      </c>
      <c r="AL553" s="15" t="e">
        <f aca="false">_xlfn.xlookup(AK553,A:A,F:F)</f>
        <v>#NAME?</v>
      </c>
      <c r="AM553" s="15" t="e">
        <f aca="false">_xlfn.xlookup(AK553,A:A,J:J)</f>
        <v>#NAME?</v>
      </c>
      <c r="AN553" s="15" t="e">
        <f aca="false">_xlfn.xlookup(AK553,A:A,M:M)+_xlfn.xlookup(AK553,A:A,N:N)</f>
        <v>#NAME?</v>
      </c>
      <c r="AO553" s="223" t="e">
        <f aca="false">_xlfn.xlookup(AK553,A:A,AG:AG)</f>
        <v>#NAME?</v>
      </c>
      <c r="AP553" s="223" t="e">
        <f aca="false">_xlfn.xlookup(AK553,A:A,AD:AD)</f>
        <v>#NAME?</v>
      </c>
      <c r="AQ553" s="223" t="e">
        <f aca="false">_xlfn.xlookup(AK553,A:A,AE:AE)</f>
        <v>#NAME?</v>
      </c>
      <c r="BB553" s="15" t="e">
        <f aca="false">_xlfn.xlookup(BA553,A:A,E:E)</f>
        <v>#NAME?</v>
      </c>
      <c r="BC553" s="15" t="e">
        <f aca="false">_xlfn.xlookup(BA553,A:A,J:J)</f>
        <v>#NAME?</v>
      </c>
      <c r="BD553" s="75" t="e">
        <f aca="false">_xlfn.xlookup(BA553,A:A,M:M)+_xlfn.xlookup(BA553,A:A,N:N)</f>
        <v>#NAME?</v>
      </c>
    </row>
    <row r="554" customFormat="false" ht="14.25" hidden="false" customHeight="false" outlineLevel="0" collapsed="false">
      <c r="AK554" s="15" t="e">
        <v>#NAME?</v>
      </c>
      <c r="AL554" s="15" t="e">
        <f aca="false">_xlfn.xlookup(AK554,A:A,F:F)</f>
        <v>#NAME?</v>
      </c>
      <c r="AM554" s="15" t="e">
        <f aca="false">_xlfn.xlookup(AK554,A:A,J:J)</f>
        <v>#NAME?</v>
      </c>
      <c r="AN554" s="15" t="e">
        <f aca="false">_xlfn.xlookup(AK554,A:A,M:M)+_xlfn.xlookup(AK554,A:A,N:N)</f>
        <v>#NAME?</v>
      </c>
      <c r="AO554" s="223" t="e">
        <f aca="false">_xlfn.xlookup(AK554,A:A,AG:AG)</f>
        <v>#NAME?</v>
      </c>
      <c r="AP554" s="223" t="e">
        <f aca="false">_xlfn.xlookup(AK554,A:A,AD:AD)</f>
        <v>#NAME?</v>
      </c>
      <c r="AQ554" s="223" t="e">
        <f aca="false">_xlfn.xlookup(AK554,A:A,AE:AE)</f>
        <v>#NAME?</v>
      </c>
      <c r="BB554" s="15" t="e">
        <f aca="false">_xlfn.xlookup(BA554,A:A,E:E)</f>
        <v>#NAME?</v>
      </c>
      <c r="BC554" s="15" t="e">
        <f aca="false">_xlfn.xlookup(BA554,A:A,J:J)</f>
        <v>#NAME?</v>
      </c>
      <c r="BD554" s="75" t="e">
        <f aca="false">_xlfn.xlookup(BA554,A:A,M:M)+_xlfn.xlookup(BA554,A:A,N:N)</f>
        <v>#NAME?</v>
      </c>
    </row>
    <row r="555" customFormat="false" ht="14.25" hidden="false" customHeight="false" outlineLevel="0" collapsed="false">
      <c r="AK555" s="15" t="e">
        <v>#NAME?</v>
      </c>
      <c r="AL555" s="15" t="e">
        <f aca="false">_xlfn.xlookup(AK555,A:A,F:F)</f>
        <v>#NAME?</v>
      </c>
      <c r="AM555" s="15" t="e">
        <f aca="false">_xlfn.xlookup(AK555,A:A,J:J)</f>
        <v>#NAME?</v>
      </c>
      <c r="AN555" s="15" t="e">
        <f aca="false">_xlfn.xlookup(AK555,A:A,M:M)+_xlfn.xlookup(AK555,A:A,N:N)</f>
        <v>#NAME?</v>
      </c>
      <c r="AO555" s="223" t="e">
        <f aca="false">_xlfn.xlookup(AK555,A:A,AG:AG)</f>
        <v>#NAME?</v>
      </c>
      <c r="AP555" s="223" t="e">
        <f aca="false">_xlfn.xlookup(AK555,A:A,AD:AD)</f>
        <v>#NAME?</v>
      </c>
      <c r="AQ555" s="223" t="e">
        <f aca="false">_xlfn.xlookup(AK555,A:A,AE:AE)</f>
        <v>#NAME?</v>
      </c>
      <c r="BB555" s="15" t="e">
        <f aca="false">_xlfn.xlookup(BA555,A:A,E:E)</f>
        <v>#NAME?</v>
      </c>
      <c r="BC555" s="15" t="e">
        <f aca="false">_xlfn.xlookup(BA555,A:A,J:J)</f>
        <v>#NAME?</v>
      </c>
      <c r="BD555" s="75" t="e">
        <f aca="false">_xlfn.xlookup(BA555,A:A,M:M)+_xlfn.xlookup(BA555,A:A,N:N)</f>
        <v>#NAME?</v>
      </c>
    </row>
    <row r="556" customFormat="false" ht="14.25" hidden="false" customHeight="false" outlineLevel="0" collapsed="false">
      <c r="AK556" s="15" t="e">
        <v>#NAME?</v>
      </c>
      <c r="AL556" s="15" t="e">
        <f aca="false">_xlfn.xlookup(AK556,A:A,F:F)</f>
        <v>#NAME?</v>
      </c>
      <c r="AM556" s="15" t="e">
        <f aca="false">_xlfn.xlookup(AK556,A:A,J:J)</f>
        <v>#NAME?</v>
      </c>
      <c r="AN556" s="15" t="e">
        <f aca="false">_xlfn.xlookup(AK556,A:A,M:M)+_xlfn.xlookup(AK556,A:A,N:N)</f>
        <v>#NAME?</v>
      </c>
      <c r="AO556" s="223" t="e">
        <f aca="false">_xlfn.xlookup(AK556,A:A,AG:AG)</f>
        <v>#NAME?</v>
      </c>
      <c r="AP556" s="223" t="e">
        <f aca="false">_xlfn.xlookup(AK556,A:A,AD:AD)</f>
        <v>#NAME?</v>
      </c>
      <c r="AQ556" s="223" t="e">
        <f aca="false">_xlfn.xlookup(AK556,A:A,AE:AE)</f>
        <v>#NAME?</v>
      </c>
      <c r="BB556" s="15" t="e">
        <f aca="false">_xlfn.xlookup(BA556,A:A,E:E)</f>
        <v>#NAME?</v>
      </c>
      <c r="BC556" s="15" t="e">
        <f aca="false">_xlfn.xlookup(BA556,A:A,J:J)</f>
        <v>#NAME?</v>
      </c>
      <c r="BD556" s="75" t="e">
        <f aca="false">_xlfn.xlookup(BA556,A:A,M:M)+_xlfn.xlookup(BA556,A:A,N:N)</f>
        <v>#NAME?</v>
      </c>
    </row>
    <row r="557" customFormat="false" ht="14.25" hidden="false" customHeight="false" outlineLevel="0" collapsed="false">
      <c r="AK557" s="15" t="e">
        <v>#NAME?</v>
      </c>
      <c r="AL557" s="15" t="e">
        <f aca="false">_xlfn.xlookup(AK557,A:A,F:F)</f>
        <v>#NAME?</v>
      </c>
      <c r="AM557" s="15" t="e">
        <f aca="false">_xlfn.xlookup(AK557,A:A,J:J)</f>
        <v>#NAME?</v>
      </c>
      <c r="AN557" s="15" t="e">
        <f aca="false">_xlfn.xlookup(AK557,A:A,M:M)+_xlfn.xlookup(AK557,A:A,N:N)</f>
        <v>#NAME?</v>
      </c>
      <c r="AO557" s="223" t="e">
        <f aca="false">_xlfn.xlookup(AK557,A:A,AG:AG)</f>
        <v>#NAME?</v>
      </c>
      <c r="AP557" s="223" t="e">
        <f aca="false">_xlfn.xlookup(AK557,A:A,AD:AD)</f>
        <v>#NAME?</v>
      </c>
      <c r="AQ557" s="223" t="e">
        <f aca="false">_xlfn.xlookup(AK557,A:A,AE:AE)</f>
        <v>#NAME?</v>
      </c>
      <c r="BB557" s="15" t="e">
        <f aca="false">_xlfn.xlookup(BA557,A:A,E:E)</f>
        <v>#NAME?</v>
      </c>
      <c r="BC557" s="15" t="e">
        <f aca="false">_xlfn.xlookup(BA557,A:A,J:J)</f>
        <v>#NAME?</v>
      </c>
      <c r="BD557" s="75" t="e">
        <f aca="false">_xlfn.xlookup(BA557,A:A,M:M)+_xlfn.xlookup(BA557,A:A,N:N)</f>
        <v>#NAME?</v>
      </c>
    </row>
    <row r="558" customFormat="false" ht="14.25" hidden="false" customHeight="false" outlineLevel="0" collapsed="false">
      <c r="AK558" s="15" t="e">
        <v>#NAME?</v>
      </c>
      <c r="AL558" s="15" t="e">
        <f aca="false">_xlfn.xlookup(AK558,A:A,F:F)</f>
        <v>#NAME?</v>
      </c>
      <c r="AM558" s="15" t="e">
        <f aca="false">_xlfn.xlookup(AK558,A:A,J:J)</f>
        <v>#NAME?</v>
      </c>
      <c r="AN558" s="15" t="e">
        <f aca="false">_xlfn.xlookup(AK558,A:A,M:M)+_xlfn.xlookup(AK558,A:A,N:N)</f>
        <v>#NAME?</v>
      </c>
      <c r="AO558" s="223" t="e">
        <f aca="false">_xlfn.xlookup(AK558,A:A,AG:AG)</f>
        <v>#NAME?</v>
      </c>
      <c r="AP558" s="223" t="e">
        <f aca="false">_xlfn.xlookup(AK558,A:A,AD:AD)</f>
        <v>#NAME?</v>
      </c>
      <c r="AQ558" s="223" t="e">
        <f aca="false">_xlfn.xlookup(AK558,A:A,AE:AE)</f>
        <v>#NAME?</v>
      </c>
      <c r="BB558" s="15" t="e">
        <f aca="false">_xlfn.xlookup(BA558,A:A,E:E)</f>
        <v>#NAME?</v>
      </c>
      <c r="BC558" s="15" t="e">
        <f aca="false">_xlfn.xlookup(BA558,A:A,J:J)</f>
        <v>#NAME?</v>
      </c>
      <c r="BD558" s="75" t="e">
        <f aca="false">_xlfn.xlookup(BA558,A:A,M:M)+_xlfn.xlookup(BA558,A:A,N:N)</f>
        <v>#NAME?</v>
      </c>
    </row>
    <row r="559" customFormat="false" ht="14.25" hidden="false" customHeight="false" outlineLevel="0" collapsed="false">
      <c r="AK559" s="15" t="e">
        <v>#NAME?</v>
      </c>
      <c r="AL559" s="15" t="e">
        <f aca="false">_xlfn.xlookup(AK559,A:A,F:F)</f>
        <v>#NAME?</v>
      </c>
      <c r="AM559" s="15" t="e">
        <f aca="false">_xlfn.xlookup(AK559,A:A,J:J)</f>
        <v>#NAME?</v>
      </c>
      <c r="AN559" s="15" t="e">
        <f aca="false">_xlfn.xlookup(AK559,A:A,M:M)+_xlfn.xlookup(AK559,A:A,N:N)</f>
        <v>#NAME?</v>
      </c>
      <c r="AO559" s="223" t="e">
        <f aca="false">_xlfn.xlookup(AK559,A:A,AG:AG)</f>
        <v>#NAME?</v>
      </c>
      <c r="AP559" s="223" t="e">
        <f aca="false">_xlfn.xlookup(AK559,A:A,AD:AD)</f>
        <v>#NAME?</v>
      </c>
      <c r="AQ559" s="223" t="e">
        <f aca="false">_xlfn.xlookup(AK559,A:A,AE:AE)</f>
        <v>#NAME?</v>
      </c>
      <c r="BB559" s="15" t="e">
        <f aca="false">_xlfn.xlookup(BA559,A:A,E:E)</f>
        <v>#NAME?</v>
      </c>
      <c r="BC559" s="15" t="e">
        <f aca="false">_xlfn.xlookup(BA559,A:A,J:J)</f>
        <v>#NAME?</v>
      </c>
      <c r="BD559" s="75" t="e">
        <f aca="false">_xlfn.xlookup(BA559,A:A,M:M)+_xlfn.xlookup(BA559,A:A,N:N)</f>
        <v>#NAME?</v>
      </c>
    </row>
    <row r="560" customFormat="false" ht="14.25" hidden="false" customHeight="false" outlineLevel="0" collapsed="false">
      <c r="AK560" s="15" t="e">
        <v>#NAME?</v>
      </c>
      <c r="AL560" s="15" t="e">
        <f aca="false">_xlfn.xlookup(AK560,A:A,F:F)</f>
        <v>#NAME?</v>
      </c>
      <c r="AM560" s="15" t="e">
        <f aca="false">_xlfn.xlookup(AK560,A:A,J:J)</f>
        <v>#NAME?</v>
      </c>
      <c r="AN560" s="15" t="e">
        <f aca="false">_xlfn.xlookup(AK560,A:A,M:M)+_xlfn.xlookup(AK560,A:A,N:N)</f>
        <v>#NAME?</v>
      </c>
      <c r="AO560" s="223" t="e">
        <f aca="false">_xlfn.xlookup(AK560,A:A,AG:AG)</f>
        <v>#NAME?</v>
      </c>
      <c r="AP560" s="223" t="e">
        <f aca="false">_xlfn.xlookup(AK560,A:A,AD:AD)</f>
        <v>#NAME?</v>
      </c>
      <c r="AQ560" s="223" t="e">
        <f aca="false">_xlfn.xlookup(AK560,A:A,AE:AE)</f>
        <v>#NAME?</v>
      </c>
      <c r="BB560" s="15" t="e">
        <f aca="false">_xlfn.xlookup(BA560,A:A,E:E)</f>
        <v>#NAME?</v>
      </c>
      <c r="BC560" s="15" t="e">
        <f aca="false">_xlfn.xlookup(BA560,A:A,J:J)</f>
        <v>#NAME?</v>
      </c>
      <c r="BD560" s="75" t="e">
        <f aca="false">_xlfn.xlookup(BA560,A:A,M:M)+_xlfn.xlookup(BA560,A:A,N:N)</f>
        <v>#NAME?</v>
      </c>
    </row>
    <row r="561" customFormat="false" ht="14.25" hidden="false" customHeight="false" outlineLevel="0" collapsed="false">
      <c r="AK561" s="15" t="e">
        <v>#NAME?</v>
      </c>
      <c r="AL561" s="15" t="e">
        <f aca="false">_xlfn.xlookup(AK561,A:A,F:F)</f>
        <v>#NAME?</v>
      </c>
      <c r="AM561" s="15" t="e">
        <f aca="false">_xlfn.xlookup(AK561,A:A,J:J)</f>
        <v>#NAME?</v>
      </c>
      <c r="AN561" s="15" t="e">
        <f aca="false">_xlfn.xlookup(AK561,A:A,M:M)+_xlfn.xlookup(AK561,A:A,N:N)</f>
        <v>#NAME?</v>
      </c>
      <c r="AO561" s="223" t="e">
        <f aca="false">_xlfn.xlookup(AK561,A:A,AG:AG)</f>
        <v>#NAME?</v>
      </c>
      <c r="AP561" s="223" t="e">
        <f aca="false">_xlfn.xlookup(AK561,A:A,AD:AD)</f>
        <v>#NAME?</v>
      </c>
      <c r="AQ561" s="223" t="e">
        <f aca="false">_xlfn.xlookup(AK561,A:A,AE:AE)</f>
        <v>#NAME?</v>
      </c>
      <c r="BB561" s="15" t="e">
        <f aca="false">_xlfn.xlookup(BA561,A:A,E:E)</f>
        <v>#NAME?</v>
      </c>
      <c r="BC561" s="15" t="e">
        <f aca="false">_xlfn.xlookup(BA561,A:A,J:J)</f>
        <v>#NAME?</v>
      </c>
      <c r="BD561" s="75" t="e">
        <f aca="false">_xlfn.xlookup(BA561,A:A,M:M)+_xlfn.xlookup(BA561,A:A,N:N)</f>
        <v>#NAME?</v>
      </c>
    </row>
    <row r="562" customFormat="false" ht="14.25" hidden="false" customHeight="false" outlineLevel="0" collapsed="false">
      <c r="AK562" s="15" t="e">
        <v>#NAME?</v>
      </c>
      <c r="AL562" s="15" t="e">
        <f aca="false">_xlfn.xlookup(AK562,A:A,F:F)</f>
        <v>#NAME?</v>
      </c>
      <c r="AM562" s="15" t="e">
        <f aca="false">_xlfn.xlookup(AK562,A:A,J:J)</f>
        <v>#NAME?</v>
      </c>
      <c r="AN562" s="15" t="e">
        <f aca="false">_xlfn.xlookup(AK562,A:A,M:M)+_xlfn.xlookup(AK562,A:A,N:N)</f>
        <v>#NAME?</v>
      </c>
      <c r="AO562" s="223" t="e">
        <f aca="false">_xlfn.xlookup(AK562,A:A,AG:AG)</f>
        <v>#NAME?</v>
      </c>
      <c r="AP562" s="223" t="e">
        <f aca="false">_xlfn.xlookup(AK562,A:A,AD:AD)</f>
        <v>#NAME?</v>
      </c>
      <c r="AQ562" s="223" t="e">
        <f aca="false">_xlfn.xlookup(AK562,A:A,AE:AE)</f>
        <v>#NAME?</v>
      </c>
      <c r="BB562" s="15" t="e">
        <f aca="false">_xlfn.xlookup(BA562,A:A,E:E)</f>
        <v>#NAME?</v>
      </c>
      <c r="BC562" s="15" t="e">
        <f aca="false">_xlfn.xlookup(BA562,A:A,J:J)</f>
        <v>#NAME?</v>
      </c>
      <c r="BD562" s="75" t="e">
        <f aca="false">_xlfn.xlookup(BA562,A:A,M:M)+_xlfn.xlookup(BA562,A:A,N:N)</f>
        <v>#NAME?</v>
      </c>
    </row>
    <row r="563" customFormat="false" ht="14.25" hidden="false" customHeight="false" outlineLevel="0" collapsed="false">
      <c r="AK563" s="15" t="e">
        <v>#NAME?</v>
      </c>
      <c r="AL563" s="15" t="e">
        <f aca="false">_xlfn.xlookup(AK563,A:A,F:F)</f>
        <v>#NAME?</v>
      </c>
      <c r="AM563" s="15" t="e">
        <f aca="false">_xlfn.xlookup(AK563,A:A,J:J)</f>
        <v>#NAME?</v>
      </c>
      <c r="AN563" s="15" t="e">
        <f aca="false">_xlfn.xlookup(AK563,A:A,M:M)+_xlfn.xlookup(AK563,A:A,N:N)</f>
        <v>#NAME?</v>
      </c>
      <c r="AO563" s="223" t="e">
        <f aca="false">_xlfn.xlookup(AK563,A:A,AG:AG)</f>
        <v>#NAME?</v>
      </c>
      <c r="AP563" s="223" t="e">
        <f aca="false">_xlfn.xlookup(AK563,A:A,AD:AD)</f>
        <v>#NAME?</v>
      </c>
      <c r="AQ563" s="223" t="e">
        <f aca="false">_xlfn.xlookup(AK563,A:A,AE:AE)</f>
        <v>#NAME?</v>
      </c>
      <c r="BB563" s="15" t="e">
        <f aca="false">_xlfn.xlookup(BA563,A:A,E:E)</f>
        <v>#NAME?</v>
      </c>
      <c r="BC563" s="15" t="e">
        <f aca="false">_xlfn.xlookup(BA563,A:A,J:J)</f>
        <v>#NAME?</v>
      </c>
      <c r="BD563" s="75" t="e">
        <f aca="false">_xlfn.xlookup(BA563,A:A,M:M)+_xlfn.xlookup(BA563,A:A,N:N)</f>
        <v>#NAME?</v>
      </c>
    </row>
    <row r="564" customFormat="false" ht="14.25" hidden="false" customHeight="false" outlineLevel="0" collapsed="false">
      <c r="AK564" s="15" t="e">
        <v>#NAME?</v>
      </c>
      <c r="AL564" s="15" t="e">
        <f aca="false">_xlfn.xlookup(AK564,A:A,F:F)</f>
        <v>#NAME?</v>
      </c>
      <c r="AM564" s="15" t="e">
        <f aca="false">_xlfn.xlookup(AK564,A:A,J:J)</f>
        <v>#NAME?</v>
      </c>
      <c r="AN564" s="15" t="e">
        <f aca="false">_xlfn.xlookup(AK564,A:A,M:M)+_xlfn.xlookup(AK564,A:A,N:N)</f>
        <v>#NAME?</v>
      </c>
      <c r="AO564" s="223" t="e">
        <f aca="false">_xlfn.xlookup(AK564,A:A,AG:AG)</f>
        <v>#NAME?</v>
      </c>
      <c r="AP564" s="223" t="e">
        <f aca="false">_xlfn.xlookup(AK564,A:A,AD:AD)</f>
        <v>#NAME?</v>
      </c>
      <c r="AQ564" s="223" t="e">
        <f aca="false">_xlfn.xlookup(AK564,A:A,AE:AE)</f>
        <v>#NAME?</v>
      </c>
      <c r="BB564" s="15" t="e">
        <f aca="false">_xlfn.xlookup(BA564,A:A,E:E)</f>
        <v>#NAME?</v>
      </c>
      <c r="BC564" s="15" t="e">
        <f aca="false">_xlfn.xlookup(BA564,A:A,J:J)</f>
        <v>#NAME?</v>
      </c>
      <c r="BD564" s="75" t="e">
        <f aca="false">_xlfn.xlookup(BA564,A:A,M:M)+_xlfn.xlookup(BA564,A:A,N:N)</f>
        <v>#NAME?</v>
      </c>
    </row>
    <row r="565" customFormat="false" ht="14.25" hidden="false" customHeight="false" outlineLevel="0" collapsed="false">
      <c r="AK565" s="15" t="e">
        <v>#NAME?</v>
      </c>
      <c r="AL565" s="15" t="e">
        <f aca="false">_xlfn.xlookup(AK565,A:A,F:F)</f>
        <v>#NAME?</v>
      </c>
      <c r="AM565" s="15" t="e">
        <f aca="false">_xlfn.xlookup(AK565,A:A,J:J)</f>
        <v>#NAME?</v>
      </c>
      <c r="AN565" s="15" t="e">
        <f aca="false">_xlfn.xlookup(AK565,A:A,M:M)+_xlfn.xlookup(AK565,A:A,N:N)</f>
        <v>#NAME?</v>
      </c>
      <c r="AO565" s="223" t="e">
        <f aca="false">_xlfn.xlookup(AK565,A:A,AG:AG)</f>
        <v>#NAME?</v>
      </c>
      <c r="AP565" s="223" t="e">
        <f aca="false">_xlfn.xlookup(AK565,A:A,AD:AD)</f>
        <v>#NAME?</v>
      </c>
      <c r="AQ565" s="223" t="e">
        <f aca="false">_xlfn.xlookup(AK565,A:A,AE:AE)</f>
        <v>#NAME?</v>
      </c>
      <c r="BB565" s="15" t="e">
        <f aca="false">_xlfn.xlookup(BA565,A:A,E:E)</f>
        <v>#NAME?</v>
      </c>
      <c r="BC565" s="15" t="e">
        <f aca="false">_xlfn.xlookup(BA565,A:A,J:J)</f>
        <v>#NAME?</v>
      </c>
      <c r="BD565" s="75" t="e">
        <f aca="false">_xlfn.xlookup(BA565,A:A,M:M)+_xlfn.xlookup(BA565,A:A,N:N)</f>
        <v>#NAME?</v>
      </c>
    </row>
    <row r="566" customFormat="false" ht="14.25" hidden="false" customHeight="false" outlineLevel="0" collapsed="false">
      <c r="AK566" s="15" t="e">
        <v>#NAME?</v>
      </c>
      <c r="AL566" s="15" t="e">
        <f aca="false">_xlfn.xlookup(AK566,A:A,F:F)</f>
        <v>#NAME?</v>
      </c>
      <c r="AM566" s="15" t="e">
        <f aca="false">_xlfn.xlookup(AK566,A:A,J:J)</f>
        <v>#NAME?</v>
      </c>
      <c r="AN566" s="15" t="e">
        <f aca="false">_xlfn.xlookup(AK566,A:A,M:M)+_xlfn.xlookup(AK566,A:A,N:N)</f>
        <v>#NAME?</v>
      </c>
      <c r="AO566" s="223" t="e">
        <f aca="false">_xlfn.xlookup(AK566,A:A,AG:AG)</f>
        <v>#NAME?</v>
      </c>
      <c r="AP566" s="223" t="e">
        <f aca="false">_xlfn.xlookup(AK566,A:A,AD:AD)</f>
        <v>#NAME?</v>
      </c>
      <c r="AQ566" s="223" t="e">
        <f aca="false">_xlfn.xlookup(AK566,A:A,AE:AE)</f>
        <v>#NAME?</v>
      </c>
      <c r="BB566" s="15" t="e">
        <f aca="false">_xlfn.xlookup(BA566,A:A,E:E)</f>
        <v>#NAME?</v>
      </c>
      <c r="BC566" s="15" t="e">
        <f aca="false">_xlfn.xlookup(BA566,A:A,J:J)</f>
        <v>#NAME?</v>
      </c>
      <c r="BD566" s="75" t="e">
        <f aca="false">_xlfn.xlookup(BA566,A:A,M:M)+_xlfn.xlookup(BA566,A:A,N:N)</f>
        <v>#NAME?</v>
      </c>
    </row>
    <row r="567" customFormat="false" ht="14.25" hidden="false" customHeight="false" outlineLevel="0" collapsed="false">
      <c r="AK567" s="15" t="e">
        <v>#NAME?</v>
      </c>
      <c r="AL567" s="15" t="e">
        <f aca="false">_xlfn.xlookup(AK567,A:A,F:F)</f>
        <v>#NAME?</v>
      </c>
      <c r="AM567" s="15" t="e">
        <f aca="false">_xlfn.xlookup(AK567,A:A,J:J)</f>
        <v>#NAME?</v>
      </c>
      <c r="AN567" s="15" t="e">
        <f aca="false">_xlfn.xlookup(AK567,A:A,M:M)+_xlfn.xlookup(AK567,A:A,N:N)</f>
        <v>#NAME?</v>
      </c>
      <c r="AO567" s="223" t="e">
        <f aca="false">_xlfn.xlookup(AK567,A:A,AG:AG)</f>
        <v>#NAME?</v>
      </c>
      <c r="AP567" s="223" t="e">
        <f aca="false">_xlfn.xlookup(AK567,A:A,AD:AD)</f>
        <v>#NAME?</v>
      </c>
      <c r="AQ567" s="223" t="e">
        <f aca="false">_xlfn.xlookup(AK567,A:A,AE:AE)</f>
        <v>#NAME?</v>
      </c>
      <c r="BB567" s="15" t="e">
        <f aca="false">_xlfn.xlookup(BA567,A:A,E:E)</f>
        <v>#NAME?</v>
      </c>
      <c r="BC567" s="15" t="e">
        <f aca="false">_xlfn.xlookup(BA567,A:A,J:J)</f>
        <v>#NAME?</v>
      </c>
      <c r="BD567" s="75" t="e">
        <f aca="false">_xlfn.xlookup(BA567,A:A,M:M)+_xlfn.xlookup(BA567,A:A,N:N)</f>
        <v>#NAME?</v>
      </c>
    </row>
    <row r="568" customFormat="false" ht="14.25" hidden="false" customHeight="false" outlineLevel="0" collapsed="false">
      <c r="AK568" s="15" t="e">
        <v>#NAME?</v>
      </c>
      <c r="AL568" s="15" t="e">
        <f aca="false">_xlfn.xlookup(AK568,A:A,F:F)</f>
        <v>#NAME?</v>
      </c>
      <c r="AM568" s="15" t="e">
        <f aca="false">_xlfn.xlookup(AK568,A:A,J:J)</f>
        <v>#NAME?</v>
      </c>
      <c r="AN568" s="15" t="e">
        <f aca="false">_xlfn.xlookup(AK568,A:A,M:M)+_xlfn.xlookup(AK568,A:A,N:N)</f>
        <v>#NAME?</v>
      </c>
      <c r="AO568" s="223" t="e">
        <f aca="false">_xlfn.xlookup(AK568,A:A,AG:AG)</f>
        <v>#NAME?</v>
      </c>
      <c r="AP568" s="223" t="e">
        <f aca="false">_xlfn.xlookup(AK568,A:A,AD:AD)</f>
        <v>#NAME?</v>
      </c>
      <c r="AQ568" s="223" t="e">
        <f aca="false">_xlfn.xlookup(AK568,A:A,AE:AE)</f>
        <v>#NAME?</v>
      </c>
      <c r="BB568" s="15" t="e">
        <f aca="false">_xlfn.xlookup(BA568,A:A,E:E)</f>
        <v>#NAME?</v>
      </c>
      <c r="BC568" s="15" t="e">
        <f aca="false">_xlfn.xlookup(BA568,A:A,J:J)</f>
        <v>#NAME?</v>
      </c>
      <c r="BD568" s="75" t="e">
        <f aca="false">_xlfn.xlookup(BA568,A:A,M:M)+_xlfn.xlookup(BA568,A:A,N:N)</f>
        <v>#NAME?</v>
      </c>
    </row>
    <row r="569" customFormat="false" ht="14.25" hidden="false" customHeight="false" outlineLevel="0" collapsed="false">
      <c r="AK569" s="15" t="e">
        <v>#NAME?</v>
      </c>
      <c r="AL569" s="15" t="e">
        <f aca="false">_xlfn.xlookup(AK569,A:A,F:F)</f>
        <v>#NAME?</v>
      </c>
      <c r="AM569" s="15" t="e">
        <f aca="false">_xlfn.xlookup(AK569,A:A,J:J)</f>
        <v>#NAME?</v>
      </c>
      <c r="AN569" s="15" t="e">
        <f aca="false">_xlfn.xlookup(AK569,A:A,M:M)+_xlfn.xlookup(AK569,A:A,N:N)</f>
        <v>#NAME?</v>
      </c>
      <c r="AO569" s="223" t="e">
        <f aca="false">_xlfn.xlookup(AK569,A:A,AG:AG)</f>
        <v>#NAME?</v>
      </c>
      <c r="AP569" s="223" t="e">
        <f aca="false">_xlfn.xlookup(AK569,A:A,AD:AD)</f>
        <v>#NAME?</v>
      </c>
      <c r="AQ569" s="223" t="e">
        <f aca="false">_xlfn.xlookup(AK569,A:A,AE:AE)</f>
        <v>#NAME?</v>
      </c>
      <c r="BB569" s="15" t="e">
        <f aca="false">_xlfn.xlookup(BA569,A:A,E:E)</f>
        <v>#NAME?</v>
      </c>
      <c r="BC569" s="15" t="e">
        <f aca="false">_xlfn.xlookup(BA569,A:A,J:J)</f>
        <v>#NAME?</v>
      </c>
      <c r="BD569" s="75" t="e">
        <f aca="false">_xlfn.xlookup(BA569,A:A,M:M)+_xlfn.xlookup(BA569,A:A,N:N)</f>
        <v>#NAME?</v>
      </c>
    </row>
    <row r="570" customFormat="false" ht="14.25" hidden="false" customHeight="false" outlineLevel="0" collapsed="false">
      <c r="AK570" s="15" t="e">
        <v>#NAME?</v>
      </c>
      <c r="AL570" s="15" t="e">
        <f aca="false">_xlfn.xlookup(AK570,A:A,F:F)</f>
        <v>#NAME?</v>
      </c>
      <c r="AM570" s="15" t="e">
        <f aca="false">_xlfn.xlookup(AK570,A:A,J:J)</f>
        <v>#NAME?</v>
      </c>
      <c r="AN570" s="15" t="e">
        <f aca="false">_xlfn.xlookup(AK570,A:A,M:M)+_xlfn.xlookup(AK570,A:A,N:N)</f>
        <v>#NAME?</v>
      </c>
      <c r="AO570" s="223" t="e">
        <f aca="false">_xlfn.xlookup(AK570,A:A,AG:AG)</f>
        <v>#NAME?</v>
      </c>
      <c r="AP570" s="223" t="e">
        <f aca="false">_xlfn.xlookup(AK570,A:A,AD:AD)</f>
        <v>#NAME?</v>
      </c>
      <c r="AQ570" s="223" t="e">
        <f aca="false">_xlfn.xlookup(AK570,A:A,AE:AE)</f>
        <v>#NAME?</v>
      </c>
      <c r="BB570" s="15" t="e">
        <f aca="false">_xlfn.xlookup(BA570,A:A,E:E)</f>
        <v>#NAME?</v>
      </c>
      <c r="BC570" s="15" t="e">
        <f aca="false">_xlfn.xlookup(BA570,A:A,J:J)</f>
        <v>#NAME?</v>
      </c>
      <c r="BD570" s="75" t="e">
        <f aca="false">_xlfn.xlookup(BA570,A:A,M:M)+_xlfn.xlookup(BA570,A:A,N:N)</f>
        <v>#NAME?</v>
      </c>
    </row>
    <row r="571" customFormat="false" ht="14.25" hidden="false" customHeight="false" outlineLevel="0" collapsed="false">
      <c r="AK571" s="15" t="e">
        <v>#NAME?</v>
      </c>
      <c r="AL571" s="15" t="e">
        <f aca="false">_xlfn.xlookup(AK571,A:A,F:F)</f>
        <v>#NAME?</v>
      </c>
      <c r="AM571" s="15" t="e">
        <f aca="false">_xlfn.xlookup(AK571,A:A,J:J)</f>
        <v>#NAME?</v>
      </c>
      <c r="AN571" s="15" t="e">
        <f aca="false">_xlfn.xlookup(AK571,A:A,M:M)+_xlfn.xlookup(AK571,A:A,N:N)</f>
        <v>#NAME?</v>
      </c>
      <c r="AO571" s="223" t="e">
        <f aca="false">_xlfn.xlookup(AK571,A:A,AG:AG)</f>
        <v>#NAME?</v>
      </c>
      <c r="AP571" s="223" t="e">
        <f aca="false">_xlfn.xlookup(AK571,A:A,AD:AD)</f>
        <v>#NAME?</v>
      </c>
      <c r="AQ571" s="223" t="e">
        <f aca="false">_xlfn.xlookup(AK571,A:A,AE:AE)</f>
        <v>#NAME?</v>
      </c>
      <c r="BB571" s="15" t="e">
        <f aca="false">_xlfn.xlookup(BA571,A:A,E:E)</f>
        <v>#NAME?</v>
      </c>
      <c r="BC571" s="15" t="e">
        <f aca="false">_xlfn.xlookup(BA571,A:A,J:J)</f>
        <v>#NAME?</v>
      </c>
      <c r="BD571" s="75" t="e">
        <f aca="false">_xlfn.xlookup(BA571,A:A,M:M)+_xlfn.xlookup(BA571,A:A,N:N)</f>
        <v>#NAME?</v>
      </c>
    </row>
    <row r="572" customFormat="false" ht="14.25" hidden="false" customHeight="false" outlineLevel="0" collapsed="false">
      <c r="AK572" s="15" t="e">
        <v>#NAME?</v>
      </c>
      <c r="AL572" s="15" t="e">
        <f aca="false">_xlfn.xlookup(AK572,A:A,F:F)</f>
        <v>#NAME?</v>
      </c>
      <c r="AM572" s="15" t="e">
        <f aca="false">_xlfn.xlookup(AK572,A:A,J:J)</f>
        <v>#NAME?</v>
      </c>
      <c r="AN572" s="15" t="e">
        <f aca="false">_xlfn.xlookup(AK572,A:A,M:M)+_xlfn.xlookup(AK572,A:A,N:N)</f>
        <v>#NAME?</v>
      </c>
      <c r="AO572" s="223" t="e">
        <f aca="false">_xlfn.xlookup(AK572,A:A,AG:AG)</f>
        <v>#NAME?</v>
      </c>
      <c r="AP572" s="223" t="e">
        <f aca="false">_xlfn.xlookup(AK572,A:A,AD:AD)</f>
        <v>#NAME?</v>
      </c>
      <c r="AQ572" s="223" t="e">
        <f aca="false">_xlfn.xlookup(AK572,A:A,AE:AE)</f>
        <v>#NAME?</v>
      </c>
      <c r="BB572" s="15" t="e">
        <f aca="false">_xlfn.xlookup(BA572,A:A,E:E)</f>
        <v>#NAME?</v>
      </c>
      <c r="BC572" s="15" t="e">
        <f aca="false">_xlfn.xlookup(BA572,A:A,J:J)</f>
        <v>#NAME?</v>
      </c>
      <c r="BD572" s="75" t="e">
        <f aca="false">_xlfn.xlookup(BA572,A:A,M:M)+_xlfn.xlookup(BA572,A:A,N:N)</f>
        <v>#NAME?</v>
      </c>
    </row>
    <row r="573" customFormat="false" ht="14.25" hidden="false" customHeight="false" outlineLevel="0" collapsed="false">
      <c r="AK573" s="15" t="e">
        <v>#NAME?</v>
      </c>
      <c r="AL573" s="15" t="e">
        <f aca="false">_xlfn.xlookup(AK573,A:A,F:F)</f>
        <v>#NAME?</v>
      </c>
      <c r="AM573" s="15" t="e">
        <f aca="false">_xlfn.xlookup(AK573,A:A,J:J)</f>
        <v>#NAME?</v>
      </c>
      <c r="AN573" s="15" t="e">
        <f aca="false">_xlfn.xlookup(AK573,A:A,M:M)+_xlfn.xlookup(AK573,A:A,N:N)</f>
        <v>#NAME?</v>
      </c>
      <c r="AO573" s="223" t="e">
        <f aca="false">_xlfn.xlookup(AK573,A:A,AG:AG)</f>
        <v>#NAME?</v>
      </c>
      <c r="AP573" s="223" t="e">
        <f aca="false">_xlfn.xlookup(AK573,A:A,AD:AD)</f>
        <v>#NAME?</v>
      </c>
      <c r="AQ573" s="223" t="e">
        <f aca="false">_xlfn.xlookup(AK573,A:A,AE:AE)</f>
        <v>#NAME?</v>
      </c>
      <c r="BB573" s="15" t="e">
        <f aca="false">_xlfn.xlookup(BA573,A:A,E:E)</f>
        <v>#NAME?</v>
      </c>
      <c r="BC573" s="15" t="e">
        <f aca="false">_xlfn.xlookup(BA573,A:A,J:J)</f>
        <v>#NAME?</v>
      </c>
      <c r="BD573" s="75" t="e">
        <f aca="false">_xlfn.xlookup(BA573,A:A,M:M)+_xlfn.xlookup(BA573,A:A,N:N)</f>
        <v>#NAME?</v>
      </c>
    </row>
    <row r="574" customFormat="false" ht="14.25" hidden="false" customHeight="false" outlineLevel="0" collapsed="false">
      <c r="AK574" s="15" t="e">
        <v>#NAME?</v>
      </c>
      <c r="AL574" s="15" t="e">
        <f aca="false">_xlfn.xlookup(AK574,A:A,F:F)</f>
        <v>#NAME?</v>
      </c>
      <c r="AM574" s="15" t="e">
        <f aca="false">_xlfn.xlookup(AK574,A:A,J:J)</f>
        <v>#NAME?</v>
      </c>
      <c r="AN574" s="15" t="e">
        <f aca="false">_xlfn.xlookup(AK574,A:A,M:M)+_xlfn.xlookup(AK574,A:A,N:N)</f>
        <v>#NAME?</v>
      </c>
      <c r="AO574" s="223" t="e">
        <f aca="false">_xlfn.xlookup(AK574,A:A,AG:AG)</f>
        <v>#NAME?</v>
      </c>
      <c r="AP574" s="223" t="e">
        <f aca="false">_xlfn.xlookup(AK574,A:A,AD:AD)</f>
        <v>#NAME?</v>
      </c>
      <c r="AQ574" s="223" t="e">
        <f aca="false">_xlfn.xlookup(AK574,A:A,AE:AE)</f>
        <v>#NAME?</v>
      </c>
      <c r="BB574" s="15" t="e">
        <f aca="false">_xlfn.xlookup(BA574,A:A,E:E)</f>
        <v>#NAME?</v>
      </c>
      <c r="BC574" s="15" t="e">
        <f aca="false">_xlfn.xlookup(BA574,A:A,J:J)</f>
        <v>#NAME?</v>
      </c>
      <c r="BD574" s="75" t="e">
        <f aca="false">_xlfn.xlookup(BA574,A:A,M:M)+_xlfn.xlookup(BA574,A:A,N:N)</f>
        <v>#NAME?</v>
      </c>
    </row>
    <row r="575" customFormat="false" ht="14.25" hidden="false" customHeight="false" outlineLevel="0" collapsed="false">
      <c r="AK575" s="15" t="e">
        <v>#NAME?</v>
      </c>
      <c r="AL575" s="15" t="e">
        <f aca="false">_xlfn.xlookup(AK575,A:A,F:F)</f>
        <v>#NAME?</v>
      </c>
      <c r="AM575" s="15" t="e">
        <f aca="false">_xlfn.xlookup(AK575,A:A,J:J)</f>
        <v>#NAME?</v>
      </c>
      <c r="AN575" s="15" t="e">
        <f aca="false">_xlfn.xlookup(AK575,A:A,M:M)+_xlfn.xlookup(AK575,A:A,N:N)</f>
        <v>#NAME?</v>
      </c>
      <c r="AO575" s="223" t="e">
        <f aca="false">_xlfn.xlookup(AK575,A:A,AG:AG)</f>
        <v>#NAME?</v>
      </c>
      <c r="AP575" s="223" t="e">
        <f aca="false">_xlfn.xlookup(AK575,A:A,AD:AD)</f>
        <v>#NAME?</v>
      </c>
      <c r="AQ575" s="223" t="e">
        <f aca="false">_xlfn.xlookup(AK575,A:A,AE:AE)</f>
        <v>#NAME?</v>
      </c>
      <c r="BB575" s="15" t="e">
        <f aca="false">_xlfn.xlookup(BA575,A:A,E:E)</f>
        <v>#NAME?</v>
      </c>
      <c r="BC575" s="15" t="e">
        <f aca="false">_xlfn.xlookup(BA575,A:A,J:J)</f>
        <v>#NAME?</v>
      </c>
      <c r="BD575" s="75" t="e">
        <f aca="false">_xlfn.xlookup(BA575,A:A,M:M)+_xlfn.xlookup(BA575,A:A,N:N)</f>
        <v>#NAME?</v>
      </c>
    </row>
    <row r="576" customFormat="false" ht="14.25" hidden="false" customHeight="false" outlineLevel="0" collapsed="false">
      <c r="AK576" s="15" t="e">
        <v>#NAME?</v>
      </c>
      <c r="AL576" s="15" t="e">
        <f aca="false">_xlfn.xlookup(AK576,A:A,F:F)</f>
        <v>#NAME?</v>
      </c>
      <c r="AM576" s="15" t="e">
        <f aca="false">_xlfn.xlookup(AK576,A:A,J:J)</f>
        <v>#NAME?</v>
      </c>
      <c r="AN576" s="15" t="e">
        <f aca="false">_xlfn.xlookup(AK576,A:A,M:M)+_xlfn.xlookup(AK576,A:A,N:N)</f>
        <v>#NAME?</v>
      </c>
      <c r="AO576" s="223" t="e">
        <f aca="false">_xlfn.xlookup(AK576,A:A,AG:AG)</f>
        <v>#NAME?</v>
      </c>
      <c r="AP576" s="223" t="e">
        <f aca="false">_xlfn.xlookup(AK576,A:A,AD:AD)</f>
        <v>#NAME?</v>
      </c>
      <c r="AQ576" s="223" t="e">
        <f aca="false">_xlfn.xlookup(AK576,A:A,AE:AE)</f>
        <v>#NAME?</v>
      </c>
      <c r="BB576" s="15" t="e">
        <f aca="false">_xlfn.xlookup(BA576,A:A,E:E)</f>
        <v>#NAME?</v>
      </c>
      <c r="BC576" s="15" t="e">
        <f aca="false">_xlfn.xlookup(BA576,A:A,J:J)</f>
        <v>#NAME?</v>
      </c>
      <c r="BD576" s="75" t="e">
        <f aca="false">_xlfn.xlookup(BA576,A:A,M:M)+_xlfn.xlookup(BA576,A:A,N:N)</f>
        <v>#NAME?</v>
      </c>
    </row>
    <row r="577" customFormat="false" ht="14.25" hidden="false" customHeight="false" outlineLevel="0" collapsed="false">
      <c r="AK577" s="15" t="e">
        <v>#NAME?</v>
      </c>
      <c r="AL577" s="15" t="e">
        <f aca="false">_xlfn.xlookup(AK577,A:A,F:F)</f>
        <v>#NAME?</v>
      </c>
      <c r="AM577" s="15" t="e">
        <f aca="false">_xlfn.xlookup(AK577,A:A,J:J)</f>
        <v>#NAME?</v>
      </c>
      <c r="AN577" s="15" t="e">
        <f aca="false">_xlfn.xlookup(AK577,A:A,M:M)+_xlfn.xlookup(AK577,A:A,N:N)</f>
        <v>#NAME?</v>
      </c>
      <c r="AO577" s="223" t="e">
        <f aca="false">_xlfn.xlookup(AK577,A:A,AG:AG)</f>
        <v>#NAME?</v>
      </c>
      <c r="AP577" s="223" t="e">
        <f aca="false">_xlfn.xlookup(AK577,A:A,AD:AD)</f>
        <v>#NAME?</v>
      </c>
      <c r="AQ577" s="223" t="e">
        <f aca="false">_xlfn.xlookup(AK577,A:A,AE:AE)</f>
        <v>#NAME?</v>
      </c>
      <c r="BB577" s="15" t="e">
        <f aca="false">_xlfn.xlookup(BA577,A:A,E:E)</f>
        <v>#NAME?</v>
      </c>
      <c r="BC577" s="15" t="e">
        <f aca="false">_xlfn.xlookup(BA577,A:A,J:J)</f>
        <v>#NAME?</v>
      </c>
      <c r="BD577" s="75" t="e">
        <f aca="false">_xlfn.xlookup(BA577,A:A,M:M)+_xlfn.xlookup(BA577,A:A,N:N)</f>
        <v>#NAME?</v>
      </c>
    </row>
    <row r="578" customFormat="false" ht="14.25" hidden="false" customHeight="false" outlineLevel="0" collapsed="false">
      <c r="AK578" s="15" t="e">
        <v>#NAME?</v>
      </c>
      <c r="AL578" s="15" t="e">
        <f aca="false">_xlfn.xlookup(AK578,A:A,F:F)</f>
        <v>#NAME?</v>
      </c>
      <c r="AM578" s="15" t="e">
        <f aca="false">_xlfn.xlookup(AK578,A:A,J:J)</f>
        <v>#NAME?</v>
      </c>
      <c r="AN578" s="15" t="e">
        <f aca="false">_xlfn.xlookup(AK578,A:A,M:M)+_xlfn.xlookup(AK578,A:A,N:N)</f>
        <v>#NAME?</v>
      </c>
      <c r="AO578" s="223" t="e">
        <f aca="false">_xlfn.xlookup(AK578,A:A,AG:AG)</f>
        <v>#NAME?</v>
      </c>
      <c r="AP578" s="223" t="e">
        <f aca="false">_xlfn.xlookup(AK578,A:A,AD:AD)</f>
        <v>#NAME?</v>
      </c>
      <c r="AQ578" s="223" t="e">
        <f aca="false">_xlfn.xlookup(AK578,A:A,AE:AE)</f>
        <v>#NAME?</v>
      </c>
      <c r="BB578" s="15" t="e">
        <f aca="false">_xlfn.xlookup(BA578,A:A,E:E)</f>
        <v>#NAME?</v>
      </c>
      <c r="BC578" s="15" t="e">
        <f aca="false">_xlfn.xlookup(BA578,A:A,J:J)</f>
        <v>#NAME?</v>
      </c>
      <c r="BD578" s="75" t="e">
        <f aca="false">_xlfn.xlookup(BA578,A:A,M:M)+_xlfn.xlookup(BA578,A:A,N:N)</f>
        <v>#NAME?</v>
      </c>
    </row>
    <row r="579" customFormat="false" ht="14.25" hidden="false" customHeight="false" outlineLevel="0" collapsed="false">
      <c r="AK579" s="15" t="e">
        <v>#NAME?</v>
      </c>
      <c r="AL579" s="15" t="e">
        <f aca="false">_xlfn.xlookup(AK579,A:A,F:F)</f>
        <v>#NAME?</v>
      </c>
      <c r="AM579" s="15" t="e">
        <f aca="false">_xlfn.xlookup(AK579,A:A,J:J)</f>
        <v>#NAME?</v>
      </c>
      <c r="AN579" s="15" t="e">
        <f aca="false">_xlfn.xlookup(AK579,A:A,M:M)+_xlfn.xlookup(AK579,A:A,N:N)</f>
        <v>#NAME?</v>
      </c>
      <c r="AO579" s="223" t="e">
        <f aca="false">_xlfn.xlookup(AK579,A:A,AG:AG)</f>
        <v>#NAME?</v>
      </c>
      <c r="AP579" s="223" t="e">
        <f aca="false">_xlfn.xlookup(AK579,A:A,AD:AD)</f>
        <v>#NAME?</v>
      </c>
      <c r="AQ579" s="223" t="e">
        <f aca="false">_xlfn.xlookup(AK579,A:A,AE:AE)</f>
        <v>#NAME?</v>
      </c>
      <c r="BB579" s="15" t="e">
        <f aca="false">_xlfn.xlookup(BA579,A:A,E:E)</f>
        <v>#NAME?</v>
      </c>
      <c r="BC579" s="15" t="e">
        <f aca="false">_xlfn.xlookup(BA579,A:A,J:J)</f>
        <v>#NAME?</v>
      </c>
      <c r="BD579" s="75" t="e">
        <f aca="false">_xlfn.xlookup(BA579,A:A,M:M)+_xlfn.xlookup(BA579,A:A,N:N)</f>
        <v>#NAME?</v>
      </c>
    </row>
    <row r="580" customFormat="false" ht="14.25" hidden="false" customHeight="false" outlineLevel="0" collapsed="false">
      <c r="AK580" s="15" t="e">
        <v>#NAME?</v>
      </c>
      <c r="AL580" s="15" t="e">
        <f aca="false">_xlfn.xlookup(AK580,A:A,F:F)</f>
        <v>#NAME?</v>
      </c>
      <c r="AM580" s="15" t="e">
        <f aca="false">_xlfn.xlookup(AK580,A:A,J:J)</f>
        <v>#NAME?</v>
      </c>
      <c r="AN580" s="15" t="e">
        <f aca="false">_xlfn.xlookup(AK580,A:A,M:M)+_xlfn.xlookup(AK580,A:A,N:N)</f>
        <v>#NAME?</v>
      </c>
      <c r="AO580" s="223" t="e">
        <f aca="false">_xlfn.xlookup(AK580,A:A,AG:AG)</f>
        <v>#NAME?</v>
      </c>
      <c r="AP580" s="223" t="e">
        <f aca="false">_xlfn.xlookup(AK580,A:A,AD:AD)</f>
        <v>#NAME?</v>
      </c>
      <c r="AQ580" s="223" t="e">
        <f aca="false">_xlfn.xlookup(AK580,A:A,AE:AE)</f>
        <v>#NAME?</v>
      </c>
      <c r="BB580" s="15" t="e">
        <f aca="false">_xlfn.xlookup(BA580,A:A,E:E)</f>
        <v>#NAME?</v>
      </c>
      <c r="BC580" s="15" t="e">
        <f aca="false">_xlfn.xlookup(BA580,A:A,J:J)</f>
        <v>#NAME?</v>
      </c>
      <c r="BD580" s="75" t="e">
        <f aca="false">_xlfn.xlookup(BA580,A:A,M:M)+_xlfn.xlookup(BA580,A:A,N:N)</f>
        <v>#NAME?</v>
      </c>
    </row>
    <row r="581" customFormat="false" ht="14.25" hidden="false" customHeight="false" outlineLevel="0" collapsed="false">
      <c r="AK581" s="15" t="e">
        <v>#NAME?</v>
      </c>
      <c r="AL581" s="15" t="e">
        <f aca="false">_xlfn.xlookup(AK581,A:A,F:F)</f>
        <v>#NAME?</v>
      </c>
      <c r="AM581" s="15" t="e">
        <f aca="false">_xlfn.xlookup(AK581,A:A,J:J)</f>
        <v>#NAME?</v>
      </c>
      <c r="AN581" s="15" t="e">
        <f aca="false">_xlfn.xlookup(AK581,A:A,M:M)+_xlfn.xlookup(AK581,A:A,N:N)</f>
        <v>#NAME?</v>
      </c>
      <c r="AO581" s="223" t="e">
        <f aca="false">_xlfn.xlookup(AK581,A:A,AG:AG)</f>
        <v>#NAME?</v>
      </c>
      <c r="AP581" s="223" t="e">
        <f aca="false">_xlfn.xlookup(AK581,A:A,AD:AD)</f>
        <v>#NAME?</v>
      </c>
      <c r="AQ581" s="223" t="e">
        <f aca="false">_xlfn.xlookup(AK581,A:A,AE:AE)</f>
        <v>#NAME?</v>
      </c>
      <c r="BB581" s="15" t="e">
        <f aca="false">_xlfn.xlookup(BA581,A:A,E:E)</f>
        <v>#NAME?</v>
      </c>
      <c r="BC581" s="15" t="e">
        <f aca="false">_xlfn.xlookup(BA581,A:A,J:J)</f>
        <v>#NAME?</v>
      </c>
      <c r="BD581" s="75" t="e">
        <f aca="false">_xlfn.xlookup(BA581,A:A,M:M)+_xlfn.xlookup(BA581,A:A,N:N)</f>
        <v>#NAME?</v>
      </c>
    </row>
    <row r="582" customFormat="false" ht="14.25" hidden="false" customHeight="false" outlineLevel="0" collapsed="false">
      <c r="AK582" s="15" t="e">
        <v>#NAME?</v>
      </c>
      <c r="AL582" s="15" t="e">
        <f aca="false">_xlfn.xlookup(AK582,A:A,F:F)</f>
        <v>#NAME?</v>
      </c>
      <c r="AM582" s="15" t="e">
        <f aca="false">_xlfn.xlookup(AK582,A:A,J:J)</f>
        <v>#NAME?</v>
      </c>
      <c r="AN582" s="15" t="e">
        <f aca="false">_xlfn.xlookup(AK582,A:A,M:M)+_xlfn.xlookup(AK582,A:A,N:N)</f>
        <v>#NAME?</v>
      </c>
      <c r="AO582" s="223" t="e">
        <f aca="false">_xlfn.xlookup(AK582,A:A,AG:AG)</f>
        <v>#NAME?</v>
      </c>
      <c r="AP582" s="223" t="e">
        <f aca="false">_xlfn.xlookup(AK582,A:A,AD:AD)</f>
        <v>#NAME?</v>
      </c>
      <c r="AQ582" s="223" t="e">
        <f aca="false">_xlfn.xlookup(AK582,A:A,AE:AE)</f>
        <v>#NAME?</v>
      </c>
      <c r="BB582" s="15" t="e">
        <f aca="false">_xlfn.xlookup(BA582,A:A,E:E)</f>
        <v>#NAME?</v>
      </c>
      <c r="BC582" s="15" t="e">
        <f aca="false">_xlfn.xlookup(BA582,A:A,J:J)</f>
        <v>#NAME?</v>
      </c>
      <c r="BD582" s="75" t="e">
        <f aca="false">_xlfn.xlookup(BA582,A:A,M:M)+_xlfn.xlookup(BA582,A:A,N:N)</f>
        <v>#NAME?</v>
      </c>
    </row>
    <row r="583" customFormat="false" ht="14.25" hidden="false" customHeight="false" outlineLevel="0" collapsed="false">
      <c r="AK583" s="15" t="e">
        <v>#NAME?</v>
      </c>
      <c r="AL583" s="15" t="e">
        <f aca="false">_xlfn.xlookup(AK583,A:A,F:F)</f>
        <v>#NAME?</v>
      </c>
      <c r="AM583" s="15" t="e">
        <f aca="false">_xlfn.xlookup(AK583,A:A,J:J)</f>
        <v>#NAME?</v>
      </c>
      <c r="AN583" s="15" t="e">
        <f aca="false">_xlfn.xlookup(AK583,A:A,M:M)+_xlfn.xlookup(AK583,A:A,N:N)</f>
        <v>#NAME?</v>
      </c>
      <c r="AO583" s="223" t="e">
        <f aca="false">_xlfn.xlookup(AK583,A:A,AG:AG)</f>
        <v>#NAME?</v>
      </c>
      <c r="AP583" s="223" t="e">
        <f aca="false">_xlfn.xlookup(AK583,A:A,AD:AD)</f>
        <v>#NAME?</v>
      </c>
      <c r="AQ583" s="223" t="e">
        <f aca="false">_xlfn.xlookup(AK583,A:A,AE:AE)</f>
        <v>#NAME?</v>
      </c>
      <c r="BB583" s="15" t="e">
        <f aca="false">_xlfn.xlookup(BA583,A:A,E:E)</f>
        <v>#NAME?</v>
      </c>
      <c r="BC583" s="15" t="e">
        <f aca="false">_xlfn.xlookup(BA583,A:A,J:J)</f>
        <v>#NAME?</v>
      </c>
      <c r="BD583" s="75" t="e">
        <f aca="false">_xlfn.xlookup(BA583,A:A,M:M)+_xlfn.xlookup(BA583,A:A,N:N)</f>
        <v>#NAME?</v>
      </c>
    </row>
    <row r="584" customFormat="false" ht="14.25" hidden="false" customHeight="false" outlineLevel="0" collapsed="false">
      <c r="AK584" s="15" t="e">
        <v>#NAME?</v>
      </c>
      <c r="AL584" s="15" t="e">
        <f aca="false">_xlfn.xlookup(AK584,A:A,F:F)</f>
        <v>#NAME?</v>
      </c>
      <c r="AM584" s="15" t="e">
        <f aca="false">_xlfn.xlookup(AK584,A:A,J:J)</f>
        <v>#NAME?</v>
      </c>
      <c r="AN584" s="15" t="e">
        <f aca="false">_xlfn.xlookup(AK584,A:A,M:M)+_xlfn.xlookup(AK584,A:A,N:N)</f>
        <v>#NAME?</v>
      </c>
      <c r="AO584" s="223" t="e">
        <f aca="false">_xlfn.xlookup(AK584,A:A,AG:AG)</f>
        <v>#NAME?</v>
      </c>
      <c r="AP584" s="223" t="e">
        <f aca="false">_xlfn.xlookup(AK584,A:A,AD:AD)</f>
        <v>#NAME?</v>
      </c>
      <c r="AQ584" s="223" t="e">
        <f aca="false">_xlfn.xlookup(AK584,A:A,AE:AE)</f>
        <v>#NAME?</v>
      </c>
      <c r="BB584" s="15" t="e">
        <f aca="false">_xlfn.xlookup(BA584,A:A,E:E)</f>
        <v>#NAME?</v>
      </c>
      <c r="BC584" s="15" t="e">
        <f aca="false">_xlfn.xlookup(BA584,A:A,J:J)</f>
        <v>#NAME?</v>
      </c>
      <c r="BD584" s="75" t="e">
        <f aca="false">_xlfn.xlookup(BA584,A:A,M:M)+_xlfn.xlookup(BA584,A:A,N:N)</f>
        <v>#NAME?</v>
      </c>
    </row>
    <row r="585" customFormat="false" ht="14.25" hidden="false" customHeight="false" outlineLevel="0" collapsed="false">
      <c r="AK585" s="15" t="e">
        <v>#NAME?</v>
      </c>
      <c r="AL585" s="15" t="e">
        <f aca="false">_xlfn.xlookup(AK585,A:A,F:F)</f>
        <v>#NAME?</v>
      </c>
      <c r="AM585" s="15" t="e">
        <f aca="false">_xlfn.xlookup(AK585,A:A,J:J)</f>
        <v>#NAME?</v>
      </c>
      <c r="AN585" s="15" t="e">
        <f aca="false">_xlfn.xlookup(AK585,A:A,M:M)+_xlfn.xlookup(AK585,A:A,N:N)</f>
        <v>#NAME?</v>
      </c>
      <c r="AO585" s="223" t="e">
        <f aca="false">_xlfn.xlookup(AK585,A:A,AG:AG)</f>
        <v>#NAME?</v>
      </c>
      <c r="AP585" s="223" t="e">
        <f aca="false">_xlfn.xlookup(AK585,A:A,AD:AD)</f>
        <v>#NAME?</v>
      </c>
      <c r="AQ585" s="223" t="e">
        <f aca="false">_xlfn.xlookup(AK585,A:A,AE:AE)</f>
        <v>#NAME?</v>
      </c>
      <c r="BB585" s="15" t="e">
        <f aca="false">_xlfn.xlookup(BA585,A:A,E:E)</f>
        <v>#NAME?</v>
      </c>
      <c r="BC585" s="15" t="e">
        <f aca="false">_xlfn.xlookup(BA585,A:A,J:J)</f>
        <v>#NAME?</v>
      </c>
      <c r="BD585" s="75" t="e">
        <f aca="false">_xlfn.xlookup(BA585,A:A,M:M)+_xlfn.xlookup(BA585,A:A,N:N)</f>
        <v>#NAME?</v>
      </c>
    </row>
    <row r="586" customFormat="false" ht="14.25" hidden="false" customHeight="false" outlineLevel="0" collapsed="false">
      <c r="AK586" s="15" t="e">
        <v>#NAME?</v>
      </c>
      <c r="AL586" s="15" t="e">
        <f aca="false">_xlfn.xlookup(AK586,A:A,F:F)</f>
        <v>#NAME?</v>
      </c>
      <c r="AM586" s="15" t="e">
        <f aca="false">_xlfn.xlookup(AK586,A:A,J:J)</f>
        <v>#NAME?</v>
      </c>
      <c r="AN586" s="15" t="e">
        <f aca="false">_xlfn.xlookup(AK586,A:A,M:M)+_xlfn.xlookup(AK586,A:A,N:N)</f>
        <v>#NAME?</v>
      </c>
      <c r="AO586" s="223" t="e">
        <f aca="false">_xlfn.xlookup(AK586,A:A,AG:AG)</f>
        <v>#NAME?</v>
      </c>
      <c r="AP586" s="223" t="e">
        <f aca="false">_xlfn.xlookup(AK586,A:A,AD:AD)</f>
        <v>#NAME?</v>
      </c>
      <c r="AQ586" s="223" t="e">
        <f aca="false">_xlfn.xlookup(AK586,A:A,AE:AE)</f>
        <v>#NAME?</v>
      </c>
      <c r="BB586" s="15" t="e">
        <f aca="false">_xlfn.xlookup(BA586,A:A,E:E)</f>
        <v>#NAME?</v>
      </c>
      <c r="BC586" s="15" t="e">
        <f aca="false">_xlfn.xlookup(BA586,A:A,J:J)</f>
        <v>#NAME?</v>
      </c>
      <c r="BD586" s="75" t="e">
        <f aca="false">_xlfn.xlookup(BA586,A:A,M:M)+_xlfn.xlookup(BA586,A:A,N:N)</f>
        <v>#NAME?</v>
      </c>
    </row>
    <row r="587" customFormat="false" ht="14.25" hidden="false" customHeight="false" outlineLevel="0" collapsed="false">
      <c r="AK587" s="15" t="e">
        <v>#NAME?</v>
      </c>
      <c r="AL587" s="15" t="e">
        <f aca="false">_xlfn.xlookup(AK587,A:A,F:F)</f>
        <v>#NAME?</v>
      </c>
      <c r="AM587" s="15" t="e">
        <f aca="false">_xlfn.xlookup(AK587,A:A,J:J)</f>
        <v>#NAME?</v>
      </c>
      <c r="AN587" s="15" t="e">
        <f aca="false">_xlfn.xlookup(AK587,A:A,M:M)+_xlfn.xlookup(AK587,A:A,N:N)</f>
        <v>#NAME?</v>
      </c>
      <c r="AO587" s="223" t="e">
        <f aca="false">_xlfn.xlookup(AK587,A:A,AG:AG)</f>
        <v>#NAME?</v>
      </c>
      <c r="AP587" s="223" t="e">
        <f aca="false">_xlfn.xlookup(AK587,A:A,AD:AD)</f>
        <v>#NAME?</v>
      </c>
      <c r="AQ587" s="223" t="e">
        <f aca="false">_xlfn.xlookup(AK587,A:A,AE:AE)</f>
        <v>#NAME?</v>
      </c>
      <c r="BB587" s="15" t="e">
        <f aca="false">_xlfn.xlookup(BA587,A:A,E:E)</f>
        <v>#NAME?</v>
      </c>
      <c r="BC587" s="15" t="e">
        <f aca="false">_xlfn.xlookup(BA587,A:A,J:J)</f>
        <v>#NAME?</v>
      </c>
      <c r="BD587" s="75" t="e">
        <f aca="false">_xlfn.xlookup(BA587,A:A,M:M)+_xlfn.xlookup(BA587,A:A,N:N)</f>
        <v>#NAME?</v>
      </c>
    </row>
    <row r="588" customFormat="false" ht="14.25" hidden="false" customHeight="false" outlineLevel="0" collapsed="false">
      <c r="AK588" s="15" t="e">
        <v>#NAME?</v>
      </c>
      <c r="AL588" s="15" t="e">
        <f aca="false">_xlfn.xlookup(AK588,A:A,F:F)</f>
        <v>#NAME?</v>
      </c>
      <c r="AM588" s="15" t="e">
        <f aca="false">_xlfn.xlookup(AK588,A:A,J:J)</f>
        <v>#NAME?</v>
      </c>
      <c r="AN588" s="15" t="e">
        <f aca="false">_xlfn.xlookup(AK588,A:A,M:M)+_xlfn.xlookup(AK588,A:A,N:N)</f>
        <v>#NAME?</v>
      </c>
      <c r="AO588" s="223" t="e">
        <f aca="false">_xlfn.xlookup(AK588,A:A,AG:AG)</f>
        <v>#NAME?</v>
      </c>
      <c r="AP588" s="223" t="e">
        <f aca="false">_xlfn.xlookup(AK588,A:A,AD:AD)</f>
        <v>#NAME?</v>
      </c>
      <c r="AQ588" s="223" t="e">
        <f aca="false">_xlfn.xlookup(AK588,A:A,AE:AE)</f>
        <v>#NAME?</v>
      </c>
      <c r="BB588" s="15" t="e">
        <f aca="false">_xlfn.xlookup(BA588,A:A,E:E)</f>
        <v>#NAME?</v>
      </c>
      <c r="BC588" s="15" t="e">
        <f aca="false">_xlfn.xlookup(BA588,A:A,J:J)</f>
        <v>#NAME?</v>
      </c>
      <c r="BD588" s="75" t="e">
        <f aca="false">_xlfn.xlookup(BA588,A:A,M:M)+_xlfn.xlookup(BA588,A:A,N:N)</f>
        <v>#NAME?</v>
      </c>
    </row>
    <row r="589" customFormat="false" ht="14.25" hidden="false" customHeight="false" outlineLevel="0" collapsed="false">
      <c r="AK589" s="15" t="e">
        <v>#NAME?</v>
      </c>
      <c r="AL589" s="15" t="e">
        <f aca="false">_xlfn.xlookup(AK589,A:A,F:F)</f>
        <v>#NAME?</v>
      </c>
      <c r="AM589" s="15" t="e">
        <f aca="false">_xlfn.xlookup(AK589,A:A,J:J)</f>
        <v>#NAME?</v>
      </c>
      <c r="AN589" s="15" t="e">
        <f aca="false">_xlfn.xlookup(AK589,A:A,M:M)+_xlfn.xlookup(AK589,A:A,N:N)</f>
        <v>#NAME?</v>
      </c>
      <c r="AO589" s="223" t="e">
        <f aca="false">_xlfn.xlookup(AK589,A:A,AG:AG)</f>
        <v>#NAME?</v>
      </c>
      <c r="AP589" s="223" t="e">
        <f aca="false">_xlfn.xlookup(AK589,A:A,AD:AD)</f>
        <v>#NAME?</v>
      </c>
      <c r="AQ589" s="223" t="e">
        <f aca="false">_xlfn.xlookup(AK589,A:A,AE:AE)</f>
        <v>#NAME?</v>
      </c>
      <c r="BB589" s="15" t="e">
        <f aca="false">_xlfn.xlookup(BA589,A:A,E:E)</f>
        <v>#NAME?</v>
      </c>
      <c r="BC589" s="15" t="e">
        <f aca="false">_xlfn.xlookup(BA589,A:A,J:J)</f>
        <v>#NAME?</v>
      </c>
      <c r="BD589" s="75" t="e">
        <f aca="false">_xlfn.xlookup(BA589,A:A,M:M)+_xlfn.xlookup(BA589,A:A,N:N)</f>
        <v>#NAME?</v>
      </c>
    </row>
    <row r="590" customFormat="false" ht="14.25" hidden="false" customHeight="false" outlineLevel="0" collapsed="false">
      <c r="AK590" s="15" t="e">
        <v>#NAME?</v>
      </c>
      <c r="AL590" s="15" t="e">
        <f aca="false">_xlfn.xlookup(AK590,A:A,F:F)</f>
        <v>#NAME?</v>
      </c>
      <c r="AM590" s="15" t="e">
        <f aca="false">_xlfn.xlookup(AK590,A:A,J:J)</f>
        <v>#NAME?</v>
      </c>
      <c r="AN590" s="15" t="e">
        <f aca="false">_xlfn.xlookup(AK590,A:A,M:M)+_xlfn.xlookup(AK590,A:A,N:N)</f>
        <v>#NAME?</v>
      </c>
      <c r="AO590" s="223" t="e">
        <f aca="false">_xlfn.xlookup(AK590,A:A,AG:AG)</f>
        <v>#NAME?</v>
      </c>
      <c r="AP590" s="223" t="e">
        <f aca="false">_xlfn.xlookup(AK590,A:A,AD:AD)</f>
        <v>#NAME?</v>
      </c>
      <c r="AQ590" s="223" t="e">
        <f aca="false">_xlfn.xlookup(AK590,A:A,AE:AE)</f>
        <v>#NAME?</v>
      </c>
      <c r="BB590" s="15" t="e">
        <f aca="false">_xlfn.xlookup(BA590,A:A,E:E)</f>
        <v>#NAME?</v>
      </c>
      <c r="BC590" s="15" t="e">
        <f aca="false">_xlfn.xlookup(BA590,A:A,J:J)</f>
        <v>#NAME?</v>
      </c>
      <c r="BD590" s="75" t="e">
        <f aca="false">_xlfn.xlookup(BA590,A:A,M:M)+_xlfn.xlookup(BA590,A:A,N:N)</f>
        <v>#NAME?</v>
      </c>
    </row>
    <row r="591" customFormat="false" ht="14.25" hidden="false" customHeight="false" outlineLevel="0" collapsed="false">
      <c r="AK591" s="15" t="e">
        <v>#NAME?</v>
      </c>
      <c r="AL591" s="15" t="e">
        <f aca="false">_xlfn.xlookup(AK591,A:A,F:F)</f>
        <v>#NAME?</v>
      </c>
      <c r="AM591" s="15" t="e">
        <f aca="false">_xlfn.xlookup(AK591,A:A,J:J)</f>
        <v>#NAME?</v>
      </c>
      <c r="AN591" s="15" t="e">
        <f aca="false">_xlfn.xlookup(AK591,A:A,M:M)+_xlfn.xlookup(AK591,A:A,N:N)</f>
        <v>#NAME?</v>
      </c>
      <c r="AO591" s="223" t="e">
        <f aca="false">_xlfn.xlookup(AK591,A:A,AG:AG)</f>
        <v>#NAME?</v>
      </c>
      <c r="AP591" s="223" t="e">
        <f aca="false">_xlfn.xlookup(AK591,A:A,AD:AD)</f>
        <v>#NAME?</v>
      </c>
      <c r="AQ591" s="223" t="e">
        <f aca="false">_xlfn.xlookup(AK591,A:A,AE:AE)</f>
        <v>#NAME?</v>
      </c>
      <c r="BB591" s="15" t="e">
        <f aca="false">_xlfn.xlookup(BA591,A:A,E:E)</f>
        <v>#NAME?</v>
      </c>
      <c r="BC591" s="15" t="e">
        <f aca="false">_xlfn.xlookup(BA591,A:A,J:J)</f>
        <v>#NAME?</v>
      </c>
      <c r="BD591" s="75" t="e">
        <f aca="false">_xlfn.xlookup(BA591,A:A,M:M)+_xlfn.xlookup(BA591,A:A,N:N)</f>
        <v>#NAME?</v>
      </c>
    </row>
    <row r="592" customFormat="false" ht="14.25" hidden="false" customHeight="false" outlineLevel="0" collapsed="false">
      <c r="AK592" s="15" t="e">
        <v>#NAME?</v>
      </c>
      <c r="AL592" s="15" t="e">
        <f aca="false">_xlfn.xlookup(AK592,A:A,F:F)</f>
        <v>#NAME?</v>
      </c>
      <c r="AM592" s="15" t="e">
        <f aca="false">_xlfn.xlookup(AK592,A:A,J:J)</f>
        <v>#NAME?</v>
      </c>
      <c r="AN592" s="15" t="e">
        <f aca="false">_xlfn.xlookup(AK592,A:A,M:M)+_xlfn.xlookup(AK592,A:A,N:N)</f>
        <v>#NAME?</v>
      </c>
      <c r="AO592" s="223" t="e">
        <f aca="false">_xlfn.xlookup(AK592,A:A,AG:AG)</f>
        <v>#NAME?</v>
      </c>
      <c r="AP592" s="223" t="e">
        <f aca="false">_xlfn.xlookup(AK592,A:A,AD:AD)</f>
        <v>#NAME?</v>
      </c>
      <c r="AQ592" s="223" t="e">
        <f aca="false">_xlfn.xlookup(AK592,A:A,AE:AE)</f>
        <v>#NAME?</v>
      </c>
      <c r="BB592" s="15" t="e">
        <f aca="false">_xlfn.xlookup(BA592,A:A,E:E)</f>
        <v>#NAME?</v>
      </c>
      <c r="BC592" s="15" t="e">
        <f aca="false">_xlfn.xlookup(BA592,A:A,J:J)</f>
        <v>#NAME?</v>
      </c>
      <c r="BD592" s="75" t="e">
        <f aca="false">_xlfn.xlookup(BA592,A:A,M:M)+_xlfn.xlookup(BA592,A:A,N:N)</f>
        <v>#NAME?</v>
      </c>
    </row>
    <row r="593" customFormat="false" ht="14.25" hidden="false" customHeight="false" outlineLevel="0" collapsed="false">
      <c r="AK593" s="15" t="e">
        <v>#NAME?</v>
      </c>
      <c r="AL593" s="15" t="e">
        <f aca="false">_xlfn.xlookup(AK593,A:A,F:F)</f>
        <v>#NAME?</v>
      </c>
      <c r="AM593" s="15" t="e">
        <f aca="false">_xlfn.xlookup(AK593,A:A,J:J)</f>
        <v>#NAME?</v>
      </c>
      <c r="AN593" s="15" t="e">
        <f aca="false">_xlfn.xlookup(AK593,A:A,M:M)+_xlfn.xlookup(AK593,A:A,N:N)</f>
        <v>#NAME?</v>
      </c>
      <c r="AO593" s="223" t="e">
        <f aca="false">_xlfn.xlookup(AK593,A:A,AG:AG)</f>
        <v>#NAME?</v>
      </c>
      <c r="AP593" s="223" t="e">
        <f aca="false">_xlfn.xlookup(AK593,A:A,AD:AD)</f>
        <v>#NAME?</v>
      </c>
      <c r="AQ593" s="223" t="e">
        <f aca="false">_xlfn.xlookup(AK593,A:A,AE:AE)</f>
        <v>#NAME?</v>
      </c>
      <c r="BB593" s="15" t="e">
        <f aca="false">_xlfn.xlookup(BA593,A:A,E:E)</f>
        <v>#NAME?</v>
      </c>
      <c r="BC593" s="15" t="e">
        <f aca="false">_xlfn.xlookup(BA593,A:A,J:J)</f>
        <v>#NAME?</v>
      </c>
      <c r="BD593" s="75" t="e">
        <f aca="false">_xlfn.xlookup(BA593,A:A,M:M)+_xlfn.xlookup(BA593,A:A,N:N)</f>
        <v>#NAME?</v>
      </c>
    </row>
    <row r="594" customFormat="false" ht="14.25" hidden="false" customHeight="false" outlineLevel="0" collapsed="false">
      <c r="AK594" s="15" t="e">
        <v>#NAME?</v>
      </c>
      <c r="AL594" s="15" t="e">
        <f aca="false">_xlfn.xlookup(AK594,A:A,F:F)</f>
        <v>#NAME?</v>
      </c>
      <c r="AM594" s="15" t="e">
        <f aca="false">_xlfn.xlookup(AK594,A:A,J:J)</f>
        <v>#NAME?</v>
      </c>
      <c r="AN594" s="15" t="e">
        <f aca="false">_xlfn.xlookup(AK594,A:A,M:M)+_xlfn.xlookup(AK594,A:A,N:N)</f>
        <v>#NAME?</v>
      </c>
      <c r="AO594" s="223" t="e">
        <f aca="false">_xlfn.xlookup(AK594,A:A,AG:AG)</f>
        <v>#NAME?</v>
      </c>
      <c r="AP594" s="223" t="e">
        <f aca="false">_xlfn.xlookup(AK594,A:A,AD:AD)</f>
        <v>#NAME?</v>
      </c>
      <c r="AQ594" s="223" t="e">
        <f aca="false">_xlfn.xlookup(AK594,A:A,AE:AE)</f>
        <v>#NAME?</v>
      </c>
      <c r="BB594" s="15" t="e">
        <f aca="false">_xlfn.xlookup(BA594,A:A,E:E)</f>
        <v>#NAME?</v>
      </c>
      <c r="BC594" s="15" t="e">
        <f aca="false">_xlfn.xlookup(BA594,A:A,J:J)</f>
        <v>#NAME?</v>
      </c>
      <c r="BD594" s="75" t="e">
        <f aca="false">_xlfn.xlookup(BA594,A:A,M:M)+_xlfn.xlookup(BA594,A:A,N:N)</f>
        <v>#NAME?</v>
      </c>
    </row>
    <row r="595" customFormat="false" ht="14.25" hidden="false" customHeight="false" outlineLevel="0" collapsed="false">
      <c r="AK595" s="15" t="e">
        <v>#NAME?</v>
      </c>
      <c r="AL595" s="15" t="e">
        <f aca="false">_xlfn.xlookup(AK595,A:A,F:F)</f>
        <v>#NAME?</v>
      </c>
      <c r="AM595" s="15" t="e">
        <f aca="false">_xlfn.xlookup(AK595,A:A,J:J)</f>
        <v>#NAME?</v>
      </c>
      <c r="AN595" s="15" t="e">
        <f aca="false">_xlfn.xlookup(AK595,A:A,M:M)+_xlfn.xlookup(AK595,A:A,N:N)</f>
        <v>#NAME?</v>
      </c>
      <c r="AO595" s="223" t="e">
        <f aca="false">_xlfn.xlookup(AK595,A:A,AG:AG)</f>
        <v>#NAME?</v>
      </c>
      <c r="AP595" s="223" t="e">
        <f aca="false">_xlfn.xlookup(AK595,A:A,AD:AD)</f>
        <v>#NAME?</v>
      </c>
      <c r="AQ595" s="223" t="e">
        <f aca="false">_xlfn.xlookup(AK595,A:A,AE:AE)</f>
        <v>#NAME?</v>
      </c>
      <c r="BB595" s="15" t="e">
        <f aca="false">_xlfn.xlookup(BA595,A:A,E:E)</f>
        <v>#NAME?</v>
      </c>
      <c r="BC595" s="15" t="e">
        <f aca="false">_xlfn.xlookup(BA595,A:A,J:J)</f>
        <v>#NAME?</v>
      </c>
      <c r="BD595" s="75" t="e">
        <f aca="false">_xlfn.xlookup(BA595,A:A,M:M)+_xlfn.xlookup(BA595,A:A,N:N)</f>
        <v>#NAME?</v>
      </c>
    </row>
    <row r="596" customFormat="false" ht="14.25" hidden="false" customHeight="false" outlineLevel="0" collapsed="false">
      <c r="AK596" s="15" t="e">
        <v>#NAME?</v>
      </c>
      <c r="AL596" s="15" t="e">
        <f aca="false">_xlfn.xlookup(AK596,A:A,F:F)</f>
        <v>#NAME?</v>
      </c>
      <c r="AM596" s="15" t="e">
        <f aca="false">_xlfn.xlookup(AK596,A:A,J:J)</f>
        <v>#NAME?</v>
      </c>
      <c r="AN596" s="15" t="e">
        <f aca="false">_xlfn.xlookup(AK596,A:A,M:M)+_xlfn.xlookup(AK596,A:A,N:N)</f>
        <v>#NAME?</v>
      </c>
      <c r="AO596" s="223" t="e">
        <f aca="false">_xlfn.xlookup(AK596,A:A,AG:AG)</f>
        <v>#NAME?</v>
      </c>
      <c r="AP596" s="223" t="e">
        <f aca="false">_xlfn.xlookup(AK596,A:A,AD:AD)</f>
        <v>#NAME?</v>
      </c>
      <c r="AQ596" s="223" t="e">
        <f aca="false">_xlfn.xlookup(AK596,A:A,AE:AE)</f>
        <v>#NAME?</v>
      </c>
      <c r="BB596" s="15" t="e">
        <f aca="false">_xlfn.xlookup(BA596,A:A,E:E)</f>
        <v>#NAME?</v>
      </c>
      <c r="BC596" s="15" t="e">
        <f aca="false">_xlfn.xlookup(BA596,A:A,J:J)</f>
        <v>#NAME?</v>
      </c>
      <c r="BD596" s="75" t="e">
        <f aca="false">_xlfn.xlookup(BA596,A:A,M:M)+_xlfn.xlookup(BA596,A:A,N:N)</f>
        <v>#NAME?</v>
      </c>
    </row>
    <row r="597" customFormat="false" ht="14.25" hidden="false" customHeight="false" outlineLevel="0" collapsed="false">
      <c r="AK597" s="15" t="e">
        <v>#NAME?</v>
      </c>
      <c r="AL597" s="15" t="e">
        <f aca="false">_xlfn.xlookup(AK597,A:A,F:F)</f>
        <v>#NAME?</v>
      </c>
      <c r="AM597" s="15" t="e">
        <f aca="false">_xlfn.xlookup(AK597,A:A,J:J)</f>
        <v>#NAME?</v>
      </c>
      <c r="AN597" s="15" t="e">
        <f aca="false">_xlfn.xlookup(AK597,A:A,M:M)+_xlfn.xlookup(AK597,A:A,N:N)</f>
        <v>#NAME?</v>
      </c>
      <c r="AO597" s="223" t="e">
        <f aca="false">_xlfn.xlookup(AK597,A:A,AG:AG)</f>
        <v>#NAME?</v>
      </c>
      <c r="AP597" s="223" t="e">
        <f aca="false">_xlfn.xlookup(AK597,A:A,AD:AD)</f>
        <v>#NAME?</v>
      </c>
      <c r="AQ597" s="223" t="e">
        <f aca="false">_xlfn.xlookup(AK597,A:A,AE:AE)</f>
        <v>#NAME?</v>
      </c>
      <c r="BB597" s="15" t="e">
        <f aca="false">_xlfn.xlookup(BA597,A:A,E:E)</f>
        <v>#NAME?</v>
      </c>
      <c r="BC597" s="15" t="e">
        <f aca="false">_xlfn.xlookup(BA597,A:A,J:J)</f>
        <v>#NAME?</v>
      </c>
      <c r="BD597" s="75" t="e">
        <f aca="false">_xlfn.xlookup(BA597,A:A,M:M)+_xlfn.xlookup(BA597,A:A,N:N)</f>
        <v>#NAME?</v>
      </c>
    </row>
    <row r="598" customFormat="false" ht="14.25" hidden="false" customHeight="false" outlineLevel="0" collapsed="false">
      <c r="AK598" s="15" t="e">
        <v>#NAME?</v>
      </c>
      <c r="AL598" s="15" t="e">
        <f aca="false">_xlfn.xlookup(AK598,A:A,F:F)</f>
        <v>#NAME?</v>
      </c>
      <c r="AM598" s="15" t="e">
        <f aca="false">_xlfn.xlookup(AK598,A:A,J:J)</f>
        <v>#NAME?</v>
      </c>
      <c r="AN598" s="15" t="e">
        <f aca="false">_xlfn.xlookup(AK598,A:A,M:M)+_xlfn.xlookup(AK598,A:A,N:N)</f>
        <v>#NAME?</v>
      </c>
      <c r="AO598" s="223" t="e">
        <f aca="false">_xlfn.xlookup(AK598,A:A,AG:AG)</f>
        <v>#NAME?</v>
      </c>
      <c r="AP598" s="223" t="e">
        <f aca="false">_xlfn.xlookup(AK598,A:A,AD:AD)</f>
        <v>#NAME?</v>
      </c>
      <c r="AQ598" s="223" t="e">
        <f aca="false">_xlfn.xlookup(AK598,A:A,AE:AE)</f>
        <v>#NAME?</v>
      </c>
      <c r="BB598" s="15" t="e">
        <f aca="false">_xlfn.xlookup(BA598,A:A,E:E)</f>
        <v>#NAME?</v>
      </c>
      <c r="BC598" s="15" t="e">
        <f aca="false">_xlfn.xlookup(BA598,A:A,J:J)</f>
        <v>#NAME?</v>
      </c>
      <c r="BD598" s="75" t="e">
        <f aca="false">_xlfn.xlookup(BA598,A:A,M:M)+_xlfn.xlookup(BA598,A:A,N:N)</f>
        <v>#NAME?</v>
      </c>
    </row>
    <row r="599" customFormat="false" ht="14.25" hidden="false" customHeight="false" outlineLevel="0" collapsed="false">
      <c r="AK599" s="15" t="e">
        <v>#NAME?</v>
      </c>
      <c r="AL599" s="15" t="e">
        <f aca="false">_xlfn.xlookup(AK599,A:A,F:F)</f>
        <v>#NAME?</v>
      </c>
      <c r="AM599" s="15" t="e">
        <f aca="false">_xlfn.xlookup(AK599,A:A,J:J)</f>
        <v>#NAME?</v>
      </c>
      <c r="AN599" s="15" t="e">
        <f aca="false">_xlfn.xlookup(AK599,A:A,M:M)+_xlfn.xlookup(AK599,A:A,N:N)</f>
        <v>#NAME?</v>
      </c>
      <c r="AO599" s="223" t="e">
        <f aca="false">_xlfn.xlookup(AK599,A:A,AG:AG)</f>
        <v>#NAME?</v>
      </c>
      <c r="AP599" s="223" t="e">
        <f aca="false">_xlfn.xlookup(AK599,A:A,AD:AD)</f>
        <v>#NAME?</v>
      </c>
      <c r="AQ599" s="223" t="e">
        <f aca="false">_xlfn.xlookup(AK599,A:A,AE:AE)</f>
        <v>#NAME?</v>
      </c>
      <c r="BB599" s="15" t="e">
        <f aca="false">_xlfn.xlookup(BA599,A:A,E:E)</f>
        <v>#NAME?</v>
      </c>
      <c r="BC599" s="15" t="e">
        <f aca="false">_xlfn.xlookup(BA599,A:A,J:J)</f>
        <v>#NAME?</v>
      </c>
      <c r="BD599" s="75" t="e">
        <f aca="false">_xlfn.xlookup(BA599,A:A,M:M)+_xlfn.xlookup(BA599,A:A,N:N)</f>
        <v>#NAME?</v>
      </c>
    </row>
    <row r="600" customFormat="false" ht="14.25" hidden="false" customHeight="false" outlineLevel="0" collapsed="false">
      <c r="AK600" s="15" t="e">
        <v>#NAME?</v>
      </c>
      <c r="AL600" s="15" t="e">
        <f aca="false">_xlfn.xlookup(AK600,A:A,F:F)</f>
        <v>#NAME?</v>
      </c>
      <c r="AM600" s="15" t="e">
        <f aca="false">_xlfn.xlookup(AK600,A:A,J:J)</f>
        <v>#NAME?</v>
      </c>
      <c r="AN600" s="15" t="e">
        <f aca="false">_xlfn.xlookup(AK600,A:A,M:M)+_xlfn.xlookup(AK600,A:A,N:N)</f>
        <v>#NAME?</v>
      </c>
      <c r="AO600" s="223" t="e">
        <f aca="false">_xlfn.xlookup(AK600,A:A,AG:AG)</f>
        <v>#NAME?</v>
      </c>
      <c r="AP600" s="223" t="e">
        <f aca="false">_xlfn.xlookup(AK600,A:A,AD:AD)</f>
        <v>#NAME?</v>
      </c>
      <c r="AQ600" s="223" t="e">
        <f aca="false">_xlfn.xlookup(AK600,A:A,AE:AE)</f>
        <v>#NAME?</v>
      </c>
      <c r="BB600" s="15" t="e">
        <f aca="false">_xlfn.xlookup(BA600,A:A,E:E)</f>
        <v>#NAME?</v>
      </c>
      <c r="BC600" s="15" t="e">
        <f aca="false">_xlfn.xlookup(BA600,A:A,J:J)</f>
        <v>#NAME?</v>
      </c>
      <c r="BD600" s="75" t="e">
        <f aca="false">_xlfn.xlookup(BA600,A:A,M:M)+_xlfn.xlookup(BA600,A:A,N:N)</f>
        <v>#NAME?</v>
      </c>
    </row>
    <row r="601" customFormat="false" ht="14.25" hidden="false" customHeight="false" outlineLevel="0" collapsed="false">
      <c r="AK601" s="15" t="e">
        <v>#NAME?</v>
      </c>
      <c r="AL601" s="15" t="e">
        <f aca="false">_xlfn.xlookup(AK601,A:A,F:F)</f>
        <v>#NAME?</v>
      </c>
      <c r="AM601" s="15" t="e">
        <f aca="false">_xlfn.xlookup(AK601,A:A,J:J)</f>
        <v>#NAME?</v>
      </c>
      <c r="AN601" s="15" t="e">
        <f aca="false">_xlfn.xlookup(AK601,A:A,M:M)+_xlfn.xlookup(AK601,A:A,N:N)</f>
        <v>#NAME?</v>
      </c>
      <c r="AO601" s="223" t="e">
        <f aca="false">_xlfn.xlookup(AK601,A:A,AG:AG)</f>
        <v>#NAME?</v>
      </c>
      <c r="AP601" s="223" t="e">
        <f aca="false">_xlfn.xlookup(AK601,A:A,AD:AD)</f>
        <v>#NAME?</v>
      </c>
      <c r="AQ601" s="223" t="e">
        <f aca="false">_xlfn.xlookup(AK601,A:A,AE:AE)</f>
        <v>#NAME?</v>
      </c>
      <c r="BB601" s="15" t="e">
        <f aca="false">_xlfn.xlookup(BA601,A:A,E:E)</f>
        <v>#NAME?</v>
      </c>
      <c r="BC601" s="15" t="e">
        <f aca="false">_xlfn.xlookup(BA601,A:A,J:J)</f>
        <v>#NAME?</v>
      </c>
      <c r="BD601" s="75" t="e">
        <f aca="false">_xlfn.xlookup(BA601,A:A,M:M)+_xlfn.xlookup(BA601,A:A,N:N)</f>
        <v>#NAME?</v>
      </c>
    </row>
    <row r="602" customFormat="false" ht="14.25" hidden="false" customHeight="false" outlineLevel="0" collapsed="false">
      <c r="AK602" s="15" t="e">
        <v>#NAME?</v>
      </c>
      <c r="AL602" s="15" t="e">
        <f aca="false">_xlfn.xlookup(AK602,A:A,F:F)</f>
        <v>#NAME?</v>
      </c>
      <c r="AM602" s="15" t="e">
        <f aca="false">_xlfn.xlookup(AK602,A:A,J:J)</f>
        <v>#NAME?</v>
      </c>
      <c r="AN602" s="15" t="e">
        <f aca="false">_xlfn.xlookup(AK602,A:A,M:M)+_xlfn.xlookup(AK602,A:A,N:N)</f>
        <v>#NAME?</v>
      </c>
      <c r="AO602" s="223" t="e">
        <f aca="false">_xlfn.xlookup(AK602,A:A,AG:AG)</f>
        <v>#NAME?</v>
      </c>
      <c r="AP602" s="223" t="e">
        <f aca="false">_xlfn.xlookup(AK602,A:A,AD:AD)</f>
        <v>#NAME?</v>
      </c>
      <c r="AQ602" s="223" t="e">
        <f aca="false">_xlfn.xlookup(AK602,A:A,AE:AE)</f>
        <v>#NAME?</v>
      </c>
      <c r="BB602" s="15" t="e">
        <f aca="false">_xlfn.xlookup(BA602,A:A,E:E)</f>
        <v>#NAME?</v>
      </c>
      <c r="BC602" s="15" t="e">
        <f aca="false">_xlfn.xlookup(BA602,A:A,J:J)</f>
        <v>#NAME?</v>
      </c>
      <c r="BD602" s="75" t="e">
        <f aca="false">_xlfn.xlookup(BA602,A:A,M:M)+_xlfn.xlookup(BA602,A:A,N:N)</f>
        <v>#NAME?</v>
      </c>
    </row>
    <row r="603" customFormat="false" ht="14.25" hidden="false" customHeight="false" outlineLevel="0" collapsed="false">
      <c r="AK603" s="15" t="e">
        <v>#NAME?</v>
      </c>
      <c r="AL603" s="15" t="e">
        <f aca="false">_xlfn.xlookup(AK603,A:A,F:F)</f>
        <v>#NAME?</v>
      </c>
      <c r="AM603" s="15" t="e">
        <f aca="false">_xlfn.xlookup(AK603,A:A,J:J)</f>
        <v>#NAME?</v>
      </c>
      <c r="AN603" s="15" t="e">
        <f aca="false">_xlfn.xlookup(AK603,A:A,M:M)+_xlfn.xlookup(AK603,A:A,N:N)</f>
        <v>#NAME?</v>
      </c>
      <c r="AO603" s="223" t="e">
        <f aca="false">_xlfn.xlookup(AK603,A:A,AG:AG)</f>
        <v>#NAME?</v>
      </c>
      <c r="AP603" s="223" t="e">
        <f aca="false">_xlfn.xlookup(AK603,A:A,AD:AD)</f>
        <v>#NAME?</v>
      </c>
      <c r="AQ603" s="223" t="e">
        <f aca="false">_xlfn.xlookup(AK603,A:A,AE:AE)</f>
        <v>#NAME?</v>
      </c>
      <c r="BB603" s="15" t="e">
        <f aca="false">_xlfn.xlookup(BA603,A:A,E:E)</f>
        <v>#NAME?</v>
      </c>
      <c r="BC603" s="15" t="e">
        <f aca="false">_xlfn.xlookup(BA603,A:A,J:J)</f>
        <v>#NAME?</v>
      </c>
      <c r="BD603" s="75" t="e">
        <f aca="false">_xlfn.xlookup(BA603,A:A,M:M)+_xlfn.xlookup(BA603,A:A,N:N)</f>
        <v>#NAME?</v>
      </c>
    </row>
    <row r="604" customFormat="false" ht="14.25" hidden="false" customHeight="false" outlineLevel="0" collapsed="false">
      <c r="AK604" s="15" t="e">
        <v>#NAME?</v>
      </c>
      <c r="AL604" s="15" t="e">
        <f aca="false">_xlfn.xlookup(AK604,A:A,F:F)</f>
        <v>#NAME?</v>
      </c>
      <c r="AM604" s="15" t="e">
        <f aca="false">_xlfn.xlookup(AK604,A:A,J:J)</f>
        <v>#NAME?</v>
      </c>
      <c r="AN604" s="15" t="e">
        <f aca="false">_xlfn.xlookup(AK604,A:A,M:M)+_xlfn.xlookup(AK604,A:A,N:N)</f>
        <v>#NAME?</v>
      </c>
      <c r="AO604" s="223" t="e">
        <f aca="false">_xlfn.xlookup(AK604,A:A,AG:AG)</f>
        <v>#NAME?</v>
      </c>
      <c r="AP604" s="223" t="e">
        <f aca="false">_xlfn.xlookup(AK604,A:A,AD:AD)</f>
        <v>#NAME?</v>
      </c>
      <c r="AQ604" s="223" t="e">
        <f aca="false">_xlfn.xlookup(AK604,A:A,AE:AE)</f>
        <v>#NAME?</v>
      </c>
      <c r="BB604" s="15" t="e">
        <f aca="false">_xlfn.xlookup(BA604,A:A,E:E)</f>
        <v>#NAME?</v>
      </c>
      <c r="BC604" s="15" t="e">
        <f aca="false">_xlfn.xlookup(BA604,A:A,J:J)</f>
        <v>#NAME?</v>
      </c>
      <c r="BD604" s="75" t="e">
        <f aca="false">_xlfn.xlookup(BA604,A:A,M:M)+_xlfn.xlookup(BA604,A:A,N:N)</f>
        <v>#NAME?</v>
      </c>
    </row>
    <row r="605" customFormat="false" ht="14.25" hidden="false" customHeight="false" outlineLevel="0" collapsed="false">
      <c r="AK605" s="15" t="e">
        <v>#NAME?</v>
      </c>
      <c r="AL605" s="15" t="e">
        <f aca="false">_xlfn.xlookup(AK605,A:A,F:F)</f>
        <v>#NAME?</v>
      </c>
      <c r="AM605" s="15" t="e">
        <f aca="false">_xlfn.xlookup(AK605,A:A,J:J)</f>
        <v>#NAME?</v>
      </c>
      <c r="AN605" s="15" t="e">
        <f aca="false">_xlfn.xlookup(AK605,A:A,M:M)+_xlfn.xlookup(AK605,A:A,N:N)</f>
        <v>#NAME?</v>
      </c>
      <c r="AO605" s="223" t="e">
        <f aca="false">_xlfn.xlookup(AK605,A:A,AG:AG)</f>
        <v>#NAME?</v>
      </c>
      <c r="AP605" s="223" t="e">
        <f aca="false">_xlfn.xlookup(AK605,A:A,AD:AD)</f>
        <v>#NAME?</v>
      </c>
      <c r="AQ605" s="223" t="e">
        <f aca="false">_xlfn.xlookup(AK605,A:A,AE:AE)</f>
        <v>#NAME?</v>
      </c>
      <c r="BB605" s="15" t="e">
        <f aca="false">_xlfn.xlookup(BA605,A:A,E:E)</f>
        <v>#NAME?</v>
      </c>
      <c r="BC605" s="15" t="e">
        <f aca="false">_xlfn.xlookup(BA605,A:A,J:J)</f>
        <v>#NAME?</v>
      </c>
      <c r="BD605" s="75" t="e">
        <f aca="false">_xlfn.xlookup(BA605,A:A,M:M)+_xlfn.xlookup(BA605,A:A,N:N)</f>
        <v>#NAME?</v>
      </c>
    </row>
    <row r="606" customFormat="false" ht="14.25" hidden="false" customHeight="false" outlineLevel="0" collapsed="false">
      <c r="AK606" s="15" t="e">
        <v>#NAME?</v>
      </c>
      <c r="AL606" s="15" t="e">
        <f aca="false">_xlfn.xlookup(AK606,A:A,F:F)</f>
        <v>#NAME?</v>
      </c>
      <c r="AM606" s="15" t="e">
        <f aca="false">_xlfn.xlookup(AK606,A:A,J:J)</f>
        <v>#NAME?</v>
      </c>
      <c r="AN606" s="15" t="e">
        <f aca="false">_xlfn.xlookup(AK606,A:A,M:M)+_xlfn.xlookup(AK606,A:A,N:N)</f>
        <v>#NAME?</v>
      </c>
      <c r="AO606" s="223" t="e">
        <f aca="false">_xlfn.xlookup(AK606,A:A,AG:AG)</f>
        <v>#NAME?</v>
      </c>
      <c r="AP606" s="223" t="e">
        <f aca="false">_xlfn.xlookup(AK606,A:A,AD:AD)</f>
        <v>#NAME?</v>
      </c>
      <c r="AQ606" s="223" t="e">
        <f aca="false">_xlfn.xlookup(AK606,A:A,AE:AE)</f>
        <v>#NAME?</v>
      </c>
      <c r="BB606" s="15" t="e">
        <f aca="false">_xlfn.xlookup(BA606,A:A,E:E)</f>
        <v>#NAME?</v>
      </c>
      <c r="BC606" s="15" t="e">
        <f aca="false">_xlfn.xlookup(BA606,A:A,J:J)</f>
        <v>#NAME?</v>
      </c>
      <c r="BD606" s="75" t="e">
        <f aca="false">_xlfn.xlookup(BA606,A:A,M:M)+_xlfn.xlookup(BA606,A:A,N:N)</f>
        <v>#NAME?</v>
      </c>
    </row>
    <row r="607" customFormat="false" ht="14.25" hidden="false" customHeight="false" outlineLevel="0" collapsed="false">
      <c r="AK607" s="15" t="e">
        <v>#NAME?</v>
      </c>
      <c r="AL607" s="15" t="e">
        <f aca="false">_xlfn.xlookup(AK607,A:A,F:F)</f>
        <v>#NAME?</v>
      </c>
      <c r="AM607" s="15" t="e">
        <f aca="false">_xlfn.xlookup(AK607,A:A,J:J)</f>
        <v>#NAME?</v>
      </c>
      <c r="AN607" s="15" t="e">
        <f aca="false">_xlfn.xlookup(AK607,A:A,M:M)+_xlfn.xlookup(AK607,A:A,N:N)</f>
        <v>#NAME?</v>
      </c>
      <c r="AO607" s="223" t="e">
        <f aca="false">_xlfn.xlookup(AK607,A:A,AG:AG)</f>
        <v>#NAME?</v>
      </c>
      <c r="AP607" s="223" t="e">
        <f aca="false">_xlfn.xlookup(AK607,A:A,AD:AD)</f>
        <v>#NAME?</v>
      </c>
      <c r="AQ607" s="223" t="e">
        <f aca="false">_xlfn.xlookup(AK607,A:A,AE:AE)</f>
        <v>#NAME?</v>
      </c>
      <c r="BB607" s="15" t="e">
        <f aca="false">_xlfn.xlookup(BA607,A:A,E:E)</f>
        <v>#NAME?</v>
      </c>
      <c r="BC607" s="15" t="e">
        <f aca="false">_xlfn.xlookup(BA607,A:A,J:J)</f>
        <v>#NAME?</v>
      </c>
      <c r="BD607" s="75" t="e">
        <f aca="false">_xlfn.xlookup(BA607,A:A,M:M)+_xlfn.xlookup(BA607,A:A,N:N)</f>
        <v>#NAME?</v>
      </c>
    </row>
    <row r="608" customFormat="false" ht="14.25" hidden="false" customHeight="false" outlineLevel="0" collapsed="false">
      <c r="AK608" s="15" t="e">
        <v>#NAME?</v>
      </c>
      <c r="AL608" s="15" t="e">
        <f aca="false">_xlfn.xlookup(AK608,A:A,F:F)</f>
        <v>#NAME?</v>
      </c>
      <c r="AM608" s="15" t="e">
        <f aca="false">_xlfn.xlookup(AK608,A:A,J:J)</f>
        <v>#NAME?</v>
      </c>
      <c r="AN608" s="15" t="e">
        <f aca="false">_xlfn.xlookup(AK608,A:A,M:M)+_xlfn.xlookup(AK608,A:A,N:N)</f>
        <v>#NAME?</v>
      </c>
      <c r="AO608" s="223" t="e">
        <f aca="false">_xlfn.xlookup(AK608,A:A,AG:AG)</f>
        <v>#NAME?</v>
      </c>
      <c r="AP608" s="223" t="e">
        <f aca="false">_xlfn.xlookup(AK608,A:A,AD:AD)</f>
        <v>#NAME?</v>
      </c>
      <c r="AQ608" s="223" t="e">
        <f aca="false">_xlfn.xlookup(AK608,A:A,AE:AE)</f>
        <v>#NAME?</v>
      </c>
      <c r="BB608" s="15" t="e">
        <f aca="false">_xlfn.xlookup(BA608,A:A,E:E)</f>
        <v>#NAME?</v>
      </c>
      <c r="BC608" s="15" t="e">
        <f aca="false">_xlfn.xlookup(BA608,A:A,J:J)</f>
        <v>#NAME?</v>
      </c>
      <c r="BD608" s="75" t="e">
        <f aca="false">_xlfn.xlookup(BA608,A:A,M:M)+_xlfn.xlookup(BA608,A:A,N:N)</f>
        <v>#NAME?</v>
      </c>
    </row>
    <row r="609" customFormat="false" ht="14.25" hidden="false" customHeight="false" outlineLevel="0" collapsed="false">
      <c r="AK609" s="15" t="e">
        <v>#NAME?</v>
      </c>
      <c r="AL609" s="15" t="e">
        <f aca="false">_xlfn.xlookup(AK609,A:A,F:F)</f>
        <v>#NAME?</v>
      </c>
      <c r="AM609" s="15" t="e">
        <f aca="false">_xlfn.xlookup(AK609,A:A,J:J)</f>
        <v>#NAME?</v>
      </c>
      <c r="AN609" s="15" t="e">
        <f aca="false">_xlfn.xlookup(AK609,A:A,M:M)+_xlfn.xlookup(AK609,A:A,N:N)</f>
        <v>#NAME?</v>
      </c>
      <c r="AO609" s="223" t="e">
        <f aca="false">_xlfn.xlookup(AK609,A:A,AG:AG)</f>
        <v>#NAME?</v>
      </c>
      <c r="AP609" s="223" t="e">
        <f aca="false">_xlfn.xlookup(AK609,A:A,AD:AD)</f>
        <v>#NAME?</v>
      </c>
      <c r="AQ609" s="223" t="e">
        <f aca="false">_xlfn.xlookup(AK609,A:A,AE:AE)</f>
        <v>#NAME?</v>
      </c>
      <c r="BB609" s="15" t="e">
        <f aca="false">_xlfn.xlookup(BA609,A:A,E:E)</f>
        <v>#NAME?</v>
      </c>
      <c r="BC609" s="15" t="e">
        <f aca="false">_xlfn.xlookup(BA609,A:A,J:J)</f>
        <v>#NAME?</v>
      </c>
      <c r="BD609" s="75" t="e">
        <f aca="false">_xlfn.xlookup(BA609,A:A,M:M)+_xlfn.xlookup(BA609,A:A,N:N)</f>
        <v>#NAME?</v>
      </c>
    </row>
    <row r="610" customFormat="false" ht="14.25" hidden="false" customHeight="false" outlineLevel="0" collapsed="false">
      <c r="AK610" s="15" t="e">
        <v>#NAME?</v>
      </c>
      <c r="AL610" s="15" t="e">
        <f aca="false">_xlfn.xlookup(AK610,A:A,F:F)</f>
        <v>#NAME?</v>
      </c>
      <c r="AM610" s="15" t="e">
        <f aca="false">_xlfn.xlookup(AK610,A:A,J:J)</f>
        <v>#NAME?</v>
      </c>
      <c r="AN610" s="15" t="e">
        <f aca="false">_xlfn.xlookup(AK610,A:A,M:M)+_xlfn.xlookup(AK610,A:A,N:N)</f>
        <v>#NAME?</v>
      </c>
      <c r="AO610" s="223" t="e">
        <f aca="false">_xlfn.xlookup(AK610,A:A,AG:AG)</f>
        <v>#NAME?</v>
      </c>
      <c r="AP610" s="223" t="e">
        <f aca="false">_xlfn.xlookup(AK610,A:A,AD:AD)</f>
        <v>#NAME?</v>
      </c>
      <c r="AQ610" s="223" t="e">
        <f aca="false">_xlfn.xlookup(AK610,A:A,AE:AE)</f>
        <v>#NAME?</v>
      </c>
      <c r="BB610" s="15" t="e">
        <f aca="false">_xlfn.xlookup(BA610,A:A,E:E)</f>
        <v>#NAME?</v>
      </c>
      <c r="BC610" s="15" t="e">
        <f aca="false">_xlfn.xlookup(BA610,A:A,J:J)</f>
        <v>#NAME?</v>
      </c>
      <c r="BD610" s="75" t="e">
        <f aca="false">_xlfn.xlookup(BA610,A:A,M:M)+_xlfn.xlookup(BA610,A:A,N:N)</f>
        <v>#NAME?</v>
      </c>
    </row>
    <row r="611" customFormat="false" ht="14.25" hidden="false" customHeight="false" outlineLevel="0" collapsed="false">
      <c r="AK611" s="15" t="e">
        <v>#NAME?</v>
      </c>
      <c r="AL611" s="15" t="e">
        <f aca="false">_xlfn.xlookup(AK611,A:A,F:F)</f>
        <v>#NAME?</v>
      </c>
      <c r="AM611" s="15" t="e">
        <f aca="false">_xlfn.xlookup(AK611,A:A,J:J)</f>
        <v>#NAME?</v>
      </c>
      <c r="AN611" s="15" t="e">
        <f aca="false">_xlfn.xlookup(AK611,A:A,M:M)+_xlfn.xlookup(AK611,A:A,N:N)</f>
        <v>#NAME?</v>
      </c>
      <c r="AO611" s="223" t="e">
        <f aca="false">_xlfn.xlookup(AK611,A:A,AG:AG)</f>
        <v>#NAME?</v>
      </c>
      <c r="AP611" s="223" t="e">
        <f aca="false">_xlfn.xlookup(AK611,A:A,AD:AD)</f>
        <v>#NAME?</v>
      </c>
      <c r="AQ611" s="223" t="e">
        <f aca="false">_xlfn.xlookup(AK611,A:A,AE:AE)</f>
        <v>#NAME?</v>
      </c>
      <c r="BB611" s="15" t="e">
        <f aca="false">_xlfn.xlookup(BA611,A:A,E:E)</f>
        <v>#NAME?</v>
      </c>
      <c r="BC611" s="15" t="e">
        <f aca="false">_xlfn.xlookup(BA611,A:A,J:J)</f>
        <v>#NAME?</v>
      </c>
      <c r="BD611" s="75" t="e">
        <f aca="false">_xlfn.xlookup(BA611,A:A,M:M)+_xlfn.xlookup(BA611,A:A,N:N)</f>
        <v>#NAME?</v>
      </c>
    </row>
    <row r="612" customFormat="false" ht="14.25" hidden="false" customHeight="false" outlineLevel="0" collapsed="false">
      <c r="AK612" s="15" t="e">
        <v>#NAME?</v>
      </c>
      <c r="AL612" s="15" t="e">
        <f aca="false">_xlfn.xlookup(AK612,A:A,F:F)</f>
        <v>#NAME?</v>
      </c>
      <c r="AM612" s="15" t="e">
        <f aca="false">_xlfn.xlookup(AK612,A:A,J:J)</f>
        <v>#NAME?</v>
      </c>
      <c r="AN612" s="15" t="e">
        <f aca="false">_xlfn.xlookup(AK612,A:A,M:M)+_xlfn.xlookup(AK612,A:A,N:N)</f>
        <v>#NAME?</v>
      </c>
      <c r="AO612" s="223" t="e">
        <f aca="false">_xlfn.xlookup(AK612,A:A,AG:AG)</f>
        <v>#NAME?</v>
      </c>
      <c r="AP612" s="223" t="e">
        <f aca="false">_xlfn.xlookup(AK612,A:A,AD:AD)</f>
        <v>#NAME?</v>
      </c>
      <c r="AQ612" s="223" t="e">
        <f aca="false">_xlfn.xlookup(AK612,A:A,AE:AE)</f>
        <v>#NAME?</v>
      </c>
      <c r="BB612" s="15" t="e">
        <f aca="false">_xlfn.xlookup(BA612,A:A,E:E)</f>
        <v>#NAME?</v>
      </c>
      <c r="BC612" s="15" t="e">
        <f aca="false">_xlfn.xlookup(BA612,A:A,J:J)</f>
        <v>#NAME?</v>
      </c>
      <c r="BD612" s="75" t="e">
        <f aca="false">_xlfn.xlookup(BA612,A:A,M:M)+_xlfn.xlookup(BA612,A:A,N:N)</f>
        <v>#NAME?</v>
      </c>
    </row>
    <row r="613" customFormat="false" ht="14.25" hidden="false" customHeight="false" outlineLevel="0" collapsed="false">
      <c r="AK613" s="15" t="e">
        <v>#NAME?</v>
      </c>
      <c r="AL613" s="15" t="e">
        <f aca="false">_xlfn.xlookup(AK613,A:A,F:F)</f>
        <v>#NAME?</v>
      </c>
      <c r="AM613" s="15" t="e">
        <f aca="false">_xlfn.xlookup(AK613,A:A,J:J)</f>
        <v>#NAME?</v>
      </c>
      <c r="AN613" s="15" t="e">
        <f aca="false">_xlfn.xlookup(AK613,A:A,M:M)+_xlfn.xlookup(AK613,A:A,N:N)</f>
        <v>#NAME?</v>
      </c>
      <c r="AO613" s="223" t="e">
        <f aca="false">_xlfn.xlookup(AK613,A:A,AG:AG)</f>
        <v>#NAME?</v>
      </c>
      <c r="AP613" s="223" t="e">
        <f aca="false">_xlfn.xlookup(AK613,A:A,AD:AD)</f>
        <v>#NAME?</v>
      </c>
      <c r="AQ613" s="223" t="e">
        <f aca="false">_xlfn.xlookup(AK613,A:A,AE:AE)</f>
        <v>#NAME?</v>
      </c>
      <c r="BB613" s="15" t="e">
        <f aca="false">_xlfn.xlookup(BA613,A:A,E:E)</f>
        <v>#NAME?</v>
      </c>
      <c r="BC613" s="15" t="e">
        <f aca="false">_xlfn.xlookup(BA613,A:A,J:J)</f>
        <v>#NAME?</v>
      </c>
      <c r="BD613" s="75" t="e">
        <f aca="false">_xlfn.xlookup(BA613,A:A,M:M)+_xlfn.xlookup(BA613,A:A,N:N)</f>
        <v>#NAME?</v>
      </c>
    </row>
    <row r="614" customFormat="false" ht="14.25" hidden="false" customHeight="false" outlineLevel="0" collapsed="false">
      <c r="AK614" s="15" t="e">
        <v>#NAME?</v>
      </c>
      <c r="AL614" s="15" t="e">
        <f aca="false">_xlfn.xlookup(AK614,A:A,F:F)</f>
        <v>#NAME?</v>
      </c>
      <c r="AM614" s="15" t="e">
        <f aca="false">_xlfn.xlookup(AK614,A:A,J:J)</f>
        <v>#NAME?</v>
      </c>
      <c r="AN614" s="15" t="e">
        <f aca="false">_xlfn.xlookup(AK614,A:A,M:M)+_xlfn.xlookup(AK614,A:A,N:N)</f>
        <v>#NAME?</v>
      </c>
      <c r="AO614" s="223" t="e">
        <f aca="false">_xlfn.xlookup(AK614,A:A,AG:AG)</f>
        <v>#NAME?</v>
      </c>
      <c r="AP614" s="223" t="e">
        <f aca="false">_xlfn.xlookup(AK614,A:A,AD:AD)</f>
        <v>#NAME?</v>
      </c>
      <c r="AQ614" s="223" t="e">
        <f aca="false">_xlfn.xlookup(AK614,A:A,AE:AE)</f>
        <v>#NAME?</v>
      </c>
      <c r="BB614" s="15" t="e">
        <f aca="false">_xlfn.xlookup(BA614,A:A,E:E)</f>
        <v>#NAME?</v>
      </c>
      <c r="BC614" s="15" t="e">
        <f aca="false">_xlfn.xlookup(BA614,A:A,J:J)</f>
        <v>#NAME?</v>
      </c>
      <c r="BD614" s="75" t="e">
        <f aca="false">_xlfn.xlookup(BA614,A:A,M:M)+_xlfn.xlookup(BA614,A:A,N:N)</f>
        <v>#NAME?</v>
      </c>
    </row>
    <row r="615" customFormat="false" ht="14.25" hidden="false" customHeight="false" outlineLevel="0" collapsed="false">
      <c r="AK615" s="15" t="e">
        <v>#NAME?</v>
      </c>
      <c r="AL615" s="15" t="e">
        <f aca="false">_xlfn.xlookup(AK615,A:A,F:F)</f>
        <v>#NAME?</v>
      </c>
      <c r="AM615" s="15" t="e">
        <f aca="false">_xlfn.xlookup(AK615,A:A,J:J)</f>
        <v>#NAME?</v>
      </c>
      <c r="AN615" s="15" t="e">
        <f aca="false">_xlfn.xlookup(AK615,A:A,M:M)+_xlfn.xlookup(AK615,A:A,N:N)</f>
        <v>#NAME?</v>
      </c>
      <c r="AO615" s="223" t="e">
        <f aca="false">_xlfn.xlookup(AK615,A:A,AG:AG)</f>
        <v>#NAME?</v>
      </c>
      <c r="AP615" s="223" t="e">
        <f aca="false">_xlfn.xlookup(AK615,A:A,AD:AD)</f>
        <v>#NAME?</v>
      </c>
      <c r="AQ615" s="223" t="e">
        <f aca="false">_xlfn.xlookup(AK615,A:A,AE:AE)</f>
        <v>#NAME?</v>
      </c>
      <c r="BB615" s="15" t="e">
        <f aca="false">_xlfn.xlookup(BA615,A:A,E:E)</f>
        <v>#NAME?</v>
      </c>
      <c r="BC615" s="15" t="e">
        <f aca="false">_xlfn.xlookup(BA615,A:A,J:J)</f>
        <v>#NAME?</v>
      </c>
      <c r="BD615" s="75" t="e">
        <f aca="false">_xlfn.xlookup(BA615,A:A,M:M)+_xlfn.xlookup(BA615,A:A,N:N)</f>
        <v>#NAME?</v>
      </c>
    </row>
    <row r="616" customFormat="false" ht="14.25" hidden="false" customHeight="false" outlineLevel="0" collapsed="false">
      <c r="AK616" s="15" t="e">
        <v>#NAME?</v>
      </c>
      <c r="AL616" s="15" t="e">
        <f aca="false">_xlfn.xlookup(AK616,A:A,F:F)</f>
        <v>#NAME?</v>
      </c>
      <c r="AM616" s="15" t="e">
        <f aca="false">_xlfn.xlookup(AK616,A:A,J:J)</f>
        <v>#NAME?</v>
      </c>
      <c r="AN616" s="15" t="e">
        <f aca="false">_xlfn.xlookup(AK616,A:A,M:M)+_xlfn.xlookup(AK616,A:A,N:N)</f>
        <v>#NAME?</v>
      </c>
      <c r="AO616" s="223" t="e">
        <f aca="false">_xlfn.xlookup(AK616,A:A,AG:AG)</f>
        <v>#NAME?</v>
      </c>
      <c r="AP616" s="223" t="e">
        <f aca="false">_xlfn.xlookup(AK616,A:A,AD:AD)</f>
        <v>#NAME?</v>
      </c>
      <c r="AQ616" s="223" t="e">
        <f aca="false">_xlfn.xlookup(AK616,A:A,AE:AE)</f>
        <v>#NAME?</v>
      </c>
      <c r="BB616" s="15" t="e">
        <f aca="false">_xlfn.xlookup(BA616,A:A,E:E)</f>
        <v>#NAME?</v>
      </c>
      <c r="BC616" s="15" t="e">
        <f aca="false">_xlfn.xlookup(BA616,A:A,J:J)</f>
        <v>#NAME?</v>
      </c>
      <c r="BD616" s="75" t="e">
        <f aca="false">_xlfn.xlookup(BA616,A:A,M:M)+_xlfn.xlookup(BA616,A:A,N:N)</f>
        <v>#NAME?</v>
      </c>
    </row>
    <row r="617" customFormat="false" ht="14.25" hidden="false" customHeight="false" outlineLevel="0" collapsed="false">
      <c r="AK617" s="15" t="e">
        <v>#NAME?</v>
      </c>
      <c r="AL617" s="15" t="e">
        <f aca="false">_xlfn.xlookup(AK617,A:A,F:F)</f>
        <v>#NAME?</v>
      </c>
      <c r="AM617" s="15" t="e">
        <f aca="false">_xlfn.xlookup(AK617,A:A,J:J)</f>
        <v>#NAME?</v>
      </c>
      <c r="AN617" s="15" t="e">
        <f aca="false">_xlfn.xlookup(AK617,A:A,M:M)+_xlfn.xlookup(AK617,A:A,N:N)</f>
        <v>#NAME?</v>
      </c>
      <c r="AO617" s="223" t="e">
        <f aca="false">_xlfn.xlookup(AK617,A:A,AG:AG)</f>
        <v>#NAME?</v>
      </c>
      <c r="AP617" s="223" t="e">
        <f aca="false">_xlfn.xlookup(AK617,A:A,AD:AD)</f>
        <v>#NAME?</v>
      </c>
      <c r="AQ617" s="223" t="e">
        <f aca="false">_xlfn.xlookup(AK617,A:A,AE:AE)</f>
        <v>#NAME?</v>
      </c>
      <c r="BB617" s="15" t="e">
        <f aca="false">_xlfn.xlookup(BA617,A:A,E:E)</f>
        <v>#NAME?</v>
      </c>
      <c r="BC617" s="15" t="e">
        <f aca="false">_xlfn.xlookup(BA617,A:A,J:J)</f>
        <v>#NAME?</v>
      </c>
      <c r="BD617" s="75" t="e">
        <f aca="false">_xlfn.xlookup(BA617,A:A,M:M)+_xlfn.xlookup(BA617,A:A,N:N)</f>
        <v>#NAME?</v>
      </c>
    </row>
    <row r="618" customFormat="false" ht="14.25" hidden="false" customHeight="false" outlineLevel="0" collapsed="false">
      <c r="AK618" s="15" t="e">
        <v>#NAME?</v>
      </c>
      <c r="AL618" s="15" t="e">
        <f aca="false">_xlfn.xlookup(AK618,A:A,F:F)</f>
        <v>#NAME?</v>
      </c>
      <c r="AM618" s="15" t="e">
        <f aca="false">_xlfn.xlookup(AK618,A:A,J:J)</f>
        <v>#NAME?</v>
      </c>
      <c r="AN618" s="15" t="e">
        <f aca="false">_xlfn.xlookup(AK618,A:A,M:M)+_xlfn.xlookup(AK618,A:A,N:N)</f>
        <v>#NAME?</v>
      </c>
      <c r="AO618" s="223" t="e">
        <f aca="false">_xlfn.xlookup(AK618,A:A,AG:AG)</f>
        <v>#NAME?</v>
      </c>
      <c r="AP618" s="223" t="e">
        <f aca="false">_xlfn.xlookup(AK618,A:A,AD:AD)</f>
        <v>#NAME?</v>
      </c>
      <c r="AQ618" s="223" t="e">
        <f aca="false">_xlfn.xlookup(AK618,A:A,AE:AE)</f>
        <v>#NAME?</v>
      </c>
      <c r="BB618" s="15" t="e">
        <f aca="false">_xlfn.xlookup(BA618,A:A,E:E)</f>
        <v>#NAME?</v>
      </c>
      <c r="BC618" s="15" t="e">
        <f aca="false">_xlfn.xlookup(BA618,A:A,J:J)</f>
        <v>#NAME?</v>
      </c>
      <c r="BD618" s="75" t="e">
        <f aca="false">_xlfn.xlookup(BA618,A:A,M:M)+_xlfn.xlookup(BA618,A:A,N:N)</f>
        <v>#NAME?</v>
      </c>
    </row>
    <row r="619" customFormat="false" ht="14.25" hidden="false" customHeight="false" outlineLevel="0" collapsed="false">
      <c r="AK619" s="15" t="e">
        <v>#NAME?</v>
      </c>
      <c r="AL619" s="15" t="e">
        <f aca="false">_xlfn.xlookup(AK619,A:A,F:F)</f>
        <v>#NAME?</v>
      </c>
      <c r="AM619" s="15" t="e">
        <f aca="false">_xlfn.xlookup(AK619,A:A,J:J)</f>
        <v>#NAME?</v>
      </c>
      <c r="AN619" s="15" t="e">
        <f aca="false">_xlfn.xlookup(AK619,A:A,M:M)+_xlfn.xlookup(AK619,A:A,N:N)</f>
        <v>#NAME?</v>
      </c>
      <c r="AO619" s="223" t="e">
        <f aca="false">_xlfn.xlookup(AK619,A:A,AG:AG)</f>
        <v>#NAME?</v>
      </c>
      <c r="AP619" s="223" t="e">
        <f aca="false">_xlfn.xlookup(AK619,A:A,AD:AD)</f>
        <v>#NAME?</v>
      </c>
      <c r="AQ619" s="223" t="e">
        <f aca="false">_xlfn.xlookup(AK619,A:A,AE:AE)</f>
        <v>#NAME?</v>
      </c>
      <c r="BB619" s="15" t="e">
        <f aca="false">_xlfn.xlookup(BA619,A:A,E:E)</f>
        <v>#NAME?</v>
      </c>
      <c r="BC619" s="15" t="e">
        <f aca="false">_xlfn.xlookup(BA619,A:A,J:J)</f>
        <v>#NAME?</v>
      </c>
      <c r="BD619" s="75" t="e">
        <f aca="false">_xlfn.xlookup(BA619,A:A,M:M)+_xlfn.xlookup(BA619,A:A,N:N)</f>
        <v>#NAME?</v>
      </c>
    </row>
    <row r="620" customFormat="false" ht="14.25" hidden="false" customHeight="false" outlineLevel="0" collapsed="false">
      <c r="AK620" s="15" t="e">
        <v>#NAME?</v>
      </c>
      <c r="AL620" s="15" t="e">
        <f aca="false">_xlfn.xlookup(AK620,A:A,F:F)</f>
        <v>#NAME?</v>
      </c>
      <c r="AM620" s="15" t="e">
        <f aca="false">_xlfn.xlookup(AK620,A:A,J:J)</f>
        <v>#NAME?</v>
      </c>
      <c r="AN620" s="15" t="e">
        <f aca="false">_xlfn.xlookup(AK620,A:A,M:M)+_xlfn.xlookup(AK620,A:A,N:N)</f>
        <v>#NAME?</v>
      </c>
      <c r="AO620" s="223" t="e">
        <f aca="false">_xlfn.xlookup(AK620,A:A,AG:AG)</f>
        <v>#NAME?</v>
      </c>
      <c r="AP620" s="223" t="e">
        <f aca="false">_xlfn.xlookup(AK620,A:A,AD:AD)</f>
        <v>#NAME?</v>
      </c>
      <c r="AQ620" s="223" t="e">
        <f aca="false">_xlfn.xlookup(AK620,A:A,AE:AE)</f>
        <v>#NAME?</v>
      </c>
      <c r="BB620" s="15" t="e">
        <f aca="false">_xlfn.xlookup(BA620,A:A,E:E)</f>
        <v>#NAME?</v>
      </c>
      <c r="BC620" s="15" t="e">
        <f aca="false">_xlfn.xlookup(BA620,A:A,J:J)</f>
        <v>#NAME?</v>
      </c>
      <c r="BD620" s="75" t="e">
        <f aca="false">_xlfn.xlookup(BA620,A:A,M:M)+_xlfn.xlookup(BA620,A:A,N:N)</f>
        <v>#NAME?</v>
      </c>
    </row>
    <row r="621" customFormat="false" ht="14.25" hidden="false" customHeight="false" outlineLevel="0" collapsed="false">
      <c r="AK621" s="15" t="e">
        <v>#NAME?</v>
      </c>
      <c r="AL621" s="15" t="e">
        <f aca="false">_xlfn.xlookup(AK621,A:A,F:F)</f>
        <v>#NAME?</v>
      </c>
      <c r="AM621" s="15" t="e">
        <f aca="false">_xlfn.xlookup(AK621,A:A,J:J)</f>
        <v>#NAME?</v>
      </c>
      <c r="AN621" s="15" t="e">
        <f aca="false">_xlfn.xlookup(AK621,A:A,M:M)+_xlfn.xlookup(AK621,A:A,N:N)</f>
        <v>#NAME?</v>
      </c>
      <c r="AO621" s="223" t="e">
        <f aca="false">_xlfn.xlookup(AK621,A:A,AG:AG)</f>
        <v>#NAME?</v>
      </c>
      <c r="AP621" s="223" t="e">
        <f aca="false">_xlfn.xlookup(AK621,A:A,AD:AD)</f>
        <v>#NAME?</v>
      </c>
      <c r="AQ621" s="223" t="e">
        <f aca="false">_xlfn.xlookup(AK621,A:A,AE:AE)</f>
        <v>#NAME?</v>
      </c>
      <c r="BB621" s="15" t="e">
        <f aca="false">_xlfn.xlookup(BA621,A:A,E:E)</f>
        <v>#NAME?</v>
      </c>
      <c r="BC621" s="15" t="e">
        <f aca="false">_xlfn.xlookup(BA621,A:A,J:J)</f>
        <v>#NAME?</v>
      </c>
      <c r="BD621" s="75" t="e">
        <f aca="false">_xlfn.xlookup(BA621,A:A,M:M)+_xlfn.xlookup(BA621,A:A,N:N)</f>
        <v>#NAME?</v>
      </c>
    </row>
    <row r="622" customFormat="false" ht="14.25" hidden="false" customHeight="false" outlineLevel="0" collapsed="false">
      <c r="AK622" s="15" t="e">
        <v>#NAME?</v>
      </c>
      <c r="AL622" s="15" t="e">
        <f aca="false">_xlfn.xlookup(AK622,A:A,F:F)</f>
        <v>#NAME?</v>
      </c>
      <c r="AM622" s="15" t="e">
        <f aca="false">_xlfn.xlookup(AK622,A:A,J:J)</f>
        <v>#NAME?</v>
      </c>
      <c r="AN622" s="15" t="e">
        <f aca="false">_xlfn.xlookup(AK622,A:A,M:M)+_xlfn.xlookup(AK622,A:A,N:N)</f>
        <v>#NAME?</v>
      </c>
      <c r="AO622" s="223" t="e">
        <f aca="false">_xlfn.xlookup(AK622,A:A,AG:AG)</f>
        <v>#NAME?</v>
      </c>
      <c r="AP622" s="223" t="e">
        <f aca="false">_xlfn.xlookup(AK622,A:A,AD:AD)</f>
        <v>#NAME?</v>
      </c>
      <c r="AQ622" s="223" t="e">
        <f aca="false">_xlfn.xlookup(AK622,A:A,AE:AE)</f>
        <v>#NAME?</v>
      </c>
      <c r="BB622" s="15" t="e">
        <f aca="false">_xlfn.xlookup(BA622,A:A,E:E)</f>
        <v>#NAME?</v>
      </c>
      <c r="BC622" s="15" t="e">
        <f aca="false">_xlfn.xlookup(BA622,A:A,J:J)</f>
        <v>#NAME?</v>
      </c>
      <c r="BD622" s="75" t="e">
        <f aca="false">_xlfn.xlookup(BA622,A:A,M:M)+_xlfn.xlookup(BA622,A:A,N:N)</f>
        <v>#NAME?</v>
      </c>
    </row>
    <row r="623" customFormat="false" ht="14.25" hidden="false" customHeight="false" outlineLevel="0" collapsed="false">
      <c r="AK623" s="15" t="e">
        <v>#NAME?</v>
      </c>
      <c r="AL623" s="15" t="e">
        <f aca="false">_xlfn.xlookup(AK623,A:A,F:F)</f>
        <v>#NAME?</v>
      </c>
      <c r="AM623" s="15" t="e">
        <f aca="false">_xlfn.xlookup(AK623,A:A,J:J)</f>
        <v>#NAME?</v>
      </c>
      <c r="AN623" s="15" t="e">
        <f aca="false">_xlfn.xlookup(AK623,A:A,M:M)+_xlfn.xlookup(AK623,A:A,N:N)</f>
        <v>#NAME?</v>
      </c>
      <c r="AO623" s="223" t="e">
        <f aca="false">_xlfn.xlookup(AK623,A:A,AG:AG)</f>
        <v>#NAME?</v>
      </c>
      <c r="AP623" s="223" t="e">
        <f aca="false">_xlfn.xlookup(AK623,A:A,AD:AD)</f>
        <v>#NAME?</v>
      </c>
      <c r="AQ623" s="223" t="e">
        <f aca="false">_xlfn.xlookup(AK623,A:A,AE:AE)</f>
        <v>#NAME?</v>
      </c>
      <c r="BB623" s="15" t="e">
        <f aca="false">_xlfn.xlookup(BA623,A:A,E:E)</f>
        <v>#NAME?</v>
      </c>
      <c r="BC623" s="15" t="e">
        <f aca="false">_xlfn.xlookup(BA623,A:A,J:J)</f>
        <v>#NAME?</v>
      </c>
      <c r="BD623" s="75" t="e">
        <f aca="false">_xlfn.xlookup(BA623,A:A,M:M)+_xlfn.xlookup(BA623,A:A,N:N)</f>
        <v>#NAME?</v>
      </c>
    </row>
    <row r="624" customFormat="false" ht="14.25" hidden="false" customHeight="false" outlineLevel="0" collapsed="false">
      <c r="AK624" s="15" t="e">
        <v>#NAME?</v>
      </c>
      <c r="AL624" s="15" t="e">
        <f aca="false">_xlfn.xlookup(AK624,A:A,F:F)</f>
        <v>#NAME?</v>
      </c>
      <c r="AM624" s="15" t="e">
        <f aca="false">_xlfn.xlookup(AK624,A:A,J:J)</f>
        <v>#NAME?</v>
      </c>
      <c r="AN624" s="15" t="e">
        <f aca="false">_xlfn.xlookup(AK624,A:A,M:M)+_xlfn.xlookup(AK624,A:A,N:N)</f>
        <v>#NAME?</v>
      </c>
      <c r="AO624" s="223" t="e">
        <f aca="false">_xlfn.xlookup(AK624,A:A,AG:AG)</f>
        <v>#NAME?</v>
      </c>
      <c r="AP624" s="223" t="e">
        <f aca="false">_xlfn.xlookup(AK624,A:A,AD:AD)</f>
        <v>#NAME?</v>
      </c>
      <c r="AQ624" s="223" t="e">
        <f aca="false">_xlfn.xlookup(AK624,A:A,AE:AE)</f>
        <v>#NAME?</v>
      </c>
      <c r="BB624" s="15" t="e">
        <f aca="false">_xlfn.xlookup(BA624,A:A,E:E)</f>
        <v>#NAME?</v>
      </c>
      <c r="BC624" s="15" t="e">
        <f aca="false">_xlfn.xlookup(BA624,A:A,J:J)</f>
        <v>#NAME?</v>
      </c>
      <c r="BD624" s="75" t="e">
        <f aca="false">_xlfn.xlookup(BA624,A:A,M:M)+_xlfn.xlookup(BA624,A:A,N:N)</f>
        <v>#NAME?</v>
      </c>
    </row>
    <row r="625" customFormat="false" ht="14.25" hidden="false" customHeight="false" outlineLevel="0" collapsed="false">
      <c r="AK625" s="15" t="e">
        <v>#NAME?</v>
      </c>
      <c r="AL625" s="15" t="e">
        <f aca="false">_xlfn.xlookup(AK625,A:A,F:F)</f>
        <v>#NAME?</v>
      </c>
      <c r="AM625" s="15" t="e">
        <f aca="false">_xlfn.xlookup(AK625,A:A,J:J)</f>
        <v>#NAME?</v>
      </c>
      <c r="AN625" s="15" t="e">
        <f aca="false">_xlfn.xlookup(AK625,A:A,M:M)+_xlfn.xlookup(AK625,A:A,N:N)</f>
        <v>#NAME?</v>
      </c>
      <c r="AO625" s="223" t="e">
        <f aca="false">_xlfn.xlookup(AK625,A:A,AG:AG)</f>
        <v>#NAME?</v>
      </c>
      <c r="AP625" s="223" t="e">
        <f aca="false">_xlfn.xlookup(AK625,A:A,AD:AD)</f>
        <v>#NAME?</v>
      </c>
      <c r="AQ625" s="223" t="e">
        <f aca="false">_xlfn.xlookup(AK625,A:A,AE:AE)</f>
        <v>#NAME?</v>
      </c>
      <c r="BB625" s="15" t="e">
        <f aca="false">_xlfn.xlookup(BA625,A:A,E:E)</f>
        <v>#NAME?</v>
      </c>
      <c r="BC625" s="15" t="e">
        <f aca="false">_xlfn.xlookup(BA625,A:A,J:J)</f>
        <v>#NAME?</v>
      </c>
      <c r="BD625" s="75" t="e">
        <f aca="false">_xlfn.xlookup(BA625,A:A,M:M)+_xlfn.xlookup(BA625,A:A,N:N)</f>
        <v>#NAME?</v>
      </c>
    </row>
    <row r="626" customFormat="false" ht="14.25" hidden="false" customHeight="false" outlineLevel="0" collapsed="false">
      <c r="AK626" s="15" t="e">
        <v>#NAME?</v>
      </c>
      <c r="AL626" s="15" t="e">
        <f aca="false">_xlfn.xlookup(AK626,A:A,F:F)</f>
        <v>#NAME?</v>
      </c>
      <c r="AM626" s="15" t="e">
        <f aca="false">_xlfn.xlookup(AK626,A:A,J:J)</f>
        <v>#NAME?</v>
      </c>
      <c r="AN626" s="15" t="e">
        <f aca="false">_xlfn.xlookup(AK626,A:A,M:M)+_xlfn.xlookup(AK626,A:A,N:N)</f>
        <v>#NAME?</v>
      </c>
      <c r="AO626" s="223" t="e">
        <f aca="false">_xlfn.xlookup(AK626,A:A,AG:AG)</f>
        <v>#NAME?</v>
      </c>
      <c r="AP626" s="223" t="e">
        <f aca="false">_xlfn.xlookup(AK626,A:A,AD:AD)</f>
        <v>#NAME?</v>
      </c>
      <c r="AQ626" s="223" t="e">
        <f aca="false">_xlfn.xlookup(AK626,A:A,AE:AE)</f>
        <v>#NAME?</v>
      </c>
      <c r="BB626" s="15" t="e">
        <f aca="false">_xlfn.xlookup(BA626,A:A,E:E)</f>
        <v>#NAME?</v>
      </c>
      <c r="BC626" s="15" t="e">
        <f aca="false">_xlfn.xlookup(BA626,A:A,J:J)</f>
        <v>#NAME?</v>
      </c>
      <c r="BD626" s="75" t="e">
        <f aca="false">_xlfn.xlookup(BA626,A:A,M:M)+_xlfn.xlookup(BA626,A:A,N:N)</f>
        <v>#NAME?</v>
      </c>
    </row>
    <row r="627" customFormat="false" ht="14.25" hidden="false" customHeight="false" outlineLevel="0" collapsed="false">
      <c r="AK627" s="15" t="e">
        <v>#NAME?</v>
      </c>
      <c r="AL627" s="15" t="e">
        <f aca="false">_xlfn.xlookup(AK627,A:A,F:F)</f>
        <v>#NAME?</v>
      </c>
      <c r="AM627" s="15" t="e">
        <f aca="false">_xlfn.xlookup(AK627,A:A,J:J)</f>
        <v>#NAME?</v>
      </c>
      <c r="AN627" s="15" t="e">
        <f aca="false">_xlfn.xlookup(AK627,A:A,M:M)+_xlfn.xlookup(AK627,A:A,N:N)</f>
        <v>#NAME?</v>
      </c>
      <c r="AO627" s="223" t="e">
        <f aca="false">_xlfn.xlookup(AK627,A:A,AG:AG)</f>
        <v>#NAME?</v>
      </c>
      <c r="AP627" s="223" t="e">
        <f aca="false">_xlfn.xlookup(AK627,A:A,AD:AD)</f>
        <v>#NAME?</v>
      </c>
      <c r="AQ627" s="223" t="e">
        <f aca="false">_xlfn.xlookup(AK627,A:A,AE:AE)</f>
        <v>#NAME?</v>
      </c>
      <c r="BB627" s="15" t="e">
        <f aca="false">_xlfn.xlookup(BA627,A:A,E:E)</f>
        <v>#NAME?</v>
      </c>
      <c r="BC627" s="15" t="e">
        <f aca="false">_xlfn.xlookup(BA627,A:A,J:J)</f>
        <v>#NAME?</v>
      </c>
      <c r="BD627" s="75" t="e">
        <f aca="false">_xlfn.xlookup(BA627,A:A,M:M)+_xlfn.xlookup(BA627,A:A,N:N)</f>
        <v>#NAME?</v>
      </c>
    </row>
    <row r="628" customFormat="false" ht="14.25" hidden="false" customHeight="false" outlineLevel="0" collapsed="false">
      <c r="AK628" s="15" t="e">
        <v>#NAME?</v>
      </c>
      <c r="AL628" s="15" t="e">
        <f aca="false">_xlfn.xlookup(AK628,A:A,F:F)</f>
        <v>#NAME?</v>
      </c>
      <c r="AM628" s="15" t="e">
        <f aca="false">_xlfn.xlookup(AK628,A:A,J:J)</f>
        <v>#NAME?</v>
      </c>
      <c r="AN628" s="15" t="e">
        <f aca="false">_xlfn.xlookup(AK628,A:A,M:M)+_xlfn.xlookup(AK628,A:A,N:N)</f>
        <v>#NAME?</v>
      </c>
      <c r="AO628" s="223" t="e">
        <f aca="false">_xlfn.xlookup(AK628,A:A,AG:AG)</f>
        <v>#NAME?</v>
      </c>
      <c r="AP628" s="223" t="e">
        <f aca="false">_xlfn.xlookup(AK628,A:A,AD:AD)</f>
        <v>#NAME?</v>
      </c>
      <c r="AQ628" s="223" t="e">
        <f aca="false">_xlfn.xlookup(AK628,A:A,AE:AE)</f>
        <v>#NAME?</v>
      </c>
      <c r="BB628" s="15" t="e">
        <f aca="false">_xlfn.xlookup(BA628,A:A,E:E)</f>
        <v>#NAME?</v>
      </c>
      <c r="BC628" s="15" t="e">
        <f aca="false">_xlfn.xlookup(BA628,A:A,J:J)</f>
        <v>#NAME?</v>
      </c>
      <c r="BD628" s="75" t="e">
        <f aca="false">_xlfn.xlookup(BA628,A:A,M:M)+_xlfn.xlookup(BA628,A:A,N:N)</f>
        <v>#NAME?</v>
      </c>
    </row>
    <row r="629" customFormat="false" ht="14.25" hidden="false" customHeight="false" outlineLevel="0" collapsed="false">
      <c r="AK629" s="15" t="e">
        <v>#NAME?</v>
      </c>
      <c r="AL629" s="15" t="e">
        <f aca="false">_xlfn.xlookup(AK629,A:A,F:F)</f>
        <v>#NAME?</v>
      </c>
      <c r="AM629" s="15" t="e">
        <f aca="false">_xlfn.xlookup(AK629,A:A,J:J)</f>
        <v>#NAME?</v>
      </c>
      <c r="AN629" s="15" t="e">
        <f aca="false">_xlfn.xlookup(AK629,A:A,M:M)+_xlfn.xlookup(AK629,A:A,N:N)</f>
        <v>#NAME?</v>
      </c>
      <c r="AO629" s="223" t="e">
        <f aca="false">_xlfn.xlookup(AK629,A:A,AG:AG)</f>
        <v>#NAME?</v>
      </c>
      <c r="AP629" s="223" t="e">
        <f aca="false">_xlfn.xlookup(AK629,A:A,AD:AD)</f>
        <v>#NAME?</v>
      </c>
      <c r="AQ629" s="223" t="e">
        <f aca="false">_xlfn.xlookup(AK629,A:A,AE:AE)</f>
        <v>#NAME?</v>
      </c>
      <c r="BB629" s="15" t="e">
        <f aca="false">_xlfn.xlookup(BA629,A:A,E:E)</f>
        <v>#NAME?</v>
      </c>
      <c r="BC629" s="15" t="e">
        <f aca="false">_xlfn.xlookup(BA629,A:A,J:J)</f>
        <v>#NAME?</v>
      </c>
      <c r="BD629" s="75" t="e">
        <f aca="false">_xlfn.xlookup(BA629,A:A,M:M)+_xlfn.xlookup(BA629,A:A,N:N)</f>
        <v>#NAME?</v>
      </c>
    </row>
    <row r="630" customFormat="false" ht="14.25" hidden="false" customHeight="false" outlineLevel="0" collapsed="false">
      <c r="AK630" s="15" t="e">
        <v>#NAME?</v>
      </c>
      <c r="AL630" s="15" t="e">
        <f aca="false">_xlfn.xlookup(AK630,A:A,F:F)</f>
        <v>#NAME?</v>
      </c>
      <c r="AM630" s="15" t="e">
        <f aca="false">_xlfn.xlookup(AK630,A:A,J:J)</f>
        <v>#NAME?</v>
      </c>
      <c r="AN630" s="15" t="e">
        <f aca="false">_xlfn.xlookup(AK630,A:A,M:M)+_xlfn.xlookup(AK630,A:A,N:N)</f>
        <v>#NAME?</v>
      </c>
      <c r="AO630" s="223" t="e">
        <f aca="false">_xlfn.xlookup(AK630,A:A,AG:AG)</f>
        <v>#NAME?</v>
      </c>
      <c r="AP630" s="223" t="e">
        <f aca="false">_xlfn.xlookup(AK630,A:A,AD:AD)</f>
        <v>#NAME?</v>
      </c>
      <c r="AQ630" s="223" t="e">
        <f aca="false">_xlfn.xlookup(AK630,A:A,AE:AE)</f>
        <v>#NAME?</v>
      </c>
      <c r="BB630" s="15" t="e">
        <f aca="false">_xlfn.xlookup(BA630,A:A,E:E)</f>
        <v>#NAME?</v>
      </c>
      <c r="BC630" s="15" t="e">
        <f aca="false">_xlfn.xlookup(BA630,A:A,J:J)</f>
        <v>#NAME?</v>
      </c>
      <c r="BD630" s="75" t="e">
        <f aca="false">_xlfn.xlookup(BA630,A:A,M:M)+_xlfn.xlookup(BA630,A:A,N:N)</f>
        <v>#NAME?</v>
      </c>
    </row>
    <row r="631" customFormat="false" ht="14.25" hidden="false" customHeight="false" outlineLevel="0" collapsed="false">
      <c r="AK631" s="15" t="e">
        <v>#NAME?</v>
      </c>
      <c r="AL631" s="15" t="e">
        <f aca="false">_xlfn.xlookup(AK631,A:A,F:F)</f>
        <v>#NAME?</v>
      </c>
      <c r="AM631" s="15" t="e">
        <f aca="false">_xlfn.xlookup(AK631,A:A,J:J)</f>
        <v>#NAME?</v>
      </c>
      <c r="AN631" s="15" t="e">
        <f aca="false">_xlfn.xlookup(AK631,A:A,M:M)+_xlfn.xlookup(AK631,A:A,N:N)</f>
        <v>#NAME?</v>
      </c>
      <c r="AO631" s="223" t="e">
        <f aca="false">_xlfn.xlookup(AK631,A:A,AG:AG)</f>
        <v>#NAME?</v>
      </c>
      <c r="AP631" s="223" t="e">
        <f aca="false">_xlfn.xlookup(AK631,A:A,AD:AD)</f>
        <v>#NAME?</v>
      </c>
      <c r="AQ631" s="223" t="e">
        <f aca="false">_xlfn.xlookup(AK631,A:A,AE:AE)</f>
        <v>#NAME?</v>
      </c>
      <c r="BB631" s="15" t="e">
        <f aca="false">_xlfn.xlookup(BA631,A:A,E:E)</f>
        <v>#NAME?</v>
      </c>
      <c r="BC631" s="15" t="e">
        <f aca="false">_xlfn.xlookup(BA631,A:A,J:J)</f>
        <v>#NAME?</v>
      </c>
      <c r="BD631" s="75" t="e">
        <f aca="false">_xlfn.xlookup(BA631,A:A,M:M)+_xlfn.xlookup(BA631,A:A,N:N)</f>
        <v>#NAME?</v>
      </c>
    </row>
    <row r="632" customFormat="false" ht="14.25" hidden="false" customHeight="false" outlineLevel="0" collapsed="false">
      <c r="AK632" s="15" t="e">
        <v>#NAME?</v>
      </c>
      <c r="AL632" s="15" t="e">
        <f aca="false">_xlfn.xlookup(AK632,A:A,F:F)</f>
        <v>#NAME?</v>
      </c>
      <c r="AM632" s="15" t="e">
        <f aca="false">_xlfn.xlookup(AK632,A:A,J:J)</f>
        <v>#NAME?</v>
      </c>
      <c r="AN632" s="15" t="e">
        <f aca="false">_xlfn.xlookup(AK632,A:A,M:M)+_xlfn.xlookup(AK632,A:A,N:N)</f>
        <v>#NAME?</v>
      </c>
      <c r="AO632" s="223" t="e">
        <f aca="false">_xlfn.xlookup(AK632,A:A,AG:AG)</f>
        <v>#NAME?</v>
      </c>
      <c r="AP632" s="223" t="e">
        <f aca="false">_xlfn.xlookup(AK632,A:A,AD:AD)</f>
        <v>#NAME?</v>
      </c>
      <c r="AQ632" s="223" t="e">
        <f aca="false">_xlfn.xlookup(AK632,A:A,AE:AE)</f>
        <v>#NAME?</v>
      </c>
      <c r="BB632" s="15" t="e">
        <f aca="false">_xlfn.xlookup(BA632,A:A,E:E)</f>
        <v>#NAME?</v>
      </c>
      <c r="BC632" s="15" t="e">
        <f aca="false">_xlfn.xlookup(BA632,A:A,J:J)</f>
        <v>#NAME?</v>
      </c>
      <c r="BD632" s="75" t="e">
        <f aca="false">_xlfn.xlookup(BA632,A:A,M:M)+_xlfn.xlookup(BA632,A:A,N:N)</f>
        <v>#NAME?</v>
      </c>
    </row>
    <row r="633" customFormat="false" ht="14.25" hidden="false" customHeight="false" outlineLevel="0" collapsed="false">
      <c r="AK633" s="15" t="e">
        <v>#NAME?</v>
      </c>
      <c r="AL633" s="15" t="e">
        <f aca="false">_xlfn.xlookup(AK633,A:A,F:F)</f>
        <v>#NAME?</v>
      </c>
      <c r="AM633" s="15" t="e">
        <f aca="false">_xlfn.xlookup(AK633,A:A,J:J)</f>
        <v>#NAME?</v>
      </c>
      <c r="AN633" s="15" t="e">
        <f aca="false">_xlfn.xlookup(AK633,A:A,M:M)+_xlfn.xlookup(AK633,A:A,N:N)</f>
        <v>#NAME?</v>
      </c>
      <c r="AO633" s="223" t="e">
        <f aca="false">_xlfn.xlookup(AK633,A:A,AG:AG)</f>
        <v>#NAME?</v>
      </c>
      <c r="AP633" s="223" t="e">
        <f aca="false">_xlfn.xlookup(AK633,A:A,AD:AD)</f>
        <v>#NAME?</v>
      </c>
      <c r="AQ633" s="223" t="e">
        <f aca="false">_xlfn.xlookup(AK633,A:A,AE:AE)</f>
        <v>#NAME?</v>
      </c>
      <c r="BB633" s="15" t="e">
        <f aca="false">_xlfn.xlookup(BA633,A:A,E:E)</f>
        <v>#NAME?</v>
      </c>
      <c r="BC633" s="15" t="e">
        <f aca="false">_xlfn.xlookup(BA633,A:A,J:J)</f>
        <v>#NAME?</v>
      </c>
      <c r="BD633" s="75" t="e">
        <f aca="false">_xlfn.xlookup(BA633,A:A,M:M)+_xlfn.xlookup(BA633,A:A,N:N)</f>
        <v>#NAME?</v>
      </c>
    </row>
    <row r="634" customFormat="false" ht="14.25" hidden="false" customHeight="false" outlineLevel="0" collapsed="false">
      <c r="AK634" s="15" t="e">
        <v>#NAME?</v>
      </c>
      <c r="AL634" s="15" t="e">
        <f aca="false">_xlfn.xlookup(AK634,A:A,F:F)</f>
        <v>#NAME?</v>
      </c>
      <c r="AM634" s="15" t="e">
        <f aca="false">_xlfn.xlookup(AK634,A:A,J:J)</f>
        <v>#NAME?</v>
      </c>
      <c r="AN634" s="15" t="e">
        <f aca="false">_xlfn.xlookup(AK634,A:A,M:M)+_xlfn.xlookup(AK634,A:A,N:N)</f>
        <v>#NAME?</v>
      </c>
      <c r="AO634" s="223" t="e">
        <f aca="false">_xlfn.xlookup(AK634,A:A,AG:AG)</f>
        <v>#NAME?</v>
      </c>
      <c r="AP634" s="223" t="e">
        <f aca="false">_xlfn.xlookup(AK634,A:A,AD:AD)</f>
        <v>#NAME?</v>
      </c>
      <c r="AQ634" s="223" t="e">
        <f aca="false">_xlfn.xlookup(AK634,A:A,AE:AE)</f>
        <v>#NAME?</v>
      </c>
      <c r="BB634" s="15" t="e">
        <f aca="false">_xlfn.xlookup(BA634,A:A,E:E)</f>
        <v>#NAME?</v>
      </c>
      <c r="BC634" s="15" t="e">
        <f aca="false">_xlfn.xlookup(BA634,A:A,J:J)</f>
        <v>#NAME?</v>
      </c>
      <c r="BD634" s="75" t="e">
        <f aca="false">_xlfn.xlookup(BA634,A:A,M:M)+_xlfn.xlookup(BA634,A:A,N:N)</f>
        <v>#NAME?</v>
      </c>
    </row>
    <row r="635" customFormat="false" ht="14.25" hidden="false" customHeight="false" outlineLevel="0" collapsed="false">
      <c r="AK635" s="15" t="e">
        <v>#NAME?</v>
      </c>
      <c r="AL635" s="15" t="e">
        <f aca="false">_xlfn.xlookup(AK635,A:A,F:F)</f>
        <v>#NAME?</v>
      </c>
      <c r="AM635" s="15" t="e">
        <f aca="false">_xlfn.xlookup(AK635,A:A,J:J)</f>
        <v>#NAME?</v>
      </c>
      <c r="AN635" s="15" t="e">
        <f aca="false">_xlfn.xlookup(AK635,A:A,M:M)+_xlfn.xlookup(AK635,A:A,N:N)</f>
        <v>#NAME?</v>
      </c>
      <c r="AO635" s="223" t="e">
        <f aca="false">_xlfn.xlookup(AK635,A:A,AG:AG)</f>
        <v>#NAME?</v>
      </c>
      <c r="AP635" s="223" t="e">
        <f aca="false">_xlfn.xlookup(AK635,A:A,AD:AD)</f>
        <v>#NAME?</v>
      </c>
      <c r="AQ635" s="223" t="e">
        <f aca="false">_xlfn.xlookup(AK635,A:A,AE:AE)</f>
        <v>#NAME?</v>
      </c>
      <c r="BB635" s="15" t="e">
        <f aca="false">_xlfn.xlookup(BA635,A:A,E:E)</f>
        <v>#NAME?</v>
      </c>
      <c r="BC635" s="15" t="e">
        <f aca="false">_xlfn.xlookup(BA635,A:A,J:J)</f>
        <v>#NAME?</v>
      </c>
      <c r="BD635" s="75" t="e">
        <f aca="false">_xlfn.xlookup(BA635,A:A,M:M)+_xlfn.xlookup(BA635,A:A,N:N)</f>
        <v>#NAME?</v>
      </c>
    </row>
    <row r="636" customFormat="false" ht="14.25" hidden="false" customHeight="false" outlineLevel="0" collapsed="false">
      <c r="AK636" s="15" t="e">
        <v>#NAME?</v>
      </c>
      <c r="AL636" s="15" t="e">
        <f aca="false">_xlfn.xlookup(AK636,A:A,F:F)</f>
        <v>#NAME?</v>
      </c>
      <c r="AM636" s="15" t="e">
        <f aca="false">_xlfn.xlookup(AK636,A:A,J:J)</f>
        <v>#NAME?</v>
      </c>
      <c r="AN636" s="15" t="e">
        <f aca="false">_xlfn.xlookup(AK636,A:A,M:M)+_xlfn.xlookup(AK636,A:A,N:N)</f>
        <v>#NAME?</v>
      </c>
      <c r="AO636" s="223" t="e">
        <f aca="false">_xlfn.xlookup(AK636,A:A,AG:AG)</f>
        <v>#NAME?</v>
      </c>
      <c r="AP636" s="223" t="e">
        <f aca="false">_xlfn.xlookup(AK636,A:A,AD:AD)</f>
        <v>#NAME?</v>
      </c>
      <c r="AQ636" s="223" t="e">
        <f aca="false">_xlfn.xlookup(AK636,A:A,AE:AE)</f>
        <v>#NAME?</v>
      </c>
      <c r="BB636" s="15" t="e">
        <f aca="false">_xlfn.xlookup(BA636,A:A,E:E)</f>
        <v>#NAME?</v>
      </c>
      <c r="BC636" s="15" t="e">
        <f aca="false">_xlfn.xlookup(BA636,A:A,J:J)</f>
        <v>#NAME?</v>
      </c>
      <c r="BD636" s="75" t="e">
        <f aca="false">_xlfn.xlookup(BA636,A:A,M:M)+_xlfn.xlookup(BA636,A:A,N:N)</f>
        <v>#NAME?</v>
      </c>
    </row>
    <row r="637" customFormat="false" ht="14.25" hidden="false" customHeight="false" outlineLevel="0" collapsed="false">
      <c r="AK637" s="15" t="e">
        <v>#NAME?</v>
      </c>
      <c r="AL637" s="15" t="e">
        <f aca="false">_xlfn.xlookup(AK637,A:A,F:F)</f>
        <v>#NAME?</v>
      </c>
      <c r="AM637" s="15" t="e">
        <f aca="false">_xlfn.xlookup(AK637,A:A,J:J)</f>
        <v>#NAME?</v>
      </c>
      <c r="AN637" s="15" t="e">
        <f aca="false">_xlfn.xlookup(AK637,A:A,M:M)+_xlfn.xlookup(AK637,A:A,N:N)</f>
        <v>#NAME?</v>
      </c>
      <c r="AO637" s="223" t="e">
        <f aca="false">_xlfn.xlookup(AK637,A:A,AG:AG)</f>
        <v>#NAME?</v>
      </c>
      <c r="AP637" s="223" t="e">
        <f aca="false">_xlfn.xlookup(AK637,A:A,AD:AD)</f>
        <v>#NAME?</v>
      </c>
      <c r="AQ637" s="223" t="e">
        <f aca="false">_xlfn.xlookup(AK637,A:A,AE:AE)</f>
        <v>#NAME?</v>
      </c>
      <c r="BB637" s="15" t="e">
        <f aca="false">_xlfn.xlookup(BA637,A:A,E:E)</f>
        <v>#NAME?</v>
      </c>
      <c r="BC637" s="15" t="e">
        <f aca="false">_xlfn.xlookup(BA637,A:A,J:J)</f>
        <v>#NAME?</v>
      </c>
      <c r="BD637" s="75" t="e">
        <f aca="false">_xlfn.xlookup(BA637,A:A,M:M)+_xlfn.xlookup(BA637,A:A,N:N)</f>
        <v>#NAME?</v>
      </c>
    </row>
    <row r="638" customFormat="false" ht="14.25" hidden="false" customHeight="false" outlineLevel="0" collapsed="false">
      <c r="AK638" s="15" t="e">
        <v>#NAME?</v>
      </c>
      <c r="AL638" s="15" t="e">
        <f aca="false">_xlfn.xlookup(AK638,A:A,F:F)</f>
        <v>#NAME?</v>
      </c>
      <c r="AM638" s="15" t="e">
        <f aca="false">_xlfn.xlookup(AK638,A:A,J:J)</f>
        <v>#NAME?</v>
      </c>
      <c r="AN638" s="15" t="e">
        <f aca="false">_xlfn.xlookup(AK638,A:A,M:M)+_xlfn.xlookup(AK638,A:A,N:N)</f>
        <v>#NAME?</v>
      </c>
      <c r="AO638" s="223" t="e">
        <f aca="false">_xlfn.xlookup(AK638,A:A,AG:AG)</f>
        <v>#NAME?</v>
      </c>
      <c r="AP638" s="223" t="e">
        <f aca="false">_xlfn.xlookup(AK638,A:A,AD:AD)</f>
        <v>#NAME?</v>
      </c>
      <c r="AQ638" s="223" t="e">
        <f aca="false">_xlfn.xlookup(AK638,A:A,AE:AE)</f>
        <v>#NAME?</v>
      </c>
      <c r="BB638" s="15" t="e">
        <f aca="false">_xlfn.xlookup(BA638,A:A,E:E)</f>
        <v>#NAME?</v>
      </c>
      <c r="BC638" s="15" t="e">
        <f aca="false">_xlfn.xlookup(BA638,A:A,J:J)</f>
        <v>#NAME?</v>
      </c>
      <c r="BD638" s="75" t="e">
        <f aca="false">_xlfn.xlookup(BA638,A:A,M:M)+_xlfn.xlookup(BA638,A:A,N:N)</f>
        <v>#NAME?</v>
      </c>
    </row>
    <row r="639" customFormat="false" ht="14.25" hidden="false" customHeight="false" outlineLevel="0" collapsed="false">
      <c r="AK639" s="15" t="e">
        <v>#NAME?</v>
      </c>
      <c r="AL639" s="15" t="e">
        <f aca="false">_xlfn.xlookup(AK639,A:A,F:F)</f>
        <v>#NAME?</v>
      </c>
      <c r="AM639" s="15" t="e">
        <f aca="false">_xlfn.xlookup(AK639,A:A,J:J)</f>
        <v>#NAME?</v>
      </c>
      <c r="AN639" s="15" t="e">
        <f aca="false">_xlfn.xlookup(AK639,A:A,M:M)+_xlfn.xlookup(AK639,A:A,N:N)</f>
        <v>#NAME?</v>
      </c>
      <c r="AO639" s="223" t="e">
        <f aca="false">_xlfn.xlookup(AK639,A:A,AG:AG)</f>
        <v>#NAME?</v>
      </c>
      <c r="AP639" s="223" t="e">
        <f aca="false">_xlfn.xlookup(AK639,A:A,AD:AD)</f>
        <v>#NAME?</v>
      </c>
      <c r="AQ639" s="223" t="e">
        <f aca="false">_xlfn.xlookup(AK639,A:A,AE:AE)</f>
        <v>#NAME?</v>
      </c>
      <c r="BB639" s="15" t="e">
        <f aca="false">_xlfn.xlookup(BA639,A:A,E:E)</f>
        <v>#NAME?</v>
      </c>
      <c r="BC639" s="15" t="e">
        <f aca="false">_xlfn.xlookup(BA639,A:A,J:J)</f>
        <v>#NAME?</v>
      </c>
      <c r="BD639" s="75" t="e">
        <f aca="false">_xlfn.xlookup(BA639,A:A,M:M)+_xlfn.xlookup(BA639,A:A,N:N)</f>
        <v>#NAME?</v>
      </c>
    </row>
    <row r="640" customFormat="false" ht="14.25" hidden="false" customHeight="false" outlineLevel="0" collapsed="false">
      <c r="AK640" s="15" t="e">
        <v>#NAME?</v>
      </c>
      <c r="AL640" s="15" t="e">
        <f aca="false">_xlfn.xlookup(AK640,A:A,F:F)</f>
        <v>#NAME?</v>
      </c>
      <c r="AM640" s="15" t="e">
        <f aca="false">_xlfn.xlookup(AK640,A:A,J:J)</f>
        <v>#NAME?</v>
      </c>
      <c r="AN640" s="15" t="e">
        <f aca="false">_xlfn.xlookup(AK640,A:A,M:M)+_xlfn.xlookup(AK640,A:A,N:N)</f>
        <v>#NAME?</v>
      </c>
      <c r="AO640" s="223" t="e">
        <f aca="false">_xlfn.xlookup(AK640,A:A,AG:AG)</f>
        <v>#NAME?</v>
      </c>
      <c r="AP640" s="223" t="e">
        <f aca="false">_xlfn.xlookup(AK640,A:A,AD:AD)</f>
        <v>#NAME?</v>
      </c>
      <c r="AQ640" s="223" t="e">
        <f aca="false">_xlfn.xlookup(AK640,A:A,AE:AE)</f>
        <v>#NAME?</v>
      </c>
      <c r="BB640" s="15" t="e">
        <f aca="false">_xlfn.xlookup(BA640,A:A,E:E)</f>
        <v>#NAME?</v>
      </c>
      <c r="BC640" s="15" t="e">
        <f aca="false">_xlfn.xlookup(BA640,A:A,J:J)</f>
        <v>#NAME?</v>
      </c>
      <c r="BD640" s="75" t="e">
        <f aca="false">_xlfn.xlookup(BA640,A:A,M:M)+_xlfn.xlookup(BA640,A:A,N:N)</f>
        <v>#NAME?</v>
      </c>
    </row>
    <row r="641" customFormat="false" ht="14.25" hidden="false" customHeight="false" outlineLevel="0" collapsed="false">
      <c r="AK641" s="15" t="e">
        <v>#NAME?</v>
      </c>
      <c r="AL641" s="15" t="e">
        <f aca="false">_xlfn.xlookup(AK641,A:A,F:F)</f>
        <v>#NAME?</v>
      </c>
      <c r="AM641" s="15" t="e">
        <f aca="false">_xlfn.xlookup(AK641,A:A,J:J)</f>
        <v>#NAME?</v>
      </c>
      <c r="AN641" s="15" t="e">
        <f aca="false">_xlfn.xlookup(AK641,A:A,M:M)+_xlfn.xlookup(AK641,A:A,N:N)</f>
        <v>#NAME?</v>
      </c>
      <c r="AO641" s="223" t="e">
        <f aca="false">_xlfn.xlookup(AK641,A:A,AG:AG)</f>
        <v>#NAME?</v>
      </c>
      <c r="AP641" s="223" t="e">
        <f aca="false">_xlfn.xlookup(AK641,A:A,AD:AD)</f>
        <v>#NAME?</v>
      </c>
      <c r="AQ641" s="223" t="e">
        <f aca="false">_xlfn.xlookup(AK641,A:A,AE:AE)</f>
        <v>#NAME?</v>
      </c>
      <c r="BB641" s="15" t="e">
        <f aca="false">_xlfn.xlookup(BA641,A:A,E:E)</f>
        <v>#NAME?</v>
      </c>
      <c r="BC641" s="15" t="e">
        <f aca="false">_xlfn.xlookup(BA641,A:A,J:J)</f>
        <v>#NAME?</v>
      </c>
      <c r="BD641" s="75" t="e">
        <f aca="false">_xlfn.xlookup(BA641,A:A,M:M)+_xlfn.xlookup(BA641,A:A,N:N)</f>
        <v>#NAME?</v>
      </c>
    </row>
    <row r="642" customFormat="false" ht="14.25" hidden="false" customHeight="false" outlineLevel="0" collapsed="false">
      <c r="AK642" s="15" t="e">
        <v>#NAME?</v>
      </c>
      <c r="AL642" s="15" t="e">
        <f aca="false">_xlfn.xlookup(AK642,A:A,F:F)</f>
        <v>#NAME?</v>
      </c>
      <c r="AM642" s="15" t="e">
        <f aca="false">_xlfn.xlookup(AK642,A:A,J:J)</f>
        <v>#NAME?</v>
      </c>
      <c r="AN642" s="15" t="e">
        <f aca="false">_xlfn.xlookup(AK642,A:A,M:M)+_xlfn.xlookup(AK642,A:A,N:N)</f>
        <v>#NAME?</v>
      </c>
      <c r="AO642" s="223" t="e">
        <f aca="false">_xlfn.xlookup(AK642,A:A,AG:AG)</f>
        <v>#NAME?</v>
      </c>
      <c r="AP642" s="223" t="e">
        <f aca="false">_xlfn.xlookup(AK642,A:A,AD:AD)</f>
        <v>#NAME?</v>
      </c>
      <c r="AQ642" s="223" t="e">
        <f aca="false">_xlfn.xlookup(AK642,A:A,AE:AE)</f>
        <v>#NAME?</v>
      </c>
      <c r="BB642" s="15" t="e">
        <f aca="false">_xlfn.xlookup(BA642,A:A,E:E)</f>
        <v>#NAME?</v>
      </c>
      <c r="BC642" s="15" t="e">
        <f aca="false">_xlfn.xlookup(BA642,A:A,J:J)</f>
        <v>#NAME?</v>
      </c>
      <c r="BD642" s="75" t="e">
        <f aca="false">_xlfn.xlookup(BA642,A:A,M:M)+_xlfn.xlookup(BA642,A:A,N:N)</f>
        <v>#NAME?</v>
      </c>
    </row>
    <row r="643" customFormat="false" ht="14.25" hidden="false" customHeight="false" outlineLevel="0" collapsed="false">
      <c r="AK643" s="15" t="e">
        <v>#NAME?</v>
      </c>
      <c r="AL643" s="15" t="e">
        <f aca="false">_xlfn.xlookup(AK643,A:A,F:F)</f>
        <v>#NAME?</v>
      </c>
      <c r="AM643" s="15" t="e">
        <f aca="false">_xlfn.xlookup(AK643,A:A,J:J)</f>
        <v>#NAME?</v>
      </c>
      <c r="AN643" s="15" t="e">
        <f aca="false">_xlfn.xlookup(AK643,A:A,M:M)+_xlfn.xlookup(AK643,A:A,N:N)</f>
        <v>#NAME?</v>
      </c>
      <c r="AO643" s="223" t="e">
        <f aca="false">_xlfn.xlookup(AK643,A:A,AG:AG)</f>
        <v>#NAME?</v>
      </c>
      <c r="AP643" s="223" t="e">
        <f aca="false">_xlfn.xlookup(AK643,A:A,AD:AD)</f>
        <v>#NAME?</v>
      </c>
      <c r="AQ643" s="223" t="e">
        <f aca="false">_xlfn.xlookup(AK643,A:A,AE:AE)</f>
        <v>#NAME?</v>
      </c>
      <c r="BB643" s="15" t="e">
        <f aca="false">_xlfn.xlookup(BA643,A:A,E:E)</f>
        <v>#NAME?</v>
      </c>
      <c r="BC643" s="15" t="e">
        <f aca="false">_xlfn.xlookup(BA643,A:A,J:J)</f>
        <v>#NAME?</v>
      </c>
      <c r="BD643" s="75" t="e">
        <f aca="false">_xlfn.xlookup(BA643,A:A,M:M)+_xlfn.xlookup(BA643,A:A,N:N)</f>
        <v>#NAME?</v>
      </c>
    </row>
    <row r="644" customFormat="false" ht="14.25" hidden="false" customHeight="false" outlineLevel="0" collapsed="false">
      <c r="AK644" s="15" t="e">
        <v>#NAME?</v>
      </c>
      <c r="AL644" s="15" t="e">
        <f aca="false">_xlfn.xlookup(AK644,A:A,F:F)</f>
        <v>#NAME?</v>
      </c>
      <c r="AM644" s="15" t="e">
        <f aca="false">_xlfn.xlookup(AK644,A:A,J:J)</f>
        <v>#NAME?</v>
      </c>
      <c r="AN644" s="15" t="e">
        <f aca="false">_xlfn.xlookup(AK644,A:A,M:M)+_xlfn.xlookup(AK644,A:A,N:N)</f>
        <v>#NAME?</v>
      </c>
      <c r="AO644" s="223" t="e">
        <f aca="false">_xlfn.xlookup(AK644,A:A,AG:AG)</f>
        <v>#NAME?</v>
      </c>
      <c r="AP644" s="223" t="e">
        <f aca="false">_xlfn.xlookup(AK644,A:A,AD:AD)</f>
        <v>#NAME?</v>
      </c>
      <c r="AQ644" s="223" t="e">
        <f aca="false">_xlfn.xlookup(AK644,A:A,AE:AE)</f>
        <v>#NAME?</v>
      </c>
      <c r="BB644" s="15" t="e">
        <f aca="false">_xlfn.xlookup(BA644,A:A,E:E)</f>
        <v>#NAME?</v>
      </c>
      <c r="BC644" s="15" t="e">
        <f aca="false">_xlfn.xlookup(BA644,A:A,J:J)</f>
        <v>#NAME?</v>
      </c>
      <c r="BD644" s="75" t="e">
        <f aca="false">_xlfn.xlookup(BA644,A:A,M:M)+_xlfn.xlookup(BA644,A:A,N:N)</f>
        <v>#NAME?</v>
      </c>
    </row>
    <row r="645" customFormat="false" ht="14.25" hidden="false" customHeight="false" outlineLevel="0" collapsed="false">
      <c r="AK645" s="15" t="e">
        <v>#NAME?</v>
      </c>
      <c r="AL645" s="15" t="e">
        <f aca="false">_xlfn.xlookup(AK645,A:A,F:F)</f>
        <v>#NAME?</v>
      </c>
      <c r="AM645" s="15" t="e">
        <f aca="false">_xlfn.xlookup(AK645,A:A,J:J)</f>
        <v>#NAME?</v>
      </c>
      <c r="AN645" s="15" t="e">
        <f aca="false">_xlfn.xlookup(AK645,A:A,M:M)+_xlfn.xlookup(AK645,A:A,N:N)</f>
        <v>#NAME?</v>
      </c>
      <c r="AO645" s="223" t="e">
        <f aca="false">_xlfn.xlookup(AK645,A:A,AG:AG)</f>
        <v>#NAME?</v>
      </c>
      <c r="AP645" s="223" t="e">
        <f aca="false">_xlfn.xlookup(AK645,A:A,AD:AD)</f>
        <v>#NAME?</v>
      </c>
      <c r="AQ645" s="223" t="e">
        <f aca="false">_xlfn.xlookup(AK645,A:A,AE:AE)</f>
        <v>#NAME?</v>
      </c>
      <c r="BB645" s="15" t="e">
        <f aca="false">_xlfn.xlookup(BA645,A:A,E:E)</f>
        <v>#NAME?</v>
      </c>
      <c r="BC645" s="15" t="e">
        <f aca="false">_xlfn.xlookup(BA645,A:A,J:J)</f>
        <v>#NAME?</v>
      </c>
      <c r="BD645" s="75" t="e">
        <f aca="false">_xlfn.xlookup(BA645,A:A,M:M)+_xlfn.xlookup(BA645,A:A,N:N)</f>
        <v>#NAME?</v>
      </c>
    </row>
    <row r="646" customFormat="false" ht="14.25" hidden="false" customHeight="false" outlineLevel="0" collapsed="false">
      <c r="AK646" s="15" t="e">
        <v>#NAME?</v>
      </c>
      <c r="AL646" s="15" t="e">
        <f aca="false">_xlfn.xlookup(AK646,A:A,F:F)</f>
        <v>#NAME?</v>
      </c>
      <c r="AM646" s="15" t="e">
        <f aca="false">_xlfn.xlookup(AK646,A:A,J:J)</f>
        <v>#NAME?</v>
      </c>
      <c r="AN646" s="15" t="e">
        <f aca="false">_xlfn.xlookup(AK646,A:A,M:M)+_xlfn.xlookup(AK646,A:A,N:N)</f>
        <v>#NAME?</v>
      </c>
      <c r="AO646" s="223" t="e">
        <f aca="false">_xlfn.xlookup(AK646,A:A,AG:AG)</f>
        <v>#NAME?</v>
      </c>
      <c r="AP646" s="223" t="e">
        <f aca="false">_xlfn.xlookup(AK646,A:A,AD:AD)</f>
        <v>#NAME?</v>
      </c>
      <c r="AQ646" s="223" t="e">
        <f aca="false">_xlfn.xlookup(AK646,A:A,AE:AE)</f>
        <v>#NAME?</v>
      </c>
      <c r="BB646" s="15" t="e">
        <f aca="false">_xlfn.xlookup(BA646,A:A,E:E)</f>
        <v>#NAME?</v>
      </c>
      <c r="BC646" s="15" t="e">
        <f aca="false">_xlfn.xlookup(BA646,A:A,J:J)</f>
        <v>#NAME?</v>
      </c>
      <c r="BD646" s="75" t="e">
        <f aca="false">_xlfn.xlookup(BA646,A:A,M:M)+_xlfn.xlookup(BA646,A:A,N:N)</f>
        <v>#NAME?</v>
      </c>
    </row>
    <row r="647" customFormat="false" ht="14.25" hidden="false" customHeight="false" outlineLevel="0" collapsed="false">
      <c r="AK647" s="15" t="e">
        <v>#NAME?</v>
      </c>
      <c r="AL647" s="15" t="e">
        <f aca="false">_xlfn.xlookup(AK647,A:A,F:F)</f>
        <v>#NAME?</v>
      </c>
      <c r="AM647" s="15" t="e">
        <f aca="false">_xlfn.xlookup(AK647,A:A,J:J)</f>
        <v>#NAME?</v>
      </c>
      <c r="AN647" s="15" t="e">
        <f aca="false">_xlfn.xlookup(AK647,A:A,M:M)+_xlfn.xlookup(AK647,A:A,N:N)</f>
        <v>#NAME?</v>
      </c>
      <c r="AO647" s="223" t="e">
        <f aca="false">_xlfn.xlookup(AK647,A:A,AG:AG)</f>
        <v>#NAME?</v>
      </c>
      <c r="AP647" s="223" t="e">
        <f aca="false">_xlfn.xlookup(AK647,A:A,AD:AD)</f>
        <v>#NAME?</v>
      </c>
      <c r="AQ647" s="223" t="e">
        <f aca="false">_xlfn.xlookup(AK647,A:A,AE:AE)</f>
        <v>#NAME?</v>
      </c>
      <c r="BB647" s="15" t="e">
        <f aca="false">_xlfn.xlookup(BA647,A:A,E:E)</f>
        <v>#NAME?</v>
      </c>
      <c r="BC647" s="15" t="e">
        <f aca="false">_xlfn.xlookup(BA647,A:A,J:J)</f>
        <v>#NAME?</v>
      </c>
      <c r="BD647" s="75" t="e">
        <f aca="false">_xlfn.xlookup(BA647,A:A,M:M)+_xlfn.xlookup(BA647,A:A,N:N)</f>
        <v>#NAME?</v>
      </c>
    </row>
    <row r="648" customFormat="false" ht="14.25" hidden="false" customHeight="false" outlineLevel="0" collapsed="false">
      <c r="AK648" s="15" t="e">
        <v>#NAME?</v>
      </c>
      <c r="AL648" s="15" t="e">
        <f aca="false">_xlfn.xlookup(AK648,A:A,F:F)</f>
        <v>#NAME?</v>
      </c>
      <c r="AM648" s="15" t="e">
        <f aca="false">_xlfn.xlookup(AK648,A:A,J:J)</f>
        <v>#NAME?</v>
      </c>
      <c r="AN648" s="15" t="e">
        <f aca="false">_xlfn.xlookup(AK648,A:A,M:M)+_xlfn.xlookup(AK648,A:A,N:N)</f>
        <v>#NAME?</v>
      </c>
      <c r="AO648" s="223" t="e">
        <f aca="false">_xlfn.xlookup(AK648,A:A,AG:AG)</f>
        <v>#NAME?</v>
      </c>
      <c r="AP648" s="223" t="e">
        <f aca="false">_xlfn.xlookup(AK648,A:A,AD:AD)</f>
        <v>#NAME?</v>
      </c>
      <c r="AQ648" s="223" t="e">
        <f aca="false">_xlfn.xlookup(AK648,A:A,AE:AE)</f>
        <v>#NAME?</v>
      </c>
      <c r="BB648" s="15" t="e">
        <f aca="false">_xlfn.xlookup(BA648,A:A,E:E)</f>
        <v>#NAME?</v>
      </c>
      <c r="BC648" s="15" t="e">
        <f aca="false">_xlfn.xlookup(BA648,A:A,J:J)</f>
        <v>#NAME?</v>
      </c>
      <c r="BD648" s="75" t="e">
        <f aca="false">_xlfn.xlookup(BA648,A:A,M:M)+_xlfn.xlookup(BA648,A:A,N:N)</f>
        <v>#NAME?</v>
      </c>
    </row>
    <row r="649" customFormat="false" ht="14.25" hidden="false" customHeight="false" outlineLevel="0" collapsed="false">
      <c r="AK649" s="15" t="e">
        <v>#NAME?</v>
      </c>
      <c r="AL649" s="15" t="e">
        <f aca="false">_xlfn.xlookup(AK649,A:A,F:F)</f>
        <v>#NAME?</v>
      </c>
      <c r="AM649" s="15" t="e">
        <f aca="false">_xlfn.xlookup(AK649,A:A,J:J)</f>
        <v>#NAME?</v>
      </c>
      <c r="AN649" s="15" t="e">
        <f aca="false">_xlfn.xlookup(AK649,A:A,M:M)+_xlfn.xlookup(AK649,A:A,N:N)</f>
        <v>#NAME?</v>
      </c>
      <c r="AO649" s="223" t="e">
        <f aca="false">_xlfn.xlookup(AK649,A:A,AG:AG)</f>
        <v>#NAME?</v>
      </c>
      <c r="AP649" s="223" t="e">
        <f aca="false">_xlfn.xlookup(AK649,A:A,AD:AD)</f>
        <v>#NAME?</v>
      </c>
      <c r="AQ649" s="223" t="e">
        <f aca="false">_xlfn.xlookup(AK649,A:A,AE:AE)</f>
        <v>#NAME?</v>
      </c>
      <c r="BB649" s="15" t="e">
        <f aca="false">_xlfn.xlookup(BA649,A:A,E:E)</f>
        <v>#NAME?</v>
      </c>
      <c r="BC649" s="15" t="e">
        <f aca="false">_xlfn.xlookup(BA649,A:A,J:J)</f>
        <v>#NAME?</v>
      </c>
      <c r="BD649" s="75" t="e">
        <f aca="false">_xlfn.xlookup(BA649,A:A,M:M)+_xlfn.xlookup(BA649,A:A,N:N)</f>
        <v>#NAME?</v>
      </c>
    </row>
    <row r="650" customFormat="false" ht="14.25" hidden="false" customHeight="false" outlineLevel="0" collapsed="false">
      <c r="AK650" s="15" t="e">
        <v>#NAME?</v>
      </c>
      <c r="AL650" s="15" t="e">
        <f aca="false">_xlfn.xlookup(AK650,A:A,F:F)</f>
        <v>#NAME?</v>
      </c>
      <c r="AM650" s="15" t="e">
        <f aca="false">_xlfn.xlookup(AK650,A:A,J:J)</f>
        <v>#NAME?</v>
      </c>
      <c r="AN650" s="15" t="e">
        <f aca="false">_xlfn.xlookup(AK650,A:A,M:M)+_xlfn.xlookup(AK650,A:A,N:N)</f>
        <v>#NAME?</v>
      </c>
      <c r="AO650" s="223" t="e">
        <f aca="false">_xlfn.xlookup(AK650,A:A,AG:AG)</f>
        <v>#NAME?</v>
      </c>
      <c r="AP650" s="223" t="e">
        <f aca="false">_xlfn.xlookup(AK650,A:A,AD:AD)</f>
        <v>#NAME?</v>
      </c>
      <c r="AQ650" s="223" t="e">
        <f aca="false">_xlfn.xlookup(AK650,A:A,AE:AE)</f>
        <v>#NAME?</v>
      </c>
      <c r="BB650" s="15" t="e">
        <f aca="false">_xlfn.xlookup(BA650,A:A,E:E)</f>
        <v>#NAME?</v>
      </c>
      <c r="BC650" s="15" t="e">
        <f aca="false">_xlfn.xlookup(BA650,A:A,J:J)</f>
        <v>#NAME?</v>
      </c>
      <c r="BD650" s="75" t="e">
        <f aca="false">_xlfn.xlookup(BA650,A:A,M:M)+_xlfn.xlookup(BA650,A:A,N:N)</f>
        <v>#NAME?</v>
      </c>
    </row>
    <row r="651" customFormat="false" ht="14.25" hidden="false" customHeight="false" outlineLevel="0" collapsed="false">
      <c r="AK651" s="15" t="e">
        <v>#NAME?</v>
      </c>
      <c r="AL651" s="15" t="e">
        <f aca="false">_xlfn.xlookup(AK651,A:A,F:F)</f>
        <v>#NAME?</v>
      </c>
      <c r="AM651" s="15" t="e">
        <f aca="false">_xlfn.xlookup(AK651,A:A,J:J)</f>
        <v>#NAME?</v>
      </c>
      <c r="AN651" s="15" t="e">
        <f aca="false">_xlfn.xlookup(AK651,A:A,M:M)+_xlfn.xlookup(AK651,A:A,N:N)</f>
        <v>#NAME?</v>
      </c>
      <c r="AO651" s="223" t="e">
        <f aca="false">_xlfn.xlookup(AK651,A:A,AG:AG)</f>
        <v>#NAME?</v>
      </c>
      <c r="AP651" s="223" t="e">
        <f aca="false">_xlfn.xlookup(AK651,A:A,AD:AD)</f>
        <v>#NAME?</v>
      </c>
      <c r="AQ651" s="223" t="e">
        <f aca="false">_xlfn.xlookup(AK651,A:A,AE:AE)</f>
        <v>#NAME?</v>
      </c>
      <c r="BB651" s="15" t="e">
        <f aca="false">_xlfn.xlookup(BA651,A:A,E:E)</f>
        <v>#NAME?</v>
      </c>
      <c r="BC651" s="15" t="e">
        <f aca="false">_xlfn.xlookup(BA651,A:A,J:J)</f>
        <v>#NAME?</v>
      </c>
      <c r="BD651" s="75" t="e">
        <f aca="false">_xlfn.xlookup(BA651,A:A,M:M)+_xlfn.xlookup(BA651,A:A,N:N)</f>
        <v>#NAME?</v>
      </c>
    </row>
    <row r="652" customFormat="false" ht="14.25" hidden="false" customHeight="false" outlineLevel="0" collapsed="false">
      <c r="AK652" s="15" t="e">
        <v>#NAME?</v>
      </c>
      <c r="AL652" s="15" t="e">
        <f aca="false">_xlfn.xlookup(AK652,A:A,F:F)</f>
        <v>#NAME?</v>
      </c>
      <c r="AM652" s="15" t="e">
        <f aca="false">_xlfn.xlookup(AK652,A:A,J:J)</f>
        <v>#NAME?</v>
      </c>
      <c r="AN652" s="15" t="e">
        <f aca="false">_xlfn.xlookup(AK652,A:A,M:M)+_xlfn.xlookup(AK652,A:A,N:N)</f>
        <v>#NAME?</v>
      </c>
      <c r="AO652" s="223" t="e">
        <f aca="false">_xlfn.xlookup(AK652,A:A,AG:AG)</f>
        <v>#NAME?</v>
      </c>
      <c r="AP652" s="223" t="e">
        <f aca="false">_xlfn.xlookup(AK652,A:A,AD:AD)</f>
        <v>#NAME?</v>
      </c>
      <c r="AQ652" s="223" t="e">
        <f aca="false">_xlfn.xlookup(AK652,A:A,AE:AE)</f>
        <v>#NAME?</v>
      </c>
      <c r="BB652" s="15" t="e">
        <f aca="false">_xlfn.xlookup(BA652,A:A,E:E)</f>
        <v>#NAME?</v>
      </c>
      <c r="BC652" s="15" t="e">
        <f aca="false">_xlfn.xlookup(BA652,A:A,J:J)</f>
        <v>#NAME?</v>
      </c>
      <c r="BD652" s="75" t="e">
        <f aca="false">_xlfn.xlookup(BA652,A:A,M:M)+_xlfn.xlookup(BA652,A:A,N:N)</f>
        <v>#NAME?</v>
      </c>
    </row>
    <row r="653" customFormat="false" ht="14.25" hidden="false" customHeight="false" outlineLevel="0" collapsed="false">
      <c r="AK653" s="15" t="e">
        <v>#NAME?</v>
      </c>
      <c r="AL653" s="15" t="e">
        <f aca="false">_xlfn.xlookup(AK653,A:A,F:F)</f>
        <v>#NAME?</v>
      </c>
      <c r="AM653" s="15" t="e">
        <f aca="false">_xlfn.xlookup(AK653,A:A,J:J)</f>
        <v>#NAME?</v>
      </c>
      <c r="AN653" s="15" t="e">
        <f aca="false">_xlfn.xlookup(AK653,A:A,M:M)+_xlfn.xlookup(AK653,A:A,N:N)</f>
        <v>#NAME?</v>
      </c>
      <c r="AO653" s="223" t="e">
        <f aca="false">_xlfn.xlookup(AK653,A:A,AG:AG)</f>
        <v>#NAME?</v>
      </c>
      <c r="AP653" s="223" t="e">
        <f aca="false">_xlfn.xlookup(AK653,A:A,AD:AD)</f>
        <v>#NAME?</v>
      </c>
      <c r="AQ653" s="223" t="e">
        <f aca="false">_xlfn.xlookup(AK653,A:A,AE:AE)</f>
        <v>#NAME?</v>
      </c>
      <c r="BB653" s="15" t="e">
        <f aca="false">_xlfn.xlookup(BA653,A:A,E:E)</f>
        <v>#NAME?</v>
      </c>
      <c r="BC653" s="15" t="e">
        <f aca="false">_xlfn.xlookup(BA653,A:A,J:J)</f>
        <v>#NAME?</v>
      </c>
      <c r="BD653" s="75" t="e">
        <f aca="false">_xlfn.xlookup(BA653,A:A,M:M)+_xlfn.xlookup(BA653,A:A,N:N)</f>
        <v>#NAME?</v>
      </c>
    </row>
    <row r="654" customFormat="false" ht="14.25" hidden="false" customHeight="false" outlineLevel="0" collapsed="false">
      <c r="AK654" s="15" t="e">
        <v>#NAME?</v>
      </c>
      <c r="AL654" s="15" t="e">
        <f aca="false">_xlfn.xlookup(AK654,A:A,F:F)</f>
        <v>#NAME?</v>
      </c>
      <c r="AM654" s="15" t="e">
        <f aca="false">_xlfn.xlookup(AK654,A:A,J:J)</f>
        <v>#NAME?</v>
      </c>
      <c r="AN654" s="15" t="e">
        <f aca="false">_xlfn.xlookup(AK654,A:A,M:M)+_xlfn.xlookup(AK654,A:A,N:N)</f>
        <v>#NAME?</v>
      </c>
      <c r="AO654" s="223" t="e">
        <f aca="false">_xlfn.xlookup(AK654,A:A,AG:AG)</f>
        <v>#NAME?</v>
      </c>
      <c r="AP654" s="223" t="e">
        <f aca="false">_xlfn.xlookup(AK654,A:A,AD:AD)</f>
        <v>#NAME?</v>
      </c>
      <c r="AQ654" s="223" t="e">
        <f aca="false">_xlfn.xlookup(AK654,A:A,AE:AE)</f>
        <v>#NAME?</v>
      </c>
      <c r="BB654" s="15" t="e">
        <f aca="false">_xlfn.xlookup(BA654,A:A,E:E)</f>
        <v>#NAME?</v>
      </c>
      <c r="BC654" s="15" t="e">
        <f aca="false">_xlfn.xlookup(BA654,A:A,J:J)</f>
        <v>#NAME?</v>
      </c>
      <c r="BD654" s="75" t="e">
        <f aca="false">_xlfn.xlookup(BA654,A:A,M:M)+_xlfn.xlookup(BA654,A:A,N:N)</f>
        <v>#NAME?</v>
      </c>
    </row>
    <row r="655" customFormat="false" ht="14.25" hidden="false" customHeight="false" outlineLevel="0" collapsed="false">
      <c r="AK655" s="15" t="e">
        <v>#NAME?</v>
      </c>
      <c r="AL655" s="15" t="e">
        <f aca="false">_xlfn.xlookup(AK655,A:A,F:F)</f>
        <v>#NAME?</v>
      </c>
      <c r="AM655" s="15" t="e">
        <f aca="false">_xlfn.xlookup(AK655,A:A,J:J)</f>
        <v>#NAME?</v>
      </c>
      <c r="AN655" s="15" t="e">
        <f aca="false">_xlfn.xlookup(AK655,A:A,M:M)+_xlfn.xlookup(AK655,A:A,N:N)</f>
        <v>#NAME?</v>
      </c>
      <c r="AO655" s="223" t="e">
        <f aca="false">_xlfn.xlookup(AK655,A:A,AG:AG)</f>
        <v>#NAME?</v>
      </c>
      <c r="AP655" s="223" t="e">
        <f aca="false">_xlfn.xlookup(AK655,A:A,AD:AD)</f>
        <v>#NAME?</v>
      </c>
      <c r="AQ655" s="223" t="e">
        <f aca="false">_xlfn.xlookup(AK655,A:A,AE:AE)</f>
        <v>#NAME?</v>
      </c>
      <c r="BB655" s="15" t="e">
        <f aca="false">_xlfn.xlookup(BA655,A:A,E:E)</f>
        <v>#NAME?</v>
      </c>
      <c r="BC655" s="15" t="e">
        <f aca="false">_xlfn.xlookup(BA655,A:A,J:J)</f>
        <v>#NAME?</v>
      </c>
      <c r="BD655" s="75" t="e">
        <f aca="false">_xlfn.xlookup(BA655,A:A,M:M)+_xlfn.xlookup(BA655,A:A,N:N)</f>
        <v>#NAME?</v>
      </c>
    </row>
    <row r="656" customFormat="false" ht="14.25" hidden="false" customHeight="false" outlineLevel="0" collapsed="false">
      <c r="AK656" s="15" t="e">
        <v>#NAME?</v>
      </c>
      <c r="AL656" s="15" t="e">
        <f aca="false">_xlfn.xlookup(AK656,A:A,F:F)</f>
        <v>#NAME?</v>
      </c>
      <c r="AM656" s="15" t="e">
        <f aca="false">_xlfn.xlookup(AK656,A:A,J:J)</f>
        <v>#NAME?</v>
      </c>
      <c r="AN656" s="15" t="e">
        <f aca="false">_xlfn.xlookup(AK656,A:A,M:M)+_xlfn.xlookup(AK656,A:A,N:N)</f>
        <v>#NAME?</v>
      </c>
      <c r="AO656" s="223" t="e">
        <f aca="false">_xlfn.xlookup(AK656,A:A,AG:AG)</f>
        <v>#NAME?</v>
      </c>
      <c r="AP656" s="223" t="e">
        <f aca="false">_xlfn.xlookup(AK656,A:A,AD:AD)</f>
        <v>#NAME?</v>
      </c>
      <c r="AQ656" s="223" t="e">
        <f aca="false">_xlfn.xlookup(AK656,A:A,AE:AE)</f>
        <v>#NAME?</v>
      </c>
      <c r="BB656" s="15" t="e">
        <f aca="false">_xlfn.xlookup(BA656,A:A,E:E)</f>
        <v>#NAME?</v>
      </c>
      <c r="BC656" s="15" t="e">
        <f aca="false">_xlfn.xlookup(BA656,A:A,J:J)</f>
        <v>#NAME?</v>
      </c>
      <c r="BD656" s="75" t="e">
        <f aca="false">_xlfn.xlookup(BA656,A:A,M:M)+_xlfn.xlookup(BA656,A:A,N:N)</f>
        <v>#NAME?</v>
      </c>
    </row>
    <row r="657" customFormat="false" ht="14.25" hidden="false" customHeight="false" outlineLevel="0" collapsed="false">
      <c r="AK657" s="15" t="e">
        <v>#NAME?</v>
      </c>
      <c r="AL657" s="15" t="e">
        <f aca="false">_xlfn.xlookup(AK657,A:A,F:F)</f>
        <v>#NAME?</v>
      </c>
      <c r="AM657" s="15" t="e">
        <f aca="false">_xlfn.xlookup(AK657,A:A,J:J)</f>
        <v>#NAME?</v>
      </c>
      <c r="AN657" s="15" t="e">
        <f aca="false">_xlfn.xlookup(AK657,A:A,M:M)+_xlfn.xlookup(AK657,A:A,N:N)</f>
        <v>#NAME?</v>
      </c>
      <c r="AO657" s="223" t="e">
        <f aca="false">_xlfn.xlookup(AK657,A:A,AG:AG)</f>
        <v>#NAME?</v>
      </c>
      <c r="AP657" s="223" t="e">
        <f aca="false">_xlfn.xlookup(AK657,A:A,AD:AD)</f>
        <v>#NAME?</v>
      </c>
      <c r="AQ657" s="223" t="e">
        <f aca="false">_xlfn.xlookup(AK657,A:A,AE:AE)</f>
        <v>#NAME?</v>
      </c>
      <c r="BB657" s="15" t="e">
        <f aca="false">_xlfn.xlookup(BA657,A:A,E:E)</f>
        <v>#NAME?</v>
      </c>
      <c r="BC657" s="15" t="e">
        <f aca="false">_xlfn.xlookup(BA657,A:A,J:J)</f>
        <v>#NAME?</v>
      </c>
      <c r="BD657" s="75" t="e">
        <f aca="false">_xlfn.xlookup(BA657,A:A,M:M)+_xlfn.xlookup(BA657,A:A,N:N)</f>
        <v>#NAME?</v>
      </c>
    </row>
    <row r="658" customFormat="false" ht="14.25" hidden="false" customHeight="false" outlineLevel="0" collapsed="false">
      <c r="AK658" s="15" t="e">
        <v>#NAME?</v>
      </c>
      <c r="AL658" s="15" t="e">
        <f aca="false">_xlfn.xlookup(AK658,A:A,F:F)</f>
        <v>#NAME?</v>
      </c>
      <c r="AM658" s="15" t="e">
        <f aca="false">_xlfn.xlookup(AK658,A:A,J:J)</f>
        <v>#NAME?</v>
      </c>
      <c r="AN658" s="15" t="e">
        <f aca="false">_xlfn.xlookup(AK658,A:A,M:M)+_xlfn.xlookup(AK658,A:A,N:N)</f>
        <v>#NAME?</v>
      </c>
      <c r="AO658" s="223" t="e">
        <f aca="false">_xlfn.xlookup(AK658,A:A,AG:AG)</f>
        <v>#NAME?</v>
      </c>
      <c r="AP658" s="223" t="e">
        <f aca="false">_xlfn.xlookup(AK658,A:A,AD:AD)</f>
        <v>#NAME?</v>
      </c>
      <c r="AQ658" s="223" t="e">
        <f aca="false">_xlfn.xlookup(AK658,A:A,AE:AE)</f>
        <v>#NAME?</v>
      </c>
      <c r="BB658" s="15" t="e">
        <f aca="false">_xlfn.xlookup(BA658,A:A,E:E)</f>
        <v>#NAME?</v>
      </c>
      <c r="BC658" s="15" t="e">
        <f aca="false">_xlfn.xlookup(BA658,A:A,J:J)</f>
        <v>#NAME?</v>
      </c>
      <c r="BD658" s="75" t="e">
        <f aca="false">_xlfn.xlookup(BA658,A:A,M:M)+_xlfn.xlookup(BA658,A:A,N:N)</f>
        <v>#NAME?</v>
      </c>
    </row>
    <row r="659" customFormat="false" ht="14.25" hidden="false" customHeight="false" outlineLevel="0" collapsed="false">
      <c r="AK659" s="15" t="e">
        <v>#NAME?</v>
      </c>
      <c r="AL659" s="15" t="e">
        <f aca="false">_xlfn.xlookup(AK659,A:A,F:F)</f>
        <v>#NAME?</v>
      </c>
      <c r="AM659" s="15" t="e">
        <f aca="false">_xlfn.xlookup(AK659,A:A,J:J)</f>
        <v>#NAME?</v>
      </c>
      <c r="AN659" s="15" t="e">
        <f aca="false">_xlfn.xlookup(AK659,A:A,M:M)+_xlfn.xlookup(AK659,A:A,N:N)</f>
        <v>#NAME?</v>
      </c>
      <c r="AO659" s="223" t="e">
        <f aca="false">_xlfn.xlookup(AK659,A:A,AG:AG)</f>
        <v>#NAME?</v>
      </c>
      <c r="AP659" s="223" t="e">
        <f aca="false">_xlfn.xlookup(AK659,A:A,AD:AD)</f>
        <v>#NAME?</v>
      </c>
      <c r="AQ659" s="223" t="e">
        <f aca="false">_xlfn.xlookup(AK659,A:A,AE:AE)</f>
        <v>#NAME?</v>
      </c>
      <c r="BB659" s="15" t="e">
        <f aca="false">_xlfn.xlookup(BA659,A:A,E:E)</f>
        <v>#NAME?</v>
      </c>
      <c r="BC659" s="15" t="e">
        <f aca="false">_xlfn.xlookup(BA659,A:A,J:J)</f>
        <v>#NAME?</v>
      </c>
      <c r="BD659" s="75" t="e">
        <f aca="false">_xlfn.xlookup(BA659,A:A,M:M)+_xlfn.xlookup(BA659,A:A,N:N)</f>
        <v>#NAME?</v>
      </c>
    </row>
    <row r="660" customFormat="false" ht="14.25" hidden="false" customHeight="false" outlineLevel="0" collapsed="false">
      <c r="AK660" s="15" t="e">
        <v>#NAME?</v>
      </c>
      <c r="AL660" s="15" t="e">
        <f aca="false">_xlfn.xlookup(AK660,A:A,F:F)</f>
        <v>#NAME?</v>
      </c>
      <c r="AM660" s="15" t="e">
        <f aca="false">_xlfn.xlookup(AK660,A:A,J:J)</f>
        <v>#NAME?</v>
      </c>
      <c r="AN660" s="15" t="e">
        <f aca="false">_xlfn.xlookup(AK660,A:A,M:M)+_xlfn.xlookup(AK660,A:A,N:N)</f>
        <v>#NAME?</v>
      </c>
      <c r="AO660" s="223" t="e">
        <f aca="false">_xlfn.xlookup(AK660,A:A,AG:AG)</f>
        <v>#NAME?</v>
      </c>
      <c r="AP660" s="223" t="e">
        <f aca="false">_xlfn.xlookup(AK660,A:A,AD:AD)</f>
        <v>#NAME?</v>
      </c>
      <c r="AQ660" s="223" t="e">
        <f aca="false">_xlfn.xlookup(AK660,A:A,AE:AE)</f>
        <v>#NAME?</v>
      </c>
      <c r="BB660" s="15" t="e">
        <f aca="false">_xlfn.xlookup(BA660,A:A,E:E)</f>
        <v>#NAME?</v>
      </c>
      <c r="BC660" s="15" t="e">
        <f aca="false">_xlfn.xlookup(BA660,A:A,J:J)</f>
        <v>#NAME?</v>
      </c>
      <c r="BD660" s="75" t="e">
        <f aca="false">_xlfn.xlookup(BA660,A:A,M:M)+_xlfn.xlookup(BA660,A:A,N:N)</f>
        <v>#NAME?</v>
      </c>
    </row>
    <row r="661" customFormat="false" ht="14.25" hidden="false" customHeight="false" outlineLevel="0" collapsed="false">
      <c r="AK661" s="15" t="e">
        <v>#NAME?</v>
      </c>
      <c r="AL661" s="15" t="e">
        <f aca="false">_xlfn.xlookup(AK661,A:A,F:F)</f>
        <v>#NAME?</v>
      </c>
      <c r="AM661" s="15" t="e">
        <f aca="false">_xlfn.xlookup(AK661,A:A,J:J)</f>
        <v>#NAME?</v>
      </c>
      <c r="AN661" s="15" t="e">
        <f aca="false">_xlfn.xlookup(AK661,A:A,M:M)+_xlfn.xlookup(AK661,A:A,N:N)</f>
        <v>#NAME?</v>
      </c>
      <c r="AO661" s="223" t="e">
        <f aca="false">_xlfn.xlookup(AK661,A:A,AG:AG)</f>
        <v>#NAME?</v>
      </c>
      <c r="AP661" s="223" t="e">
        <f aca="false">_xlfn.xlookup(AK661,A:A,AD:AD)</f>
        <v>#NAME?</v>
      </c>
      <c r="AQ661" s="223" t="e">
        <f aca="false">_xlfn.xlookup(AK661,A:A,AE:AE)</f>
        <v>#NAME?</v>
      </c>
      <c r="BB661" s="15" t="e">
        <f aca="false">_xlfn.xlookup(BA661,A:A,E:E)</f>
        <v>#NAME?</v>
      </c>
      <c r="BC661" s="15" t="e">
        <f aca="false">_xlfn.xlookup(BA661,A:A,J:J)</f>
        <v>#NAME?</v>
      </c>
      <c r="BD661" s="75" t="e">
        <f aca="false">_xlfn.xlookup(BA661,A:A,M:M)+_xlfn.xlookup(BA661,A:A,N:N)</f>
        <v>#NAME?</v>
      </c>
    </row>
    <row r="662" customFormat="false" ht="14.25" hidden="false" customHeight="false" outlineLevel="0" collapsed="false">
      <c r="AK662" s="15" t="e">
        <v>#NAME?</v>
      </c>
      <c r="AL662" s="15" t="e">
        <f aca="false">_xlfn.xlookup(AK662,A:A,F:F)</f>
        <v>#NAME?</v>
      </c>
      <c r="AM662" s="15" t="e">
        <f aca="false">_xlfn.xlookup(AK662,A:A,J:J)</f>
        <v>#NAME?</v>
      </c>
      <c r="AN662" s="15" t="e">
        <f aca="false">_xlfn.xlookup(AK662,A:A,M:M)+_xlfn.xlookup(AK662,A:A,N:N)</f>
        <v>#NAME?</v>
      </c>
      <c r="AO662" s="223" t="e">
        <f aca="false">_xlfn.xlookup(AK662,A:A,AG:AG)</f>
        <v>#NAME?</v>
      </c>
      <c r="AP662" s="223" t="e">
        <f aca="false">_xlfn.xlookup(AK662,A:A,AD:AD)</f>
        <v>#NAME?</v>
      </c>
      <c r="AQ662" s="223" t="e">
        <f aca="false">_xlfn.xlookup(AK662,A:A,AE:AE)</f>
        <v>#NAME?</v>
      </c>
      <c r="BB662" s="15" t="e">
        <f aca="false">_xlfn.xlookup(BA662,A:A,E:E)</f>
        <v>#NAME?</v>
      </c>
      <c r="BC662" s="15" t="e">
        <f aca="false">_xlfn.xlookup(BA662,A:A,J:J)</f>
        <v>#NAME?</v>
      </c>
      <c r="BD662" s="75" t="e">
        <f aca="false">_xlfn.xlookup(BA662,A:A,M:M)+_xlfn.xlookup(BA662,A:A,N:N)</f>
        <v>#NAME?</v>
      </c>
    </row>
    <row r="663" customFormat="false" ht="14.25" hidden="false" customHeight="false" outlineLevel="0" collapsed="false">
      <c r="AK663" s="15" t="e">
        <v>#NAME?</v>
      </c>
      <c r="AL663" s="15" t="e">
        <f aca="false">_xlfn.xlookup(AK663,A:A,F:F)</f>
        <v>#NAME?</v>
      </c>
      <c r="AM663" s="15" t="e">
        <f aca="false">_xlfn.xlookup(AK663,A:A,J:J)</f>
        <v>#NAME?</v>
      </c>
      <c r="AN663" s="15" t="e">
        <f aca="false">_xlfn.xlookup(AK663,A:A,M:M)+_xlfn.xlookup(AK663,A:A,N:N)</f>
        <v>#NAME?</v>
      </c>
      <c r="AO663" s="223" t="e">
        <f aca="false">_xlfn.xlookup(AK663,A:A,AG:AG)</f>
        <v>#NAME?</v>
      </c>
      <c r="AP663" s="223" t="e">
        <f aca="false">_xlfn.xlookup(AK663,A:A,AD:AD)</f>
        <v>#NAME?</v>
      </c>
      <c r="AQ663" s="223" t="e">
        <f aca="false">_xlfn.xlookup(AK663,A:A,AE:AE)</f>
        <v>#NAME?</v>
      </c>
      <c r="BB663" s="15" t="e">
        <f aca="false">_xlfn.xlookup(BA663,A:A,E:E)</f>
        <v>#NAME?</v>
      </c>
      <c r="BC663" s="15" t="e">
        <f aca="false">_xlfn.xlookup(BA663,A:A,J:J)</f>
        <v>#NAME?</v>
      </c>
      <c r="BD663" s="75" t="e">
        <f aca="false">_xlfn.xlookup(BA663,A:A,M:M)+_xlfn.xlookup(BA663,A:A,N:N)</f>
        <v>#NAME?</v>
      </c>
    </row>
    <row r="664" customFormat="false" ht="14.25" hidden="false" customHeight="false" outlineLevel="0" collapsed="false">
      <c r="AK664" s="15" t="e">
        <v>#NAME?</v>
      </c>
      <c r="AL664" s="15" t="e">
        <f aca="false">_xlfn.xlookup(AK664,A:A,F:F)</f>
        <v>#NAME?</v>
      </c>
      <c r="AM664" s="15" t="e">
        <f aca="false">_xlfn.xlookup(AK664,A:A,J:J)</f>
        <v>#NAME?</v>
      </c>
      <c r="AN664" s="15" t="e">
        <f aca="false">_xlfn.xlookup(AK664,A:A,M:M)+_xlfn.xlookup(AK664,A:A,N:N)</f>
        <v>#NAME?</v>
      </c>
      <c r="AO664" s="223" t="e">
        <f aca="false">_xlfn.xlookup(AK664,A:A,AG:AG)</f>
        <v>#NAME?</v>
      </c>
      <c r="AP664" s="223" t="e">
        <f aca="false">_xlfn.xlookup(AK664,A:A,AD:AD)</f>
        <v>#NAME?</v>
      </c>
      <c r="AQ664" s="223" t="e">
        <f aca="false">_xlfn.xlookup(AK664,A:A,AE:AE)</f>
        <v>#NAME?</v>
      </c>
      <c r="BB664" s="15" t="e">
        <f aca="false">_xlfn.xlookup(BA664,A:A,E:E)</f>
        <v>#NAME?</v>
      </c>
      <c r="BC664" s="15" t="e">
        <f aca="false">_xlfn.xlookup(BA664,A:A,J:J)</f>
        <v>#NAME?</v>
      </c>
      <c r="BD664" s="75" t="e">
        <f aca="false">_xlfn.xlookup(BA664,A:A,M:M)+_xlfn.xlookup(BA664,A:A,N:N)</f>
        <v>#NAME?</v>
      </c>
    </row>
    <row r="665" customFormat="false" ht="14.25" hidden="false" customHeight="false" outlineLevel="0" collapsed="false">
      <c r="AK665" s="15" t="e">
        <v>#NAME?</v>
      </c>
      <c r="AL665" s="15" t="e">
        <f aca="false">_xlfn.xlookup(AK665,A:A,F:F)</f>
        <v>#NAME?</v>
      </c>
      <c r="AM665" s="15" t="e">
        <f aca="false">_xlfn.xlookup(AK665,A:A,J:J)</f>
        <v>#NAME?</v>
      </c>
      <c r="AN665" s="15" t="e">
        <f aca="false">_xlfn.xlookup(AK665,A:A,M:M)+_xlfn.xlookup(AK665,A:A,N:N)</f>
        <v>#NAME?</v>
      </c>
      <c r="AO665" s="223" t="e">
        <f aca="false">_xlfn.xlookup(AK665,A:A,AG:AG)</f>
        <v>#NAME?</v>
      </c>
      <c r="AP665" s="223" t="e">
        <f aca="false">_xlfn.xlookup(AK665,A:A,AD:AD)</f>
        <v>#NAME?</v>
      </c>
      <c r="AQ665" s="223" t="e">
        <f aca="false">_xlfn.xlookup(AK665,A:A,AE:AE)</f>
        <v>#NAME?</v>
      </c>
      <c r="BB665" s="15" t="e">
        <f aca="false">_xlfn.xlookup(BA665,A:A,E:E)</f>
        <v>#NAME?</v>
      </c>
      <c r="BC665" s="15" t="e">
        <f aca="false">_xlfn.xlookup(BA665,A:A,J:J)</f>
        <v>#NAME?</v>
      </c>
      <c r="BD665" s="75" t="e">
        <f aca="false">_xlfn.xlookup(BA665,A:A,M:M)+_xlfn.xlookup(BA665,A:A,N:N)</f>
        <v>#NAME?</v>
      </c>
    </row>
    <row r="666" customFormat="false" ht="14.25" hidden="false" customHeight="false" outlineLevel="0" collapsed="false">
      <c r="AK666" s="15" t="e">
        <v>#NAME?</v>
      </c>
      <c r="AL666" s="15" t="e">
        <f aca="false">_xlfn.xlookup(AK666,A:A,F:F)</f>
        <v>#NAME?</v>
      </c>
      <c r="AM666" s="15" t="e">
        <f aca="false">_xlfn.xlookup(AK666,A:A,J:J)</f>
        <v>#NAME?</v>
      </c>
      <c r="AN666" s="15" t="e">
        <f aca="false">_xlfn.xlookup(AK666,A:A,M:M)+_xlfn.xlookup(AK666,A:A,N:N)</f>
        <v>#NAME?</v>
      </c>
      <c r="AO666" s="223" t="e">
        <f aca="false">_xlfn.xlookup(AK666,A:A,AG:AG)</f>
        <v>#NAME?</v>
      </c>
      <c r="AP666" s="223" t="e">
        <f aca="false">_xlfn.xlookup(AK666,A:A,AD:AD)</f>
        <v>#NAME?</v>
      </c>
      <c r="AQ666" s="223" t="e">
        <f aca="false">_xlfn.xlookup(AK666,A:A,AE:AE)</f>
        <v>#NAME?</v>
      </c>
      <c r="BB666" s="15" t="e">
        <f aca="false">_xlfn.xlookup(BA666,A:A,E:E)</f>
        <v>#NAME?</v>
      </c>
      <c r="BC666" s="15" t="e">
        <f aca="false">_xlfn.xlookup(BA666,A:A,J:J)</f>
        <v>#NAME?</v>
      </c>
      <c r="BD666" s="75" t="e">
        <f aca="false">_xlfn.xlookup(BA666,A:A,M:M)+_xlfn.xlookup(BA666,A:A,N:N)</f>
        <v>#NAME?</v>
      </c>
    </row>
    <row r="667" customFormat="false" ht="14.25" hidden="false" customHeight="false" outlineLevel="0" collapsed="false">
      <c r="AK667" s="15" t="e">
        <v>#NAME?</v>
      </c>
      <c r="AL667" s="15" t="e">
        <f aca="false">_xlfn.xlookup(AK667,A:A,F:F)</f>
        <v>#NAME?</v>
      </c>
      <c r="AM667" s="15" t="e">
        <f aca="false">_xlfn.xlookup(AK667,A:A,J:J)</f>
        <v>#NAME?</v>
      </c>
      <c r="AN667" s="15" t="e">
        <f aca="false">_xlfn.xlookup(AK667,A:A,M:M)+_xlfn.xlookup(AK667,A:A,N:N)</f>
        <v>#NAME?</v>
      </c>
      <c r="AO667" s="223" t="e">
        <f aca="false">_xlfn.xlookup(AK667,A:A,AG:AG)</f>
        <v>#NAME?</v>
      </c>
      <c r="AP667" s="223" t="e">
        <f aca="false">_xlfn.xlookup(AK667,A:A,AD:AD)</f>
        <v>#NAME?</v>
      </c>
      <c r="AQ667" s="223" t="e">
        <f aca="false">_xlfn.xlookup(AK667,A:A,AE:AE)</f>
        <v>#NAME?</v>
      </c>
      <c r="BB667" s="15" t="e">
        <f aca="false">_xlfn.xlookup(BA667,A:A,E:E)</f>
        <v>#NAME?</v>
      </c>
      <c r="BC667" s="15" t="e">
        <f aca="false">_xlfn.xlookup(BA667,A:A,J:J)</f>
        <v>#NAME?</v>
      </c>
      <c r="BD667" s="75" t="e">
        <f aca="false">_xlfn.xlookup(BA667,A:A,M:M)+_xlfn.xlookup(BA667,A:A,N:N)</f>
        <v>#NAME?</v>
      </c>
    </row>
    <row r="668" customFormat="false" ht="14.25" hidden="false" customHeight="false" outlineLevel="0" collapsed="false">
      <c r="AK668" s="15" t="e">
        <v>#NAME?</v>
      </c>
      <c r="AL668" s="15" t="e">
        <f aca="false">_xlfn.xlookup(AK668,A:A,F:F)</f>
        <v>#NAME?</v>
      </c>
      <c r="AM668" s="15" t="e">
        <f aca="false">_xlfn.xlookup(AK668,A:A,J:J)</f>
        <v>#NAME?</v>
      </c>
      <c r="AN668" s="15" t="e">
        <f aca="false">_xlfn.xlookup(AK668,A:A,M:M)+_xlfn.xlookup(AK668,A:A,N:N)</f>
        <v>#NAME?</v>
      </c>
      <c r="AO668" s="223" t="e">
        <f aca="false">_xlfn.xlookup(AK668,A:A,AG:AG)</f>
        <v>#NAME?</v>
      </c>
      <c r="AP668" s="223" t="e">
        <f aca="false">_xlfn.xlookup(AK668,A:A,AD:AD)</f>
        <v>#NAME?</v>
      </c>
      <c r="AQ668" s="223" t="e">
        <f aca="false">_xlfn.xlookup(AK668,A:A,AE:AE)</f>
        <v>#NAME?</v>
      </c>
      <c r="BB668" s="15" t="e">
        <f aca="false">_xlfn.xlookup(BA668,A:A,E:E)</f>
        <v>#NAME?</v>
      </c>
      <c r="BC668" s="15" t="e">
        <f aca="false">_xlfn.xlookup(BA668,A:A,J:J)</f>
        <v>#NAME?</v>
      </c>
      <c r="BD668" s="75" t="e">
        <f aca="false">_xlfn.xlookup(BA668,A:A,M:M)+_xlfn.xlookup(BA668,A:A,N:N)</f>
        <v>#NAME?</v>
      </c>
    </row>
    <row r="669" customFormat="false" ht="14.25" hidden="false" customHeight="false" outlineLevel="0" collapsed="false">
      <c r="AK669" s="15" t="e">
        <v>#NAME?</v>
      </c>
      <c r="AL669" s="15" t="e">
        <f aca="false">_xlfn.xlookup(AK669,A:A,F:F)</f>
        <v>#NAME?</v>
      </c>
      <c r="AM669" s="15" t="e">
        <f aca="false">_xlfn.xlookup(AK669,A:A,J:J)</f>
        <v>#NAME?</v>
      </c>
      <c r="AN669" s="15" t="e">
        <f aca="false">_xlfn.xlookup(AK669,A:A,M:M)+_xlfn.xlookup(AK669,A:A,N:N)</f>
        <v>#NAME?</v>
      </c>
      <c r="AO669" s="223" t="e">
        <f aca="false">_xlfn.xlookup(AK669,A:A,AG:AG)</f>
        <v>#NAME?</v>
      </c>
      <c r="AP669" s="223" t="e">
        <f aca="false">_xlfn.xlookup(AK669,A:A,AD:AD)</f>
        <v>#NAME?</v>
      </c>
      <c r="AQ669" s="223" t="e">
        <f aca="false">_xlfn.xlookup(AK669,A:A,AE:AE)</f>
        <v>#NAME?</v>
      </c>
      <c r="BB669" s="15" t="e">
        <f aca="false">_xlfn.xlookup(BA669,A:A,E:E)</f>
        <v>#NAME?</v>
      </c>
      <c r="BC669" s="15" t="e">
        <f aca="false">_xlfn.xlookup(BA669,A:A,J:J)</f>
        <v>#NAME?</v>
      </c>
      <c r="BD669" s="75" t="e">
        <f aca="false">_xlfn.xlookup(BA669,A:A,M:M)+_xlfn.xlookup(BA669,A:A,N:N)</f>
        <v>#NAME?</v>
      </c>
    </row>
    <row r="670" customFormat="false" ht="14.25" hidden="false" customHeight="false" outlineLevel="0" collapsed="false">
      <c r="AK670" s="15" t="e">
        <v>#NAME?</v>
      </c>
      <c r="AL670" s="15" t="e">
        <f aca="false">_xlfn.xlookup(AK670,A:A,F:F)</f>
        <v>#NAME?</v>
      </c>
      <c r="AM670" s="15" t="e">
        <f aca="false">_xlfn.xlookup(AK670,A:A,J:J)</f>
        <v>#NAME?</v>
      </c>
      <c r="AN670" s="15" t="e">
        <f aca="false">_xlfn.xlookup(AK670,A:A,M:M)+_xlfn.xlookup(AK670,A:A,N:N)</f>
        <v>#NAME?</v>
      </c>
      <c r="AO670" s="223" t="e">
        <f aca="false">_xlfn.xlookup(AK670,A:A,AG:AG)</f>
        <v>#NAME?</v>
      </c>
      <c r="AP670" s="223" t="e">
        <f aca="false">_xlfn.xlookup(AK670,A:A,AD:AD)</f>
        <v>#NAME?</v>
      </c>
      <c r="AQ670" s="223" t="e">
        <f aca="false">_xlfn.xlookup(AK670,A:A,AE:AE)</f>
        <v>#NAME?</v>
      </c>
      <c r="BB670" s="15" t="e">
        <f aca="false">_xlfn.xlookup(BA670,A:A,E:E)</f>
        <v>#NAME?</v>
      </c>
      <c r="BC670" s="15" t="e">
        <f aca="false">_xlfn.xlookup(BA670,A:A,J:J)</f>
        <v>#NAME?</v>
      </c>
      <c r="BD670" s="75" t="e">
        <f aca="false">_xlfn.xlookup(BA670,A:A,M:M)+_xlfn.xlookup(BA670,A:A,N:N)</f>
        <v>#NAME?</v>
      </c>
    </row>
    <row r="671" customFormat="false" ht="14.25" hidden="false" customHeight="false" outlineLevel="0" collapsed="false">
      <c r="AK671" s="15" t="e">
        <v>#NAME?</v>
      </c>
      <c r="AL671" s="15" t="e">
        <f aca="false">_xlfn.xlookup(AK671,A:A,F:F)</f>
        <v>#NAME?</v>
      </c>
      <c r="AM671" s="15" t="e">
        <f aca="false">_xlfn.xlookup(AK671,A:A,J:J)</f>
        <v>#NAME?</v>
      </c>
      <c r="AN671" s="15" t="e">
        <f aca="false">_xlfn.xlookup(AK671,A:A,M:M)+_xlfn.xlookup(AK671,A:A,N:N)</f>
        <v>#NAME?</v>
      </c>
      <c r="AO671" s="223" t="e">
        <f aca="false">_xlfn.xlookup(AK671,A:A,AG:AG)</f>
        <v>#NAME?</v>
      </c>
      <c r="AP671" s="223" t="e">
        <f aca="false">_xlfn.xlookup(AK671,A:A,AD:AD)</f>
        <v>#NAME?</v>
      </c>
      <c r="AQ671" s="223" t="e">
        <f aca="false">_xlfn.xlookup(AK671,A:A,AE:AE)</f>
        <v>#NAME?</v>
      </c>
      <c r="BB671" s="15" t="e">
        <f aca="false">_xlfn.xlookup(BA671,A:A,E:E)</f>
        <v>#NAME?</v>
      </c>
      <c r="BC671" s="15" t="e">
        <f aca="false">_xlfn.xlookup(BA671,A:A,J:J)</f>
        <v>#NAME?</v>
      </c>
      <c r="BD671" s="75" t="e">
        <f aca="false">_xlfn.xlookup(BA671,A:A,M:M)+_xlfn.xlookup(BA671,A:A,N:N)</f>
        <v>#NAME?</v>
      </c>
    </row>
    <row r="672" customFormat="false" ht="14.25" hidden="false" customHeight="false" outlineLevel="0" collapsed="false">
      <c r="AK672" s="15" t="e">
        <v>#NAME?</v>
      </c>
      <c r="AL672" s="15" t="e">
        <f aca="false">_xlfn.xlookup(AK672,A:A,F:F)</f>
        <v>#NAME?</v>
      </c>
      <c r="AM672" s="15" t="e">
        <f aca="false">_xlfn.xlookup(AK672,A:A,J:J)</f>
        <v>#NAME?</v>
      </c>
      <c r="AN672" s="15" t="e">
        <f aca="false">_xlfn.xlookup(AK672,A:A,M:M)+_xlfn.xlookup(AK672,A:A,N:N)</f>
        <v>#NAME?</v>
      </c>
      <c r="AO672" s="223" t="e">
        <f aca="false">_xlfn.xlookup(AK672,A:A,AG:AG)</f>
        <v>#NAME?</v>
      </c>
      <c r="AP672" s="223" t="e">
        <f aca="false">_xlfn.xlookup(AK672,A:A,AD:AD)</f>
        <v>#NAME?</v>
      </c>
      <c r="AQ672" s="223" t="e">
        <f aca="false">_xlfn.xlookup(AK672,A:A,AE:AE)</f>
        <v>#NAME?</v>
      </c>
      <c r="BB672" s="15" t="e">
        <f aca="false">_xlfn.xlookup(BA672,A:A,E:E)</f>
        <v>#NAME?</v>
      </c>
      <c r="BC672" s="15" t="e">
        <f aca="false">_xlfn.xlookup(BA672,A:A,J:J)</f>
        <v>#NAME?</v>
      </c>
      <c r="BD672" s="75" t="e">
        <f aca="false">_xlfn.xlookup(BA672,A:A,M:M)+_xlfn.xlookup(BA672,A:A,N:N)</f>
        <v>#NAME?</v>
      </c>
    </row>
    <row r="673" customFormat="false" ht="14.25" hidden="false" customHeight="false" outlineLevel="0" collapsed="false">
      <c r="AK673" s="15" t="e">
        <v>#NAME?</v>
      </c>
      <c r="AL673" s="15" t="e">
        <f aca="false">_xlfn.xlookup(AK673,A:A,F:F)</f>
        <v>#NAME?</v>
      </c>
      <c r="AM673" s="15" t="e">
        <f aca="false">_xlfn.xlookup(AK673,A:A,J:J)</f>
        <v>#NAME?</v>
      </c>
      <c r="AN673" s="15" t="e">
        <f aca="false">_xlfn.xlookup(AK673,A:A,M:M)+_xlfn.xlookup(AK673,A:A,N:N)</f>
        <v>#NAME?</v>
      </c>
      <c r="AO673" s="223" t="e">
        <f aca="false">_xlfn.xlookup(AK673,A:A,AG:AG)</f>
        <v>#NAME?</v>
      </c>
      <c r="AP673" s="223" t="e">
        <f aca="false">_xlfn.xlookup(AK673,A:A,AD:AD)</f>
        <v>#NAME?</v>
      </c>
      <c r="AQ673" s="223" t="e">
        <f aca="false">_xlfn.xlookup(AK673,A:A,AE:AE)</f>
        <v>#NAME?</v>
      </c>
      <c r="BB673" s="15" t="e">
        <f aca="false">_xlfn.xlookup(BA673,A:A,E:E)</f>
        <v>#NAME?</v>
      </c>
      <c r="BC673" s="15" t="e">
        <f aca="false">_xlfn.xlookup(BA673,A:A,J:J)</f>
        <v>#NAME?</v>
      </c>
      <c r="BD673" s="75" t="e">
        <f aca="false">_xlfn.xlookup(BA673,A:A,M:M)+_xlfn.xlookup(BA673,A:A,N:N)</f>
        <v>#NAME?</v>
      </c>
    </row>
    <row r="674" customFormat="false" ht="14.25" hidden="false" customHeight="false" outlineLevel="0" collapsed="false">
      <c r="AK674" s="15" t="e">
        <v>#NAME?</v>
      </c>
      <c r="AL674" s="15" t="e">
        <f aca="false">_xlfn.xlookup(AK674,A:A,F:F)</f>
        <v>#NAME?</v>
      </c>
      <c r="AM674" s="15" t="e">
        <f aca="false">_xlfn.xlookup(AK674,A:A,J:J)</f>
        <v>#NAME?</v>
      </c>
      <c r="AN674" s="15" t="e">
        <f aca="false">_xlfn.xlookup(AK674,A:A,M:M)+_xlfn.xlookup(AK674,A:A,N:N)</f>
        <v>#NAME?</v>
      </c>
      <c r="AO674" s="223" t="e">
        <f aca="false">_xlfn.xlookup(AK674,A:A,AG:AG)</f>
        <v>#NAME?</v>
      </c>
      <c r="AP674" s="223" t="e">
        <f aca="false">_xlfn.xlookup(AK674,A:A,AD:AD)</f>
        <v>#NAME?</v>
      </c>
      <c r="AQ674" s="223" t="e">
        <f aca="false">_xlfn.xlookup(AK674,A:A,AE:AE)</f>
        <v>#NAME?</v>
      </c>
      <c r="BB674" s="15" t="e">
        <f aca="false">_xlfn.xlookup(BA674,A:A,E:E)</f>
        <v>#NAME?</v>
      </c>
      <c r="BC674" s="15" t="e">
        <f aca="false">_xlfn.xlookup(BA674,A:A,J:J)</f>
        <v>#NAME?</v>
      </c>
      <c r="BD674" s="75" t="e">
        <f aca="false">_xlfn.xlookup(BA674,A:A,M:M)+_xlfn.xlookup(BA674,A:A,N:N)</f>
        <v>#NAME?</v>
      </c>
    </row>
    <row r="675" customFormat="false" ht="14.25" hidden="false" customHeight="false" outlineLevel="0" collapsed="false">
      <c r="AK675" s="15" t="e">
        <v>#NAME?</v>
      </c>
      <c r="AL675" s="15" t="e">
        <f aca="false">_xlfn.xlookup(AK675,A:A,F:F)</f>
        <v>#NAME?</v>
      </c>
      <c r="AM675" s="15" t="e">
        <f aca="false">_xlfn.xlookup(AK675,A:A,J:J)</f>
        <v>#NAME?</v>
      </c>
      <c r="AN675" s="15" t="e">
        <f aca="false">_xlfn.xlookup(AK675,A:A,M:M)+_xlfn.xlookup(AK675,A:A,N:N)</f>
        <v>#NAME?</v>
      </c>
      <c r="AO675" s="223" t="e">
        <f aca="false">_xlfn.xlookup(AK675,A:A,AG:AG)</f>
        <v>#NAME?</v>
      </c>
      <c r="AP675" s="223" t="e">
        <f aca="false">_xlfn.xlookup(AK675,A:A,AD:AD)</f>
        <v>#NAME?</v>
      </c>
      <c r="AQ675" s="223" t="e">
        <f aca="false">_xlfn.xlookup(AK675,A:A,AE:AE)</f>
        <v>#NAME?</v>
      </c>
      <c r="BB675" s="15" t="e">
        <f aca="false">_xlfn.xlookup(BA675,A:A,E:E)</f>
        <v>#NAME?</v>
      </c>
      <c r="BC675" s="15" t="e">
        <f aca="false">_xlfn.xlookup(BA675,A:A,J:J)</f>
        <v>#NAME?</v>
      </c>
      <c r="BD675" s="75" t="e">
        <f aca="false">_xlfn.xlookup(BA675,A:A,M:M)+_xlfn.xlookup(BA675,A:A,N:N)</f>
        <v>#NAME?</v>
      </c>
    </row>
    <row r="676" customFormat="false" ht="14.25" hidden="false" customHeight="false" outlineLevel="0" collapsed="false">
      <c r="AK676" s="15" t="e">
        <v>#NAME?</v>
      </c>
      <c r="AL676" s="15" t="e">
        <f aca="false">_xlfn.xlookup(AK676,A:A,F:F)</f>
        <v>#NAME?</v>
      </c>
      <c r="AM676" s="15" t="e">
        <f aca="false">_xlfn.xlookup(AK676,A:A,J:J)</f>
        <v>#NAME?</v>
      </c>
      <c r="AN676" s="15" t="e">
        <f aca="false">_xlfn.xlookup(AK676,A:A,M:M)+_xlfn.xlookup(AK676,A:A,N:N)</f>
        <v>#NAME?</v>
      </c>
      <c r="AO676" s="223" t="e">
        <f aca="false">_xlfn.xlookup(AK676,A:A,AG:AG)</f>
        <v>#NAME?</v>
      </c>
      <c r="AP676" s="223" t="e">
        <f aca="false">_xlfn.xlookup(AK676,A:A,AD:AD)</f>
        <v>#NAME?</v>
      </c>
      <c r="AQ676" s="223" t="e">
        <f aca="false">_xlfn.xlookup(AK676,A:A,AE:AE)</f>
        <v>#NAME?</v>
      </c>
      <c r="BB676" s="15" t="e">
        <f aca="false">_xlfn.xlookup(BA676,A:A,E:E)</f>
        <v>#NAME?</v>
      </c>
      <c r="BC676" s="15" t="e">
        <f aca="false">_xlfn.xlookup(BA676,A:A,J:J)</f>
        <v>#NAME?</v>
      </c>
      <c r="BD676" s="75" t="e">
        <f aca="false">_xlfn.xlookup(BA676,A:A,M:M)+_xlfn.xlookup(BA676,A:A,N:N)</f>
        <v>#NAME?</v>
      </c>
    </row>
    <row r="677" customFormat="false" ht="14.25" hidden="false" customHeight="false" outlineLevel="0" collapsed="false">
      <c r="AK677" s="15" t="e">
        <v>#NAME?</v>
      </c>
      <c r="AL677" s="15" t="e">
        <f aca="false">_xlfn.xlookup(AK677,A:A,F:F)</f>
        <v>#NAME?</v>
      </c>
      <c r="AM677" s="15" t="e">
        <f aca="false">_xlfn.xlookup(AK677,A:A,J:J)</f>
        <v>#NAME?</v>
      </c>
      <c r="AN677" s="15" t="e">
        <f aca="false">_xlfn.xlookup(AK677,A:A,M:M)+_xlfn.xlookup(AK677,A:A,N:N)</f>
        <v>#NAME?</v>
      </c>
      <c r="AO677" s="223" t="e">
        <f aca="false">_xlfn.xlookup(AK677,A:A,AG:AG)</f>
        <v>#NAME?</v>
      </c>
      <c r="AP677" s="223" t="e">
        <f aca="false">_xlfn.xlookup(AK677,A:A,AD:AD)</f>
        <v>#NAME?</v>
      </c>
      <c r="AQ677" s="223" t="e">
        <f aca="false">_xlfn.xlookup(AK677,A:A,AE:AE)</f>
        <v>#NAME?</v>
      </c>
      <c r="BB677" s="15" t="e">
        <f aca="false">_xlfn.xlookup(BA677,A:A,E:E)</f>
        <v>#NAME?</v>
      </c>
      <c r="BC677" s="15" t="e">
        <f aca="false">_xlfn.xlookup(BA677,A:A,J:J)</f>
        <v>#NAME?</v>
      </c>
      <c r="BD677" s="75" t="e">
        <f aca="false">_xlfn.xlookup(BA677,A:A,M:M)+_xlfn.xlookup(BA677,A:A,N:N)</f>
        <v>#NAME?</v>
      </c>
    </row>
    <row r="678" customFormat="false" ht="14.25" hidden="false" customHeight="false" outlineLevel="0" collapsed="false">
      <c r="AK678" s="15" t="e">
        <v>#NAME?</v>
      </c>
      <c r="AL678" s="15" t="e">
        <f aca="false">_xlfn.xlookup(AK678,A:A,F:F)</f>
        <v>#NAME?</v>
      </c>
      <c r="AM678" s="15" t="e">
        <f aca="false">_xlfn.xlookup(AK678,A:A,J:J)</f>
        <v>#NAME?</v>
      </c>
      <c r="AN678" s="15" t="e">
        <f aca="false">_xlfn.xlookup(AK678,A:A,M:M)+_xlfn.xlookup(AK678,A:A,N:N)</f>
        <v>#NAME?</v>
      </c>
      <c r="AO678" s="223" t="e">
        <f aca="false">_xlfn.xlookup(AK678,A:A,AG:AG)</f>
        <v>#NAME?</v>
      </c>
      <c r="AP678" s="223" t="e">
        <f aca="false">_xlfn.xlookup(AK678,A:A,AD:AD)</f>
        <v>#NAME?</v>
      </c>
      <c r="AQ678" s="223" t="e">
        <f aca="false">_xlfn.xlookup(AK678,A:A,AE:AE)</f>
        <v>#NAME?</v>
      </c>
      <c r="BB678" s="15" t="e">
        <f aca="false">_xlfn.xlookup(BA678,A:A,E:E)</f>
        <v>#NAME?</v>
      </c>
      <c r="BC678" s="15" t="e">
        <f aca="false">_xlfn.xlookup(BA678,A:A,J:J)</f>
        <v>#NAME?</v>
      </c>
      <c r="BD678" s="75" t="e">
        <f aca="false">_xlfn.xlookup(BA678,A:A,M:M)+_xlfn.xlookup(BA678,A:A,N:N)</f>
        <v>#NAME?</v>
      </c>
    </row>
    <row r="679" customFormat="false" ht="14.25" hidden="false" customHeight="false" outlineLevel="0" collapsed="false">
      <c r="AK679" s="15" t="e">
        <v>#NAME?</v>
      </c>
      <c r="AL679" s="15" t="e">
        <f aca="false">_xlfn.xlookup(AK679,A:A,F:F)</f>
        <v>#NAME?</v>
      </c>
      <c r="AM679" s="15" t="e">
        <f aca="false">_xlfn.xlookup(AK679,A:A,J:J)</f>
        <v>#NAME?</v>
      </c>
      <c r="AN679" s="15" t="e">
        <f aca="false">_xlfn.xlookup(AK679,A:A,M:M)+_xlfn.xlookup(AK679,A:A,N:N)</f>
        <v>#NAME?</v>
      </c>
      <c r="AO679" s="223" t="e">
        <f aca="false">_xlfn.xlookup(AK679,A:A,AG:AG)</f>
        <v>#NAME?</v>
      </c>
      <c r="AP679" s="223" t="e">
        <f aca="false">_xlfn.xlookup(AK679,A:A,AD:AD)</f>
        <v>#NAME?</v>
      </c>
      <c r="AQ679" s="223" t="e">
        <f aca="false">_xlfn.xlookup(AK679,A:A,AE:AE)</f>
        <v>#NAME?</v>
      </c>
      <c r="BB679" s="15" t="e">
        <f aca="false">_xlfn.xlookup(BA679,A:A,E:E)</f>
        <v>#NAME?</v>
      </c>
      <c r="BC679" s="15" t="e">
        <f aca="false">_xlfn.xlookup(BA679,A:A,J:J)</f>
        <v>#NAME?</v>
      </c>
      <c r="BD679" s="75" t="e">
        <f aca="false">_xlfn.xlookup(BA679,A:A,M:M)+_xlfn.xlookup(BA679,A:A,N:N)</f>
        <v>#NAME?</v>
      </c>
    </row>
    <row r="680" customFormat="false" ht="14.25" hidden="false" customHeight="false" outlineLevel="0" collapsed="false">
      <c r="AK680" s="15" t="e">
        <v>#NAME?</v>
      </c>
      <c r="AL680" s="15" t="e">
        <f aca="false">_xlfn.xlookup(AK680,A:A,F:F)</f>
        <v>#NAME?</v>
      </c>
      <c r="AM680" s="15" t="e">
        <f aca="false">_xlfn.xlookup(AK680,A:A,J:J)</f>
        <v>#NAME?</v>
      </c>
      <c r="AN680" s="15" t="e">
        <f aca="false">_xlfn.xlookup(AK680,A:A,M:M)+_xlfn.xlookup(AK680,A:A,N:N)</f>
        <v>#NAME?</v>
      </c>
      <c r="AO680" s="223" t="e">
        <f aca="false">_xlfn.xlookup(AK680,A:A,AG:AG)</f>
        <v>#NAME?</v>
      </c>
      <c r="AP680" s="223" t="e">
        <f aca="false">_xlfn.xlookup(AK680,A:A,AD:AD)</f>
        <v>#NAME?</v>
      </c>
      <c r="AQ680" s="223" t="e">
        <f aca="false">_xlfn.xlookup(AK680,A:A,AE:AE)</f>
        <v>#NAME?</v>
      </c>
      <c r="BB680" s="15" t="e">
        <f aca="false">_xlfn.xlookup(BA680,A:A,E:E)</f>
        <v>#NAME?</v>
      </c>
      <c r="BC680" s="15" t="e">
        <f aca="false">_xlfn.xlookup(BA680,A:A,J:J)</f>
        <v>#NAME?</v>
      </c>
      <c r="BD680" s="75" t="e">
        <f aca="false">_xlfn.xlookup(BA680,A:A,M:M)+_xlfn.xlookup(BA680,A:A,N:N)</f>
        <v>#NAME?</v>
      </c>
    </row>
    <row r="681" customFormat="false" ht="14.25" hidden="false" customHeight="false" outlineLevel="0" collapsed="false">
      <c r="AK681" s="15" t="e">
        <v>#NAME?</v>
      </c>
      <c r="AL681" s="15" t="e">
        <f aca="false">_xlfn.xlookup(AK681,A:A,F:F)</f>
        <v>#NAME?</v>
      </c>
      <c r="AM681" s="15" t="e">
        <f aca="false">_xlfn.xlookup(AK681,A:A,J:J)</f>
        <v>#NAME?</v>
      </c>
      <c r="AN681" s="15" t="e">
        <f aca="false">_xlfn.xlookup(AK681,A:A,M:M)+_xlfn.xlookup(AK681,A:A,N:N)</f>
        <v>#NAME?</v>
      </c>
      <c r="AO681" s="223" t="e">
        <f aca="false">_xlfn.xlookup(AK681,A:A,AG:AG)</f>
        <v>#NAME?</v>
      </c>
      <c r="AP681" s="223" t="e">
        <f aca="false">_xlfn.xlookup(AK681,A:A,AD:AD)</f>
        <v>#NAME?</v>
      </c>
      <c r="AQ681" s="223" t="e">
        <f aca="false">_xlfn.xlookup(AK681,A:A,AE:AE)</f>
        <v>#NAME?</v>
      </c>
      <c r="BB681" s="15" t="e">
        <f aca="false">_xlfn.xlookup(BA681,A:A,E:E)</f>
        <v>#NAME?</v>
      </c>
      <c r="BC681" s="15" t="e">
        <f aca="false">_xlfn.xlookup(BA681,A:A,J:J)</f>
        <v>#NAME?</v>
      </c>
      <c r="BD681" s="75" t="e">
        <f aca="false">_xlfn.xlookup(BA681,A:A,M:M)+_xlfn.xlookup(BA681,A:A,N:N)</f>
        <v>#NAME?</v>
      </c>
    </row>
    <row r="682" customFormat="false" ht="14.25" hidden="false" customHeight="false" outlineLevel="0" collapsed="false">
      <c r="AK682" s="15" t="e">
        <v>#NAME?</v>
      </c>
      <c r="AL682" s="15" t="e">
        <f aca="false">_xlfn.xlookup(AK682,A:A,F:F)</f>
        <v>#NAME?</v>
      </c>
      <c r="AM682" s="15" t="e">
        <f aca="false">_xlfn.xlookup(AK682,A:A,J:J)</f>
        <v>#NAME?</v>
      </c>
      <c r="AN682" s="15" t="e">
        <f aca="false">_xlfn.xlookup(AK682,A:A,M:M)+_xlfn.xlookup(AK682,A:A,N:N)</f>
        <v>#NAME?</v>
      </c>
      <c r="AO682" s="223" t="e">
        <f aca="false">_xlfn.xlookup(AK682,A:A,AG:AG)</f>
        <v>#NAME?</v>
      </c>
      <c r="AP682" s="223" t="e">
        <f aca="false">_xlfn.xlookup(AK682,A:A,AD:AD)</f>
        <v>#NAME?</v>
      </c>
      <c r="AQ682" s="223" t="e">
        <f aca="false">_xlfn.xlookup(AK682,A:A,AE:AE)</f>
        <v>#NAME?</v>
      </c>
      <c r="BB682" s="15" t="e">
        <f aca="false">_xlfn.xlookup(BA682,A:A,E:E)</f>
        <v>#NAME?</v>
      </c>
      <c r="BC682" s="15" t="e">
        <f aca="false">_xlfn.xlookup(BA682,A:A,J:J)</f>
        <v>#NAME?</v>
      </c>
      <c r="BD682" s="75" t="e">
        <f aca="false">_xlfn.xlookup(BA682,A:A,M:M)+_xlfn.xlookup(BA682,A:A,N:N)</f>
        <v>#NAME?</v>
      </c>
    </row>
    <row r="683" customFormat="false" ht="14.25" hidden="false" customHeight="false" outlineLevel="0" collapsed="false">
      <c r="AK683" s="15" t="e">
        <v>#NAME?</v>
      </c>
      <c r="AL683" s="15" t="e">
        <f aca="false">_xlfn.xlookup(AK683,A:A,F:F)</f>
        <v>#NAME?</v>
      </c>
      <c r="AM683" s="15" t="e">
        <f aca="false">_xlfn.xlookup(AK683,A:A,J:J)</f>
        <v>#NAME?</v>
      </c>
      <c r="AN683" s="15" t="e">
        <f aca="false">_xlfn.xlookup(AK683,A:A,M:M)+_xlfn.xlookup(AK683,A:A,N:N)</f>
        <v>#NAME?</v>
      </c>
      <c r="AO683" s="223" t="e">
        <f aca="false">_xlfn.xlookup(AK683,A:A,AG:AG)</f>
        <v>#NAME?</v>
      </c>
      <c r="AP683" s="223" t="e">
        <f aca="false">_xlfn.xlookup(AK683,A:A,AD:AD)</f>
        <v>#NAME?</v>
      </c>
      <c r="AQ683" s="223" t="e">
        <f aca="false">_xlfn.xlookup(AK683,A:A,AE:AE)</f>
        <v>#NAME?</v>
      </c>
      <c r="BB683" s="15" t="e">
        <f aca="false">_xlfn.xlookup(BA683,A:A,E:E)</f>
        <v>#NAME?</v>
      </c>
      <c r="BC683" s="15" t="e">
        <f aca="false">_xlfn.xlookup(BA683,A:A,J:J)</f>
        <v>#NAME?</v>
      </c>
      <c r="BD683" s="75" t="e">
        <f aca="false">_xlfn.xlookup(BA683,A:A,M:M)+_xlfn.xlookup(BA683,A:A,N:N)</f>
        <v>#NAME?</v>
      </c>
    </row>
    <row r="684" customFormat="false" ht="14.25" hidden="false" customHeight="false" outlineLevel="0" collapsed="false">
      <c r="AK684" s="15" t="e">
        <v>#NAME?</v>
      </c>
      <c r="AL684" s="15" t="e">
        <f aca="false">_xlfn.xlookup(AK684,A:A,F:F)</f>
        <v>#NAME?</v>
      </c>
      <c r="AM684" s="15" t="e">
        <f aca="false">_xlfn.xlookup(AK684,A:A,J:J)</f>
        <v>#NAME?</v>
      </c>
      <c r="AN684" s="15" t="e">
        <f aca="false">_xlfn.xlookup(AK684,A:A,M:M)+_xlfn.xlookup(AK684,A:A,N:N)</f>
        <v>#NAME?</v>
      </c>
      <c r="AO684" s="223" t="e">
        <f aca="false">_xlfn.xlookup(AK684,A:A,AG:AG)</f>
        <v>#NAME?</v>
      </c>
      <c r="AP684" s="223" t="e">
        <f aca="false">_xlfn.xlookup(AK684,A:A,AD:AD)</f>
        <v>#NAME?</v>
      </c>
      <c r="AQ684" s="223" t="e">
        <f aca="false">_xlfn.xlookup(AK684,A:A,AE:AE)</f>
        <v>#NAME?</v>
      </c>
      <c r="BB684" s="15" t="e">
        <f aca="false">_xlfn.xlookup(BA684,A:A,E:E)</f>
        <v>#NAME?</v>
      </c>
      <c r="BC684" s="15" t="e">
        <f aca="false">_xlfn.xlookup(BA684,A:A,J:J)</f>
        <v>#NAME?</v>
      </c>
      <c r="BD684" s="75" t="e">
        <f aca="false">_xlfn.xlookup(BA684,A:A,M:M)+_xlfn.xlookup(BA684,A:A,N:N)</f>
        <v>#NAME?</v>
      </c>
    </row>
    <row r="685" customFormat="false" ht="14.25" hidden="false" customHeight="false" outlineLevel="0" collapsed="false">
      <c r="AK685" s="15" t="e">
        <v>#NAME?</v>
      </c>
      <c r="AL685" s="15" t="e">
        <f aca="false">_xlfn.xlookup(AK685,A:A,F:F)</f>
        <v>#NAME?</v>
      </c>
      <c r="AM685" s="15" t="e">
        <f aca="false">_xlfn.xlookup(AK685,A:A,J:J)</f>
        <v>#NAME?</v>
      </c>
      <c r="AN685" s="15" t="e">
        <f aca="false">_xlfn.xlookup(AK685,A:A,M:M)+_xlfn.xlookup(AK685,A:A,N:N)</f>
        <v>#NAME?</v>
      </c>
      <c r="AO685" s="223" t="e">
        <f aca="false">_xlfn.xlookup(AK685,A:A,AG:AG)</f>
        <v>#NAME?</v>
      </c>
      <c r="AP685" s="223" t="e">
        <f aca="false">_xlfn.xlookup(AK685,A:A,AD:AD)</f>
        <v>#NAME?</v>
      </c>
      <c r="AQ685" s="223" t="e">
        <f aca="false">_xlfn.xlookup(AK685,A:A,AE:AE)</f>
        <v>#NAME?</v>
      </c>
      <c r="BB685" s="15" t="e">
        <f aca="false">_xlfn.xlookup(BA685,A:A,E:E)</f>
        <v>#NAME?</v>
      </c>
      <c r="BC685" s="15" t="e">
        <f aca="false">_xlfn.xlookup(BA685,A:A,J:J)</f>
        <v>#NAME?</v>
      </c>
      <c r="BD685" s="75" t="e">
        <f aca="false">_xlfn.xlookup(BA685,A:A,M:M)+_xlfn.xlookup(BA685,A:A,N:N)</f>
        <v>#NAME?</v>
      </c>
    </row>
    <row r="686" customFormat="false" ht="14.25" hidden="false" customHeight="false" outlineLevel="0" collapsed="false">
      <c r="AK686" s="15" t="e">
        <v>#NAME?</v>
      </c>
      <c r="AL686" s="15" t="e">
        <f aca="false">_xlfn.xlookup(AK686,A:A,F:F)</f>
        <v>#NAME?</v>
      </c>
      <c r="AM686" s="15" t="e">
        <f aca="false">_xlfn.xlookup(AK686,A:A,J:J)</f>
        <v>#NAME?</v>
      </c>
      <c r="AN686" s="15" t="e">
        <f aca="false">_xlfn.xlookup(AK686,A:A,M:M)+_xlfn.xlookup(AK686,A:A,N:N)</f>
        <v>#NAME?</v>
      </c>
      <c r="AO686" s="223" t="e">
        <f aca="false">_xlfn.xlookup(AK686,A:A,AG:AG)</f>
        <v>#NAME?</v>
      </c>
      <c r="AP686" s="223" t="e">
        <f aca="false">_xlfn.xlookup(AK686,A:A,AD:AD)</f>
        <v>#NAME?</v>
      </c>
      <c r="AQ686" s="223" t="e">
        <f aca="false">_xlfn.xlookup(AK686,A:A,AE:AE)</f>
        <v>#NAME?</v>
      </c>
      <c r="BB686" s="15" t="e">
        <f aca="false">_xlfn.xlookup(BA686,A:A,E:E)</f>
        <v>#NAME?</v>
      </c>
      <c r="BC686" s="15" t="e">
        <f aca="false">_xlfn.xlookup(BA686,A:A,J:J)</f>
        <v>#NAME?</v>
      </c>
      <c r="BD686" s="75" t="e">
        <f aca="false">_xlfn.xlookup(BA686,A:A,M:M)+_xlfn.xlookup(BA686,A:A,N:N)</f>
        <v>#NAME?</v>
      </c>
    </row>
    <row r="687" customFormat="false" ht="14.25" hidden="false" customHeight="false" outlineLevel="0" collapsed="false">
      <c r="AK687" s="15" t="e">
        <v>#NAME?</v>
      </c>
      <c r="AL687" s="15" t="e">
        <f aca="false">_xlfn.xlookup(AK687,A:A,F:F)</f>
        <v>#NAME?</v>
      </c>
      <c r="AM687" s="15" t="e">
        <f aca="false">_xlfn.xlookup(AK687,A:A,J:J)</f>
        <v>#NAME?</v>
      </c>
      <c r="AN687" s="15" t="e">
        <f aca="false">_xlfn.xlookup(AK687,A:A,M:M)+_xlfn.xlookup(AK687,A:A,N:N)</f>
        <v>#NAME?</v>
      </c>
      <c r="AO687" s="223" t="e">
        <f aca="false">_xlfn.xlookup(AK687,A:A,AG:AG)</f>
        <v>#NAME?</v>
      </c>
      <c r="AP687" s="223" t="e">
        <f aca="false">_xlfn.xlookup(AK687,A:A,AD:AD)</f>
        <v>#NAME?</v>
      </c>
      <c r="AQ687" s="223" t="e">
        <f aca="false">_xlfn.xlookup(AK687,A:A,AE:AE)</f>
        <v>#NAME?</v>
      </c>
      <c r="BB687" s="15" t="e">
        <f aca="false">_xlfn.xlookup(BA687,A:A,E:E)</f>
        <v>#NAME?</v>
      </c>
      <c r="BC687" s="15" t="e">
        <f aca="false">_xlfn.xlookup(BA687,A:A,J:J)</f>
        <v>#NAME?</v>
      </c>
      <c r="BD687" s="75" t="e">
        <f aca="false">_xlfn.xlookup(BA687,A:A,M:M)+_xlfn.xlookup(BA687,A:A,N:N)</f>
        <v>#NAME?</v>
      </c>
    </row>
    <row r="688" customFormat="false" ht="14.25" hidden="false" customHeight="false" outlineLevel="0" collapsed="false">
      <c r="AK688" s="15" t="e">
        <v>#NAME?</v>
      </c>
      <c r="AL688" s="15" t="e">
        <f aca="false">_xlfn.xlookup(AK688,A:A,F:F)</f>
        <v>#NAME?</v>
      </c>
      <c r="AM688" s="15" t="e">
        <f aca="false">_xlfn.xlookup(AK688,A:A,J:J)</f>
        <v>#NAME?</v>
      </c>
      <c r="AN688" s="15" t="e">
        <f aca="false">_xlfn.xlookup(AK688,A:A,M:M)+_xlfn.xlookup(AK688,A:A,N:N)</f>
        <v>#NAME?</v>
      </c>
      <c r="AO688" s="223" t="e">
        <f aca="false">_xlfn.xlookup(AK688,A:A,AG:AG)</f>
        <v>#NAME?</v>
      </c>
      <c r="AP688" s="223" t="e">
        <f aca="false">_xlfn.xlookup(AK688,A:A,AD:AD)</f>
        <v>#NAME?</v>
      </c>
      <c r="AQ688" s="223" t="e">
        <f aca="false">_xlfn.xlookup(AK688,A:A,AE:AE)</f>
        <v>#NAME?</v>
      </c>
      <c r="BB688" s="15" t="e">
        <f aca="false">_xlfn.xlookup(BA688,A:A,E:E)</f>
        <v>#NAME?</v>
      </c>
      <c r="BC688" s="15" t="e">
        <f aca="false">_xlfn.xlookup(BA688,A:A,J:J)</f>
        <v>#NAME?</v>
      </c>
      <c r="BD688" s="75" t="e">
        <f aca="false">_xlfn.xlookup(BA688,A:A,M:M)+_xlfn.xlookup(BA688,A:A,N:N)</f>
        <v>#NAME?</v>
      </c>
    </row>
    <row r="689" customFormat="false" ht="14.25" hidden="false" customHeight="false" outlineLevel="0" collapsed="false">
      <c r="AK689" s="15" t="e">
        <v>#NAME?</v>
      </c>
      <c r="AL689" s="15" t="e">
        <f aca="false">_xlfn.xlookup(AK689,A:A,F:F)</f>
        <v>#NAME?</v>
      </c>
      <c r="AM689" s="15" t="e">
        <f aca="false">_xlfn.xlookup(AK689,A:A,J:J)</f>
        <v>#NAME?</v>
      </c>
      <c r="AN689" s="15" t="e">
        <f aca="false">_xlfn.xlookup(AK689,A:A,M:M)+_xlfn.xlookup(AK689,A:A,N:N)</f>
        <v>#NAME?</v>
      </c>
      <c r="AO689" s="223" t="e">
        <f aca="false">_xlfn.xlookup(AK689,A:A,AG:AG)</f>
        <v>#NAME?</v>
      </c>
      <c r="AP689" s="223" t="e">
        <f aca="false">_xlfn.xlookup(AK689,A:A,AD:AD)</f>
        <v>#NAME?</v>
      </c>
      <c r="AQ689" s="223" t="e">
        <f aca="false">_xlfn.xlookup(AK689,A:A,AE:AE)</f>
        <v>#NAME?</v>
      </c>
      <c r="BB689" s="15" t="e">
        <f aca="false">_xlfn.xlookup(BA689,A:A,E:E)</f>
        <v>#NAME?</v>
      </c>
      <c r="BC689" s="15" t="e">
        <f aca="false">_xlfn.xlookup(BA689,A:A,J:J)</f>
        <v>#NAME?</v>
      </c>
      <c r="BD689" s="75" t="e">
        <f aca="false">_xlfn.xlookup(BA689,A:A,M:M)+_xlfn.xlookup(BA689,A:A,N:N)</f>
        <v>#NAME?</v>
      </c>
    </row>
    <row r="690" customFormat="false" ht="14.25" hidden="false" customHeight="false" outlineLevel="0" collapsed="false">
      <c r="AK690" s="15" t="e">
        <v>#NAME?</v>
      </c>
      <c r="AL690" s="15" t="e">
        <f aca="false">_xlfn.xlookup(AK690,A:A,F:F)</f>
        <v>#NAME?</v>
      </c>
      <c r="AM690" s="15" t="e">
        <f aca="false">_xlfn.xlookup(AK690,A:A,J:J)</f>
        <v>#NAME?</v>
      </c>
      <c r="AN690" s="15" t="e">
        <f aca="false">_xlfn.xlookup(AK690,A:A,M:M)+_xlfn.xlookup(AK690,A:A,N:N)</f>
        <v>#NAME?</v>
      </c>
      <c r="AO690" s="223" t="e">
        <f aca="false">_xlfn.xlookup(AK690,A:A,AG:AG)</f>
        <v>#NAME?</v>
      </c>
      <c r="AP690" s="223" t="e">
        <f aca="false">_xlfn.xlookup(AK690,A:A,AD:AD)</f>
        <v>#NAME?</v>
      </c>
      <c r="AQ690" s="223" t="e">
        <f aca="false">_xlfn.xlookup(AK690,A:A,AE:AE)</f>
        <v>#NAME?</v>
      </c>
      <c r="BB690" s="15" t="e">
        <f aca="false">_xlfn.xlookup(BA690,A:A,E:E)</f>
        <v>#NAME?</v>
      </c>
      <c r="BC690" s="15" t="e">
        <f aca="false">_xlfn.xlookup(BA690,A:A,J:J)</f>
        <v>#NAME?</v>
      </c>
      <c r="BD690" s="75" t="e">
        <f aca="false">_xlfn.xlookup(BA690,A:A,M:M)+_xlfn.xlookup(BA690,A:A,N:N)</f>
        <v>#NAME?</v>
      </c>
    </row>
    <row r="691" customFormat="false" ht="14.25" hidden="false" customHeight="false" outlineLevel="0" collapsed="false">
      <c r="AK691" s="15" t="e">
        <v>#NAME?</v>
      </c>
      <c r="AL691" s="15" t="e">
        <f aca="false">_xlfn.xlookup(AK691,A:A,F:F)</f>
        <v>#NAME?</v>
      </c>
      <c r="AM691" s="15" t="e">
        <f aca="false">_xlfn.xlookup(AK691,A:A,J:J)</f>
        <v>#NAME?</v>
      </c>
      <c r="AN691" s="15" t="e">
        <f aca="false">_xlfn.xlookup(AK691,A:A,M:M)+_xlfn.xlookup(AK691,A:A,N:N)</f>
        <v>#NAME?</v>
      </c>
      <c r="AO691" s="223" t="e">
        <f aca="false">_xlfn.xlookup(AK691,A:A,AG:AG)</f>
        <v>#NAME?</v>
      </c>
      <c r="AP691" s="223" t="e">
        <f aca="false">_xlfn.xlookup(AK691,A:A,AD:AD)</f>
        <v>#NAME?</v>
      </c>
      <c r="AQ691" s="223" t="e">
        <f aca="false">_xlfn.xlookup(AK691,A:A,AE:AE)</f>
        <v>#NAME?</v>
      </c>
      <c r="BB691" s="15" t="e">
        <f aca="false">_xlfn.xlookup(BA691,A:A,E:E)</f>
        <v>#NAME?</v>
      </c>
      <c r="BC691" s="15" t="e">
        <f aca="false">_xlfn.xlookup(BA691,A:A,J:J)</f>
        <v>#NAME?</v>
      </c>
      <c r="BD691" s="75" t="e">
        <f aca="false">_xlfn.xlookup(BA691,A:A,M:M)+_xlfn.xlookup(BA691,A:A,N:N)</f>
        <v>#NAME?</v>
      </c>
    </row>
    <row r="692" customFormat="false" ht="14.25" hidden="false" customHeight="false" outlineLevel="0" collapsed="false">
      <c r="AK692" s="15" t="e">
        <v>#NAME?</v>
      </c>
      <c r="AL692" s="15" t="e">
        <f aca="false">_xlfn.xlookup(AK692,A:A,F:F)</f>
        <v>#NAME?</v>
      </c>
      <c r="AM692" s="15" t="e">
        <f aca="false">_xlfn.xlookup(AK692,A:A,J:J)</f>
        <v>#NAME?</v>
      </c>
      <c r="AN692" s="15" t="e">
        <f aca="false">_xlfn.xlookup(AK692,A:A,M:M)+_xlfn.xlookup(AK692,A:A,N:N)</f>
        <v>#NAME?</v>
      </c>
      <c r="AO692" s="223" t="e">
        <f aca="false">_xlfn.xlookup(AK692,A:A,AG:AG)</f>
        <v>#NAME?</v>
      </c>
      <c r="AP692" s="223" t="e">
        <f aca="false">_xlfn.xlookup(AK692,A:A,AD:AD)</f>
        <v>#NAME?</v>
      </c>
      <c r="AQ692" s="223" t="e">
        <f aca="false">_xlfn.xlookup(AK692,A:A,AE:AE)</f>
        <v>#NAME?</v>
      </c>
      <c r="BB692" s="15" t="e">
        <f aca="false">_xlfn.xlookup(BA692,A:A,E:E)</f>
        <v>#NAME?</v>
      </c>
      <c r="BC692" s="15" t="e">
        <f aca="false">_xlfn.xlookup(BA692,A:A,J:J)</f>
        <v>#NAME?</v>
      </c>
      <c r="BD692" s="75" t="e">
        <f aca="false">_xlfn.xlookup(BA692,A:A,M:M)+_xlfn.xlookup(BA692,A:A,N:N)</f>
        <v>#NAME?</v>
      </c>
    </row>
    <row r="693" customFormat="false" ht="14.25" hidden="false" customHeight="false" outlineLevel="0" collapsed="false">
      <c r="AK693" s="15" t="e">
        <v>#NAME?</v>
      </c>
      <c r="AL693" s="15" t="e">
        <f aca="false">_xlfn.xlookup(AK693,A:A,F:F)</f>
        <v>#NAME?</v>
      </c>
      <c r="AM693" s="15" t="e">
        <f aca="false">_xlfn.xlookup(AK693,A:A,J:J)</f>
        <v>#NAME?</v>
      </c>
      <c r="AN693" s="15" t="e">
        <f aca="false">_xlfn.xlookup(AK693,A:A,M:M)+_xlfn.xlookup(AK693,A:A,N:N)</f>
        <v>#NAME?</v>
      </c>
      <c r="AO693" s="223" t="e">
        <f aca="false">_xlfn.xlookup(AK693,A:A,AG:AG)</f>
        <v>#NAME?</v>
      </c>
      <c r="AP693" s="223" t="e">
        <f aca="false">_xlfn.xlookup(AK693,A:A,AD:AD)</f>
        <v>#NAME?</v>
      </c>
      <c r="AQ693" s="223" t="e">
        <f aca="false">_xlfn.xlookup(AK693,A:A,AE:AE)</f>
        <v>#NAME?</v>
      </c>
      <c r="BB693" s="15" t="e">
        <f aca="false">_xlfn.xlookup(BA693,A:A,E:E)</f>
        <v>#NAME?</v>
      </c>
      <c r="BC693" s="15" t="e">
        <f aca="false">_xlfn.xlookup(BA693,A:A,J:J)</f>
        <v>#NAME?</v>
      </c>
      <c r="BD693" s="75" t="e">
        <f aca="false">_xlfn.xlookup(BA693,A:A,M:M)+_xlfn.xlookup(BA693,A:A,N:N)</f>
        <v>#NAME?</v>
      </c>
    </row>
    <row r="694" customFormat="false" ht="14.25" hidden="false" customHeight="false" outlineLevel="0" collapsed="false">
      <c r="AK694" s="15" t="e">
        <v>#NAME?</v>
      </c>
      <c r="AL694" s="15" t="e">
        <f aca="false">_xlfn.xlookup(AK694,A:A,F:F)</f>
        <v>#NAME?</v>
      </c>
      <c r="AM694" s="15" t="e">
        <f aca="false">_xlfn.xlookup(AK694,A:A,J:J)</f>
        <v>#NAME?</v>
      </c>
      <c r="AN694" s="15" t="e">
        <f aca="false">_xlfn.xlookup(AK694,A:A,M:M)+_xlfn.xlookup(AK694,A:A,N:N)</f>
        <v>#NAME?</v>
      </c>
      <c r="AO694" s="223" t="e">
        <f aca="false">_xlfn.xlookup(AK694,A:A,AG:AG)</f>
        <v>#NAME?</v>
      </c>
      <c r="AP694" s="223" t="e">
        <f aca="false">_xlfn.xlookup(AK694,A:A,AD:AD)</f>
        <v>#NAME?</v>
      </c>
      <c r="AQ694" s="223" t="e">
        <f aca="false">_xlfn.xlookup(AK694,A:A,AE:AE)</f>
        <v>#NAME?</v>
      </c>
      <c r="BB694" s="15" t="e">
        <f aca="false">_xlfn.xlookup(BA694,A:A,E:E)</f>
        <v>#NAME?</v>
      </c>
      <c r="BC694" s="15" t="e">
        <f aca="false">_xlfn.xlookup(BA694,A:A,J:J)</f>
        <v>#NAME?</v>
      </c>
      <c r="BD694" s="75" t="e">
        <f aca="false">_xlfn.xlookup(BA694,A:A,M:M)+_xlfn.xlookup(BA694,A:A,N:N)</f>
        <v>#NAME?</v>
      </c>
    </row>
    <row r="695" customFormat="false" ht="14.25" hidden="false" customHeight="false" outlineLevel="0" collapsed="false">
      <c r="AK695" s="15" t="e">
        <v>#NAME?</v>
      </c>
      <c r="AL695" s="15" t="e">
        <f aca="false">_xlfn.xlookup(AK695,A:A,F:F)</f>
        <v>#NAME?</v>
      </c>
      <c r="AM695" s="15" t="e">
        <f aca="false">_xlfn.xlookup(AK695,A:A,J:J)</f>
        <v>#NAME?</v>
      </c>
      <c r="AN695" s="15" t="e">
        <f aca="false">_xlfn.xlookup(AK695,A:A,M:M)+_xlfn.xlookup(AK695,A:A,N:N)</f>
        <v>#NAME?</v>
      </c>
      <c r="AO695" s="223" t="e">
        <f aca="false">_xlfn.xlookup(AK695,A:A,AG:AG)</f>
        <v>#NAME?</v>
      </c>
      <c r="AP695" s="223" t="e">
        <f aca="false">_xlfn.xlookup(AK695,A:A,AD:AD)</f>
        <v>#NAME?</v>
      </c>
      <c r="AQ695" s="223" t="e">
        <f aca="false">_xlfn.xlookup(AK695,A:A,AE:AE)</f>
        <v>#NAME?</v>
      </c>
      <c r="BB695" s="15" t="e">
        <f aca="false">_xlfn.xlookup(BA695,A:A,E:E)</f>
        <v>#NAME?</v>
      </c>
      <c r="BC695" s="15" t="e">
        <f aca="false">_xlfn.xlookup(BA695,A:A,J:J)</f>
        <v>#NAME?</v>
      </c>
      <c r="BD695" s="75" t="e">
        <f aca="false">_xlfn.xlookup(BA695,A:A,M:M)+_xlfn.xlookup(BA695,A:A,N:N)</f>
        <v>#NAME?</v>
      </c>
    </row>
    <row r="696" customFormat="false" ht="14.25" hidden="false" customHeight="false" outlineLevel="0" collapsed="false">
      <c r="AK696" s="15" t="e">
        <v>#NAME?</v>
      </c>
      <c r="AL696" s="15" t="e">
        <f aca="false">_xlfn.xlookup(AK696,A:A,F:F)</f>
        <v>#NAME?</v>
      </c>
      <c r="AM696" s="15" t="e">
        <f aca="false">_xlfn.xlookup(AK696,A:A,J:J)</f>
        <v>#NAME?</v>
      </c>
      <c r="AN696" s="15" t="e">
        <f aca="false">_xlfn.xlookup(AK696,A:A,M:M)+_xlfn.xlookup(AK696,A:A,N:N)</f>
        <v>#NAME?</v>
      </c>
      <c r="AO696" s="223" t="e">
        <f aca="false">_xlfn.xlookup(AK696,A:A,AG:AG)</f>
        <v>#NAME?</v>
      </c>
      <c r="AP696" s="223" t="e">
        <f aca="false">_xlfn.xlookup(AK696,A:A,AD:AD)</f>
        <v>#NAME?</v>
      </c>
      <c r="AQ696" s="223" t="e">
        <f aca="false">_xlfn.xlookup(AK696,A:A,AE:AE)</f>
        <v>#NAME?</v>
      </c>
      <c r="BB696" s="15" t="e">
        <f aca="false">_xlfn.xlookup(BA696,A:A,E:E)</f>
        <v>#NAME?</v>
      </c>
      <c r="BC696" s="15" t="e">
        <f aca="false">_xlfn.xlookup(BA696,A:A,J:J)</f>
        <v>#NAME?</v>
      </c>
      <c r="BD696" s="75" t="e">
        <f aca="false">_xlfn.xlookup(BA696,A:A,M:M)+_xlfn.xlookup(BA696,A:A,N:N)</f>
        <v>#NAME?</v>
      </c>
    </row>
    <row r="697" customFormat="false" ht="14.25" hidden="false" customHeight="false" outlineLevel="0" collapsed="false">
      <c r="AK697" s="15" t="e">
        <v>#NAME?</v>
      </c>
      <c r="AL697" s="15" t="e">
        <f aca="false">_xlfn.xlookup(AK697,A:A,F:F)</f>
        <v>#NAME?</v>
      </c>
      <c r="AM697" s="15" t="e">
        <f aca="false">_xlfn.xlookup(AK697,A:A,J:J)</f>
        <v>#NAME?</v>
      </c>
      <c r="AN697" s="15" t="e">
        <f aca="false">_xlfn.xlookup(AK697,A:A,M:M)+_xlfn.xlookup(AK697,A:A,N:N)</f>
        <v>#NAME?</v>
      </c>
      <c r="AO697" s="223" t="e">
        <f aca="false">_xlfn.xlookup(AK697,A:A,AG:AG)</f>
        <v>#NAME?</v>
      </c>
      <c r="AP697" s="223" t="e">
        <f aca="false">_xlfn.xlookup(AK697,A:A,AD:AD)</f>
        <v>#NAME?</v>
      </c>
      <c r="AQ697" s="223" t="e">
        <f aca="false">_xlfn.xlookup(AK697,A:A,AE:AE)</f>
        <v>#NAME?</v>
      </c>
      <c r="BB697" s="15" t="e">
        <f aca="false">_xlfn.xlookup(BA697,A:A,E:E)</f>
        <v>#NAME?</v>
      </c>
      <c r="BC697" s="15" t="e">
        <f aca="false">_xlfn.xlookup(BA697,A:A,J:J)</f>
        <v>#NAME?</v>
      </c>
      <c r="BD697" s="75" t="e">
        <f aca="false">_xlfn.xlookup(BA697,A:A,M:M)+_xlfn.xlookup(BA697,A:A,N:N)</f>
        <v>#NAME?</v>
      </c>
    </row>
    <row r="698" customFormat="false" ht="14.25" hidden="false" customHeight="false" outlineLevel="0" collapsed="false">
      <c r="AK698" s="15" t="e">
        <v>#NAME?</v>
      </c>
      <c r="AL698" s="15" t="e">
        <f aca="false">_xlfn.xlookup(AK698,A:A,F:F)</f>
        <v>#NAME?</v>
      </c>
      <c r="AM698" s="15" t="e">
        <f aca="false">_xlfn.xlookup(AK698,A:A,J:J)</f>
        <v>#NAME?</v>
      </c>
      <c r="AN698" s="15" t="e">
        <f aca="false">_xlfn.xlookup(AK698,A:A,M:M)+_xlfn.xlookup(AK698,A:A,N:N)</f>
        <v>#NAME?</v>
      </c>
      <c r="AO698" s="223" t="e">
        <f aca="false">_xlfn.xlookup(AK698,A:A,AG:AG)</f>
        <v>#NAME?</v>
      </c>
      <c r="AP698" s="223" t="e">
        <f aca="false">_xlfn.xlookup(AK698,A:A,AD:AD)</f>
        <v>#NAME?</v>
      </c>
      <c r="AQ698" s="223" t="e">
        <f aca="false">_xlfn.xlookup(AK698,A:A,AE:AE)</f>
        <v>#NAME?</v>
      </c>
      <c r="BB698" s="15" t="e">
        <f aca="false">_xlfn.xlookup(BA698,A:A,E:E)</f>
        <v>#NAME?</v>
      </c>
      <c r="BC698" s="15" t="e">
        <f aca="false">_xlfn.xlookup(BA698,A:A,J:J)</f>
        <v>#NAME?</v>
      </c>
      <c r="BD698" s="75" t="e">
        <f aca="false">_xlfn.xlookup(BA698,A:A,M:M)+_xlfn.xlookup(BA698,A:A,N:N)</f>
        <v>#NAME?</v>
      </c>
    </row>
    <row r="699" customFormat="false" ht="14.25" hidden="false" customHeight="false" outlineLevel="0" collapsed="false">
      <c r="AK699" s="15" t="e">
        <v>#NAME?</v>
      </c>
      <c r="AL699" s="15" t="e">
        <f aca="false">_xlfn.xlookup(AK699,A:A,F:F)</f>
        <v>#NAME?</v>
      </c>
      <c r="AM699" s="15" t="e">
        <f aca="false">_xlfn.xlookup(AK699,A:A,J:J)</f>
        <v>#NAME?</v>
      </c>
      <c r="AN699" s="15" t="e">
        <f aca="false">_xlfn.xlookup(AK699,A:A,M:M)+_xlfn.xlookup(AK699,A:A,N:N)</f>
        <v>#NAME?</v>
      </c>
      <c r="AO699" s="223" t="e">
        <f aca="false">_xlfn.xlookup(AK699,A:A,AG:AG)</f>
        <v>#NAME?</v>
      </c>
      <c r="AP699" s="223" t="e">
        <f aca="false">_xlfn.xlookup(AK699,A:A,AD:AD)</f>
        <v>#NAME?</v>
      </c>
      <c r="AQ699" s="223" t="e">
        <f aca="false">_xlfn.xlookup(AK699,A:A,AE:AE)</f>
        <v>#NAME?</v>
      </c>
      <c r="BB699" s="15" t="e">
        <f aca="false">_xlfn.xlookup(BA699,A:A,E:E)</f>
        <v>#NAME?</v>
      </c>
      <c r="BC699" s="15" t="e">
        <f aca="false">_xlfn.xlookup(BA699,A:A,J:J)</f>
        <v>#NAME?</v>
      </c>
      <c r="BD699" s="75" t="e">
        <f aca="false">_xlfn.xlookup(BA699,A:A,M:M)+_xlfn.xlookup(BA699,A:A,N:N)</f>
        <v>#NAME?</v>
      </c>
    </row>
    <row r="700" customFormat="false" ht="14.25" hidden="false" customHeight="false" outlineLevel="0" collapsed="false">
      <c r="AK700" s="15" t="e">
        <v>#NAME?</v>
      </c>
      <c r="AL700" s="15" t="e">
        <f aca="false">_xlfn.xlookup(AK700,A:A,F:F)</f>
        <v>#NAME?</v>
      </c>
      <c r="AM700" s="15" t="e">
        <f aca="false">_xlfn.xlookup(AK700,A:A,J:J)</f>
        <v>#NAME?</v>
      </c>
      <c r="AN700" s="15" t="e">
        <f aca="false">_xlfn.xlookup(AK700,A:A,M:M)+_xlfn.xlookup(AK700,A:A,N:N)</f>
        <v>#NAME?</v>
      </c>
      <c r="AO700" s="223" t="e">
        <f aca="false">_xlfn.xlookup(AK700,A:A,AG:AG)</f>
        <v>#NAME?</v>
      </c>
      <c r="AP700" s="223" t="e">
        <f aca="false">_xlfn.xlookup(AK700,A:A,AD:AD)</f>
        <v>#NAME?</v>
      </c>
      <c r="AQ700" s="223" t="e">
        <f aca="false">_xlfn.xlookup(AK700,A:A,AE:AE)</f>
        <v>#NAME?</v>
      </c>
      <c r="BB700" s="15" t="e">
        <f aca="false">_xlfn.xlookup(BA700,A:A,E:E)</f>
        <v>#NAME?</v>
      </c>
      <c r="BC700" s="15" t="e">
        <f aca="false">_xlfn.xlookup(BA700,A:A,J:J)</f>
        <v>#NAME?</v>
      </c>
      <c r="BD700" s="75" t="e">
        <f aca="false">_xlfn.xlookup(BA700,A:A,M:M)+_xlfn.xlookup(BA700,A:A,N:N)</f>
        <v>#NAME?</v>
      </c>
    </row>
    <row r="701" customFormat="false" ht="14.25" hidden="false" customHeight="false" outlineLevel="0" collapsed="false">
      <c r="AK701" s="15" t="e">
        <v>#NAME?</v>
      </c>
      <c r="AL701" s="15" t="e">
        <f aca="false">_xlfn.xlookup(AK701,A:A,F:F)</f>
        <v>#NAME?</v>
      </c>
      <c r="AM701" s="15" t="e">
        <f aca="false">_xlfn.xlookup(AK701,A:A,J:J)</f>
        <v>#NAME?</v>
      </c>
      <c r="AN701" s="15" t="e">
        <f aca="false">_xlfn.xlookup(AK701,A:A,M:M)+_xlfn.xlookup(AK701,A:A,N:N)</f>
        <v>#NAME?</v>
      </c>
      <c r="AO701" s="223" t="e">
        <f aca="false">_xlfn.xlookup(AK701,A:A,AG:AG)</f>
        <v>#NAME?</v>
      </c>
      <c r="AP701" s="223" t="e">
        <f aca="false">_xlfn.xlookup(AK701,A:A,AD:AD)</f>
        <v>#NAME?</v>
      </c>
      <c r="AQ701" s="223" t="e">
        <f aca="false">_xlfn.xlookup(AK701,A:A,AE:AE)</f>
        <v>#NAME?</v>
      </c>
      <c r="BB701" s="15" t="e">
        <f aca="false">_xlfn.xlookup(BA701,A:A,E:E)</f>
        <v>#NAME?</v>
      </c>
      <c r="BC701" s="15" t="e">
        <f aca="false">_xlfn.xlookup(BA701,A:A,J:J)</f>
        <v>#NAME?</v>
      </c>
      <c r="BD701" s="75" t="e">
        <f aca="false">_xlfn.xlookup(BA701,A:A,M:M)+_xlfn.xlookup(BA701,A:A,N:N)</f>
        <v>#NAME?</v>
      </c>
    </row>
    <row r="702" customFormat="false" ht="14.25" hidden="false" customHeight="false" outlineLevel="0" collapsed="false">
      <c r="AK702" s="15" t="e">
        <v>#NAME?</v>
      </c>
      <c r="AL702" s="15" t="e">
        <f aca="false">_xlfn.xlookup(AK702,A:A,F:F)</f>
        <v>#NAME?</v>
      </c>
      <c r="AM702" s="15" t="e">
        <f aca="false">_xlfn.xlookup(AK702,A:A,J:J)</f>
        <v>#NAME?</v>
      </c>
      <c r="AN702" s="15" t="e">
        <f aca="false">_xlfn.xlookup(AK702,A:A,M:M)+_xlfn.xlookup(AK702,A:A,N:N)</f>
        <v>#NAME?</v>
      </c>
      <c r="AO702" s="223" t="e">
        <f aca="false">_xlfn.xlookup(AK702,A:A,AG:AG)</f>
        <v>#NAME?</v>
      </c>
      <c r="AP702" s="223" t="e">
        <f aca="false">_xlfn.xlookup(AK702,A:A,AD:AD)</f>
        <v>#NAME?</v>
      </c>
      <c r="AQ702" s="223" t="e">
        <f aca="false">_xlfn.xlookup(AK702,A:A,AE:AE)</f>
        <v>#NAME?</v>
      </c>
      <c r="BB702" s="15" t="e">
        <f aca="false">_xlfn.xlookup(BA702,A:A,E:E)</f>
        <v>#NAME?</v>
      </c>
      <c r="BC702" s="15" t="e">
        <f aca="false">_xlfn.xlookup(BA702,A:A,J:J)</f>
        <v>#NAME?</v>
      </c>
      <c r="BD702" s="75" t="e">
        <f aca="false">_xlfn.xlookup(BA702,A:A,M:M)+_xlfn.xlookup(BA702,A:A,N:N)</f>
        <v>#NAME?</v>
      </c>
    </row>
    <row r="703" customFormat="false" ht="14.25" hidden="false" customHeight="false" outlineLevel="0" collapsed="false">
      <c r="AK703" s="15" t="e">
        <v>#NAME?</v>
      </c>
      <c r="AL703" s="15" t="e">
        <f aca="false">_xlfn.xlookup(AK703,A:A,F:F)</f>
        <v>#NAME?</v>
      </c>
      <c r="AM703" s="15" t="e">
        <f aca="false">_xlfn.xlookup(AK703,A:A,J:J)</f>
        <v>#NAME?</v>
      </c>
      <c r="AN703" s="15" t="e">
        <f aca="false">_xlfn.xlookup(AK703,A:A,M:M)+_xlfn.xlookup(AK703,A:A,N:N)</f>
        <v>#NAME?</v>
      </c>
      <c r="AO703" s="223" t="e">
        <f aca="false">_xlfn.xlookup(AK703,A:A,AG:AG)</f>
        <v>#NAME?</v>
      </c>
      <c r="AP703" s="223" t="e">
        <f aca="false">_xlfn.xlookup(AK703,A:A,AD:AD)</f>
        <v>#NAME?</v>
      </c>
      <c r="AQ703" s="223" t="e">
        <f aca="false">_xlfn.xlookup(AK703,A:A,AE:AE)</f>
        <v>#NAME?</v>
      </c>
      <c r="BB703" s="15" t="e">
        <f aca="false">_xlfn.xlookup(BA703,A:A,E:E)</f>
        <v>#NAME?</v>
      </c>
      <c r="BC703" s="15" t="e">
        <f aca="false">_xlfn.xlookup(BA703,A:A,J:J)</f>
        <v>#NAME?</v>
      </c>
      <c r="BD703" s="75" t="e">
        <f aca="false">_xlfn.xlookup(BA703,A:A,M:M)+_xlfn.xlookup(BA703,A:A,N:N)</f>
        <v>#NAME?</v>
      </c>
    </row>
    <row r="704" customFormat="false" ht="14.25" hidden="false" customHeight="false" outlineLevel="0" collapsed="false">
      <c r="AK704" s="15" t="e">
        <v>#NAME?</v>
      </c>
      <c r="AL704" s="15" t="e">
        <f aca="false">_xlfn.xlookup(AK704,A:A,F:F)</f>
        <v>#NAME?</v>
      </c>
      <c r="AM704" s="15" t="e">
        <f aca="false">_xlfn.xlookup(AK704,A:A,J:J)</f>
        <v>#NAME?</v>
      </c>
      <c r="AN704" s="15" t="e">
        <f aca="false">_xlfn.xlookup(AK704,A:A,M:M)+_xlfn.xlookup(AK704,A:A,N:N)</f>
        <v>#NAME?</v>
      </c>
      <c r="AO704" s="223" t="e">
        <f aca="false">_xlfn.xlookup(AK704,A:A,AG:AG)</f>
        <v>#NAME?</v>
      </c>
      <c r="AP704" s="223" t="e">
        <f aca="false">_xlfn.xlookup(AK704,A:A,AD:AD)</f>
        <v>#NAME?</v>
      </c>
      <c r="AQ704" s="223" t="e">
        <f aca="false">_xlfn.xlookup(AK704,A:A,AE:AE)</f>
        <v>#NAME?</v>
      </c>
      <c r="BB704" s="15" t="e">
        <f aca="false">_xlfn.xlookup(BA704,A:A,E:E)</f>
        <v>#NAME?</v>
      </c>
      <c r="BC704" s="15" t="e">
        <f aca="false">_xlfn.xlookup(BA704,A:A,J:J)</f>
        <v>#NAME?</v>
      </c>
      <c r="BD704" s="75" t="e">
        <f aca="false">_xlfn.xlookup(BA704,A:A,M:M)+_xlfn.xlookup(BA704,A:A,N:N)</f>
        <v>#NAME?</v>
      </c>
    </row>
    <row r="705" customFormat="false" ht="14.25" hidden="false" customHeight="false" outlineLevel="0" collapsed="false">
      <c r="AK705" s="15" t="e">
        <v>#NAME?</v>
      </c>
      <c r="AL705" s="15" t="e">
        <f aca="false">_xlfn.xlookup(AK705,A:A,F:F)</f>
        <v>#NAME?</v>
      </c>
      <c r="AM705" s="15" t="e">
        <f aca="false">_xlfn.xlookup(AK705,A:A,J:J)</f>
        <v>#NAME?</v>
      </c>
      <c r="AN705" s="15" t="e">
        <f aca="false">_xlfn.xlookup(AK705,A:A,M:M)+_xlfn.xlookup(AK705,A:A,N:N)</f>
        <v>#NAME?</v>
      </c>
      <c r="AO705" s="223" t="e">
        <f aca="false">_xlfn.xlookup(AK705,A:A,AG:AG)</f>
        <v>#NAME?</v>
      </c>
      <c r="AP705" s="223" t="e">
        <f aca="false">_xlfn.xlookup(AK705,A:A,AD:AD)</f>
        <v>#NAME?</v>
      </c>
      <c r="AQ705" s="223" t="e">
        <f aca="false">_xlfn.xlookup(AK705,A:A,AE:AE)</f>
        <v>#NAME?</v>
      </c>
      <c r="BB705" s="15" t="e">
        <f aca="false">_xlfn.xlookup(BA705,A:A,E:E)</f>
        <v>#NAME?</v>
      </c>
      <c r="BC705" s="15" t="e">
        <f aca="false">_xlfn.xlookup(BA705,A:A,J:J)</f>
        <v>#NAME?</v>
      </c>
      <c r="BD705" s="75" t="e">
        <f aca="false">_xlfn.xlookup(BA705,A:A,M:M)+_xlfn.xlookup(BA705,A:A,N:N)</f>
        <v>#NAME?</v>
      </c>
    </row>
    <row r="706" customFormat="false" ht="14.25" hidden="false" customHeight="false" outlineLevel="0" collapsed="false">
      <c r="AK706" s="15" t="e">
        <v>#NAME?</v>
      </c>
      <c r="AL706" s="15" t="e">
        <f aca="false">_xlfn.xlookup(AK706,A:A,F:F)</f>
        <v>#NAME?</v>
      </c>
      <c r="AM706" s="15" t="e">
        <f aca="false">_xlfn.xlookup(AK706,A:A,J:J)</f>
        <v>#NAME?</v>
      </c>
      <c r="AN706" s="15" t="e">
        <f aca="false">_xlfn.xlookup(AK706,A:A,M:M)+_xlfn.xlookup(AK706,A:A,N:N)</f>
        <v>#NAME?</v>
      </c>
      <c r="AO706" s="223" t="e">
        <f aca="false">_xlfn.xlookup(AK706,A:A,AG:AG)</f>
        <v>#NAME?</v>
      </c>
      <c r="AP706" s="223" t="e">
        <f aca="false">_xlfn.xlookup(AK706,A:A,AD:AD)</f>
        <v>#NAME?</v>
      </c>
      <c r="AQ706" s="223" t="e">
        <f aca="false">_xlfn.xlookup(AK706,A:A,AE:AE)</f>
        <v>#NAME?</v>
      </c>
      <c r="BB706" s="15" t="e">
        <f aca="false">_xlfn.xlookup(BA706,A:A,E:E)</f>
        <v>#NAME?</v>
      </c>
      <c r="BC706" s="15" t="e">
        <f aca="false">_xlfn.xlookup(BA706,A:A,J:J)</f>
        <v>#NAME?</v>
      </c>
      <c r="BD706" s="75" t="e">
        <f aca="false">_xlfn.xlookup(BA706,A:A,M:M)+_xlfn.xlookup(BA706,A:A,N:N)</f>
        <v>#NAME?</v>
      </c>
    </row>
    <row r="707" customFormat="false" ht="14.25" hidden="false" customHeight="false" outlineLevel="0" collapsed="false">
      <c r="AK707" s="15" t="e">
        <v>#NAME?</v>
      </c>
      <c r="AL707" s="15" t="e">
        <f aca="false">_xlfn.xlookup(AK707,A:A,F:F)</f>
        <v>#NAME?</v>
      </c>
      <c r="AM707" s="15" t="e">
        <f aca="false">_xlfn.xlookup(AK707,A:A,J:J)</f>
        <v>#NAME?</v>
      </c>
      <c r="AN707" s="15" t="e">
        <f aca="false">_xlfn.xlookup(AK707,A:A,M:M)+_xlfn.xlookup(AK707,A:A,N:N)</f>
        <v>#NAME?</v>
      </c>
      <c r="AO707" s="223" t="e">
        <f aca="false">_xlfn.xlookup(AK707,A:A,AG:AG)</f>
        <v>#NAME?</v>
      </c>
      <c r="AP707" s="223" t="e">
        <f aca="false">_xlfn.xlookup(AK707,A:A,AD:AD)</f>
        <v>#NAME?</v>
      </c>
      <c r="AQ707" s="223" t="e">
        <f aca="false">_xlfn.xlookup(AK707,A:A,AE:AE)</f>
        <v>#NAME?</v>
      </c>
      <c r="BB707" s="15" t="e">
        <f aca="false">_xlfn.xlookup(BA707,A:A,E:E)</f>
        <v>#NAME?</v>
      </c>
      <c r="BC707" s="15" t="e">
        <f aca="false">_xlfn.xlookup(BA707,A:A,J:J)</f>
        <v>#NAME?</v>
      </c>
      <c r="BD707" s="75" t="e">
        <f aca="false">_xlfn.xlookup(BA707,A:A,M:M)+_xlfn.xlookup(BA707,A:A,N:N)</f>
        <v>#NAME?</v>
      </c>
    </row>
    <row r="708" customFormat="false" ht="14.25" hidden="false" customHeight="false" outlineLevel="0" collapsed="false">
      <c r="AK708" s="15" t="e">
        <v>#NAME?</v>
      </c>
      <c r="AL708" s="15" t="e">
        <f aca="false">_xlfn.xlookup(AK708,A:A,F:F)</f>
        <v>#NAME?</v>
      </c>
      <c r="AM708" s="15" t="e">
        <f aca="false">_xlfn.xlookup(AK708,A:A,J:J)</f>
        <v>#NAME?</v>
      </c>
      <c r="AN708" s="15" t="e">
        <f aca="false">_xlfn.xlookup(AK708,A:A,M:M)+_xlfn.xlookup(AK708,A:A,N:N)</f>
        <v>#NAME?</v>
      </c>
      <c r="AO708" s="223" t="e">
        <f aca="false">_xlfn.xlookup(AK708,A:A,AG:AG)</f>
        <v>#NAME?</v>
      </c>
      <c r="AP708" s="223" t="e">
        <f aca="false">_xlfn.xlookup(AK708,A:A,AD:AD)</f>
        <v>#NAME?</v>
      </c>
      <c r="AQ708" s="223" t="e">
        <f aca="false">_xlfn.xlookup(AK708,A:A,AE:AE)</f>
        <v>#NAME?</v>
      </c>
      <c r="BB708" s="15" t="e">
        <f aca="false">_xlfn.xlookup(BA708,A:A,E:E)</f>
        <v>#NAME?</v>
      </c>
      <c r="BC708" s="15" t="e">
        <f aca="false">_xlfn.xlookup(BA708,A:A,J:J)</f>
        <v>#NAME?</v>
      </c>
      <c r="BD708" s="75" t="e">
        <f aca="false">_xlfn.xlookup(BA708,A:A,M:M)+_xlfn.xlookup(BA708,A:A,N:N)</f>
        <v>#NAME?</v>
      </c>
    </row>
    <row r="709" customFormat="false" ht="14.25" hidden="false" customHeight="false" outlineLevel="0" collapsed="false">
      <c r="AK709" s="15" t="e">
        <v>#NAME?</v>
      </c>
      <c r="AL709" s="15" t="e">
        <f aca="false">_xlfn.xlookup(AK709,A:A,F:F)</f>
        <v>#NAME?</v>
      </c>
      <c r="AM709" s="15" t="e">
        <f aca="false">_xlfn.xlookup(AK709,A:A,J:J)</f>
        <v>#NAME?</v>
      </c>
      <c r="AN709" s="15" t="e">
        <f aca="false">_xlfn.xlookup(AK709,A:A,M:M)+_xlfn.xlookup(AK709,A:A,N:N)</f>
        <v>#NAME?</v>
      </c>
      <c r="AO709" s="223" t="e">
        <f aca="false">_xlfn.xlookup(AK709,A:A,AG:AG)</f>
        <v>#NAME?</v>
      </c>
      <c r="AP709" s="223" t="e">
        <f aca="false">_xlfn.xlookup(AK709,A:A,AD:AD)</f>
        <v>#NAME?</v>
      </c>
      <c r="AQ709" s="223" t="e">
        <f aca="false">_xlfn.xlookup(AK709,A:A,AE:AE)</f>
        <v>#NAME?</v>
      </c>
      <c r="BB709" s="15" t="e">
        <f aca="false">_xlfn.xlookup(BA709,A:A,E:E)</f>
        <v>#NAME?</v>
      </c>
      <c r="BC709" s="15" t="e">
        <f aca="false">_xlfn.xlookup(BA709,A:A,J:J)</f>
        <v>#NAME?</v>
      </c>
      <c r="BD709" s="75" t="e">
        <f aca="false">_xlfn.xlookup(BA709,A:A,M:M)+_xlfn.xlookup(BA709,A:A,N:N)</f>
        <v>#NAME?</v>
      </c>
    </row>
    <row r="710" customFormat="false" ht="14.25" hidden="false" customHeight="false" outlineLevel="0" collapsed="false">
      <c r="AK710" s="15" t="e">
        <v>#NAME?</v>
      </c>
      <c r="AL710" s="15" t="e">
        <f aca="false">_xlfn.xlookup(AK710,A:A,F:F)</f>
        <v>#NAME?</v>
      </c>
      <c r="AM710" s="15" t="e">
        <f aca="false">_xlfn.xlookup(AK710,A:A,J:J)</f>
        <v>#NAME?</v>
      </c>
      <c r="AN710" s="15" t="e">
        <f aca="false">_xlfn.xlookup(AK710,A:A,M:M)+_xlfn.xlookup(AK710,A:A,N:N)</f>
        <v>#NAME?</v>
      </c>
      <c r="AO710" s="223" t="e">
        <f aca="false">_xlfn.xlookup(AK710,A:A,AG:AG)</f>
        <v>#NAME?</v>
      </c>
      <c r="AP710" s="223" t="e">
        <f aca="false">_xlfn.xlookup(AK710,A:A,AD:AD)</f>
        <v>#NAME?</v>
      </c>
      <c r="AQ710" s="223" t="e">
        <f aca="false">_xlfn.xlookup(AK710,A:A,AE:AE)</f>
        <v>#NAME?</v>
      </c>
      <c r="BB710" s="15" t="e">
        <f aca="false">_xlfn.xlookup(BA710,A:A,E:E)</f>
        <v>#NAME?</v>
      </c>
      <c r="BC710" s="15" t="e">
        <f aca="false">_xlfn.xlookup(BA710,A:A,J:J)</f>
        <v>#NAME?</v>
      </c>
      <c r="BD710" s="75" t="e">
        <f aca="false">_xlfn.xlookup(BA710,A:A,M:M)+_xlfn.xlookup(BA710,A:A,N:N)</f>
        <v>#NAME?</v>
      </c>
    </row>
    <row r="711" customFormat="false" ht="14.25" hidden="false" customHeight="false" outlineLevel="0" collapsed="false">
      <c r="AK711" s="15" t="e">
        <v>#NAME?</v>
      </c>
      <c r="AL711" s="15" t="e">
        <f aca="false">_xlfn.xlookup(AK711,A:A,F:F)</f>
        <v>#NAME?</v>
      </c>
      <c r="AM711" s="15" t="e">
        <f aca="false">_xlfn.xlookup(AK711,A:A,J:J)</f>
        <v>#NAME?</v>
      </c>
      <c r="AN711" s="15" t="e">
        <f aca="false">_xlfn.xlookup(AK711,A:A,M:M)+_xlfn.xlookup(AK711,A:A,N:N)</f>
        <v>#NAME?</v>
      </c>
      <c r="AO711" s="223" t="e">
        <f aca="false">_xlfn.xlookup(AK711,A:A,AG:AG)</f>
        <v>#NAME?</v>
      </c>
      <c r="AP711" s="223" t="e">
        <f aca="false">_xlfn.xlookup(AK711,A:A,AD:AD)</f>
        <v>#NAME?</v>
      </c>
      <c r="AQ711" s="223" t="e">
        <f aca="false">_xlfn.xlookup(AK711,A:A,AE:AE)</f>
        <v>#NAME?</v>
      </c>
      <c r="BB711" s="15" t="e">
        <f aca="false">_xlfn.xlookup(BA711,A:A,E:E)</f>
        <v>#NAME?</v>
      </c>
      <c r="BC711" s="15" t="e">
        <f aca="false">_xlfn.xlookup(BA711,A:A,J:J)</f>
        <v>#NAME?</v>
      </c>
      <c r="BD711" s="75" t="e">
        <f aca="false">_xlfn.xlookup(BA711,A:A,M:M)+_xlfn.xlookup(BA711,A:A,N:N)</f>
        <v>#NAME?</v>
      </c>
    </row>
    <row r="712" customFormat="false" ht="14.25" hidden="false" customHeight="false" outlineLevel="0" collapsed="false">
      <c r="AK712" s="15" t="e">
        <v>#NAME?</v>
      </c>
      <c r="AL712" s="15" t="e">
        <f aca="false">_xlfn.xlookup(AK712,A:A,F:F)</f>
        <v>#NAME?</v>
      </c>
      <c r="AM712" s="15" t="e">
        <f aca="false">_xlfn.xlookup(AK712,A:A,J:J)</f>
        <v>#NAME?</v>
      </c>
      <c r="AN712" s="15" t="e">
        <f aca="false">_xlfn.xlookup(AK712,A:A,M:M)+_xlfn.xlookup(AK712,A:A,N:N)</f>
        <v>#NAME?</v>
      </c>
      <c r="AO712" s="223" t="e">
        <f aca="false">_xlfn.xlookup(AK712,A:A,AG:AG)</f>
        <v>#NAME?</v>
      </c>
      <c r="AP712" s="223" t="e">
        <f aca="false">_xlfn.xlookup(AK712,A:A,AD:AD)</f>
        <v>#NAME?</v>
      </c>
      <c r="AQ712" s="223" t="e">
        <f aca="false">_xlfn.xlookup(AK712,A:A,AE:AE)</f>
        <v>#NAME?</v>
      </c>
      <c r="BB712" s="15" t="e">
        <f aca="false">_xlfn.xlookup(BA712,A:A,E:E)</f>
        <v>#NAME?</v>
      </c>
      <c r="BC712" s="15" t="e">
        <f aca="false">_xlfn.xlookup(BA712,A:A,J:J)</f>
        <v>#NAME?</v>
      </c>
      <c r="BD712" s="75" t="e">
        <f aca="false">_xlfn.xlookup(BA712,A:A,M:M)+_xlfn.xlookup(BA712,A:A,N:N)</f>
        <v>#NAME?</v>
      </c>
    </row>
    <row r="713" customFormat="false" ht="14.25" hidden="false" customHeight="false" outlineLevel="0" collapsed="false">
      <c r="AK713" s="15" t="e">
        <v>#NAME?</v>
      </c>
      <c r="AL713" s="15" t="e">
        <f aca="false">_xlfn.xlookup(AK713,A:A,F:F)</f>
        <v>#NAME?</v>
      </c>
      <c r="AM713" s="15" t="e">
        <f aca="false">_xlfn.xlookup(AK713,A:A,J:J)</f>
        <v>#NAME?</v>
      </c>
      <c r="AN713" s="15" t="e">
        <f aca="false">_xlfn.xlookup(AK713,A:A,M:M)+_xlfn.xlookup(AK713,A:A,N:N)</f>
        <v>#NAME?</v>
      </c>
      <c r="AO713" s="223" t="e">
        <f aca="false">_xlfn.xlookup(AK713,A:A,AG:AG)</f>
        <v>#NAME?</v>
      </c>
      <c r="AP713" s="223" t="e">
        <f aca="false">_xlfn.xlookup(AK713,A:A,AD:AD)</f>
        <v>#NAME?</v>
      </c>
      <c r="AQ713" s="223" t="e">
        <f aca="false">_xlfn.xlookup(AK713,A:A,AE:AE)</f>
        <v>#NAME?</v>
      </c>
      <c r="BB713" s="15" t="e">
        <f aca="false">_xlfn.xlookup(BA713,A:A,E:E)</f>
        <v>#NAME?</v>
      </c>
      <c r="BC713" s="15" t="e">
        <f aca="false">_xlfn.xlookup(BA713,A:A,J:J)</f>
        <v>#NAME?</v>
      </c>
      <c r="BD713" s="75" t="e">
        <f aca="false">_xlfn.xlookup(BA713,A:A,M:M)+_xlfn.xlookup(BA713,A:A,N:N)</f>
        <v>#NAME?</v>
      </c>
    </row>
    <row r="714" customFormat="false" ht="14.25" hidden="false" customHeight="false" outlineLevel="0" collapsed="false">
      <c r="AK714" s="15" t="e">
        <v>#NAME?</v>
      </c>
      <c r="AL714" s="15" t="e">
        <f aca="false">_xlfn.xlookup(AK714,A:A,F:F)</f>
        <v>#NAME?</v>
      </c>
      <c r="AM714" s="15" t="e">
        <f aca="false">_xlfn.xlookup(AK714,A:A,J:J)</f>
        <v>#NAME?</v>
      </c>
      <c r="AN714" s="15" t="e">
        <f aca="false">_xlfn.xlookup(AK714,A:A,M:M)+_xlfn.xlookup(AK714,A:A,N:N)</f>
        <v>#NAME?</v>
      </c>
      <c r="AO714" s="223" t="e">
        <f aca="false">_xlfn.xlookup(AK714,A:A,AG:AG)</f>
        <v>#NAME?</v>
      </c>
      <c r="AP714" s="223" t="e">
        <f aca="false">_xlfn.xlookup(AK714,A:A,AD:AD)</f>
        <v>#NAME?</v>
      </c>
      <c r="AQ714" s="223" t="e">
        <f aca="false">_xlfn.xlookup(AK714,A:A,AE:AE)</f>
        <v>#NAME?</v>
      </c>
      <c r="BB714" s="15" t="e">
        <f aca="false">_xlfn.xlookup(BA714,A:A,E:E)</f>
        <v>#NAME?</v>
      </c>
      <c r="BC714" s="15" t="e">
        <f aca="false">_xlfn.xlookup(BA714,A:A,J:J)</f>
        <v>#NAME?</v>
      </c>
      <c r="BD714" s="75" t="e">
        <f aca="false">_xlfn.xlookup(BA714,A:A,M:M)+_xlfn.xlookup(BA714,A:A,N:N)</f>
        <v>#NAME?</v>
      </c>
    </row>
    <row r="715" customFormat="false" ht="14.25" hidden="false" customHeight="false" outlineLevel="0" collapsed="false">
      <c r="AK715" s="15" t="e">
        <v>#NAME?</v>
      </c>
      <c r="AL715" s="15" t="e">
        <f aca="false">_xlfn.xlookup(AK715,A:A,F:F)</f>
        <v>#NAME?</v>
      </c>
      <c r="AM715" s="15" t="e">
        <f aca="false">_xlfn.xlookup(AK715,A:A,J:J)</f>
        <v>#NAME?</v>
      </c>
      <c r="AN715" s="15" t="e">
        <f aca="false">_xlfn.xlookup(AK715,A:A,M:M)+_xlfn.xlookup(AK715,A:A,N:N)</f>
        <v>#NAME?</v>
      </c>
      <c r="AO715" s="223" t="e">
        <f aca="false">_xlfn.xlookup(AK715,A:A,AG:AG)</f>
        <v>#NAME?</v>
      </c>
      <c r="AP715" s="223" t="e">
        <f aca="false">_xlfn.xlookup(AK715,A:A,AD:AD)</f>
        <v>#NAME?</v>
      </c>
      <c r="AQ715" s="223" t="e">
        <f aca="false">_xlfn.xlookup(AK715,A:A,AE:AE)</f>
        <v>#NAME?</v>
      </c>
      <c r="BB715" s="15" t="e">
        <f aca="false">_xlfn.xlookup(BA715,A:A,E:E)</f>
        <v>#NAME?</v>
      </c>
      <c r="BC715" s="15" t="e">
        <f aca="false">_xlfn.xlookup(BA715,A:A,J:J)</f>
        <v>#NAME?</v>
      </c>
      <c r="BD715" s="75" t="e">
        <f aca="false">_xlfn.xlookup(BA715,A:A,M:M)+_xlfn.xlookup(BA715,A:A,N:N)</f>
        <v>#NAME?</v>
      </c>
    </row>
    <row r="716" customFormat="false" ht="14.25" hidden="false" customHeight="false" outlineLevel="0" collapsed="false">
      <c r="AK716" s="15" t="e">
        <v>#NAME?</v>
      </c>
      <c r="AL716" s="15" t="e">
        <f aca="false">_xlfn.xlookup(AK716,A:A,F:F)</f>
        <v>#NAME?</v>
      </c>
      <c r="AM716" s="15" t="e">
        <f aca="false">_xlfn.xlookup(AK716,A:A,J:J)</f>
        <v>#NAME?</v>
      </c>
      <c r="AN716" s="15" t="e">
        <f aca="false">_xlfn.xlookup(AK716,A:A,M:M)+_xlfn.xlookup(AK716,A:A,N:N)</f>
        <v>#NAME?</v>
      </c>
      <c r="AO716" s="223" t="e">
        <f aca="false">_xlfn.xlookup(AK716,A:A,AG:AG)</f>
        <v>#NAME?</v>
      </c>
      <c r="AP716" s="223" t="e">
        <f aca="false">_xlfn.xlookup(AK716,A:A,AD:AD)</f>
        <v>#NAME?</v>
      </c>
      <c r="AQ716" s="223" t="e">
        <f aca="false">_xlfn.xlookup(AK716,A:A,AE:AE)</f>
        <v>#NAME?</v>
      </c>
      <c r="BB716" s="15" t="e">
        <f aca="false">_xlfn.xlookup(BA716,A:A,E:E)</f>
        <v>#NAME?</v>
      </c>
      <c r="BC716" s="15" t="e">
        <f aca="false">_xlfn.xlookup(BA716,A:A,J:J)</f>
        <v>#NAME?</v>
      </c>
      <c r="BD716" s="75" t="e">
        <f aca="false">_xlfn.xlookup(BA716,A:A,M:M)+_xlfn.xlookup(BA716,A:A,N:N)</f>
        <v>#NAME?</v>
      </c>
    </row>
    <row r="717" customFormat="false" ht="14.25" hidden="false" customHeight="false" outlineLevel="0" collapsed="false">
      <c r="AK717" s="15" t="e">
        <v>#NAME?</v>
      </c>
      <c r="AL717" s="15" t="e">
        <f aca="false">_xlfn.xlookup(AK717,A:A,F:F)</f>
        <v>#NAME?</v>
      </c>
      <c r="AM717" s="15" t="e">
        <f aca="false">_xlfn.xlookup(AK717,A:A,J:J)</f>
        <v>#NAME?</v>
      </c>
      <c r="AN717" s="15" t="e">
        <f aca="false">_xlfn.xlookup(AK717,A:A,M:M)+_xlfn.xlookup(AK717,A:A,N:N)</f>
        <v>#NAME?</v>
      </c>
      <c r="AO717" s="223" t="e">
        <f aca="false">_xlfn.xlookup(AK717,A:A,AG:AG)</f>
        <v>#NAME?</v>
      </c>
      <c r="AP717" s="223" t="e">
        <f aca="false">_xlfn.xlookup(AK717,A:A,AD:AD)</f>
        <v>#NAME?</v>
      </c>
      <c r="AQ717" s="223" t="e">
        <f aca="false">_xlfn.xlookup(AK717,A:A,AE:AE)</f>
        <v>#NAME?</v>
      </c>
      <c r="BB717" s="15" t="e">
        <f aca="false">_xlfn.xlookup(BA717,A:A,E:E)</f>
        <v>#NAME?</v>
      </c>
      <c r="BC717" s="15" t="e">
        <f aca="false">_xlfn.xlookup(BA717,A:A,J:J)</f>
        <v>#NAME?</v>
      </c>
      <c r="BD717" s="75" t="e">
        <f aca="false">_xlfn.xlookup(BA717,A:A,M:M)+_xlfn.xlookup(BA717,A:A,N:N)</f>
        <v>#NAME?</v>
      </c>
    </row>
    <row r="718" customFormat="false" ht="14.25" hidden="false" customHeight="false" outlineLevel="0" collapsed="false">
      <c r="AK718" s="15" t="e">
        <v>#NAME?</v>
      </c>
      <c r="AL718" s="15" t="e">
        <f aca="false">_xlfn.xlookup(AK718,A:A,F:F)</f>
        <v>#NAME?</v>
      </c>
      <c r="AM718" s="15" t="e">
        <f aca="false">_xlfn.xlookup(AK718,A:A,J:J)</f>
        <v>#NAME?</v>
      </c>
      <c r="AN718" s="15" t="e">
        <f aca="false">_xlfn.xlookup(AK718,A:A,M:M)+_xlfn.xlookup(AK718,A:A,N:N)</f>
        <v>#NAME?</v>
      </c>
      <c r="AO718" s="223" t="e">
        <f aca="false">_xlfn.xlookup(AK718,A:A,AG:AG)</f>
        <v>#NAME?</v>
      </c>
      <c r="AP718" s="223" t="e">
        <f aca="false">_xlfn.xlookup(AK718,A:A,AD:AD)</f>
        <v>#NAME?</v>
      </c>
      <c r="AQ718" s="223" t="e">
        <f aca="false">_xlfn.xlookup(AK718,A:A,AE:AE)</f>
        <v>#NAME?</v>
      </c>
      <c r="BB718" s="15" t="e">
        <f aca="false">_xlfn.xlookup(BA718,A:A,E:E)</f>
        <v>#NAME?</v>
      </c>
      <c r="BC718" s="15" t="e">
        <f aca="false">_xlfn.xlookup(BA718,A:A,J:J)</f>
        <v>#NAME?</v>
      </c>
      <c r="BD718" s="75" t="e">
        <f aca="false">_xlfn.xlookup(BA718,A:A,M:M)+_xlfn.xlookup(BA718,A:A,N:N)</f>
        <v>#NAME?</v>
      </c>
    </row>
    <row r="719" customFormat="false" ht="14.25" hidden="false" customHeight="false" outlineLevel="0" collapsed="false">
      <c r="AK719" s="15" t="e">
        <v>#NAME?</v>
      </c>
      <c r="AL719" s="15" t="e">
        <f aca="false">_xlfn.xlookup(AK719,A:A,F:F)</f>
        <v>#NAME?</v>
      </c>
      <c r="AM719" s="15" t="e">
        <f aca="false">_xlfn.xlookup(AK719,A:A,J:J)</f>
        <v>#NAME?</v>
      </c>
      <c r="AN719" s="15" t="e">
        <f aca="false">_xlfn.xlookup(AK719,A:A,M:M)+_xlfn.xlookup(AK719,A:A,N:N)</f>
        <v>#NAME?</v>
      </c>
      <c r="AO719" s="223" t="e">
        <f aca="false">_xlfn.xlookup(AK719,A:A,AG:AG)</f>
        <v>#NAME?</v>
      </c>
      <c r="AP719" s="223" t="e">
        <f aca="false">_xlfn.xlookup(AK719,A:A,AD:AD)</f>
        <v>#NAME?</v>
      </c>
      <c r="AQ719" s="223" t="e">
        <f aca="false">_xlfn.xlookup(AK719,A:A,AE:AE)</f>
        <v>#NAME?</v>
      </c>
      <c r="BB719" s="15" t="e">
        <f aca="false">_xlfn.xlookup(BA719,A:A,E:E)</f>
        <v>#NAME?</v>
      </c>
      <c r="BC719" s="15" t="e">
        <f aca="false">_xlfn.xlookup(BA719,A:A,J:J)</f>
        <v>#NAME?</v>
      </c>
      <c r="BD719" s="75" t="e">
        <f aca="false">_xlfn.xlookup(BA719,A:A,M:M)+_xlfn.xlookup(BA719,A:A,N:N)</f>
        <v>#NAME?</v>
      </c>
    </row>
    <row r="720" customFormat="false" ht="14.25" hidden="false" customHeight="false" outlineLevel="0" collapsed="false">
      <c r="AK720" s="15" t="e">
        <v>#NAME?</v>
      </c>
      <c r="AL720" s="15" t="e">
        <f aca="false">_xlfn.xlookup(AK720,A:A,F:F)</f>
        <v>#NAME?</v>
      </c>
      <c r="AM720" s="15" t="e">
        <f aca="false">_xlfn.xlookup(AK720,A:A,J:J)</f>
        <v>#NAME?</v>
      </c>
      <c r="AN720" s="15" t="e">
        <f aca="false">_xlfn.xlookup(AK720,A:A,M:M)+_xlfn.xlookup(AK720,A:A,N:N)</f>
        <v>#NAME?</v>
      </c>
      <c r="AO720" s="223" t="e">
        <f aca="false">_xlfn.xlookup(AK720,A:A,AG:AG)</f>
        <v>#NAME?</v>
      </c>
      <c r="AP720" s="223" t="e">
        <f aca="false">_xlfn.xlookup(AK720,A:A,AD:AD)</f>
        <v>#NAME?</v>
      </c>
      <c r="AQ720" s="223" t="e">
        <f aca="false">_xlfn.xlookup(AK720,A:A,AE:AE)</f>
        <v>#NAME?</v>
      </c>
      <c r="BB720" s="15" t="e">
        <f aca="false">_xlfn.xlookup(BA720,A:A,E:E)</f>
        <v>#NAME?</v>
      </c>
      <c r="BC720" s="15" t="e">
        <f aca="false">_xlfn.xlookup(BA720,A:A,J:J)</f>
        <v>#NAME?</v>
      </c>
      <c r="BD720" s="75" t="e">
        <f aca="false">_xlfn.xlookup(BA720,A:A,M:M)+_xlfn.xlookup(BA720,A:A,N:N)</f>
        <v>#NAME?</v>
      </c>
    </row>
    <row r="721" customFormat="false" ht="14.25" hidden="false" customHeight="false" outlineLevel="0" collapsed="false">
      <c r="AK721" s="15" t="e">
        <v>#NAME?</v>
      </c>
      <c r="AL721" s="15" t="e">
        <f aca="false">_xlfn.xlookup(AK721,A:A,F:F)</f>
        <v>#NAME?</v>
      </c>
      <c r="AM721" s="15" t="e">
        <f aca="false">_xlfn.xlookup(AK721,A:A,J:J)</f>
        <v>#NAME?</v>
      </c>
      <c r="AN721" s="15" t="e">
        <f aca="false">_xlfn.xlookup(AK721,A:A,M:M)+_xlfn.xlookup(AK721,A:A,N:N)</f>
        <v>#NAME?</v>
      </c>
      <c r="AO721" s="223" t="e">
        <f aca="false">_xlfn.xlookup(AK721,A:A,AG:AG)</f>
        <v>#NAME?</v>
      </c>
      <c r="AP721" s="223" t="e">
        <f aca="false">_xlfn.xlookup(AK721,A:A,AD:AD)</f>
        <v>#NAME?</v>
      </c>
      <c r="AQ721" s="223" t="e">
        <f aca="false">_xlfn.xlookup(AK721,A:A,AE:AE)</f>
        <v>#NAME?</v>
      </c>
      <c r="BB721" s="15" t="e">
        <f aca="false">_xlfn.xlookup(BA721,A:A,E:E)</f>
        <v>#NAME?</v>
      </c>
      <c r="BC721" s="15" t="e">
        <f aca="false">_xlfn.xlookup(BA721,A:A,J:J)</f>
        <v>#NAME?</v>
      </c>
      <c r="BD721" s="75" t="e">
        <f aca="false">_xlfn.xlookup(BA721,A:A,M:M)+_xlfn.xlookup(BA721,A:A,N:N)</f>
        <v>#NAME?</v>
      </c>
    </row>
    <row r="722" customFormat="false" ht="14.25" hidden="false" customHeight="false" outlineLevel="0" collapsed="false">
      <c r="AK722" s="15" t="e">
        <v>#NAME?</v>
      </c>
      <c r="AL722" s="15" t="e">
        <f aca="false">_xlfn.xlookup(AK722,A:A,F:F)</f>
        <v>#NAME?</v>
      </c>
      <c r="AM722" s="15" t="e">
        <f aca="false">_xlfn.xlookup(AK722,A:A,J:J)</f>
        <v>#NAME?</v>
      </c>
      <c r="AN722" s="15" t="e">
        <f aca="false">_xlfn.xlookup(AK722,A:A,M:M)+_xlfn.xlookup(AK722,A:A,N:N)</f>
        <v>#NAME?</v>
      </c>
      <c r="AO722" s="223" t="e">
        <f aca="false">_xlfn.xlookup(AK722,A:A,AG:AG)</f>
        <v>#NAME?</v>
      </c>
      <c r="AP722" s="223" t="e">
        <f aca="false">_xlfn.xlookup(AK722,A:A,AD:AD)</f>
        <v>#NAME?</v>
      </c>
      <c r="AQ722" s="223" t="e">
        <f aca="false">_xlfn.xlookup(AK722,A:A,AE:AE)</f>
        <v>#NAME?</v>
      </c>
      <c r="BB722" s="15" t="e">
        <f aca="false">_xlfn.xlookup(BA722,A:A,E:E)</f>
        <v>#NAME?</v>
      </c>
      <c r="BC722" s="15" t="e">
        <f aca="false">_xlfn.xlookup(BA722,A:A,J:J)</f>
        <v>#NAME?</v>
      </c>
      <c r="BD722" s="75" t="e">
        <f aca="false">_xlfn.xlookup(BA722,A:A,M:M)+_xlfn.xlookup(BA722,A:A,N:N)</f>
        <v>#NAME?</v>
      </c>
    </row>
    <row r="723" customFormat="false" ht="14.25" hidden="false" customHeight="false" outlineLevel="0" collapsed="false">
      <c r="AK723" s="15" t="e">
        <v>#NAME?</v>
      </c>
      <c r="AL723" s="15" t="e">
        <f aca="false">_xlfn.xlookup(AK723,A:A,F:F)</f>
        <v>#NAME?</v>
      </c>
      <c r="AM723" s="15" t="e">
        <f aca="false">_xlfn.xlookup(AK723,A:A,J:J)</f>
        <v>#NAME?</v>
      </c>
      <c r="AN723" s="15" t="e">
        <f aca="false">_xlfn.xlookup(AK723,A:A,M:M)+_xlfn.xlookup(AK723,A:A,N:N)</f>
        <v>#NAME?</v>
      </c>
      <c r="AO723" s="223" t="e">
        <f aca="false">_xlfn.xlookup(AK723,A:A,AG:AG)</f>
        <v>#NAME?</v>
      </c>
      <c r="AP723" s="223" t="e">
        <f aca="false">_xlfn.xlookup(AK723,A:A,AD:AD)</f>
        <v>#NAME?</v>
      </c>
      <c r="AQ723" s="223" t="e">
        <f aca="false">_xlfn.xlookup(AK723,A:A,AE:AE)</f>
        <v>#NAME?</v>
      </c>
      <c r="BB723" s="15" t="e">
        <f aca="false">_xlfn.xlookup(BA723,A:A,E:E)</f>
        <v>#NAME?</v>
      </c>
      <c r="BC723" s="15" t="e">
        <f aca="false">_xlfn.xlookup(BA723,A:A,J:J)</f>
        <v>#NAME?</v>
      </c>
      <c r="BD723" s="75" t="e">
        <f aca="false">_xlfn.xlookup(BA723,A:A,M:M)+_xlfn.xlookup(BA723,A:A,N:N)</f>
        <v>#NAME?</v>
      </c>
    </row>
    <row r="724" customFormat="false" ht="14.25" hidden="false" customHeight="false" outlineLevel="0" collapsed="false">
      <c r="AK724" s="15" t="e">
        <v>#NAME?</v>
      </c>
      <c r="AL724" s="15" t="e">
        <f aca="false">_xlfn.xlookup(AK724,A:A,F:F)</f>
        <v>#NAME?</v>
      </c>
      <c r="AM724" s="15" t="e">
        <f aca="false">_xlfn.xlookup(AK724,A:A,J:J)</f>
        <v>#NAME?</v>
      </c>
      <c r="AN724" s="15" t="e">
        <f aca="false">_xlfn.xlookup(AK724,A:A,M:M)+_xlfn.xlookup(AK724,A:A,N:N)</f>
        <v>#NAME?</v>
      </c>
      <c r="AO724" s="223" t="e">
        <f aca="false">_xlfn.xlookup(AK724,A:A,AG:AG)</f>
        <v>#NAME?</v>
      </c>
      <c r="AP724" s="223" t="e">
        <f aca="false">_xlfn.xlookup(AK724,A:A,AD:AD)</f>
        <v>#NAME?</v>
      </c>
      <c r="AQ724" s="223" t="e">
        <f aca="false">_xlfn.xlookup(AK724,A:A,AE:AE)</f>
        <v>#NAME?</v>
      </c>
      <c r="BB724" s="15" t="e">
        <f aca="false">_xlfn.xlookup(BA724,A:A,E:E)</f>
        <v>#NAME?</v>
      </c>
      <c r="BC724" s="15" t="e">
        <f aca="false">_xlfn.xlookup(BA724,A:A,J:J)</f>
        <v>#NAME?</v>
      </c>
      <c r="BD724" s="75" t="e">
        <f aca="false">_xlfn.xlookup(BA724,A:A,M:M)+_xlfn.xlookup(BA724,A:A,N:N)</f>
        <v>#NAME?</v>
      </c>
    </row>
    <row r="725" customFormat="false" ht="14.25" hidden="false" customHeight="false" outlineLevel="0" collapsed="false">
      <c r="AK725" s="15" t="e">
        <v>#NAME?</v>
      </c>
      <c r="AL725" s="15" t="e">
        <f aca="false">_xlfn.xlookup(AK725,A:A,F:F)</f>
        <v>#NAME?</v>
      </c>
      <c r="AM725" s="15" t="e">
        <f aca="false">_xlfn.xlookup(AK725,A:A,J:J)</f>
        <v>#NAME?</v>
      </c>
      <c r="AN725" s="15" t="e">
        <f aca="false">_xlfn.xlookup(AK725,A:A,M:M)+_xlfn.xlookup(AK725,A:A,N:N)</f>
        <v>#NAME?</v>
      </c>
      <c r="AO725" s="223" t="e">
        <f aca="false">_xlfn.xlookup(AK725,A:A,AG:AG)</f>
        <v>#NAME?</v>
      </c>
      <c r="AP725" s="223" t="e">
        <f aca="false">_xlfn.xlookup(AK725,A:A,AD:AD)</f>
        <v>#NAME?</v>
      </c>
      <c r="AQ725" s="223" t="e">
        <f aca="false">_xlfn.xlookup(AK725,A:A,AE:AE)</f>
        <v>#NAME?</v>
      </c>
      <c r="BB725" s="15" t="e">
        <f aca="false">_xlfn.xlookup(BA725,A:A,E:E)</f>
        <v>#NAME?</v>
      </c>
      <c r="BC725" s="15" t="e">
        <f aca="false">_xlfn.xlookup(BA725,A:A,J:J)</f>
        <v>#NAME?</v>
      </c>
      <c r="BD725" s="75" t="e">
        <f aca="false">_xlfn.xlookup(BA725,A:A,M:M)+_xlfn.xlookup(BA725,A:A,N:N)</f>
        <v>#NAME?</v>
      </c>
    </row>
    <row r="726" customFormat="false" ht="14.25" hidden="false" customHeight="false" outlineLevel="0" collapsed="false">
      <c r="AK726" s="15" t="e">
        <v>#NAME?</v>
      </c>
      <c r="AL726" s="15" t="e">
        <f aca="false">_xlfn.xlookup(AK726,A:A,F:F)</f>
        <v>#NAME?</v>
      </c>
      <c r="AM726" s="15" t="e">
        <f aca="false">_xlfn.xlookup(AK726,A:A,J:J)</f>
        <v>#NAME?</v>
      </c>
      <c r="AN726" s="15" t="e">
        <f aca="false">_xlfn.xlookup(AK726,A:A,M:M)+_xlfn.xlookup(AK726,A:A,N:N)</f>
        <v>#NAME?</v>
      </c>
      <c r="AO726" s="223" t="e">
        <f aca="false">_xlfn.xlookup(AK726,A:A,AG:AG)</f>
        <v>#NAME?</v>
      </c>
      <c r="AP726" s="223" t="e">
        <f aca="false">_xlfn.xlookup(AK726,A:A,AD:AD)</f>
        <v>#NAME?</v>
      </c>
      <c r="AQ726" s="223" t="e">
        <f aca="false">_xlfn.xlookup(AK726,A:A,AE:AE)</f>
        <v>#NAME?</v>
      </c>
      <c r="BB726" s="15" t="e">
        <f aca="false">_xlfn.xlookup(BA726,A:A,E:E)</f>
        <v>#NAME?</v>
      </c>
      <c r="BC726" s="15" t="e">
        <f aca="false">_xlfn.xlookup(BA726,A:A,J:J)</f>
        <v>#NAME?</v>
      </c>
      <c r="BD726" s="75" t="e">
        <f aca="false">_xlfn.xlookup(BA726,A:A,M:M)+_xlfn.xlookup(BA726,A:A,N:N)</f>
        <v>#NAME?</v>
      </c>
    </row>
    <row r="727" customFormat="false" ht="14.25" hidden="false" customHeight="false" outlineLevel="0" collapsed="false">
      <c r="AK727" s="15" t="e">
        <v>#NAME?</v>
      </c>
      <c r="AL727" s="15" t="e">
        <f aca="false">_xlfn.xlookup(AK727,A:A,F:F)</f>
        <v>#NAME?</v>
      </c>
      <c r="AM727" s="15" t="e">
        <f aca="false">_xlfn.xlookup(AK727,A:A,J:J)</f>
        <v>#NAME?</v>
      </c>
      <c r="AN727" s="15" t="e">
        <f aca="false">_xlfn.xlookup(AK727,A:A,M:M)+_xlfn.xlookup(AK727,A:A,N:N)</f>
        <v>#NAME?</v>
      </c>
      <c r="AO727" s="223" t="e">
        <f aca="false">_xlfn.xlookup(AK727,A:A,AG:AG)</f>
        <v>#NAME?</v>
      </c>
      <c r="AP727" s="223" t="e">
        <f aca="false">_xlfn.xlookup(AK727,A:A,AD:AD)</f>
        <v>#NAME?</v>
      </c>
      <c r="AQ727" s="223" t="e">
        <f aca="false">_xlfn.xlookup(AK727,A:A,AE:AE)</f>
        <v>#NAME?</v>
      </c>
      <c r="BB727" s="15" t="e">
        <f aca="false">_xlfn.xlookup(BA727,A:A,E:E)</f>
        <v>#NAME?</v>
      </c>
      <c r="BC727" s="15" t="e">
        <f aca="false">_xlfn.xlookup(BA727,A:A,J:J)</f>
        <v>#NAME?</v>
      </c>
      <c r="BD727" s="75" t="e">
        <f aca="false">_xlfn.xlookup(BA727,A:A,M:M)+_xlfn.xlookup(BA727,A:A,N:N)</f>
        <v>#NAME?</v>
      </c>
    </row>
    <row r="728" customFormat="false" ht="14.25" hidden="false" customHeight="false" outlineLevel="0" collapsed="false">
      <c r="AK728" s="15" t="e">
        <v>#NAME?</v>
      </c>
      <c r="AL728" s="15" t="e">
        <f aca="false">_xlfn.xlookup(AK728,A:A,F:F)</f>
        <v>#NAME?</v>
      </c>
      <c r="AM728" s="15" t="e">
        <f aca="false">_xlfn.xlookup(AK728,A:A,J:J)</f>
        <v>#NAME?</v>
      </c>
      <c r="AN728" s="15" t="e">
        <f aca="false">_xlfn.xlookup(AK728,A:A,M:M)+_xlfn.xlookup(AK728,A:A,N:N)</f>
        <v>#NAME?</v>
      </c>
      <c r="AO728" s="223" t="e">
        <f aca="false">_xlfn.xlookup(AK728,A:A,AG:AG)</f>
        <v>#NAME?</v>
      </c>
      <c r="AP728" s="223" t="e">
        <f aca="false">_xlfn.xlookup(AK728,A:A,AD:AD)</f>
        <v>#NAME?</v>
      </c>
      <c r="AQ728" s="223" t="e">
        <f aca="false">_xlfn.xlookup(AK728,A:A,AE:AE)</f>
        <v>#NAME?</v>
      </c>
      <c r="BB728" s="15" t="e">
        <f aca="false">_xlfn.xlookup(BA728,A:A,E:E)</f>
        <v>#NAME?</v>
      </c>
      <c r="BC728" s="15" t="e">
        <f aca="false">_xlfn.xlookup(BA728,A:A,J:J)</f>
        <v>#NAME?</v>
      </c>
      <c r="BD728" s="75" t="e">
        <f aca="false">_xlfn.xlookup(BA728,A:A,M:M)+_xlfn.xlookup(BA728,A:A,N:N)</f>
        <v>#NAME?</v>
      </c>
    </row>
    <row r="729" customFormat="false" ht="14.25" hidden="false" customHeight="false" outlineLevel="0" collapsed="false">
      <c r="AK729" s="15" t="e">
        <v>#NAME?</v>
      </c>
      <c r="AL729" s="15" t="e">
        <f aca="false">_xlfn.xlookup(AK729,A:A,F:F)</f>
        <v>#NAME?</v>
      </c>
      <c r="AM729" s="15" t="e">
        <f aca="false">_xlfn.xlookup(AK729,A:A,J:J)</f>
        <v>#NAME?</v>
      </c>
      <c r="AN729" s="15" t="e">
        <f aca="false">_xlfn.xlookup(AK729,A:A,M:M)+_xlfn.xlookup(AK729,A:A,N:N)</f>
        <v>#NAME?</v>
      </c>
      <c r="AO729" s="223" t="e">
        <f aca="false">_xlfn.xlookup(AK729,A:A,AG:AG)</f>
        <v>#NAME?</v>
      </c>
      <c r="AP729" s="223" t="e">
        <f aca="false">_xlfn.xlookup(AK729,A:A,AD:AD)</f>
        <v>#NAME?</v>
      </c>
      <c r="AQ729" s="223" t="e">
        <f aca="false">_xlfn.xlookup(AK729,A:A,AE:AE)</f>
        <v>#NAME?</v>
      </c>
      <c r="BB729" s="15" t="e">
        <f aca="false">_xlfn.xlookup(BA729,A:A,E:E)</f>
        <v>#NAME?</v>
      </c>
      <c r="BC729" s="15" t="e">
        <f aca="false">_xlfn.xlookup(BA729,A:A,J:J)</f>
        <v>#NAME?</v>
      </c>
      <c r="BD729" s="75" t="e">
        <f aca="false">_xlfn.xlookup(BA729,A:A,M:M)+_xlfn.xlookup(BA729,A:A,N:N)</f>
        <v>#NAME?</v>
      </c>
    </row>
    <row r="730" customFormat="false" ht="14.25" hidden="false" customHeight="false" outlineLevel="0" collapsed="false">
      <c r="AK730" s="15" t="e">
        <v>#NAME?</v>
      </c>
      <c r="AL730" s="15" t="e">
        <f aca="false">_xlfn.xlookup(AK730,A:A,F:F)</f>
        <v>#NAME?</v>
      </c>
      <c r="AM730" s="15" t="e">
        <f aca="false">_xlfn.xlookup(AK730,A:A,J:J)</f>
        <v>#NAME?</v>
      </c>
      <c r="AN730" s="15" t="e">
        <f aca="false">_xlfn.xlookup(AK730,A:A,M:M)+_xlfn.xlookup(AK730,A:A,N:N)</f>
        <v>#NAME?</v>
      </c>
      <c r="AO730" s="223" t="e">
        <f aca="false">_xlfn.xlookup(AK730,A:A,AG:AG)</f>
        <v>#NAME?</v>
      </c>
      <c r="AP730" s="223" t="e">
        <f aca="false">_xlfn.xlookup(AK730,A:A,AD:AD)</f>
        <v>#NAME?</v>
      </c>
      <c r="AQ730" s="223" t="e">
        <f aca="false">_xlfn.xlookup(AK730,A:A,AE:AE)</f>
        <v>#NAME?</v>
      </c>
      <c r="BB730" s="15" t="e">
        <f aca="false">_xlfn.xlookup(BA730,A:A,E:E)</f>
        <v>#NAME?</v>
      </c>
      <c r="BC730" s="15" t="e">
        <f aca="false">_xlfn.xlookup(BA730,A:A,J:J)</f>
        <v>#NAME?</v>
      </c>
      <c r="BD730" s="75" t="e">
        <f aca="false">_xlfn.xlookup(BA730,A:A,M:M)+_xlfn.xlookup(BA730,A:A,N:N)</f>
        <v>#NAME?</v>
      </c>
    </row>
    <row r="731" customFormat="false" ht="14.25" hidden="false" customHeight="false" outlineLevel="0" collapsed="false">
      <c r="AK731" s="15" t="e">
        <v>#NAME?</v>
      </c>
      <c r="AL731" s="15" t="e">
        <f aca="false">_xlfn.xlookup(AK731,A:A,F:F)</f>
        <v>#NAME?</v>
      </c>
      <c r="AM731" s="15" t="e">
        <f aca="false">_xlfn.xlookup(AK731,A:A,J:J)</f>
        <v>#NAME?</v>
      </c>
      <c r="AN731" s="15" t="e">
        <f aca="false">_xlfn.xlookup(AK731,A:A,M:M)+_xlfn.xlookup(AK731,A:A,N:N)</f>
        <v>#NAME?</v>
      </c>
      <c r="AO731" s="223" t="e">
        <f aca="false">_xlfn.xlookup(AK731,A:A,AG:AG)</f>
        <v>#NAME?</v>
      </c>
      <c r="AP731" s="223" t="e">
        <f aca="false">_xlfn.xlookup(AK731,A:A,AD:AD)</f>
        <v>#NAME?</v>
      </c>
      <c r="AQ731" s="223" t="e">
        <f aca="false">_xlfn.xlookup(AK731,A:A,AE:AE)</f>
        <v>#NAME?</v>
      </c>
      <c r="BB731" s="15" t="e">
        <f aca="false">_xlfn.xlookup(BA731,A:A,E:E)</f>
        <v>#NAME?</v>
      </c>
      <c r="BC731" s="15" t="e">
        <f aca="false">_xlfn.xlookup(BA731,A:A,J:J)</f>
        <v>#NAME?</v>
      </c>
      <c r="BD731" s="75" t="e">
        <f aca="false">_xlfn.xlookup(BA731,A:A,M:M)+_xlfn.xlookup(BA731,A:A,N:N)</f>
        <v>#NAME?</v>
      </c>
    </row>
    <row r="732" customFormat="false" ht="14.25" hidden="false" customHeight="false" outlineLevel="0" collapsed="false">
      <c r="AK732" s="15" t="e">
        <v>#NAME?</v>
      </c>
      <c r="AL732" s="15" t="e">
        <f aca="false">_xlfn.xlookup(AK732,A:A,F:F)</f>
        <v>#NAME?</v>
      </c>
      <c r="AM732" s="15" t="e">
        <f aca="false">_xlfn.xlookup(AK732,A:A,J:J)</f>
        <v>#NAME?</v>
      </c>
      <c r="AN732" s="15" t="e">
        <f aca="false">_xlfn.xlookup(AK732,A:A,M:M)+_xlfn.xlookup(AK732,A:A,N:N)</f>
        <v>#NAME?</v>
      </c>
      <c r="AO732" s="223" t="e">
        <f aca="false">_xlfn.xlookup(AK732,A:A,AG:AG)</f>
        <v>#NAME?</v>
      </c>
      <c r="AP732" s="223" t="e">
        <f aca="false">_xlfn.xlookup(AK732,A:A,AD:AD)</f>
        <v>#NAME?</v>
      </c>
      <c r="AQ732" s="223" t="e">
        <f aca="false">_xlfn.xlookup(AK732,A:A,AE:AE)</f>
        <v>#NAME?</v>
      </c>
      <c r="BB732" s="15" t="e">
        <f aca="false">_xlfn.xlookup(BA732,A:A,E:E)</f>
        <v>#NAME?</v>
      </c>
      <c r="BC732" s="15" t="e">
        <f aca="false">_xlfn.xlookup(BA732,A:A,J:J)</f>
        <v>#NAME?</v>
      </c>
      <c r="BD732" s="75" t="e">
        <f aca="false">_xlfn.xlookup(BA732,A:A,M:M)+_xlfn.xlookup(BA732,A:A,N:N)</f>
        <v>#NAME?</v>
      </c>
    </row>
    <row r="733" customFormat="false" ht="14.25" hidden="false" customHeight="false" outlineLevel="0" collapsed="false">
      <c r="AK733" s="15" t="e">
        <v>#NAME?</v>
      </c>
      <c r="AL733" s="15" t="e">
        <f aca="false">_xlfn.xlookup(AK733,A:A,F:F)</f>
        <v>#NAME?</v>
      </c>
      <c r="AM733" s="15" t="e">
        <f aca="false">_xlfn.xlookup(AK733,A:A,J:J)</f>
        <v>#NAME?</v>
      </c>
      <c r="AN733" s="15" t="e">
        <f aca="false">_xlfn.xlookup(AK733,A:A,M:M)+_xlfn.xlookup(AK733,A:A,N:N)</f>
        <v>#NAME?</v>
      </c>
      <c r="AO733" s="223" t="e">
        <f aca="false">_xlfn.xlookup(AK733,A:A,AG:AG)</f>
        <v>#NAME?</v>
      </c>
      <c r="AP733" s="223" t="e">
        <f aca="false">_xlfn.xlookup(AK733,A:A,AD:AD)</f>
        <v>#NAME?</v>
      </c>
      <c r="AQ733" s="223" t="e">
        <f aca="false">_xlfn.xlookup(AK733,A:A,AE:AE)</f>
        <v>#NAME?</v>
      </c>
      <c r="BB733" s="15" t="e">
        <f aca="false">_xlfn.xlookup(BA733,A:A,E:E)</f>
        <v>#NAME?</v>
      </c>
      <c r="BC733" s="15" t="e">
        <f aca="false">_xlfn.xlookup(BA733,A:A,J:J)</f>
        <v>#NAME?</v>
      </c>
      <c r="BD733" s="75" t="e">
        <f aca="false">_xlfn.xlookup(BA733,A:A,M:M)+_xlfn.xlookup(BA733,A:A,N:N)</f>
        <v>#NAME?</v>
      </c>
    </row>
    <row r="734" customFormat="false" ht="14.25" hidden="false" customHeight="false" outlineLevel="0" collapsed="false">
      <c r="AK734" s="15" t="e">
        <v>#NAME?</v>
      </c>
      <c r="AL734" s="15" t="e">
        <f aca="false">_xlfn.xlookup(AK734,A:A,F:F)</f>
        <v>#NAME?</v>
      </c>
      <c r="AM734" s="15" t="e">
        <f aca="false">_xlfn.xlookup(AK734,A:A,J:J)</f>
        <v>#NAME?</v>
      </c>
      <c r="AN734" s="15" t="e">
        <f aca="false">_xlfn.xlookup(AK734,A:A,M:M)+_xlfn.xlookup(AK734,A:A,N:N)</f>
        <v>#NAME?</v>
      </c>
      <c r="AO734" s="223" t="e">
        <f aca="false">_xlfn.xlookup(AK734,A:A,AG:AG)</f>
        <v>#NAME?</v>
      </c>
      <c r="AP734" s="223" t="e">
        <f aca="false">_xlfn.xlookup(AK734,A:A,AD:AD)</f>
        <v>#NAME?</v>
      </c>
      <c r="AQ734" s="223" t="e">
        <f aca="false">_xlfn.xlookup(AK734,A:A,AE:AE)</f>
        <v>#NAME?</v>
      </c>
      <c r="BB734" s="15" t="e">
        <f aca="false">_xlfn.xlookup(BA734,A:A,E:E)</f>
        <v>#NAME?</v>
      </c>
      <c r="BC734" s="15" t="e">
        <f aca="false">_xlfn.xlookup(BA734,A:A,J:J)</f>
        <v>#NAME?</v>
      </c>
      <c r="BD734" s="75" t="e">
        <f aca="false">_xlfn.xlookup(BA734,A:A,M:M)+_xlfn.xlookup(BA734,A:A,N:N)</f>
        <v>#NAME?</v>
      </c>
    </row>
    <row r="735" customFormat="false" ht="14.25" hidden="false" customHeight="false" outlineLevel="0" collapsed="false">
      <c r="AK735" s="15" t="e">
        <v>#NAME?</v>
      </c>
      <c r="AL735" s="15" t="e">
        <f aca="false">_xlfn.xlookup(AK735,A:A,F:F)</f>
        <v>#NAME?</v>
      </c>
      <c r="AM735" s="15" t="e">
        <f aca="false">_xlfn.xlookup(AK735,A:A,J:J)</f>
        <v>#NAME?</v>
      </c>
      <c r="AN735" s="15" t="e">
        <f aca="false">_xlfn.xlookup(AK735,A:A,M:M)+_xlfn.xlookup(AK735,A:A,N:N)</f>
        <v>#NAME?</v>
      </c>
      <c r="AO735" s="223" t="e">
        <f aca="false">_xlfn.xlookup(AK735,A:A,AG:AG)</f>
        <v>#NAME?</v>
      </c>
      <c r="AP735" s="223" t="e">
        <f aca="false">_xlfn.xlookup(AK735,A:A,AD:AD)</f>
        <v>#NAME?</v>
      </c>
      <c r="AQ735" s="223" t="e">
        <f aca="false">_xlfn.xlookup(AK735,A:A,AE:AE)</f>
        <v>#NAME?</v>
      </c>
      <c r="BB735" s="15" t="e">
        <f aca="false">_xlfn.xlookup(BA735,A:A,E:E)</f>
        <v>#NAME?</v>
      </c>
      <c r="BC735" s="15" t="e">
        <f aca="false">_xlfn.xlookup(BA735,A:A,J:J)</f>
        <v>#NAME?</v>
      </c>
      <c r="BD735" s="75" t="e">
        <f aca="false">_xlfn.xlookup(BA735,A:A,M:M)+_xlfn.xlookup(BA735,A:A,N:N)</f>
        <v>#NAME?</v>
      </c>
    </row>
    <row r="736" customFormat="false" ht="14.25" hidden="false" customHeight="false" outlineLevel="0" collapsed="false">
      <c r="AK736" s="15" t="e">
        <v>#NAME?</v>
      </c>
      <c r="AL736" s="15" t="e">
        <f aca="false">_xlfn.xlookup(AK736,A:A,F:F)</f>
        <v>#NAME?</v>
      </c>
      <c r="AM736" s="15" t="e">
        <f aca="false">_xlfn.xlookup(AK736,A:A,J:J)</f>
        <v>#NAME?</v>
      </c>
      <c r="AN736" s="15" t="e">
        <f aca="false">_xlfn.xlookup(AK736,A:A,M:M)+_xlfn.xlookup(AK736,A:A,N:N)</f>
        <v>#NAME?</v>
      </c>
      <c r="AO736" s="223" t="e">
        <f aca="false">_xlfn.xlookup(AK736,A:A,AG:AG)</f>
        <v>#NAME?</v>
      </c>
      <c r="AP736" s="223" t="e">
        <f aca="false">_xlfn.xlookup(AK736,A:A,AD:AD)</f>
        <v>#NAME?</v>
      </c>
      <c r="AQ736" s="223" t="e">
        <f aca="false">_xlfn.xlookup(AK736,A:A,AE:AE)</f>
        <v>#NAME?</v>
      </c>
      <c r="BB736" s="15" t="e">
        <f aca="false">_xlfn.xlookup(BA736,A:A,E:E)</f>
        <v>#NAME?</v>
      </c>
      <c r="BC736" s="15" t="e">
        <f aca="false">_xlfn.xlookup(BA736,A:A,J:J)</f>
        <v>#NAME?</v>
      </c>
      <c r="BD736" s="75" t="e">
        <f aca="false">_xlfn.xlookup(BA736,A:A,M:M)+_xlfn.xlookup(BA736,A:A,N:N)</f>
        <v>#NAME?</v>
      </c>
    </row>
    <row r="737" customFormat="false" ht="14.25" hidden="false" customHeight="false" outlineLevel="0" collapsed="false">
      <c r="AK737" s="15" t="e">
        <v>#NAME?</v>
      </c>
      <c r="AL737" s="15" t="e">
        <f aca="false">_xlfn.xlookup(AK737,A:A,F:F)</f>
        <v>#NAME?</v>
      </c>
      <c r="AM737" s="15" t="e">
        <f aca="false">_xlfn.xlookup(AK737,A:A,J:J)</f>
        <v>#NAME?</v>
      </c>
      <c r="AN737" s="15" t="e">
        <f aca="false">_xlfn.xlookup(AK737,A:A,M:M)+_xlfn.xlookup(AK737,A:A,N:N)</f>
        <v>#NAME?</v>
      </c>
      <c r="AO737" s="223" t="e">
        <f aca="false">_xlfn.xlookup(AK737,A:A,AG:AG)</f>
        <v>#NAME?</v>
      </c>
      <c r="AP737" s="223" t="e">
        <f aca="false">_xlfn.xlookup(AK737,A:A,AD:AD)</f>
        <v>#NAME?</v>
      </c>
      <c r="AQ737" s="223" t="e">
        <f aca="false">_xlfn.xlookup(AK737,A:A,AE:AE)</f>
        <v>#NAME?</v>
      </c>
      <c r="BB737" s="15" t="e">
        <f aca="false">_xlfn.xlookup(BA737,A:A,E:E)</f>
        <v>#NAME?</v>
      </c>
      <c r="BC737" s="15" t="e">
        <f aca="false">_xlfn.xlookup(BA737,A:A,J:J)</f>
        <v>#NAME?</v>
      </c>
      <c r="BD737" s="75" t="e">
        <f aca="false">_xlfn.xlookup(BA737,A:A,M:M)+_xlfn.xlookup(BA737,A:A,N:N)</f>
        <v>#NAME?</v>
      </c>
    </row>
    <row r="738" customFormat="false" ht="14.25" hidden="false" customHeight="false" outlineLevel="0" collapsed="false">
      <c r="AK738" s="15" t="e">
        <v>#NAME?</v>
      </c>
      <c r="AL738" s="15" t="e">
        <f aca="false">_xlfn.xlookup(AK738,A:A,F:F)</f>
        <v>#NAME?</v>
      </c>
      <c r="AM738" s="15" t="e">
        <f aca="false">_xlfn.xlookup(AK738,A:A,J:J)</f>
        <v>#NAME?</v>
      </c>
      <c r="AN738" s="15" t="e">
        <f aca="false">_xlfn.xlookup(AK738,A:A,M:M)+_xlfn.xlookup(AK738,A:A,N:N)</f>
        <v>#NAME?</v>
      </c>
      <c r="AO738" s="223" t="e">
        <f aca="false">_xlfn.xlookup(AK738,A:A,AG:AG)</f>
        <v>#NAME?</v>
      </c>
      <c r="AP738" s="223" t="e">
        <f aca="false">_xlfn.xlookup(AK738,A:A,AD:AD)</f>
        <v>#NAME?</v>
      </c>
      <c r="AQ738" s="223" t="e">
        <f aca="false">_xlfn.xlookup(AK738,A:A,AE:AE)</f>
        <v>#NAME?</v>
      </c>
      <c r="BB738" s="15" t="e">
        <f aca="false">_xlfn.xlookup(BA738,A:A,E:E)</f>
        <v>#NAME?</v>
      </c>
      <c r="BC738" s="15" t="e">
        <f aca="false">_xlfn.xlookup(BA738,A:A,J:J)</f>
        <v>#NAME?</v>
      </c>
      <c r="BD738" s="75" t="e">
        <f aca="false">_xlfn.xlookup(BA738,A:A,M:M)+_xlfn.xlookup(BA738,A:A,N:N)</f>
        <v>#NAME?</v>
      </c>
    </row>
    <row r="739" customFormat="false" ht="14.25" hidden="false" customHeight="false" outlineLevel="0" collapsed="false">
      <c r="AK739" s="15" t="e">
        <v>#NAME?</v>
      </c>
      <c r="AL739" s="15" t="e">
        <f aca="false">_xlfn.xlookup(AK739,A:A,F:F)</f>
        <v>#NAME?</v>
      </c>
      <c r="AM739" s="15" t="e">
        <f aca="false">_xlfn.xlookup(AK739,A:A,J:J)</f>
        <v>#NAME?</v>
      </c>
      <c r="AN739" s="15" t="e">
        <f aca="false">_xlfn.xlookup(AK739,A:A,M:M)+_xlfn.xlookup(AK739,A:A,N:N)</f>
        <v>#NAME?</v>
      </c>
      <c r="AO739" s="223" t="e">
        <f aca="false">_xlfn.xlookup(AK739,A:A,AG:AG)</f>
        <v>#NAME?</v>
      </c>
      <c r="AP739" s="223" t="e">
        <f aca="false">_xlfn.xlookup(AK739,A:A,AD:AD)</f>
        <v>#NAME?</v>
      </c>
      <c r="AQ739" s="223" t="e">
        <f aca="false">_xlfn.xlookup(AK739,A:A,AE:AE)</f>
        <v>#NAME?</v>
      </c>
      <c r="BB739" s="15" t="e">
        <f aca="false">_xlfn.xlookup(BA739,A:A,E:E)</f>
        <v>#NAME?</v>
      </c>
      <c r="BC739" s="15" t="e">
        <f aca="false">_xlfn.xlookup(BA739,A:A,J:J)</f>
        <v>#NAME?</v>
      </c>
      <c r="BD739" s="75" t="e">
        <f aca="false">_xlfn.xlookup(BA739,A:A,M:M)+_xlfn.xlookup(BA739,A:A,N:N)</f>
        <v>#NAME?</v>
      </c>
    </row>
    <row r="740" customFormat="false" ht="14.25" hidden="false" customHeight="false" outlineLevel="0" collapsed="false">
      <c r="AK740" s="15" t="e">
        <v>#NAME?</v>
      </c>
      <c r="AL740" s="15" t="e">
        <f aca="false">_xlfn.xlookup(AK740,A:A,F:F)</f>
        <v>#NAME?</v>
      </c>
      <c r="AM740" s="15" t="e">
        <f aca="false">_xlfn.xlookup(AK740,A:A,J:J)</f>
        <v>#NAME?</v>
      </c>
      <c r="AN740" s="15" t="e">
        <f aca="false">_xlfn.xlookup(AK740,A:A,M:M)+_xlfn.xlookup(AK740,A:A,N:N)</f>
        <v>#NAME?</v>
      </c>
      <c r="AO740" s="223" t="e">
        <f aca="false">_xlfn.xlookup(AK740,A:A,AG:AG)</f>
        <v>#NAME?</v>
      </c>
      <c r="AP740" s="223" t="e">
        <f aca="false">_xlfn.xlookup(AK740,A:A,AD:AD)</f>
        <v>#NAME?</v>
      </c>
      <c r="AQ740" s="223" t="e">
        <f aca="false">_xlfn.xlookup(AK740,A:A,AE:AE)</f>
        <v>#NAME?</v>
      </c>
      <c r="BB740" s="15" t="e">
        <f aca="false">_xlfn.xlookup(BA740,A:A,E:E)</f>
        <v>#NAME?</v>
      </c>
      <c r="BC740" s="15" t="e">
        <f aca="false">_xlfn.xlookup(BA740,A:A,J:J)</f>
        <v>#NAME?</v>
      </c>
      <c r="BD740" s="75" t="e">
        <f aca="false">_xlfn.xlookup(BA740,A:A,M:M)+_xlfn.xlookup(BA740,A:A,N:N)</f>
        <v>#NAME?</v>
      </c>
    </row>
    <row r="741" customFormat="false" ht="14.25" hidden="false" customHeight="false" outlineLevel="0" collapsed="false">
      <c r="AK741" s="15" t="e">
        <v>#NAME?</v>
      </c>
      <c r="AL741" s="15" t="e">
        <f aca="false">_xlfn.xlookup(AK741,A:A,F:F)</f>
        <v>#NAME?</v>
      </c>
      <c r="AM741" s="15" t="e">
        <f aca="false">_xlfn.xlookup(AK741,A:A,J:J)</f>
        <v>#NAME?</v>
      </c>
      <c r="AN741" s="15" t="e">
        <f aca="false">_xlfn.xlookup(AK741,A:A,M:M)+_xlfn.xlookup(AK741,A:A,N:N)</f>
        <v>#NAME?</v>
      </c>
      <c r="AO741" s="223" t="e">
        <f aca="false">_xlfn.xlookup(AK741,A:A,AG:AG)</f>
        <v>#NAME?</v>
      </c>
      <c r="AP741" s="223" t="e">
        <f aca="false">_xlfn.xlookup(AK741,A:A,AD:AD)</f>
        <v>#NAME?</v>
      </c>
      <c r="AQ741" s="223" t="e">
        <f aca="false">_xlfn.xlookup(AK741,A:A,AE:AE)</f>
        <v>#NAME?</v>
      </c>
      <c r="BB741" s="15" t="e">
        <f aca="false">_xlfn.xlookup(BA741,A:A,E:E)</f>
        <v>#NAME?</v>
      </c>
      <c r="BC741" s="15" t="e">
        <f aca="false">_xlfn.xlookup(BA741,A:A,J:J)</f>
        <v>#NAME?</v>
      </c>
      <c r="BD741" s="75" t="e">
        <f aca="false">_xlfn.xlookup(BA741,A:A,M:M)+_xlfn.xlookup(BA741,A:A,N:N)</f>
        <v>#NAME?</v>
      </c>
    </row>
    <row r="742" customFormat="false" ht="14.25" hidden="false" customHeight="false" outlineLevel="0" collapsed="false">
      <c r="AK742" s="15" t="e">
        <v>#NAME?</v>
      </c>
      <c r="AL742" s="15" t="e">
        <f aca="false">_xlfn.xlookup(AK742,A:A,F:F)</f>
        <v>#NAME?</v>
      </c>
      <c r="AM742" s="15" t="e">
        <f aca="false">_xlfn.xlookup(AK742,A:A,J:J)</f>
        <v>#NAME?</v>
      </c>
      <c r="AN742" s="15" t="e">
        <f aca="false">_xlfn.xlookup(AK742,A:A,M:M)+_xlfn.xlookup(AK742,A:A,N:N)</f>
        <v>#NAME?</v>
      </c>
      <c r="AO742" s="223" t="e">
        <f aca="false">_xlfn.xlookup(AK742,A:A,AG:AG)</f>
        <v>#NAME?</v>
      </c>
      <c r="AP742" s="223" t="e">
        <f aca="false">_xlfn.xlookup(AK742,A:A,AD:AD)</f>
        <v>#NAME?</v>
      </c>
      <c r="AQ742" s="223" t="e">
        <f aca="false">_xlfn.xlookup(AK742,A:A,AE:AE)</f>
        <v>#NAME?</v>
      </c>
      <c r="BB742" s="15" t="e">
        <f aca="false">_xlfn.xlookup(BA742,A:A,E:E)</f>
        <v>#NAME?</v>
      </c>
      <c r="BC742" s="15" t="e">
        <f aca="false">_xlfn.xlookup(BA742,A:A,J:J)</f>
        <v>#NAME?</v>
      </c>
      <c r="BD742" s="75" t="e">
        <f aca="false">_xlfn.xlookup(BA742,A:A,M:M)+_xlfn.xlookup(BA742,A:A,N:N)</f>
        <v>#NAME?</v>
      </c>
    </row>
    <row r="743" customFormat="false" ht="14.25" hidden="false" customHeight="false" outlineLevel="0" collapsed="false">
      <c r="AK743" s="15" t="e">
        <v>#NAME?</v>
      </c>
      <c r="AL743" s="15" t="e">
        <f aca="false">_xlfn.xlookup(AK743,A:A,F:F)</f>
        <v>#NAME?</v>
      </c>
      <c r="AM743" s="15" t="e">
        <f aca="false">_xlfn.xlookup(AK743,A:A,J:J)</f>
        <v>#NAME?</v>
      </c>
      <c r="AN743" s="15" t="e">
        <f aca="false">_xlfn.xlookup(AK743,A:A,M:M)+_xlfn.xlookup(AK743,A:A,N:N)</f>
        <v>#NAME?</v>
      </c>
      <c r="AO743" s="223" t="e">
        <f aca="false">_xlfn.xlookup(AK743,A:A,AG:AG)</f>
        <v>#NAME?</v>
      </c>
      <c r="AP743" s="223" t="e">
        <f aca="false">_xlfn.xlookup(AK743,A:A,AD:AD)</f>
        <v>#NAME?</v>
      </c>
      <c r="AQ743" s="223" t="e">
        <f aca="false">_xlfn.xlookup(AK743,A:A,AE:AE)</f>
        <v>#NAME?</v>
      </c>
      <c r="BB743" s="15" t="e">
        <f aca="false">_xlfn.xlookup(BA743,A:A,E:E)</f>
        <v>#NAME?</v>
      </c>
      <c r="BC743" s="15" t="e">
        <f aca="false">_xlfn.xlookup(BA743,A:A,J:J)</f>
        <v>#NAME?</v>
      </c>
      <c r="BD743" s="75" t="e">
        <f aca="false">_xlfn.xlookup(BA743,A:A,M:M)+_xlfn.xlookup(BA743,A:A,N:N)</f>
        <v>#NAME?</v>
      </c>
    </row>
    <row r="744" customFormat="false" ht="14.25" hidden="false" customHeight="false" outlineLevel="0" collapsed="false">
      <c r="AK744" s="15" t="e">
        <v>#NAME?</v>
      </c>
      <c r="AL744" s="15" t="e">
        <f aca="false">_xlfn.xlookup(AK744,A:A,F:F)</f>
        <v>#NAME?</v>
      </c>
      <c r="AM744" s="15" t="e">
        <f aca="false">_xlfn.xlookup(AK744,A:A,J:J)</f>
        <v>#NAME?</v>
      </c>
      <c r="AN744" s="15" t="e">
        <f aca="false">_xlfn.xlookup(AK744,A:A,M:M)+_xlfn.xlookup(AK744,A:A,N:N)</f>
        <v>#NAME?</v>
      </c>
      <c r="AO744" s="223" t="e">
        <f aca="false">_xlfn.xlookup(AK744,A:A,AG:AG)</f>
        <v>#NAME?</v>
      </c>
      <c r="AP744" s="223" t="e">
        <f aca="false">_xlfn.xlookup(AK744,A:A,AD:AD)</f>
        <v>#NAME?</v>
      </c>
      <c r="AQ744" s="223" t="e">
        <f aca="false">_xlfn.xlookup(AK744,A:A,AE:AE)</f>
        <v>#NAME?</v>
      </c>
      <c r="BB744" s="15" t="e">
        <f aca="false">_xlfn.xlookup(BA744,A:A,E:E)</f>
        <v>#NAME?</v>
      </c>
      <c r="BC744" s="15" t="e">
        <f aca="false">_xlfn.xlookup(BA744,A:A,J:J)</f>
        <v>#NAME?</v>
      </c>
      <c r="BD744" s="75" t="e">
        <f aca="false">_xlfn.xlookup(BA744,A:A,M:M)+_xlfn.xlookup(BA744,A:A,N:N)</f>
        <v>#NAME?</v>
      </c>
    </row>
    <row r="745" customFormat="false" ht="14.25" hidden="false" customHeight="false" outlineLevel="0" collapsed="false">
      <c r="AK745" s="15" t="e">
        <v>#NAME?</v>
      </c>
      <c r="AL745" s="15" t="e">
        <f aca="false">_xlfn.xlookup(AK745,A:A,F:F)</f>
        <v>#NAME?</v>
      </c>
      <c r="AM745" s="15" t="e">
        <f aca="false">_xlfn.xlookup(AK745,A:A,J:J)</f>
        <v>#NAME?</v>
      </c>
      <c r="AN745" s="15" t="e">
        <f aca="false">_xlfn.xlookup(AK745,A:A,M:M)+_xlfn.xlookup(AK745,A:A,N:N)</f>
        <v>#NAME?</v>
      </c>
      <c r="AO745" s="223" t="e">
        <f aca="false">_xlfn.xlookup(AK745,A:A,AG:AG)</f>
        <v>#NAME?</v>
      </c>
      <c r="AP745" s="223" t="e">
        <f aca="false">_xlfn.xlookup(AK745,A:A,AD:AD)</f>
        <v>#NAME?</v>
      </c>
      <c r="AQ745" s="223" t="e">
        <f aca="false">_xlfn.xlookup(AK745,A:A,AE:AE)</f>
        <v>#NAME?</v>
      </c>
      <c r="BB745" s="15" t="e">
        <f aca="false">_xlfn.xlookup(BA745,A:A,E:E)</f>
        <v>#NAME?</v>
      </c>
      <c r="BC745" s="15" t="e">
        <f aca="false">_xlfn.xlookup(BA745,A:A,J:J)</f>
        <v>#NAME?</v>
      </c>
      <c r="BD745" s="75" t="e">
        <f aca="false">_xlfn.xlookup(BA745,A:A,M:M)+_xlfn.xlookup(BA745,A:A,N:N)</f>
        <v>#NAME?</v>
      </c>
    </row>
    <row r="746" customFormat="false" ht="14.25" hidden="false" customHeight="false" outlineLevel="0" collapsed="false">
      <c r="AK746" s="15" t="e">
        <v>#NAME?</v>
      </c>
      <c r="AL746" s="15" t="e">
        <f aca="false">_xlfn.xlookup(AK746,A:A,F:F)</f>
        <v>#NAME?</v>
      </c>
      <c r="AM746" s="15" t="e">
        <f aca="false">_xlfn.xlookup(AK746,A:A,J:J)</f>
        <v>#NAME?</v>
      </c>
      <c r="AN746" s="15" t="e">
        <f aca="false">_xlfn.xlookup(AK746,A:A,M:M)+_xlfn.xlookup(AK746,A:A,N:N)</f>
        <v>#NAME?</v>
      </c>
      <c r="AO746" s="223" t="e">
        <f aca="false">_xlfn.xlookup(AK746,A:A,AG:AG)</f>
        <v>#NAME?</v>
      </c>
      <c r="AP746" s="223" t="e">
        <f aca="false">_xlfn.xlookup(AK746,A:A,AD:AD)</f>
        <v>#NAME?</v>
      </c>
      <c r="AQ746" s="223" t="e">
        <f aca="false">_xlfn.xlookup(AK746,A:A,AE:AE)</f>
        <v>#NAME?</v>
      </c>
      <c r="BB746" s="15" t="e">
        <f aca="false">_xlfn.xlookup(BA746,A:A,E:E)</f>
        <v>#NAME?</v>
      </c>
      <c r="BC746" s="15" t="e">
        <f aca="false">_xlfn.xlookup(BA746,A:A,J:J)</f>
        <v>#NAME?</v>
      </c>
      <c r="BD746" s="75" t="e">
        <f aca="false">_xlfn.xlookup(BA746,A:A,M:M)+_xlfn.xlookup(BA746,A:A,N:N)</f>
        <v>#NAME?</v>
      </c>
    </row>
    <row r="747" customFormat="false" ht="14.25" hidden="false" customHeight="false" outlineLevel="0" collapsed="false">
      <c r="AK747" s="15" t="e">
        <v>#NAME?</v>
      </c>
      <c r="AL747" s="15" t="e">
        <f aca="false">_xlfn.xlookup(AK747,A:A,F:F)</f>
        <v>#NAME?</v>
      </c>
      <c r="AM747" s="15" t="e">
        <f aca="false">_xlfn.xlookup(AK747,A:A,J:J)</f>
        <v>#NAME?</v>
      </c>
      <c r="AN747" s="15" t="e">
        <f aca="false">_xlfn.xlookup(AK747,A:A,M:M)+_xlfn.xlookup(AK747,A:A,N:N)</f>
        <v>#NAME?</v>
      </c>
      <c r="AO747" s="223" t="e">
        <f aca="false">_xlfn.xlookup(AK747,A:A,AG:AG)</f>
        <v>#NAME?</v>
      </c>
      <c r="AP747" s="223" t="e">
        <f aca="false">_xlfn.xlookup(AK747,A:A,AD:AD)</f>
        <v>#NAME?</v>
      </c>
      <c r="AQ747" s="223" t="e">
        <f aca="false">_xlfn.xlookup(AK747,A:A,AE:AE)</f>
        <v>#NAME?</v>
      </c>
      <c r="BB747" s="15" t="e">
        <f aca="false">_xlfn.xlookup(BA747,A:A,E:E)</f>
        <v>#NAME?</v>
      </c>
      <c r="BC747" s="15" t="e">
        <f aca="false">_xlfn.xlookup(BA747,A:A,J:J)</f>
        <v>#NAME?</v>
      </c>
      <c r="BD747" s="75" t="e">
        <f aca="false">_xlfn.xlookup(BA747,A:A,M:M)+_xlfn.xlookup(BA747,A:A,N:N)</f>
        <v>#NAME?</v>
      </c>
    </row>
    <row r="748" customFormat="false" ht="14.25" hidden="false" customHeight="false" outlineLevel="0" collapsed="false">
      <c r="AK748" s="15" t="e">
        <v>#NAME?</v>
      </c>
      <c r="AL748" s="15" t="e">
        <f aca="false">_xlfn.xlookup(AK748,A:A,F:F)</f>
        <v>#NAME?</v>
      </c>
      <c r="AM748" s="15" t="e">
        <f aca="false">_xlfn.xlookup(AK748,A:A,J:J)</f>
        <v>#NAME?</v>
      </c>
      <c r="AN748" s="15" t="e">
        <f aca="false">_xlfn.xlookup(AK748,A:A,M:M)+_xlfn.xlookup(AK748,A:A,N:N)</f>
        <v>#NAME?</v>
      </c>
      <c r="AO748" s="223" t="e">
        <f aca="false">_xlfn.xlookup(AK748,A:A,AG:AG)</f>
        <v>#NAME?</v>
      </c>
      <c r="AP748" s="223" t="e">
        <f aca="false">_xlfn.xlookup(AK748,A:A,AD:AD)</f>
        <v>#NAME?</v>
      </c>
      <c r="AQ748" s="223" t="e">
        <f aca="false">_xlfn.xlookup(AK748,A:A,AE:AE)</f>
        <v>#NAME?</v>
      </c>
      <c r="BB748" s="15" t="e">
        <f aca="false">_xlfn.xlookup(BA748,A:A,E:E)</f>
        <v>#NAME?</v>
      </c>
      <c r="BC748" s="15" t="e">
        <f aca="false">_xlfn.xlookup(BA748,A:A,J:J)</f>
        <v>#NAME?</v>
      </c>
      <c r="BD748" s="75" t="e">
        <f aca="false">_xlfn.xlookup(BA748,A:A,M:M)+_xlfn.xlookup(BA748,A:A,N:N)</f>
        <v>#NAME?</v>
      </c>
    </row>
    <row r="749" customFormat="false" ht="14.25" hidden="false" customHeight="false" outlineLevel="0" collapsed="false">
      <c r="AK749" s="15" t="e">
        <v>#NAME?</v>
      </c>
      <c r="AL749" s="15" t="e">
        <f aca="false">_xlfn.xlookup(AK749,A:A,F:F)</f>
        <v>#NAME?</v>
      </c>
      <c r="AM749" s="15" t="e">
        <f aca="false">_xlfn.xlookup(AK749,A:A,J:J)</f>
        <v>#NAME?</v>
      </c>
      <c r="AN749" s="15" t="e">
        <f aca="false">_xlfn.xlookup(AK749,A:A,M:M)+_xlfn.xlookup(AK749,A:A,N:N)</f>
        <v>#NAME?</v>
      </c>
      <c r="AO749" s="223" t="e">
        <f aca="false">_xlfn.xlookup(AK749,A:A,AG:AG)</f>
        <v>#NAME?</v>
      </c>
      <c r="AP749" s="223" t="e">
        <f aca="false">_xlfn.xlookup(AK749,A:A,AD:AD)</f>
        <v>#NAME?</v>
      </c>
      <c r="AQ749" s="223" t="e">
        <f aca="false">_xlfn.xlookup(AK749,A:A,AE:AE)</f>
        <v>#NAME?</v>
      </c>
      <c r="BB749" s="15" t="e">
        <f aca="false">_xlfn.xlookup(BA749,A:A,E:E)</f>
        <v>#NAME?</v>
      </c>
      <c r="BC749" s="15" t="e">
        <f aca="false">_xlfn.xlookup(BA749,A:A,J:J)</f>
        <v>#NAME?</v>
      </c>
      <c r="BD749" s="75" t="e">
        <f aca="false">_xlfn.xlookup(BA749,A:A,M:M)+_xlfn.xlookup(BA749,A:A,N:N)</f>
        <v>#NAME?</v>
      </c>
    </row>
    <row r="750" customFormat="false" ht="14.25" hidden="false" customHeight="false" outlineLevel="0" collapsed="false">
      <c r="AK750" s="15" t="e">
        <v>#NAME?</v>
      </c>
      <c r="AL750" s="15" t="e">
        <f aca="false">_xlfn.xlookup(AK750,A:A,F:F)</f>
        <v>#NAME?</v>
      </c>
      <c r="AM750" s="15" t="e">
        <f aca="false">_xlfn.xlookup(AK750,A:A,J:J)</f>
        <v>#NAME?</v>
      </c>
      <c r="AN750" s="15" t="e">
        <f aca="false">_xlfn.xlookup(AK750,A:A,M:M)+_xlfn.xlookup(AK750,A:A,N:N)</f>
        <v>#NAME?</v>
      </c>
      <c r="AO750" s="223" t="e">
        <f aca="false">_xlfn.xlookup(AK750,A:A,AG:AG)</f>
        <v>#NAME?</v>
      </c>
      <c r="AP750" s="223" t="e">
        <f aca="false">_xlfn.xlookup(AK750,A:A,AD:AD)</f>
        <v>#NAME?</v>
      </c>
      <c r="AQ750" s="223" t="e">
        <f aca="false">_xlfn.xlookup(AK750,A:A,AE:AE)</f>
        <v>#NAME?</v>
      </c>
      <c r="BB750" s="15" t="e">
        <f aca="false">_xlfn.xlookup(BA750,A:A,E:E)</f>
        <v>#NAME?</v>
      </c>
      <c r="BC750" s="15" t="e">
        <f aca="false">_xlfn.xlookup(BA750,A:A,J:J)</f>
        <v>#NAME?</v>
      </c>
      <c r="BD750" s="75" t="e">
        <f aca="false">_xlfn.xlookup(BA750,A:A,M:M)+_xlfn.xlookup(BA750,A:A,N:N)</f>
        <v>#NAME?</v>
      </c>
    </row>
    <row r="751" customFormat="false" ht="14.25" hidden="false" customHeight="false" outlineLevel="0" collapsed="false">
      <c r="AK751" s="15" t="e">
        <v>#NAME?</v>
      </c>
      <c r="AL751" s="15" t="e">
        <f aca="false">_xlfn.xlookup(AK751,A:A,F:F)</f>
        <v>#NAME?</v>
      </c>
      <c r="AM751" s="15" t="e">
        <f aca="false">_xlfn.xlookup(AK751,A:A,J:J)</f>
        <v>#NAME?</v>
      </c>
      <c r="AN751" s="15" t="e">
        <f aca="false">_xlfn.xlookup(AK751,A:A,M:M)+_xlfn.xlookup(AK751,A:A,N:N)</f>
        <v>#NAME?</v>
      </c>
      <c r="AO751" s="223" t="e">
        <f aca="false">_xlfn.xlookup(AK751,A:A,AG:AG)</f>
        <v>#NAME?</v>
      </c>
      <c r="AP751" s="223" t="e">
        <f aca="false">_xlfn.xlookup(AK751,A:A,AD:AD)</f>
        <v>#NAME?</v>
      </c>
      <c r="AQ751" s="223" t="e">
        <f aca="false">_xlfn.xlookup(AK751,A:A,AE:AE)</f>
        <v>#NAME?</v>
      </c>
      <c r="BB751" s="15" t="e">
        <f aca="false">_xlfn.xlookup(BA751,A:A,E:E)</f>
        <v>#NAME?</v>
      </c>
      <c r="BC751" s="15" t="e">
        <f aca="false">_xlfn.xlookup(BA751,A:A,J:J)</f>
        <v>#NAME?</v>
      </c>
      <c r="BD751" s="75" t="e">
        <f aca="false">_xlfn.xlookup(BA751,A:A,M:M)+_xlfn.xlookup(BA751,A:A,N:N)</f>
        <v>#NAME?</v>
      </c>
    </row>
    <row r="752" customFormat="false" ht="14.25" hidden="false" customHeight="false" outlineLevel="0" collapsed="false">
      <c r="AK752" s="15" t="e">
        <v>#NAME?</v>
      </c>
      <c r="AL752" s="15" t="e">
        <f aca="false">_xlfn.xlookup(AK752,A:A,F:F)</f>
        <v>#NAME?</v>
      </c>
      <c r="AM752" s="15" t="e">
        <f aca="false">_xlfn.xlookup(AK752,A:A,J:J)</f>
        <v>#NAME?</v>
      </c>
      <c r="AN752" s="15" t="e">
        <f aca="false">_xlfn.xlookup(AK752,A:A,M:M)+_xlfn.xlookup(AK752,A:A,N:N)</f>
        <v>#NAME?</v>
      </c>
      <c r="AO752" s="223" t="e">
        <f aca="false">_xlfn.xlookup(AK752,A:A,AG:AG)</f>
        <v>#NAME?</v>
      </c>
      <c r="AP752" s="223" t="e">
        <f aca="false">_xlfn.xlookup(AK752,A:A,AD:AD)</f>
        <v>#NAME?</v>
      </c>
      <c r="AQ752" s="223" t="e">
        <f aca="false">_xlfn.xlookup(AK752,A:A,AE:AE)</f>
        <v>#NAME?</v>
      </c>
      <c r="BB752" s="15" t="e">
        <f aca="false">_xlfn.xlookup(BA752,A:A,E:E)</f>
        <v>#NAME?</v>
      </c>
      <c r="BC752" s="15" t="e">
        <f aca="false">_xlfn.xlookup(BA752,A:A,J:J)</f>
        <v>#NAME?</v>
      </c>
      <c r="BD752" s="75" t="e">
        <f aca="false">_xlfn.xlookup(BA752,A:A,M:M)+_xlfn.xlookup(BA752,A:A,N:N)</f>
        <v>#NAME?</v>
      </c>
    </row>
    <row r="753" customFormat="false" ht="14.25" hidden="false" customHeight="false" outlineLevel="0" collapsed="false">
      <c r="AK753" s="15" t="e">
        <v>#NAME?</v>
      </c>
      <c r="AL753" s="15" t="e">
        <f aca="false">_xlfn.xlookup(AK753,A:A,F:F)</f>
        <v>#NAME?</v>
      </c>
      <c r="AM753" s="15" t="e">
        <f aca="false">_xlfn.xlookup(AK753,A:A,J:J)</f>
        <v>#NAME?</v>
      </c>
      <c r="AN753" s="15" t="e">
        <f aca="false">_xlfn.xlookup(AK753,A:A,M:M)+_xlfn.xlookup(AK753,A:A,N:N)</f>
        <v>#NAME?</v>
      </c>
      <c r="AO753" s="223" t="e">
        <f aca="false">_xlfn.xlookup(AK753,A:A,AG:AG)</f>
        <v>#NAME?</v>
      </c>
      <c r="AP753" s="223" t="e">
        <f aca="false">_xlfn.xlookup(AK753,A:A,AD:AD)</f>
        <v>#NAME?</v>
      </c>
      <c r="AQ753" s="223" t="e">
        <f aca="false">_xlfn.xlookup(AK753,A:A,AE:AE)</f>
        <v>#NAME?</v>
      </c>
      <c r="BB753" s="15" t="e">
        <f aca="false">_xlfn.xlookup(BA753,A:A,E:E)</f>
        <v>#NAME?</v>
      </c>
      <c r="BC753" s="15" t="e">
        <f aca="false">_xlfn.xlookup(BA753,A:A,J:J)</f>
        <v>#NAME?</v>
      </c>
      <c r="BD753" s="75" t="e">
        <f aca="false">_xlfn.xlookup(BA753,A:A,M:M)+_xlfn.xlookup(BA753,A:A,N:N)</f>
        <v>#NAME?</v>
      </c>
    </row>
    <row r="754" customFormat="false" ht="14.25" hidden="false" customHeight="false" outlineLevel="0" collapsed="false">
      <c r="AK754" s="15" t="e">
        <v>#NAME?</v>
      </c>
      <c r="AL754" s="15" t="e">
        <f aca="false">_xlfn.xlookup(AK754,A:A,F:F)</f>
        <v>#NAME?</v>
      </c>
      <c r="AM754" s="15" t="e">
        <f aca="false">_xlfn.xlookup(AK754,A:A,J:J)</f>
        <v>#NAME?</v>
      </c>
      <c r="AN754" s="15" t="e">
        <f aca="false">_xlfn.xlookup(AK754,A:A,M:M)+_xlfn.xlookup(AK754,A:A,N:N)</f>
        <v>#NAME?</v>
      </c>
      <c r="AO754" s="223" t="e">
        <f aca="false">_xlfn.xlookup(AK754,A:A,AG:AG)</f>
        <v>#NAME?</v>
      </c>
      <c r="AP754" s="223" t="e">
        <f aca="false">_xlfn.xlookup(AK754,A:A,AD:AD)</f>
        <v>#NAME?</v>
      </c>
      <c r="AQ754" s="223" t="e">
        <f aca="false">_xlfn.xlookup(AK754,A:A,AE:AE)</f>
        <v>#NAME?</v>
      </c>
      <c r="BB754" s="15" t="e">
        <f aca="false">_xlfn.xlookup(BA754,A:A,E:E)</f>
        <v>#NAME?</v>
      </c>
      <c r="BC754" s="15" t="e">
        <f aca="false">_xlfn.xlookup(BA754,A:A,J:J)</f>
        <v>#NAME?</v>
      </c>
      <c r="BD754" s="75" t="e">
        <f aca="false">_xlfn.xlookup(BA754,A:A,M:M)+_xlfn.xlookup(BA754,A:A,N:N)</f>
        <v>#NAME?</v>
      </c>
    </row>
    <row r="755" customFormat="false" ht="14.25" hidden="false" customHeight="false" outlineLevel="0" collapsed="false">
      <c r="AK755" s="15" t="e">
        <v>#NAME?</v>
      </c>
      <c r="AL755" s="15" t="e">
        <f aca="false">_xlfn.xlookup(AK755,A:A,F:F)</f>
        <v>#NAME?</v>
      </c>
      <c r="AM755" s="15" t="e">
        <f aca="false">_xlfn.xlookup(AK755,A:A,J:J)</f>
        <v>#NAME?</v>
      </c>
      <c r="AN755" s="15" t="e">
        <f aca="false">_xlfn.xlookup(AK755,A:A,M:M)+_xlfn.xlookup(AK755,A:A,N:N)</f>
        <v>#NAME?</v>
      </c>
      <c r="AO755" s="223" t="e">
        <f aca="false">_xlfn.xlookup(AK755,A:A,AG:AG)</f>
        <v>#NAME?</v>
      </c>
      <c r="AP755" s="223" t="e">
        <f aca="false">_xlfn.xlookup(AK755,A:A,AD:AD)</f>
        <v>#NAME?</v>
      </c>
      <c r="AQ755" s="223" t="e">
        <f aca="false">_xlfn.xlookup(AK755,A:A,AE:AE)</f>
        <v>#NAME?</v>
      </c>
      <c r="BB755" s="15" t="e">
        <f aca="false">_xlfn.xlookup(BA755,A:A,E:E)</f>
        <v>#NAME?</v>
      </c>
      <c r="BC755" s="15" t="e">
        <f aca="false">_xlfn.xlookup(BA755,A:A,J:J)</f>
        <v>#NAME?</v>
      </c>
      <c r="BD755" s="75" t="e">
        <f aca="false">_xlfn.xlookup(BA755,A:A,M:M)+_xlfn.xlookup(BA755,A:A,N:N)</f>
        <v>#NAME?</v>
      </c>
    </row>
    <row r="756" customFormat="false" ht="14.25" hidden="false" customHeight="false" outlineLevel="0" collapsed="false">
      <c r="AK756" s="15" t="e">
        <v>#NAME?</v>
      </c>
      <c r="AL756" s="15" t="e">
        <f aca="false">_xlfn.xlookup(AK756,A:A,F:F)</f>
        <v>#NAME?</v>
      </c>
      <c r="AM756" s="15" t="e">
        <f aca="false">_xlfn.xlookup(AK756,A:A,J:J)</f>
        <v>#NAME?</v>
      </c>
      <c r="AN756" s="15" t="e">
        <f aca="false">_xlfn.xlookup(AK756,A:A,M:M)+_xlfn.xlookup(AK756,A:A,N:N)</f>
        <v>#NAME?</v>
      </c>
      <c r="AO756" s="223" t="e">
        <f aca="false">_xlfn.xlookup(AK756,A:A,AG:AG)</f>
        <v>#NAME?</v>
      </c>
      <c r="AP756" s="223" t="e">
        <f aca="false">_xlfn.xlookup(AK756,A:A,AD:AD)</f>
        <v>#NAME?</v>
      </c>
      <c r="AQ756" s="223" t="e">
        <f aca="false">_xlfn.xlookup(AK756,A:A,AE:AE)</f>
        <v>#NAME?</v>
      </c>
      <c r="BB756" s="15" t="e">
        <f aca="false">_xlfn.xlookup(BA756,A:A,E:E)</f>
        <v>#NAME?</v>
      </c>
      <c r="BC756" s="15" t="e">
        <f aca="false">_xlfn.xlookup(BA756,A:A,J:J)</f>
        <v>#NAME?</v>
      </c>
      <c r="BD756" s="75" t="e">
        <f aca="false">_xlfn.xlookup(BA756,A:A,M:M)+_xlfn.xlookup(BA756,A:A,N:N)</f>
        <v>#NAME?</v>
      </c>
    </row>
    <row r="757" customFormat="false" ht="14.25" hidden="false" customHeight="false" outlineLevel="0" collapsed="false">
      <c r="AK757" s="15" t="e">
        <v>#NAME?</v>
      </c>
      <c r="AL757" s="15" t="e">
        <f aca="false">_xlfn.xlookup(AK757,A:A,F:F)</f>
        <v>#NAME?</v>
      </c>
      <c r="AM757" s="15" t="e">
        <f aca="false">_xlfn.xlookup(AK757,A:A,J:J)</f>
        <v>#NAME?</v>
      </c>
      <c r="AN757" s="15" t="e">
        <f aca="false">_xlfn.xlookup(AK757,A:A,M:M)+_xlfn.xlookup(AK757,A:A,N:N)</f>
        <v>#NAME?</v>
      </c>
      <c r="AO757" s="223" t="e">
        <f aca="false">_xlfn.xlookup(AK757,A:A,AG:AG)</f>
        <v>#NAME?</v>
      </c>
      <c r="AP757" s="223" t="e">
        <f aca="false">_xlfn.xlookup(AK757,A:A,AD:AD)</f>
        <v>#NAME?</v>
      </c>
      <c r="AQ757" s="223" t="e">
        <f aca="false">_xlfn.xlookup(AK757,A:A,AE:AE)</f>
        <v>#NAME?</v>
      </c>
      <c r="BB757" s="15" t="e">
        <f aca="false">_xlfn.xlookup(BA757,A:A,E:E)</f>
        <v>#NAME?</v>
      </c>
      <c r="BC757" s="15" t="e">
        <f aca="false">_xlfn.xlookup(BA757,A:A,J:J)</f>
        <v>#NAME?</v>
      </c>
      <c r="BD757" s="75" t="e">
        <f aca="false">_xlfn.xlookup(BA757,A:A,M:M)+_xlfn.xlookup(BA757,A:A,N:N)</f>
        <v>#NAME?</v>
      </c>
    </row>
    <row r="758" customFormat="false" ht="14.25" hidden="false" customHeight="false" outlineLevel="0" collapsed="false">
      <c r="AK758" s="15" t="e">
        <v>#NAME?</v>
      </c>
      <c r="AL758" s="15" t="e">
        <f aca="false">_xlfn.xlookup(AK758,A:A,F:F)</f>
        <v>#NAME?</v>
      </c>
      <c r="AM758" s="15" t="e">
        <f aca="false">_xlfn.xlookup(AK758,A:A,J:J)</f>
        <v>#NAME?</v>
      </c>
      <c r="AN758" s="15" t="e">
        <f aca="false">_xlfn.xlookup(AK758,A:A,M:M)+_xlfn.xlookup(AK758,A:A,N:N)</f>
        <v>#NAME?</v>
      </c>
      <c r="AO758" s="223" t="e">
        <f aca="false">_xlfn.xlookup(AK758,A:A,AG:AG)</f>
        <v>#NAME?</v>
      </c>
      <c r="AP758" s="223" t="e">
        <f aca="false">_xlfn.xlookup(AK758,A:A,AD:AD)</f>
        <v>#NAME?</v>
      </c>
      <c r="AQ758" s="223" t="e">
        <f aca="false">_xlfn.xlookup(AK758,A:A,AE:AE)</f>
        <v>#NAME?</v>
      </c>
      <c r="BB758" s="15" t="e">
        <f aca="false">_xlfn.xlookup(BA758,A:A,E:E)</f>
        <v>#NAME?</v>
      </c>
      <c r="BC758" s="15" t="e">
        <f aca="false">_xlfn.xlookup(BA758,A:A,J:J)</f>
        <v>#NAME?</v>
      </c>
      <c r="BD758" s="75" t="e">
        <f aca="false">_xlfn.xlookup(BA758,A:A,M:M)+_xlfn.xlookup(BA758,A:A,N:N)</f>
        <v>#NAME?</v>
      </c>
    </row>
    <row r="759" customFormat="false" ht="14.25" hidden="false" customHeight="false" outlineLevel="0" collapsed="false">
      <c r="AK759" s="15" t="e">
        <v>#NAME?</v>
      </c>
      <c r="AL759" s="15" t="e">
        <f aca="false">_xlfn.xlookup(AK759,A:A,F:F)</f>
        <v>#NAME?</v>
      </c>
      <c r="AM759" s="15" t="e">
        <f aca="false">_xlfn.xlookup(AK759,A:A,J:J)</f>
        <v>#NAME?</v>
      </c>
      <c r="AN759" s="15" t="e">
        <f aca="false">_xlfn.xlookup(AK759,A:A,M:M)+_xlfn.xlookup(AK759,A:A,N:N)</f>
        <v>#NAME?</v>
      </c>
      <c r="AO759" s="223" t="e">
        <f aca="false">_xlfn.xlookup(AK759,A:A,AG:AG)</f>
        <v>#NAME?</v>
      </c>
      <c r="AP759" s="223" t="e">
        <f aca="false">_xlfn.xlookup(AK759,A:A,AD:AD)</f>
        <v>#NAME?</v>
      </c>
      <c r="AQ759" s="223" t="e">
        <f aca="false">_xlfn.xlookup(AK759,A:A,AE:AE)</f>
        <v>#NAME?</v>
      </c>
      <c r="BB759" s="15" t="e">
        <f aca="false">_xlfn.xlookup(BA759,A:A,E:E)</f>
        <v>#NAME?</v>
      </c>
      <c r="BC759" s="15" t="e">
        <f aca="false">_xlfn.xlookup(BA759,A:A,J:J)</f>
        <v>#NAME?</v>
      </c>
      <c r="BD759" s="75" t="e">
        <f aca="false">_xlfn.xlookup(BA759,A:A,M:M)+_xlfn.xlookup(BA759,A:A,N:N)</f>
        <v>#NAME?</v>
      </c>
    </row>
    <row r="760" customFormat="false" ht="14.25" hidden="false" customHeight="false" outlineLevel="0" collapsed="false">
      <c r="AK760" s="15" t="e">
        <v>#NAME?</v>
      </c>
      <c r="AL760" s="15" t="e">
        <f aca="false">_xlfn.xlookup(AK760,A:A,F:F)</f>
        <v>#NAME?</v>
      </c>
      <c r="AM760" s="15" t="e">
        <f aca="false">_xlfn.xlookup(AK760,A:A,J:J)</f>
        <v>#NAME?</v>
      </c>
      <c r="AN760" s="15" t="e">
        <f aca="false">_xlfn.xlookup(AK760,A:A,M:M)+_xlfn.xlookup(AK760,A:A,N:N)</f>
        <v>#NAME?</v>
      </c>
      <c r="AO760" s="223" t="e">
        <f aca="false">_xlfn.xlookup(AK760,A:A,AG:AG)</f>
        <v>#NAME?</v>
      </c>
      <c r="AP760" s="223" t="e">
        <f aca="false">_xlfn.xlookup(AK760,A:A,AD:AD)</f>
        <v>#NAME?</v>
      </c>
      <c r="AQ760" s="223" t="e">
        <f aca="false">_xlfn.xlookup(AK760,A:A,AE:AE)</f>
        <v>#NAME?</v>
      </c>
      <c r="BB760" s="15" t="e">
        <f aca="false">_xlfn.xlookup(BA760,A:A,E:E)</f>
        <v>#NAME?</v>
      </c>
      <c r="BC760" s="15" t="e">
        <f aca="false">_xlfn.xlookup(BA760,A:A,J:J)</f>
        <v>#NAME?</v>
      </c>
      <c r="BD760" s="75" t="e">
        <f aca="false">_xlfn.xlookup(BA760,A:A,M:M)+_xlfn.xlookup(BA760,A:A,N:N)</f>
        <v>#NAME?</v>
      </c>
    </row>
    <row r="761" customFormat="false" ht="14.25" hidden="false" customHeight="false" outlineLevel="0" collapsed="false">
      <c r="AK761" s="15" t="e">
        <v>#NAME?</v>
      </c>
      <c r="AL761" s="15" t="e">
        <f aca="false">_xlfn.xlookup(AK761,A:A,F:F)</f>
        <v>#NAME?</v>
      </c>
      <c r="AM761" s="15" t="e">
        <f aca="false">_xlfn.xlookup(AK761,A:A,J:J)</f>
        <v>#NAME?</v>
      </c>
      <c r="AN761" s="15" t="e">
        <f aca="false">_xlfn.xlookup(AK761,A:A,M:M)+_xlfn.xlookup(AK761,A:A,N:N)</f>
        <v>#NAME?</v>
      </c>
      <c r="AO761" s="223" t="e">
        <f aca="false">_xlfn.xlookup(AK761,A:A,AG:AG)</f>
        <v>#NAME?</v>
      </c>
      <c r="AP761" s="223" t="e">
        <f aca="false">_xlfn.xlookup(AK761,A:A,AD:AD)</f>
        <v>#NAME?</v>
      </c>
      <c r="AQ761" s="223" t="e">
        <f aca="false">_xlfn.xlookup(AK761,A:A,AE:AE)</f>
        <v>#NAME?</v>
      </c>
      <c r="BB761" s="15" t="e">
        <f aca="false">_xlfn.xlookup(BA761,A:A,E:E)</f>
        <v>#NAME?</v>
      </c>
      <c r="BC761" s="15" t="e">
        <f aca="false">_xlfn.xlookup(BA761,A:A,J:J)</f>
        <v>#NAME?</v>
      </c>
      <c r="BD761" s="75" t="e">
        <f aca="false">_xlfn.xlookup(BA761,A:A,M:M)+_xlfn.xlookup(BA761,A:A,N:N)</f>
        <v>#NAME?</v>
      </c>
    </row>
    <row r="762" customFormat="false" ht="14.25" hidden="false" customHeight="false" outlineLevel="0" collapsed="false">
      <c r="AK762" s="15" t="e">
        <v>#NAME?</v>
      </c>
      <c r="AL762" s="15" t="e">
        <f aca="false">_xlfn.xlookup(AK762,A:A,F:F)</f>
        <v>#NAME?</v>
      </c>
      <c r="AM762" s="15" t="e">
        <f aca="false">_xlfn.xlookup(AK762,A:A,J:J)</f>
        <v>#NAME?</v>
      </c>
      <c r="AN762" s="15" t="e">
        <f aca="false">_xlfn.xlookup(AK762,A:A,M:M)+_xlfn.xlookup(AK762,A:A,N:N)</f>
        <v>#NAME?</v>
      </c>
      <c r="AO762" s="223" t="e">
        <f aca="false">_xlfn.xlookup(AK762,A:A,AG:AG)</f>
        <v>#NAME?</v>
      </c>
      <c r="AP762" s="223" t="e">
        <f aca="false">_xlfn.xlookup(AK762,A:A,AD:AD)</f>
        <v>#NAME?</v>
      </c>
      <c r="AQ762" s="223" t="e">
        <f aca="false">_xlfn.xlookup(AK762,A:A,AE:AE)</f>
        <v>#NAME?</v>
      </c>
      <c r="BB762" s="15" t="e">
        <f aca="false">_xlfn.xlookup(BA762,A:A,E:E)</f>
        <v>#NAME?</v>
      </c>
      <c r="BC762" s="15" t="e">
        <f aca="false">_xlfn.xlookup(BA762,A:A,J:J)</f>
        <v>#NAME?</v>
      </c>
      <c r="BD762" s="75" t="e">
        <f aca="false">_xlfn.xlookup(BA762,A:A,M:M)+_xlfn.xlookup(BA762,A:A,N:N)</f>
        <v>#NAME?</v>
      </c>
    </row>
    <row r="763" customFormat="false" ht="14.25" hidden="false" customHeight="false" outlineLevel="0" collapsed="false">
      <c r="AK763" s="15" t="e">
        <v>#NAME?</v>
      </c>
      <c r="AL763" s="15" t="e">
        <f aca="false">_xlfn.xlookup(AK763,A:A,F:F)</f>
        <v>#NAME?</v>
      </c>
      <c r="AM763" s="15" t="e">
        <f aca="false">_xlfn.xlookup(AK763,A:A,J:J)</f>
        <v>#NAME?</v>
      </c>
      <c r="AN763" s="15" t="e">
        <f aca="false">_xlfn.xlookup(AK763,A:A,M:M)+_xlfn.xlookup(AK763,A:A,N:N)</f>
        <v>#NAME?</v>
      </c>
      <c r="AO763" s="223" t="e">
        <f aca="false">_xlfn.xlookup(AK763,A:A,AG:AG)</f>
        <v>#NAME?</v>
      </c>
      <c r="AP763" s="223" t="e">
        <f aca="false">_xlfn.xlookup(AK763,A:A,AD:AD)</f>
        <v>#NAME?</v>
      </c>
      <c r="AQ763" s="223" t="e">
        <f aca="false">_xlfn.xlookup(AK763,A:A,AE:AE)</f>
        <v>#NAME?</v>
      </c>
      <c r="BB763" s="15" t="e">
        <f aca="false">_xlfn.xlookup(BA763,A:A,E:E)</f>
        <v>#NAME?</v>
      </c>
      <c r="BC763" s="15" t="e">
        <f aca="false">_xlfn.xlookup(BA763,A:A,J:J)</f>
        <v>#NAME?</v>
      </c>
      <c r="BD763" s="75" t="e">
        <f aca="false">_xlfn.xlookup(BA763,A:A,M:M)+_xlfn.xlookup(BA763,A:A,N:N)</f>
        <v>#NAME?</v>
      </c>
    </row>
    <row r="764" customFormat="false" ht="14.25" hidden="false" customHeight="false" outlineLevel="0" collapsed="false">
      <c r="AK764" s="15" t="e">
        <v>#NAME?</v>
      </c>
      <c r="AL764" s="15" t="e">
        <f aca="false">_xlfn.xlookup(AK764,A:A,F:F)</f>
        <v>#NAME?</v>
      </c>
      <c r="AM764" s="15" t="e">
        <f aca="false">_xlfn.xlookup(AK764,A:A,J:J)</f>
        <v>#NAME?</v>
      </c>
      <c r="AN764" s="15" t="e">
        <f aca="false">_xlfn.xlookup(AK764,A:A,M:M)+_xlfn.xlookup(AK764,A:A,N:N)</f>
        <v>#NAME?</v>
      </c>
      <c r="AO764" s="223" t="e">
        <f aca="false">_xlfn.xlookup(AK764,A:A,AG:AG)</f>
        <v>#NAME?</v>
      </c>
      <c r="AP764" s="223" t="e">
        <f aca="false">_xlfn.xlookup(AK764,A:A,AD:AD)</f>
        <v>#NAME?</v>
      </c>
      <c r="AQ764" s="223" t="e">
        <f aca="false">_xlfn.xlookup(AK764,A:A,AE:AE)</f>
        <v>#NAME?</v>
      </c>
      <c r="BB764" s="15" t="e">
        <f aca="false">_xlfn.xlookup(BA764,A:A,E:E)</f>
        <v>#NAME?</v>
      </c>
      <c r="BC764" s="15" t="e">
        <f aca="false">_xlfn.xlookup(BA764,A:A,J:J)</f>
        <v>#NAME?</v>
      </c>
      <c r="BD764" s="75" t="e">
        <f aca="false">_xlfn.xlookup(BA764,A:A,M:M)+_xlfn.xlookup(BA764,A:A,N:N)</f>
        <v>#NAME?</v>
      </c>
    </row>
    <row r="765" customFormat="false" ht="14.25" hidden="false" customHeight="false" outlineLevel="0" collapsed="false">
      <c r="AK765" s="15" t="e">
        <v>#NAME?</v>
      </c>
      <c r="AL765" s="15" t="e">
        <f aca="false">_xlfn.xlookup(AK765,A:A,F:F)</f>
        <v>#NAME?</v>
      </c>
      <c r="AM765" s="15" t="e">
        <f aca="false">_xlfn.xlookup(AK765,A:A,J:J)</f>
        <v>#NAME?</v>
      </c>
      <c r="AN765" s="15" t="e">
        <f aca="false">_xlfn.xlookup(AK765,A:A,M:M)+_xlfn.xlookup(AK765,A:A,N:N)</f>
        <v>#NAME?</v>
      </c>
      <c r="AO765" s="223" t="e">
        <f aca="false">_xlfn.xlookup(AK765,A:A,AG:AG)</f>
        <v>#NAME?</v>
      </c>
      <c r="AP765" s="223" t="e">
        <f aca="false">_xlfn.xlookup(AK765,A:A,AD:AD)</f>
        <v>#NAME?</v>
      </c>
      <c r="AQ765" s="223" t="e">
        <f aca="false">_xlfn.xlookup(AK765,A:A,AE:AE)</f>
        <v>#NAME?</v>
      </c>
      <c r="BB765" s="15" t="e">
        <f aca="false">_xlfn.xlookup(BA765,A:A,E:E)</f>
        <v>#NAME?</v>
      </c>
      <c r="BC765" s="15" t="e">
        <f aca="false">_xlfn.xlookup(BA765,A:A,J:J)</f>
        <v>#NAME?</v>
      </c>
      <c r="BD765" s="75" t="e">
        <f aca="false">_xlfn.xlookup(BA765,A:A,M:M)+_xlfn.xlookup(BA765,A:A,N:N)</f>
        <v>#NAME?</v>
      </c>
    </row>
    <row r="766" customFormat="false" ht="14.25" hidden="false" customHeight="false" outlineLevel="0" collapsed="false">
      <c r="AK766" s="15" t="e">
        <v>#NAME?</v>
      </c>
      <c r="AL766" s="15" t="e">
        <f aca="false">_xlfn.xlookup(AK766,A:A,F:F)</f>
        <v>#NAME?</v>
      </c>
      <c r="AM766" s="15" t="e">
        <f aca="false">_xlfn.xlookup(AK766,A:A,J:J)</f>
        <v>#NAME?</v>
      </c>
      <c r="AN766" s="15" t="e">
        <f aca="false">_xlfn.xlookup(AK766,A:A,M:M)+_xlfn.xlookup(AK766,A:A,N:N)</f>
        <v>#NAME?</v>
      </c>
      <c r="AO766" s="223" t="e">
        <f aca="false">_xlfn.xlookup(AK766,A:A,AG:AG)</f>
        <v>#NAME?</v>
      </c>
      <c r="AP766" s="223" t="e">
        <f aca="false">_xlfn.xlookup(AK766,A:A,AD:AD)</f>
        <v>#NAME?</v>
      </c>
      <c r="AQ766" s="223" t="e">
        <f aca="false">_xlfn.xlookup(AK766,A:A,AE:AE)</f>
        <v>#NAME?</v>
      </c>
      <c r="BB766" s="15" t="e">
        <f aca="false">_xlfn.xlookup(BA766,A:A,E:E)</f>
        <v>#NAME?</v>
      </c>
      <c r="BC766" s="15" t="e">
        <f aca="false">_xlfn.xlookup(BA766,A:A,J:J)</f>
        <v>#NAME?</v>
      </c>
      <c r="BD766" s="75" t="e">
        <f aca="false">_xlfn.xlookup(BA766,A:A,M:M)+_xlfn.xlookup(BA766,A:A,N:N)</f>
        <v>#NAME?</v>
      </c>
    </row>
    <row r="767" customFormat="false" ht="14.25" hidden="false" customHeight="false" outlineLevel="0" collapsed="false">
      <c r="AK767" s="15" t="e">
        <v>#NAME?</v>
      </c>
      <c r="AL767" s="15" t="e">
        <f aca="false">_xlfn.xlookup(AK767,A:A,F:F)</f>
        <v>#NAME?</v>
      </c>
      <c r="AM767" s="15" t="e">
        <f aca="false">_xlfn.xlookup(AK767,A:A,J:J)</f>
        <v>#NAME?</v>
      </c>
      <c r="AN767" s="15" t="e">
        <f aca="false">_xlfn.xlookup(AK767,A:A,M:M)+_xlfn.xlookup(AK767,A:A,N:N)</f>
        <v>#NAME?</v>
      </c>
      <c r="AO767" s="223" t="e">
        <f aca="false">_xlfn.xlookup(AK767,A:A,AG:AG)</f>
        <v>#NAME?</v>
      </c>
      <c r="AP767" s="223" t="e">
        <f aca="false">_xlfn.xlookup(AK767,A:A,AD:AD)</f>
        <v>#NAME?</v>
      </c>
      <c r="AQ767" s="223" t="e">
        <f aca="false">_xlfn.xlookup(AK767,A:A,AE:AE)</f>
        <v>#NAME?</v>
      </c>
      <c r="BB767" s="15" t="e">
        <f aca="false">_xlfn.xlookup(BA767,A:A,E:E)</f>
        <v>#NAME?</v>
      </c>
      <c r="BC767" s="15" t="e">
        <f aca="false">_xlfn.xlookup(BA767,A:A,J:J)</f>
        <v>#NAME?</v>
      </c>
      <c r="BD767" s="75" t="e">
        <f aca="false">_xlfn.xlookup(BA767,A:A,M:M)+_xlfn.xlookup(BA767,A:A,N:N)</f>
        <v>#NAME?</v>
      </c>
    </row>
    <row r="768" customFormat="false" ht="14.25" hidden="false" customHeight="false" outlineLevel="0" collapsed="false">
      <c r="AK768" s="15" t="e">
        <v>#NAME?</v>
      </c>
      <c r="AL768" s="15" t="e">
        <f aca="false">_xlfn.xlookup(AK768,A:A,F:F)</f>
        <v>#NAME?</v>
      </c>
      <c r="AM768" s="15" t="e">
        <f aca="false">_xlfn.xlookup(AK768,A:A,J:J)</f>
        <v>#NAME?</v>
      </c>
      <c r="AN768" s="15" t="e">
        <f aca="false">_xlfn.xlookup(AK768,A:A,M:M)+_xlfn.xlookup(AK768,A:A,N:N)</f>
        <v>#NAME?</v>
      </c>
      <c r="AO768" s="223" t="e">
        <f aca="false">_xlfn.xlookup(AK768,A:A,AG:AG)</f>
        <v>#NAME?</v>
      </c>
      <c r="AP768" s="223" t="e">
        <f aca="false">_xlfn.xlookup(AK768,A:A,AD:AD)</f>
        <v>#NAME?</v>
      </c>
      <c r="AQ768" s="223" t="e">
        <f aca="false">_xlfn.xlookup(AK768,A:A,AE:AE)</f>
        <v>#NAME?</v>
      </c>
      <c r="BB768" s="15" t="e">
        <f aca="false">_xlfn.xlookup(BA768,A:A,E:E)</f>
        <v>#NAME?</v>
      </c>
      <c r="BC768" s="15" t="e">
        <f aca="false">_xlfn.xlookup(BA768,A:A,J:J)</f>
        <v>#NAME?</v>
      </c>
      <c r="BD768" s="75" t="e">
        <f aca="false">_xlfn.xlookup(BA768,A:A,M:M)+_xlfn.xlookup(BA768,A:A,N:N)</f>
        <v>#NAME?</v>
      </c>
    </row>
    <row r="769" customFormat="false" ht="14.25" hidden="false" customHeight="false" outlineLevel="0" collapsed="false">
      <c r="AK769" s="15" t="e">
        <v>#NAME?</v>
      </c>
      <c r="AL769" s="15" t="e">
        <f aca="false">_xlfn.xlookup(AK769,A:A,F:F)</f>
        <v>#NAME?</v>
      </c>
      <c r="AM769" s="15" t="e">
        <f aca="false">_xlfn.xlookup(AK769,A:A,J:J)</f>
        <v>#NAME?</v>
      </c>
      <c r="AN769" s="15" t="e">
        <f aca="false">_xlfn.xlookup(AK769,A:A,M:M)+_xlfn.xlookup(AK769,A:A,N:N)</f>
        <v>#NAME?</v>
      </c>
      <c r="AO769" s="223" t="e">
        <f aca="false">_xlfn.xlookup(AK769,A:A,AG:AG)</f>
        <v>#NAME?</v>
      </c>
      <c r="AP769" s="223" t="e">
        <f aca="false">_xlfn.xlookup(AK769,A:A,AD:AD)</f>
        <v>#NAME?</v>
      </c>
      <c r="AQ769" s="223" t="e">
        <f aca="false">_xlfn.xlookup(AK769,A:A,AE:AE)</f>
        <v>#NAME?</v>
      </c>
      <c r="BB769" s="15" t="e">
        <f aca="false">_xlfn.xlookup(BA769,A:A,E:E)</f>
        <v>#NAME?</v>
      </c>
      <c r="BC769" s="15" t="e">
        <f aca="false">_xlfn.xlookup(BA769,A:A,J:J)</f>
        <v>#NAME?</v>
      </c>
      <c r="BD769" s="75" t="e">
        <f aca="false">_xlfn.xlookup(BA769,A:A,M:M)+_xlfn.xlookup(BA769,A:A,N:N)</f>
        <v>#NAME?</v>
      </c>
    </row>
    <row r="770" customFormat="false" ht="14.25" hidden="false" customHeight="false" outlineLevel="0" collapsed="false">
      <c r="AK770" s="15" t="e">
        <v>#NAME?</v>
      </c>
      <c r="AL770" s="15" t="e">
        <f aca="false">_xlfn.xlookup(AK770,A:A,F:F)</f>
        <v>#NAME?</v>
      </c>
      <c r="AM770" s="15" t="e">
        <f aca="false">_xlfn.xlookup(AK770,A:A,J:J)</f>
        <v>#NAME?</v>
      </c>
      <c r="AN770" s="15" t="e">
        <f aca="false">_xlfn.xlookup(AK770,A:A,M:M)+_xlfn.xlookup(AK770,A:A,N:N)</f>
        <v>#NAME?</v>
      </c>
      <c r="AO770" s="223" t="e">
        <f aca="false">_xlfn.xlookup(AK770,A:A,AG:AG)</f>
        <v>#NAME?</v>
      </c>
      <c r="AP770" s="223" t="e">
        <f aca="false">_xlfn.xlookup(AK770,A:A,AD:AD)</f>
        <v>#NAME?</v>
      </c>
      <c r="AQ770" s="223" t="e">
        <f aca="false">_xlfn.xlookup(AK770,A:A,AE:AE)</f>
        <v>#NAME?</v>
      </c>
      <c r="BB770" s="15" t="e">
        <f aca="false">_xlfn.xlookup(BA770,A:A,E:E)</f>
        <v>#NAME?</v>
      </c>
      <c r="BC770" s="15" t="e">
        <f aca="false">_xlfn.xlookup(BA770,A:A,J:J)</f>
        <v>#NAME?</v>
      </c>
      <c r="BD770" s="75" t="e">
        <f aca="false">_xlfn.xlookup(BA770,A:A,M:M)+_xlfn.xlookup(BA770,A:A,N:N)</f>
        <v>#NAME?</v>
      </c>
    </row>
    <row r="771" customFormat="false" ht="14.25" hidden="false" customHeight="false" outlineLevel="0" collapsed="false">
      <c r="AK771" s="15" t="e">
        <v>#NAME?</v>
      </c>
      <c r="AL771" s="15" t="e">
        <f aca="false">_xlfn.xlookup(AK771,A:A,F:F)</f>
        <v>#NAME?</v>
      </c>
      <c r="AM771" s="15" t="e">
        <f aca="false">_xlfn.xlookup(AK771,A:A,J:J)</f>
        <v>#NAME?</v>
      </c>
      <c r="AN771" s="15" t="e">
        <f aca="false">_xlfn.xlookup(AK771,A:A,M:M)+_xlfn.xlookup(AK771,A:A,N:N)</f>
        <v>#NAME?</v>
      </c>
      <c r="AO771" s="223" t="e">
        <f aca="false">_xlfn.xlookup(AK771,A:A,AG:AG)</f>
        <v>#NAME?</v>
      </c>
      <c r="AP771" s="223" t="e">
        <f aca="false">_xlfn.xlookup(AK771,A:A,AD:AD)</f>
        <v>#NAME?</v>
      </c>
      <c r="AQ771" s="223" t="e">
        <f aca="false">_xlfn.xlookup(AK771,A:A,AE:AE)</f>
        <v>#NAME?</v>
      </c>
      <c r="BB771" s="15" t="e">
        <f aca="false">_xlfn.xlookup(BA771,A:A,E:E)</f>
        <v>#NAME?</v>
      </c>
      <c r="BC771" s="15" t="e">
        <f aca="false">_xlfn.xlookup(BA771,A:A,J:J)</f>
        <v>#NAME?</v>
      </c>
      <c r="BD771" s="75" t="e">
        <f aca="false">_xlfn.xlookup(BA771,A:A,M:M)+_xlfn.xlookup(BA771,A:A,N:N)</f>
        <v>#NAME?</v>
      </c>
    </row>
    <row r="772" customFormat="false" ht="14.25" hidden="false" customHeight="false" outlineLevel="0" collapsed="false">
      <c r="AK772" s="15" t="e">
        <v>#NAME?</v>
      </c>
      <c r="AL772" s="15" t="e">
        <f aca="false">_xlfn.xlookup(AK772,A:A,F:F)</f>
        <v>#NAME?</v>
      </c>
      <c r="AM772" s="15" t="e">
        <f aca="false">_xlfn.xlookup(AK772,A:A,J:J)</f>
        <v>#NAME?</v>
      </c>
      <c r="AN772" s="15" t="e">
        <f aca="false">_xlfn.xlookup(AK772,A:A,M:M)+_xlfn.xlookup(AK772,A:A,N:N)</f>
        <v>#NAME?</v>
      </c>
      <c r="AO772" s="223" t="e">
        <f aca="false">_xlfn.xlookup(AK772,A:A,AG:AG)</f>
        <v>#NAME?</v>
      </c>
      <c r="AP772" s="223" t="e">
        <f aca="false">_xlfn.xlookup(AK772,A:A,AD:AD)</f>
        <v>#NAME?</v>
      </c>
      <c r="AQ772" s="223" t="e">
        <f aca="false">_xlfn.xlookup(AK772,A:A,AE:AE)</f>
        <v>#NAME?</v>
      </c>
      <c r="BB772" s="15" t="e">
        <f aca="false">_xlfn.xlookup(BA772,A:A,E:E)</f>
        <v>#NAME?</v>
      </c>
      <c r="BC772" s="15" t="e">
        <f aca="false">_xlfn.xlookup(BA772,A:A,J:J)</f>
        <v>#NAME?</v>
      </c>
      <c r="BD772" s="75" t="e">
        <f aca="false">_xlfn.xlookup(BA772,A:A,M:M)+_xlfn.xlookup(BA772,A:A,N:N)</f>
        <v>#NAME?</v>
      </c>
    </row>
    <row r="773" customFormat="false" ht="14.25" hidden="false" customHeight="false" outlineLevel="0" collapsed="false">
      <c r="AK773" s="15" t="e">
        <v>#NAME?</v>
      </c>
      <c r="AL773" s="15" t="e">
        <f aca="false">_xlfn.xlookup(AK773,A:A,F:F)</f>
        <v>#NAME?</v>
      </c>
      <c r="AM773" s="15" t="e">
        <f aca="false">_xlfn.xlookup(AK773,A:A,J:J)</f>
        <v>#NAME?</v>
      </c>
      <c r="AN773" s="15" t="e">
        <f aca="false">_xlfn.xlookup(AK773,A:A,M:M)+_xlfn.xlookup(AK773,A:A,N:N)</f>
        <v>#NAME?</v>
      </c>
      <c r="AO773" s="223" t="e">
        <f aca="false">_xlfn.xlookup(AK773,A:A,AG:AG)</f>
        <v>#NAME?</v>
      </c>
      <c r="AP773" s="223" t="e">
        <f aca="false">_xlfn.xlookup(AK773,A:A,AD:AD)</f>
        <v>#NAME?</v>
      </c>
      <c r="AQ773" s="223" t="e">
        <f aca="false">_xlfn.xlookup(AK773,A:A,AE:AE)</f>
        <v>#NAME?</v>
      </c>
      <c r="BB773" s="15" t="e">
        <f aca="false">_xlfn.xlookup(BA773,A:A,E:E)</f>
        <v>#NAME?</v>
      </c>
      <c r="BC773" s="15" t="e">
        <f aca="false">_xlfn.xlookup(BA773,A:A,J:J)</f>
        <v>#NAME?</v>
      </c>
      <c r="BD773" s="75" t="e">
        <f aca="false">_xlfn.xlookup(BA773,A:A,M:M)+_xlfn.xlookup(BA773,A:A,N:N)</f>
        <v>#NAME?</v>
      </c>
    </row>
    <row r="774" customFormat="false" ht="14.25" hidden="false" customHeight="false" outlineLevel="0" collapsed="false">
      <c r="AK774" s="15" t="e">
        <v>#NAME?</v>
      </c>
      <c r="AL774" s="15" t="e">
        <f aca="false">_xlfn.xlookup(AK774,A:A,F:F)</f>
        <v>#NAME?</v>
      </c>
      <c r="AM774" s="15" t="e">
        <f aca="false">_xlfn.xlookup(AK774,A:A,J:J)</f>
        <v>#NAME?</v>
      </c>
      <c r="AN774" s="15" t="e">
        <f aca="false">_xlfn.xlookup(AK774,A:A,M:M)+_xlfn.xlookup(AK774,A:A,N:N)</f>
        <v>#NAME?</v>
      </c>
      <c r="AO774" s="223" t="e">
        <f aca="false">_xlfn.xlookup(AK774,A:A,AG:AG)</f>
        <v>#NAME?</v>
      </c>
      <c r="AP774" s="223" t="e">
        <f aca="false">_xlfn.xlookup(AK774,A:A,AD:AD)</f>
        <v>#NAME?</v>
      </c>
      <c r="AQ774" s="223" t="e">
        <f aca="false">_xlfn.xlookup(AK774,A:A,AE:AE)</f>
        <v>#NAME?</v>
      </c>
      <c r="BB774" s="15" t="e">
        <f aca="false">_xlfn.xlookup(BA774,A:A,E:E)</f>
        <v>#NAME?</v>
      </c>
      <c r="BC774" s="15" t="e">
        <f aca="false">_xlfn.xlookup(BA774,A:A,J:J)</f>
        <v>#NAME?</v>
      </c>
      <c r="BD774" s="75" t="e">
        <f aca="false">_xlfn.xlookup(BA774,A:A,M:M)+_xlfn.xlookup(BA774,A:A,N:N)</f>
        <v>#NAME?</v>
      </c>
    </row>
    <row r="775" customFormat="false" ht="14.25" hidden="false" customHeight="false" outlineLevel="0" collapsed="false">
      <c r="AK775" s="15" t="e">
        <v>#NAME?</v>
      </c>
      <c r="AL775" s="15" t="e">
        <f aca="false">_xlfn.xlookup(AK775,A:A,F:F)</f>
        <v>#NAME?</v>
      </c>
      <c r="AM775" s="15" t="e">
        <f aca="false">_xlfn.xlookup(AK775,A:A,J:J)</f>
        <v>#NAME?</v>
      </c>
      <c r="AN775" s="15" t="e">
        <f aca="false">_xlfn.xlookup(AK775,A:A,M:M)+_xlfn.xlookup(AK775,A:A,N:N)</f>
        <v>#NAME?</v>
      </c>
      <c r="AO775" s="223" t="e">
        <f aca="false">_xlfn.xlookup(AK775,A:A,AG:AG)</f>
        <v>#NAME?</v>
      </c>
      <c r="AP775" s="223" t="e">
        <f aca="false">_xlfn.xlookup(AK775,A:A,AD:AD)</f>
        <v>#NAME?</v>
      </c>
      <c r="AQ775" s="223" t="e">
        <f aca="false">_xlfn.xlookup(AK775,A:A,AE:AE)</f>
        <v>#NAME?</v>
      </c>
      <c r="BB775" s="15" t="e">
        <f aca="false">_xlfn.xlookup(BA775,A:A,E:E)</f>
        <v>#NAME?</v>
      </c>
      <c r="BC775" s="15" t="e">
        <f aca="false">_xlfn.xlookup(BA775,A:A,J:J)</f>
        <v>#NAME?</v>
      </c>
      <c r="BD775" s="75" t="e">
        <f aca="false">_xlfn.xlookup(BA775,A:A,M:M)+_xlfn.xlookup(BA775,A:A,N:N)</f>
        <v>#NAME?</v>
      </c>
    </row>
    <row r="776" customFormat="false" ht="14.25" hidden="false" customHeight="false" outlineLevel="0" collapsed="false">
      <c r="AK776" s="15" t="e">
        <v>#NAME?</v>
      </c>
      <c r="AL776" s="15" t="e">
        <f aca="false">_xlfn.xlookup(AK776,A:A,F:F)</f>
        <v>#NAME?</v>
      </c>
      <c r="AM776" s="15" t="e">
        <f aca="false">_xlfn.xlookup(AK776,A:A,J:J)</f>
        <v>#NAME?</v>
      </c>
      <c r="AN776" s="15" t="e">
        <f aca="false">_xlfn.xlookup(AK776,A:A,M:M)+_xlfn.xlookup(AK776,A:A,N:N)</f>
        <v>#NAME?</v>
      </c>
      <c r="AO776" s="223" t="e">
        <f aca="false">_xlfn.xlookup(AK776,A:A,AG:AG)</f>
        <v>#NAME?</v>
      </c>
      <c r="AP776" s="223" t="e">
        <f aca="false">_xlfn.xlookup(AK776,A:A,AD:AD)</f>
        <v>#NAME?</v>
      </c>
      <c r="AQ776" s="223" t="e">
        <f aca="false">_xlfn.xlookup(AK776,A:A,AE:AE)</f>
        <v>#NAME?</v>
      </c>
      <c r="BB776" s="15" t="e">
        <f aca="false">_xlfn.xlookup(BA776,A:A,E:E)</f>
        <v>#NAME?</v>
      </c>
      <c r="BC776" s="15" t="e">
        <f aca="false">_xlfn.xlookup(BA776,A:A,J:J)</f>
        <v>#NAME?</v>
      </c>
      <c r="BD776" s="75" t="e">
        <f aca="false">_xlfn.xlookup(BA776,A:A,M:M)+_xlfn.xlookup(BA776,A:A,N:N)</f>
        <v>#NAME?</v>
      </c>
    </row>
    <row r="777" customFormat="false" ht="14.25" hidden="false" customHeight="false" outlineLevel="0" collapsed="false">
      <c r="AK777" s="15" t="e">
        <v>#NAME?</v>
      </c>
      <c r="AL777" s="15" t="e">
        <f aca="false">_xlfn.xlookup(AK777,A:A,F:F)</f>
        <v>#NAME?</v>
      </c>
      <c r="AM777" s="15" t="e">
        <f aca="false">_xlfn.xlookup(AK777,A:A,J:J)</f>
        <v>#NAME?</v>
      </c>
      <c r="AN777" s="15" t="e">
        <f aca="false">_xlfn.xlookup(AK777,A:A,M:M)+_xlfn.xlookup(AK777,A:A,N:N)</f>
        <v>#NAME?</v>
      </c>
      <c r="AO777" s="223" t="e">
        <f aca="false">_xlfn.xlookup(AK777,A:A,AG:AG)</f>
        <v>#NAME?</v>
      </c>
      <c r="AP777" s="223" t="e">
        <f aca="false">_xlfn.xlookup(AK777,A:A,AD:AD)</f>
        <v>#NAME?</v>
      </c>
      <c r="AQ777" s="223" t="e">
        <f aca="false">_xlfn.xlookup(AK777,A:A,AE:AE)</f>
        <v>#NAME?</v>
      </c>
      <c r="BB777" s="15" t="e">
        <f aca="false">_xlfn.xlookup(BA777,A:A,E:E)</f>
        <v>#NAME?</v>
      </c>
      <c r="BC777" s="15" t="e">
        <f aca="false">_xlfn.xlookup(BA777,A:A,J:J)</f>
        <v>#NAME?</v>
      </c>
      <c r="BD777" s="75" t="e">
        <f aca="false">_xlfn.xlookup(BA777,A:A,M:M)+_xlfn.xlookup(BA777,A:A,N:N)</f>
        <v>#NAME?</v>
      </c>
    </row>
    <row r="778" customFormat="false" ht="14.25" hidden="false" customHeight="false" outlineLevel="0" collapsed="false">
      <c r="AK778" s="15" t="e">
        <v>#NAME?</v>
      </c>
      <c r="AL778" s="15" t="e">
        <f aca="false">_xlfn.xlookup(AK778,A:A,F:F)</f>
        <v>#NAME?</v>
      </c>
      <c r="AM778" s="15" t="e">
        <f aca="false">_xlfn.xlookup(AK778,A:A,J:J)</f>
        <v>#NAME?</v>
      </c>
      <c r="AN778" s="15" t="e">
        <f aca="false">_xlfn.xlookup(AK778,A:A,M:M)+_xlfn.xlookup(AK778,A:A,N:N)</f>
        <v>#NAME?</v>
      </c>
      <c r="AO778" s="223" t="e">
        <f aca="false">_xlfn.xlookup(AK778,A:A,AG:AG)</f>
        <v>#NAME?</v>
      </c>
      <c r="AP778" s="223" t="e">
        <f aca="false">_xlfn.xlookup(AK778,A:A,AD:AD)</f>
        <v>#NAME?</v>
      </c>
      <c r="AQ778" s="223" t="e">
        <f aca="false">_xlfn.xlookup(AK778,A:A,AE:AE)</f>
        <v>#NAME?</v>
      </c>
      <c r="BB778" s="15" t="e">
        <f aca="false">_xlfn.xlookup(BA778,A:A,E:E)</f>
        <v>#NAME?</v>
      </c>
      <c r="BC778" s="15" t="e">
        <f aca="false">_xlfn.xlookup(BA778,A:A,J:J)</f>
        <v>#NAME?</v>
      </c>
      <c r="BD778" s="75" t="e">
        <f aca="false">_xlfn.xlookup(BA778,A:A,M:M)+_xlfn.xlookup(BA778,A:A,N:N)</f>
        <v>#NAME?</v>
      </c>
    </row>
    <row r="779" customFormat="false" ht="14.25" hidden="false" customHeight="false" outlineLevel="0" collapsed="false">
      <c r="AK779" s="15" t="e">
        <v>#NAME?</v>
      </c>
      <c r="AL779" s="15" t="e">
        <f aca="false">_xlfn.xlookup(AK779,A:A,F:F)</f>
        <v>#NAME?</v>
      </c>
      <c r="AM779" s="15" t="e">
        <f aca="false">_xlfn.xlookup(AK779,A:A,J:J)</f>
        <v>#NAME?</v>
      </c>
      <c r="AN779" s="15" t="e">
        <f aca="false">_xlfn.xlookup(AK779,A:A,M:M)+_xlfn.xlookup(AK779,A:A,N:N)</f>
        <v>#NAME?</v>
      </c>
      <c r="AO779" s="223" t="e">
        <f aca="false">_xlfn.xlookup(AK779,A:A,AG:AG)</f>
        <v>#NAME?</v>
      </c>
      <c r="AP779" s="223" t="e">
        <f aca="false">_xlfn.xlookup(AK779,A:A,AD:AD)</f>
        <v>#NAME?</v>
      </c>
      <c r="AQ779" s="223" t="e">
        <f aca="false">_xlfn.xlookup(AK779,A:A,AE:AE)</f>
        <v>#NAME?</v>
      </c>
      <c r="BB779" s="15" t="e">
        <f aca="false">_xlfn.xlookup(BA779,A:A,E:E)</f>
        <v>#NAME?</v>
      </c>
      <c r="BC779" s="15" t="e">
        <f aca="false">_xlfn.xlookup(BA779,A:A,J:J)</f>
        <v>#NAME?</v>
      </c>
      <c r="BD779" s="75" t="e">
        <f aca="false">_xlfn.xlookup(BA779,A:A,M:M)+_xlfn.xlookup(BA779,A:A,N:N)</f>
        <v>#NAME?</v>
      </c>
    </row>
    <row r="780" customFormat="false" ht="14.25" hidden="false" customHeight="false" outlineLevel="0" collapsed="false">
      <c r="AK780" s="15" t="e">
        <v>#NAME?</v>
      </c>
      <c r="AL780" s="15" t="e">
        <f aca="false">_xlfn.xlookup(AK780,A:A,F:F)</f>
        <v>#NAME?</v>
      </c>
      <c r="AM780" s="15" t="e">
        <f aca="false">_xlfn.xlookup(AK780,A:A,J:J)</f>
        <v>#NAME?</v>
      </c>
      <c r="AN780" s="15" t="e">
        <f aca="false">_xlfn.xlookup(AK780,A:A,M:M)+_xlfn.xlookup(AK780,A:A,N:N)</f>
        <v>#NAME?</v>
      </c>
      <c r="AO780" s="223" t="e">
        <f aca="false">_xlfn.xlookup(AK780,A:A,AG:AG)</f>
        <v>#NAME?</v>
      </c>
      <c r="AP780" s="223" t="e">
        <f aca="false">_xlfn.xlookup(AK780,A:A,AD:AD)</f>
        <v>#NAME?</v>
      </c>
      <c r="AQ780" s="223" t="e">
        <f aca="false">_xlfn.xlookup(AK780,A:A,AE:AE)</f>
        <v>#NAME?</v>
      </c>
      <c r="BB780" s="15" t="e">
        <f aca="false">_xlfn.xlookup(BA780,A:A,E:E)</f>
        <v>#NAME?</v>
      </c>
      <c r="BC780" s="15" t="e">
        <f aca="false">_xlfn.xlookup(BA780,A:A,J:J)</f>
        <v>#NAME?</v>
      </c>
      <c r="BD780" s="75" t="e">
        <f aca="false">_xlfn.xlookup(BA780,A:A,M:M)+_xlfn.xlookup(BA780,A:A,N:N)</f>
        <v>#NAME?</v>
      </c>
    </row>
    <row r="781" customFormat="false" ht="14.25" hidden="false" customHeight="false" outlineLevel="0" collapsed="false">
      <c r="AK781" s="15" t="e">
        <v>#NAME?</v>
      </c>
      <c r="AL781" s="15" t="e">
        <f aca="false">_xlfn.xlookup(AK781,A:A,F:F)</f>
        <v>#NAME?</v>
      </c>
      <c r="AM781" s="15" t="e">
        <f aca="false">_xlfn.xlookup(AK781,A:A,J:J)</f>
        <v>#NAME?</v>
      </c>
      <c r="AN781" s="15" t="e">
        <f aca="false">_xlfn.xlookup(AK781,A:A,M:M)+_xlfn.xlookup(AK781,A:A,N:N)</f>
        <v>#NAME?</v>
      </c>
      <c r="AO781" s="223" t="e">
        <f aca="false">_xlfn.xlookup(AK781,A:A,AG:AG)</f>
        <v>#NAME?</v>
      </c>
      <c r="AP781" s="223" t="e">
        <f aca="false">_xlfn.xlookup(AK781,A:A,AD:AD)</f>
        <v>#NAME?</v>
      </c>
      <c r="AQ781" s="223" t="e">
        <f aca="false">_xlfn.xlookup(AK781,A:A,AE:AE)</f>
        <v>#NAME?</v>
      </c>
      <c r="BB781" s="15" t="e">
        <f aca="false">_xlfn.xlookup(BA781,A:A,E:E)</f>
        <v>#NAME?</v>
      </c>
      <c r="BC781" s="15" t="e">
        <f aca="false">_xlfn.xlookup(BA781,A:A,J:J)</f>
        <v>#NAME?</v>
      </c>
      <c r="BD781" s="75" t="e">
        <f aca="false">_xlfn.xlookup(BA781,A:A,M:M)+_xlfn.xlookup(BA781,A:A,N:N)</f>
        <v>#NAME?</v>
      </c>
    </row>
    <row r="782" customFormat="false" ht="14.25" hidden="false" customHeight="false" outlineLevel="0" collapsed="false">
      <c r="AK782" s="15" t="e">
        <v>#NAME?</v>
      </c>
      <c r="AL782" s="15" t="e">
        <f aca="false">_xlfn.xlookup(AK782,A:A,F:F)</f>
        <v>#NAME?</v>
      </c>
      <c r="AM782" s="15" t="e">
        <f aca="false">_xlfn.xlookup(AK782,A:A,J:J)</f>
        <v>#NAME?</v>
      </c>
      <c r="AN782" s="15" t="e">
        <f aca="false">_xlfn.xlookup(AK782,A:A,M:M)+_xlfn.xlookup(AK782,A:A,N:N)</f>
        <v>#NAME?</v>
      </c>
      <c r="AO782" s="223" t="e">
        <f aca="false">_xlfn.xlookup(AK782,A:A,AG:AG)</f>
        <v>#NAME?</v>
      </c>
      <c r="AP782" s="223" t="e">
        <f aca="false">_xlfn.xlookup(AK782,A:A,AD:AD)</f>
        <v>#NAME?</v>
      </c>
      <c r="AQ782" s="223" t="e">
        <f aca="false">_xlfn.xlookup(AK782,A:A,AE:AE)</f>
        <v>#NAME?</v>
      </c>
      <c r="BB782" s="15" t="e">
        <f aca="false">_xlfn.xlookup(BA782,A:A,E:E)</f>
        <v>#NAME?</v>
      </c>
      <c r="BC782" s="15" t="e">
        <f aca="false">_xlfn.xlookup(BA782,A:A,J:J)</f>
        <v>#NAME?</v>
      </c>
      <c r="BD782" s="75" t="e">
        <f aca="false">_xlfn.xlookup(BA782,A:A,M:M)+_xlfn.xlookup(BA782,A:A,N:N)</f>
        <v>#NAME?</v>
      </c>
    </row>
    <row r="783" customFormat="false" ht="14.25" hidden="false" customHeight="false" outlineLevel="0" collapsed="false">
      <c r="AK783" s="15" t="e">
        <v>#NAME?</v>
      </c>
      <c r="AL783" s="15" t="e">
        <f aca="false">_xlfn.xlookup(AK783,A:A,F:F)</f>
        <v>#NAME?</v>
      </c>
      <c r="AM783" s="15" t="e">
        <f aca="false">_xlfn.xlookup(AK783,A:A,J:J)</f>
        <v>#NAME?</v>
      </c>
      <c r="AN783" s="15" t="e">
        <f aca="false">_xlfn.xlookup(AK783,A:A,M:M)+_xlfn.xlookup(AK783,A:A,N:N)</f>
        <v>#NAME?</v>
      </c>
      <c r="AO783" s="223" t="e">
        <f aca="false">_xlfn.xlookup(AK783,A:A,AG:AG)</f>
        <v>#NAME?</v>
      </c>
      <c r="AP783" s="223" t="e">
        <f aca="false">_xlfn.xlookup(AK783,A:A,AD:AD)</f>
        <v>#NAME?</v>
      </c>
      <c r="AQ783" s="223" t="e">
        <f aca="false">_xlfn.xlookup(AK783,A:A,AE:AE)</f>
        <v>#NAME?</v>
      </c>
      <c r="BB783" s="15" t="e">
        <f aca="false">_xlfn.xlookup(BA783,A:A,E:E)</f>
        <v>#NAME?</v>
      </c>
      <c r="BC783" s="15" t="e">
        <f aca="false">_xlfn.xlookup(BA783,A:A,J:J)</f>
        <v>#NAME?</v>
      </c>
      <c r="BD783" s="75" t="e">
        <f aca="false">_xlfn.xlookup(BA783,A:A,M:M)+_xlfn.xlookup(BA783,A:A,N:N)</f>
        <v>#NAME?</v>
      </c>
    </row>
    <row r="784" customFormat="false" ht="14.25" hidden="false" customHeight="false" outlineLevel="0" collapsed="false">
      <c r="AK784" s="15" t="e">
        <v>#NAME?</v>
      </c>
      <c r="AL784" s="15" t="e">
        <f aca="false">_xlfn.xlookup(AK784,A:A,F:F)</f>
        <v>#NAME?</v>
      </c>
      <c r="AM784" s="15" t="e">
        <f aca="false">_xlfn.xlookup(AK784,A:A,J:J)</f>
        <v>#NAME?</v>
      </c>
      <c r="AN784" s="15" t="e">
        <f aca="false">_xlfn.xlookup(AK784,A:A,M:M)+_xlfn.xlookup(AK784,A:A,N:N)</f>
        <v>#NAME?</v>
      </c>
      <c r="AO784" s="223" t="e">
        <f aca="false">_xlfn.xlookup(AK784,A:A,AG:AG)</f>
        <v>#NAME?</v>
      </c>
      <c r="AP784" s="223" t="e">
        <f aca="false">_xlfn.xlookup(AK784,A:A,AD:AD)</f>
        <v>#NAME?</v>
      </c>
      <c r="AQ784" s="223" t="e">
        <f aca="false">_xlfn.xlookup(AK784,A:A,AE:AE)</f>
        <v>#NAME?</v>
      </c>
      <c r="BB784" s="15" t="e">
        <f aca="false">_xlfn.xlookup(BA784,A:A,E:E)</f>
        <v>#NAME?</v>
      </c>
      <c r="BC784" s="15" t="e">
        <f aca="false">_xlfn.xlookup(BA784,A:A,J:J)</f>
        <v>#NAME?</v>
      </c>
      <c r="BD784" s="75" t="e">
        <f aca="false">_xlfn.xlookup(BA784,A:A,M:M)+_xlfn.xlookup(BA784,A:A,N:N)</f>
        <v>#NAME?</v>
      </c>
    </row>
    <row r="785" customFormat="false" ht="14.25" hidden="false" customHeight="false" outlineLevel="0" collapsed="false">
      <c r="AK785" s="15" t="e">
        <v>#NAME?</v>
      </c>
      <c r="AL785" s="15" t="e">
        <f aca="false">_xlfn.xlookup(AK785,A:A,F:F)</f>
        <v>#NAME?</v>
      </c>
      <c r="AM785" s="15" t="e">
        <f aca="false">_xlfn.xlookup(AK785,A:A,J:J)</f>
        <v>#NAME?</v>
      </c>
      <c r="AN785" s="15" t="e">
        <f aca="false">_xlfn.xlookup(AK785,A:A,M:M)+_xlfn.xlookup(AK785,A:A,N:N)</f>
        <v>#NAME?</v>
      </c>
      <c r="AO785" s="223" t="e">
        <f aca="false">_xlfn.xlookup(AK785,A:A,AG:AG)</f>
        <v>#NAME?</v>
      </c>
      <c r="AP785" s="223" t="e">
        <f aca="false">_xlfn.xlookup(AK785,A:A,AD:AD)</f>
        <v>#NAME?</v>
      </c>
      <c r="AQ785" s="223" t="e">
        <f aca="false">_xlfn.xlookup(AK785,A:A,AE:AE)</f>
        <v>#NAME?</v>
      </c>
      <c r="BB785" s="15" t="e">
        <f aca="false">_xlfn.xlookup(BA785,A:A,E:E)</f>
        <v>#NAME?</v>
      </c>
      <c r="BC785" s="15" t="e">
        <f aca="false">_xlfn.xlookup(BA785,A:A,J:J)</f>
        <v>#NAME?</v>
      </c>
      <c r="BD785" s="75" t="e">
        <f aca="false">_xlfn.xlookup(BA785,A:A,M:M)+_xlfn.xlookup(BA785,A:A,N:N)</f>
        <v>#NAME?</v>
      </c>
    </row>
    <row r="786" customFormat="false" ht="14.25" hidden="false" customHeight="false" outlineLevel="0" collapsed="false">
      <c r="AK786" s="15" t="e">
        <v>#NAME?</v>
      </c>
      <c r="AL786" s="15" t="e">
        <f aca="false">_xlfn.xlookup(AK786,A:A,F:F)</f>
        <v>#NAME?</v>
      </c>
      <c r="AM786" s="15" t="e">
        <f aca="false">_xlfn.xlookup(AK786,A:A,J:J)</f>
        <v>#NAME?</v>
      </c>
      <c r="AN786" s="15" t="e">
        <f aca="false">_xlfn.xlookup(AK786,A:A,M:M)+_xlfn.xlookup(AK786,A:A,N:N)</f>
        <v>#NAME?</v>
      </c>
      <c r="AO786" s="223" t="e">
        <f aca="false">_xlfn.xlookup(AK786,A:A,AG:AG)</f>
        <v>#NAME?</v>
      </c>
      <c r="AP786" s="223" t="e">
        <f aca="false">_xlfn.xlookup(AK786,A:A,AD:AD)</f>
        <v>#NAME?</v>
      </c>
      <c r="AQ786" s="223" t="e">
        <f aca="false">_xlfn.xlookup(AK786,A:A,AE:AE)</f>
        <v>#NAME?</v>
      </c>
      <c r="BB786" s="15" t="e">
        <f aca="false">_xlfn.xlookup(BA786,A:A,E:E)</f>
        <v>#NAME?</v>
      </c>
      <c r="BC786" s="15" t="e">
        <f aca="false">_xlfn.xlookup(BA786,A:A,J:J)</f>
        <v>#NAME?</v>
      </c>
      <c r="BD786" s="75" t="e">
        <f aca="false">_xlfn.xlookup(BA786,A:A,M:M)+_xlfn.xlookup(BA786,A:A,N:N)</f>
        <v>#NAME?</v>
      </c>
    </row>
    <row r="787" customFormat="false" ht="14.25" hidden="false" customHeight="false" outlineLevel="0" collapsed="false">
      <c r="AK787" s="15" t="e">
        <v>#NAME?</v>
      </c>
      <c r="AL787" s="15" t="e">
        <f aca="false">_xlfn.xlookup(AK787,A:A,F:F)</f>
        <v>#NAME?</v>
      </c>
      <c r="AM787" s="15" t="e">
        <f aca="false">_xlfn.xlookup(AK787,A:A,J:J)</f>
        <v>#NAME?</v>
      </c>
      <c r="AN787" s="15" t="e">
        <f aca="false">_xlfn.xlookup(AK787,A:A,M:M)+_xlfn.xlookup(AK787,A:A,N:N)</f>
        <v>#NAME?</v>
      </c>
      <c r="AO787" s="223" t="e">
        <f aca="false">_xlfn.xlookup(AK787,A:A,AG:AG)</f>
        <v>#NAME?</v>
      </c>
      <c r="AP787" s="223" t="e">
        <f aca="false">_xlfn.xlookup(AK787,A:A,AD:AD)</f>
        <v>#NAME?</v>
      </c>
      <c r="AQ787" s="223" t="e">
        <f aca="false">_xlfn.xlookup(AK787,A:A,AE:AE)</f>
        <v>#NAME?</v>
      </c>
      <c r="BB787" s="15" t="e">
        <f aca="false">_xlfn.xlookup(BA787,A:A,E:E)</f>
        <v>#NAME?</v>
      </c>
      <c r="BC787" s="15" t="e">
        <f aca="false">_xlfn.xlookup(BA787,A:A,J:J)</f>
        <v>#NAME?</v>
      </c>
      <c r="BD787" s="75" t="e">
        <f aca="false">_xlfn.xlookup(BA787,A:A,M:M)+_xlfn.xlookup(BA787,A:A,N:N)</f>
        <v>#NAME?</v>
      </c>
    </row>
    <row r="788" customFormat="false" ht="14.25" hidden="false" customHeight="false" outlineLevel="0" collapsed="false">
      <c r="AK788" s="15" t="e">
        <v>#NAME?</v>
      </c>
      <c r="AL788" s="15" t="e">
        <f aca="false">_xlfn.xlookup(AK788,A:A,F:F)</f>
        <v>#NAME?</v>
      </c>
      <c r="AM788" s="15" t="e">
        <f aca="false">_xlfn.xlookup(AK788,A:A,J:J)</f>
        <v>#NAME?</v>
      </c>
      <c r="AN788" s="15" t="e">
        <f aca="false">_xlfn.xlookup(AK788,A:A,M:M)+_xlfn.xlookup(AK788,A:A,N:N)</f>
        <v>#NAME?</v>
      </c>
      <c r="AO788" s="223" t="e">
        <f aca="false">_xlfn.xlookup(AK788,A:A,AG:AG)</f>
        <v>#NAME?</v>
      </c>
      <c r="AP788" s="223" t="e">
        <f aca="false">_xlfn.xlookup(AK788,A:A,AD:AD)</f>
        <v>#NAME?</v>
      </c>
      <c r="AQ788" s="223" t="e">
        <f aca="false">_xlfn.xlookup(AK788,A:A,AE:AE)</f>
        <v>#NAME?</v>
      </c>
      <c r="BB788" s="15" t="e">
        <f aca="false">_xlfn.xlookup(BA788,A:A,E:E)</f>
        <v>#NAME?</v>
      </c>
      <c r="BC788" s="15" t="e">
        <f aca="false">_xlfn.xlookup(BA788,A:A,J:J)</f>
        <v>#NAME?</v>
      </c>
      <c r="BD788" s="75" t="e">
        <f aca="false">_xlfn.xlookup(BA788,A:A,M:M)+_xlfn.xlookup(BA788,A:A,N:N)</f>
        <v>#NAME?</v>
      </c>
    </row>
    <row r="789" customFormat="false" ht="14.25" hidden="false" customHeight="false" outlineLevel="0" collapsed="false">
      <c r="AK789" s="15" t="e">
        <v>#NAME?</v>
      </c>
      <c r="AL789" s="15" t="e">
        <f aca="false">_xlfn.xlookup(AK789,A:A,F:F)</f>
        <v>#NAME?</v>
      </c>
      <c r="AM789" s="15" t="e">
        <f aca="false">_xlfn.xlookup(AK789,A:A,J:J)</f>
        <v>#NAME?</v>
      </c>
      <c r="AN789" s="15" t="e">
        <f aca="false">_xlfn.xlookup(AK789,A:A,M:M)+_xlfn.xlookup(AK789,A:A,N:N)</f>
        <v>#NAME?</v>
      </c>
      <c r="AO789" s="223" t="e">
        <f aca="false">_xlfn.xlookup(AK789,A:A,AG:AG)</f>
        <v>#NAME?</v>
      </c>
      <c r="AP789" s="223" t="e">
        <f aca="false">_xlfn.xlookup(AK789,A:A,AD:AD)</f>
        <v>#NAME?</v>
      </c>
      <c r="AQ789" s="223" t="e">
        <f aca="false">_xlfn.xlookup(AK789,A:A,AE:AE)</f>
        <v>#NAME?</v>
      </c>
      <c r="BB789" s="15" t="e">
        <f aca="false">_xlfn.xlookup(BA789,A:A,E:E)</f>
        <v>#NAME?</v>
      </c>
      <c r="BC789" s="15" t="e">
        <f aca="false">_xlfn.xlookup(BA789,A:A,J:J)</f>
        <v>#NAME?</v>
      </c>
      <c r="BD789" s="75" t="e">
        <f aca="false">_xlfn.xlookup(BA789,A:A,M:M)+_xlfn.xlookup(BA789,A:A,N:N)</f>
        <v>#NAME?</v>
      </c>
    </row>
    <row r="790" customFormat="false" ht="14.25" hidden="false" customHeight="false" outlineLevel="0" collapsed="false">
      <c r="AK790" s="15" t="e">
        <v>#NAME?</v>
      </c>
      <c r="AL790" s="15" t="e">
        <f aca="false">_xlfn.xlookup(AK790,A:A,F:F)</f>
        <v>#NAME?</v>
      </c>
      <c r="AM790" s="15" t="e">
        <f aca="false">_xlfn.xlookup(AK790,A:A,J:J)</f>
        <v>#NAME?</v>
      </c>
      <c r="AN790" s="15" t="e">
        <f aca="false">_xlfn.xlookup(AK790,A:A,M:M)+_xlfn.xlookup(AK790,A:A,N:N)</f>
        <v>#NAME?</v>
      </c>
      <c r="AO790" s="223" t="e">
        <f aca="false">_xlfn.xlookup(AK790,A:A,AG:AG)</f>
        <v>#NAME?</v>
      </c>
      <c r="AP790" s="223" t="e">
        <f aca="false">_xlfn.xlookup(AK790,A:A,AD:AD)</f>
        <v>#NAME?</v>
      </c>
      <c r="AQ790" s="223" t="e">
        <f aca="false">_xlfn.xlookup(AK790,A:A,AE:AE)</f>
        <v>#NAME?</v>
      </c>
      <c r="BB790" s="15" t="e">
        <f aca="false">_xlfn.xlookup(BA790,A:A,E:E)</f>
        <v>#NAME?</v>
      </c>
      <c r="BC790" s="15" t="e">
        <f aca="false">_xlfn.xlookup(BA790,A:A,J:J)</f>
        <v>#NAME?</v>
      </c>
      <c r="BD790" s="75" t="e">
        <f aca="false">_xlfn.xlookup(BA790,A:A,M:M)+_xlfn.xlookup(BA790,A:A,N:N)</f>
        <v>#NAME?</v>
      </c>
    </row>
    <row r="791" customFormat="false" ht="14.25" hidden="false" customHeight="false" outlineLevel="0" collapsed="false">
      <c r="AK791" s="15" t="e">
        <v>#NAME?</v>
      </c>
      <c r="AL791" s="15" t="e">
        <f aca="false">_xlfn.xlookup(AK791,A:A,F:F)</f>
        <v>#NAME?</v>
      </c>
      <c r="AM791" s="15" t="e">
        <f aca="false">_xlfn.xlookup(AK791,A:A,J:J)</f>
        <v>#NAME?</v>
      </c>
      <c r="AN791" s="15" t="e">
        <f aca="false">_xlfn.xlookup(AK791,A:A,M:M)+_xlfn.xlookup(AK791,A:A,N:N)</f>
        <v>#NAME?</v>
      </c>
      <c r="AO791" s="223" t="e">
        <f aca="false">_xlfn.xlookup(AK791,A:A,AG:AG)</f>
        <v>#NAME?</v>
      </c>
      <c r="AP791" s="223" t="e">
        <f aca="false">_xlfn.xlookup(AK791,A:A,AD:AD)</f>
        <v>#NAME?</v>
      </c>
      <c r="AQ791" s="223" t="e">
        <f aca="false">_xlfn.xlookup(AK791,A:A,AE:AE)</f>
        <v>#NAME?</v>
      </c>
      <c r="BB791" s="15" t="e">
        <f aca="false">_xlfn.xlookup(BA791,A:A,E:E)</f>
        <v>#NAME?</v>
      </c>
      <c r="BC791" s="15" t="e">
        <f aca="false">_xlfn.xlookup(BA791,A:A,J:J)</f>
        <v>#NAME?</v>
      </c>
      <c r="BD791" s="75" t="e">
        <f aca="false">_xlfn.xlookup(BA791,A:A,M:M)+_xlfn.xlookup(BA791,A:A,N:N)</f>
        <v>#NAME?</v>
      </c>
    </row>
    <row r="792" customFormat="false" ht="14.25" hidden="false" customHeight="false" outlineLevel="0" collapsed="false">
      <c r="AK792" s="15" t="e">
        <v>#NAME?</v>
      </c>
      <c r="AL792" s="15" t="e">
        <f aca="false">_xlfn.xlookup(AK792,A:A,F:F)</f>
        <v>#NAME?</v>
      </c>
      <c r="AM792" s="15" t="e">
        <f aca="false">_xlfn.xlookup(AK792,A:A,J:J)</f>
        <v>#NAME?</v>
      </c>
      <c r="AN792" s="15" t="e">
        <f aca="false">_xlfn.xlookup(AK792,A:A,M:M)+_xlfn.xlookup(AK792,A:A,N:N)</f>
        <v>#NAME?</v>
      </c>
      <c r="AO792" s="223" t="e">
        <f aca="false">_xlfn.xlookup(AK792,A:A,AG:AG)</f>
        <v>#NAME?</v>
      </c>
      <c r="AP792" s="223" t="e">
        <f aca="false">_xlfn.xlookup(AK792,A:A,AD:AD)</f>
        <v>#NAME?</v>
      </c>
      <c r="AQ792" s="223" t="e">
        <f aca="false">_xlfn.xlookup(AK792,A:A,AE:AE)</f>
        <v>#NAME?</v>
      </c>
      <c r="BB792" s="15" t="e">
        <f aca="false">_xlfn.xlookup(BA792,A:A,E:E)</f>
        <v>#NAME?</v>
      </c>
      <c r="BC792" s="15" t="e">
        <f aca="false">_xlfn.xlookup(BA792,A:A,J:J)</f>
        <v>#NAME?</v>
      </c>
      <c r="BD792" s="75" t="e">
        <f aca="false">_xlfn.xlookup(BA792,A:A,M:M)+_xlfn.xlookup(BA792,A:A,N:N)</f>
        <v>#NAME?</v>
      </c>
    </row>
    <row r="793" customFormat="false" ht="14.25" hidden="false" customHeight="false" outlineLevel="0" collapsed="false">
      <c r="AK793" s="15" t="e">
        <v>#NAME?</v>
      </c>
      <c r="AL793" s="15" t="e">
        <f aca="false">_xlfn.xlookup(AK793,A:A,F:F)</f>
        <v>#NAME?</v>
      </c>
      <c r="AM793" s="15" t="e">
        <f aca="false">_xlfn.xlookup(AK793,A:A,J:J)</f>
        <v>#NAME?</v>
      </c>
      <c r="AN793" s="15" t="e">
        <f aca="false">_xlfn.xlookup(AK793,A:A,M:M)+_xlfn.xlookup(AK793,A:A,N:N)</f>
        <v>#NAME?</v>
      </c>
      <c r="AO793" s="223" t="e">
        <f aca="false">_xlfn.xlookup(AK793,A:A,AG:AG)</f>
        <v>#NAME?</v>
      </c>
      <c r="AP793" s="223" t="e">
        <f aca="false">_xlfn.xlookup(AK793,A:A,AD:AD)</f>
        <v>#NAME?</v>
      </c>
      <c r="AQ793" s="223" t="e">
        <f aca="false">_xlfn.xlookup(AK793,A:A,AE:AE)</f>
        <v>#NAME?</v>
      </c>
      <c r="BB793" s="15" t="e">
        <f aca="false">_xlfn.xlookup(BA793,A:A,E:E)</f>
        <v>#NAME?</v>
      </c>
      <c r="BC793" s="15" t="e">
        <f aca="false">_xlfn.xlookup(BA793,A:A,J:J)</f>
        <v>#NAME?</v>
      </c>
      <c r="BD793" s="75" t="e">
        <f aca="false">_xlfn.xlookup(BA793,A:A,M:M)+_xlfn.xlookup(BA793,A:A,N:N)</f>
        <v>#NAME?</v>
      </c>
    </row>
    <row r="794" customFormat="false" ht="14.25" hidden="false" customHeight="false" outlineLevel="0" collapsed="false">
      <c r="AK794" s="15" t="e">
        <v>#NAME?</v>
      </c>
      <c r="AL794" s="15" t="e">
        <f aca="false">_xlfn.xlookup(AK794,A:A,F:F)</f>
        <v>#NAME?</v>
      </c>
      <c r="AM794" s="15" t="e">
        <f aca="false">_xlfn.xlookup(AK794,A:A,J:J)</f>
        <v>#NAME?</v>
      </c>
      <c r="AN794" s="15" t="e">
        <f aca="false">_xlfn.xlookup(AK794,A:A,M:M)+_xlfn.xlookup(AK794,A:A,N:N)</f>
        <v>#NAME?</v>
      </c>
      <c r="AO794" s="223" t="e">
        <f aca="false">_xlfn.xlookup(AK794,A:A,AG:AG)</f>
        <v>#NAME?</v>
      </c>
      <c r="AP794" s="223" t="e">
        <f aca="false">_xlfn.xlookup(AK794,A:A,AD:AD)</f>
        <v>#NAME?</v>
      </c>
      <c r="AQ794" s="223" t="e">
        <f aca="false">_xlfn.xlookup(AK794,A:A,AE:AE)</f>
        <v>#NAME?</v>
      </c>
      <c r="BB794" s="15" t="e">
        <f aca="false">_xlfn.xlookup(BA794,A:A,E:E)</f>
        <v>#NAME?</v>
      </c>
      <c r="BC794" s="15" t="e">
        <f aca="false">_xlfn.xlookup(BA794,A:A,J:J)</f>
        <v>#NAME?</v>
      </c>
      <c r="BD794" s="75" t="e">
        <f aca="false">_xlfn.xlookup(BA794,A:A,M:M)+_xlfn.xlookup(BA794,A:A,N:N)</f>
        <v>#NAME?</v>
      </c>
    </row>
    <row r="795" customFormat="false" ht="14.25" hidden="false" customHeight="false" outlineLevel="0" collapsed="false">
      <c r="AK795" s="15" t="e">
        <v>#NAME?</v>
      </c>
      <c r="AL795" s="15" t="e">
        <f aca="false">_xlfn.xlookup(AK795,A:A,F:F)</f>
        <v>#NAME?</v>
      </c>
      <c r="AM795" s="15" t="e">
        <f aca="false">_xlfn.xlookup(AK795,A:A,J:J)</f>
        <v>#NAME?</v>
      </c>
      <c r="AN795" s="15" t="e">
        <f aca="false">_xlfn.xlookup(AK795,A:A,M:M)+_xlfn.xlookup(AK795,A:A,N:N)</f>
        <v>#NAME?</v>
      </c>
      <c r="AO795" s="223" t="e">
        <f aca="false">_xlfn.xlookup(AK795,A:A,AG:AG)</f>
        <v>#NAME?</v>
      </c>
      <c r="AP795" s="223" t="e">
        <f aca="false">_xlfn.xlookup(AK795,A:A,AD:AD)</f>
        <v>#NAME?</v>
      </c>
      <c r="AQ795" s="223" t="e">
        <f aca="false">_xlfn.xlookup(AK795,A:A,AE:AE)</f>
        <v>#NAME?</v>
      </c>
      <c r="BB795" s="15" t="e">
        <f aca="false">_xlfn.xlookup(BA795,A:A,E:E)</f>
        <v>#NAME?</v>
      </c>
      <c r="BC795" s="15" t="e">
        <f aca="false">_xlfn.xlookup(BA795,A:A,J:J)</f>
        <v>#NAME?</v>
      </c>
      <c r="BD795" s="75" t="e">
        <f aca="false">_xlfn.xlookup(BA795,A:A,M:M)+_xlfn.xlookup(BA795,A:A,N:N)</f>
        <v>#NAME?</v>
      </c>
    </row>
    <row r="796" customFormat="false" ht="14.25" hidden="false" customHeight="false" outlineLevel="0" collapsed="false">
      <c r="AK796" s="15" t="e">
        <v>#NAME?</v>
      </c>
      <c r="AL796" s="15" t="e">
        <f aca="false">_xlfn.xlookup(AK796,A:A,F:F)</f>
        <v>#NAME?</v>
      </c>
      <c r="AM796" s="15" t="e">
        <f aca="false">_xlfn.xlookup(AK796,A:A,J:J)</f>
        <v>#NAME?</v>
      </c>
      <c r="AN796" s="15" t="e">
        <f aca="false">_xlfn.xlookup(AK796,A:A,M:M)+_xlfn.xlookup(AK796,A:A,N:N)</f>
        <v>#NAME?</v>
      </c>
      <c r="AO796" s="223" t="e">
        <f aca="false">_xlfn.xlookup(AK796,A:A,AG:AG)</f>
        <v>#NAME?</v>
      </c>
      <c r="AP796" s="223" t="e">
        <f aca="false">_xlfn.xlookup(AK796,A:A,AD:AD)</f>
        <v>#NAME?</v>
      </c>
      <c r="AQ796" s="223" t="e">
        <f aca="false">_xlfn.xlookup(AK796,A:A,AE:AE)</f>
        <v>#NAME?</v>
      </c>
      <c r="BB796" s="15" t="e">
        <f aca="false">_xlfn.xlookup(BA796,A:A,E:E)</f>
        <v>#NAME?</v>
      </c>
      <c r="BC796" s="15" t="e">
        <f aca="false">_xlfn.xlookup(BA796,A:A,J:J)</f>
        <v>#NAME?</v>
      </c>
      <c r="BD796" s="75" t="e">
        <f aca="false">_xlfn.xlookup(BA796,A:A,M:M)+_xlfn.xlookup(BA796,A:A,N:N)</f>
        <v>#NAME?</v>
      </c>
    </row>
    <row r="797" customFormat="false" ht="14.25" hidden="false" customHeight="false" outlineLevel="0" collapsed="false">
      <c r="AK797" s="15" t="e">
        <v>#NAME?</v>
      </c>
      <c r="AL797" s="15" t="e">
        <f aca="false">_xlfn.xlookup(AK797,A:A,F:F)</f>
        <v>#NAME?</v>
      </c>
      <c r="AM797" s="15" t="e">
        <f aca="false">_xlfn.xlookup(AK797,A:A,J:J)</f>
        <v>#NAME?</v>
      </c>
      <c r="AN797" s="15" t="e">
        <f aca="false">_xlfn.xlookup(AK797,A:A,M:M)+_xlfn.xlookup(AK797,A:A,N:N)</f>
        <v>#NAME?</v>
      </c>
      <c r="AO797" s="223" t="e">
        <f aca="false">_xlfn.xlookup(AK797,A:A,AG:AG)</f>
        <v>#NAME?</v>
      </c>
      <c r="AP797" s="223" t="e">
        <f aca="false">_xlfn.xlookup(AK797,A:A,AD:AD)</f>
        <v>#NAME?</v>
      </c>
      <c r="AQ797" s="223" t="e">
        <f aca="false">_xlfn.xlookup(AK797,A:A,AE:AE)</f>
        <v>#NAME?</v>
      </c>
      <c r="BB797" s="15" t="e">
        <f aca="false">_xlfn.xlookup(BA797,A:A,E:E)</f>
        <v>#NAME?</v>
      </c>
      <c r="BC797" s="15" t="e">
        <f aca="false">_xlfn.xlookup(BA797,A:A,J:J)</f>
        <v>#NAME?</v>
      </c>
      <c r="BD797" s="75" t="e">
        <f aca="false">_xlfn.xlookup(BA797,A:A,M:M)+_xlfn.xlookup(BA797,A:A,N:N)</f>
        <v>#NAME?</v>
      </c>
    </row>
    <row r="798" customFormat="false" ht="14.25" hidden="false" customHeight="false" outlineLevel="0" collapsed="false">
      <c r="AK798" s="15" t="e">
        <v>#NAME?</v>
      </c>
      <c r="AL798" s="15" t="e">
        <f aca="false">_xlfn.xlookup(AK798,A:A,F:F)</f>
        <v>#NAME?</v>
      </c>
      <c r="AM798" s="15" t="e">
        <f aca="false">_xlfn.xlookup(AK798,A:A,J:J)</f>
        <v>#NAME?</v>
      </c>
      <c r="AN798" s="15" t="e">
        <f aca="false">_xlfn.xlookup(AK798,A:A,M:M)+_xlfn.xlookup(AK798,A:A,N:N)</f>
        <v>#NAME?</v>
      </c>
      <c r="AO798" s="223" t="e">
        <f aca="false">_xlfn.xlookup(AK798,A:A,AG:AG)</f>
        <v>#NAME?</v>
      </c>
      <c r="AP798" s="223" t="e">
        <f aca="false">_xlfn.xlookup(AK798,A:A,AD:AD)</f>
        <v>#NAME?</v>
      </c>
      <c r="AQ798" s="223" t="e">
        <f aca="false">_xlfn.xlookup(AK798,A:A,AE:AE)</f>
        <v>#NAME?</v>
      </c>
      <c r="BB798" s="15" t="e">
        <f aca="false">_xlfn.xlookup(BA798,A:A,E:E)</f>
        <v>#NAME?</v>
      </c>
      <c r="BC798" s="15" t="e">
        <f aca="false">_xlfn.xlookup(BA798,A:A,J:J)</f>
        <v>#NAME?</v>
      </c>
      <c r="BD798" s="75" t="e">
        <f aca="false">_xlfn.xlookup(BA798,A:A,M:M)+_xlfn.xlookup(BA798,A:A,N:N)</f>
        <v>#NAME?</v>
      </c>
    </row>
    <row r="799" customFormat="false" ht="14.25" hidden="false" customHeight="false" outlineLevel="0" collapsed="false">
      <c r="AK799" s="15" t="e">
        <v>#NAME?</v>
      </c>
      <c r="AL799" s="15" t="e">
        <f aca="false">_xlfn.xlookup(AK799,A:A,F:F)</f>
        <v>#NAME?</v>
      </c>
      <c r="AM799" s="15" t="e">
        <f aca="false">_xlfn.xlookup(AK799,A:A,J:J)</f>
        <v>#NAME?</v>
      </c>
      <c r="AN799" s="15" t="e">
        <f aca="false">_xlfn.xlookup(AK799,A:A,M:M)+_xlfn.xlookup(AK799,A:A,N:N)</f>
        <v>#NAME?</v>
      </c>
      <c r="AO799" s="223" t="e">
        <f aca="false">_xlfn.xlookup(AK799,A:A,AG:AG)</f>
        <v>#NAME?</v>
      </c>
      <c r="AP799" s="223" t="e">
        <f aca="false">_xlfn.xlookup(AK799,A:A,AD:AD)</f>
        <v>#NAME?</v>
      </c>
      <c r="AQ799" s="223" t="e">
        <f aca="false">_xlfn.xlookup(AK799,A:A,AE:AE)</f>
        <v>#NAME?</v>
      </c>
      <c r="BB799" s="15" t="e">
        <f aca="false">_xlfn.xlookup(BA799,A:A,E:E)</f>
        <v>#NAME?</v>
      </c>
      <c r="BC799" s="15" t="e">
        <f aca="false">_xlfn.xlookup(BA799,A:A,J:J)</f>
        <v>#NAME?</v>
      </c>
      <c r="BD799" s="75" t="e">
        <f aca="false">_xlfn.xlookup(BA799,A:A,M:M)+_xlfn.xlookup(BA799,A:A,N:N)</f>
        <v>#NAME?</v>
      </c>
    </row>
    <row r="800" customFormat="false" ht="14.25" hidden="false" customHeight="false" outlineLevel="0" collapsed="false">
      <c r="AK800" s="15" t="e">
        <v>#NAME?</v>
      </c>
      <c r="AL800" s="15" t="e">
        <f aca="false">_xlfn.xlookup(AK800,A:A,F:F)</f>
        <v>#NAME?</v>
      </c>
      <c r="AM800" s="15" t="e">
        <f aca="false">_xlfn.xlookup(AK800,A:A,J:J)</f>
        <v>#NAME?</v>
      </c>
      <c r="AN800" s="15" t="e">
        <f aca="false">_xlfn.xlookup(AK800,A:A,M:M)+_xlfn.xlookup(AK800,A:A,N:N)</f>
        <v>#NAME?</v>
      </c>
      <c r="AO800" s="223" t="e">
        <f aca="false">_xlfn.xlookup(AK800,A:A,AG:AG)</f>
        <v>#NAME?</v>
      </c>
      <c r="AP800" s="223" t="e">
        <f aca="false">_xlfn.xlookup(AK800,A:A,AD:AD)</f>
        <v>#NAME?</v>
      </c>
      <c r="AQ800" s="223" t="e">
        <f aca="false">_xlfn.xlookup(AK800,A:A,AE:AE)</f>
        <v>#NAME?</v>
      </c>
      <c r="BB800" s="15" t="e">
        <f aca="false">_xlfn.xlookup(BA800,A:A,E:E)</f>
        <v>#NAME?</v>
      </c>
      <c r="BC800" s="15" t="e">
        <f aca="false">_xlfn.xlookup(BA800,A:A,J:J)</f>
        <v>#NAME?</v>
      </c>
      <c r="BD800" s="75" t="e">
        <f aca="false">_xlfn.xlookup(BA800,A:A,M:M)+_xlfn.xlookup(BA800,A:A,N:N)</f>
        <v>#NAME?</v>
      </c>
    </row>
    <row r="801" customFormat="false" ht="14.25" hidden="false" customHeight="false" outlineLevel="0" collapsed="false">
      <c r="AK801" s="15" t="e">
        <v>#NAME?</v>
      </c>
      <c r="AL801" s="15" t="e">
        <f aca="false">_xlfn.xlookup(AK801,A:A,F:F)</f>
        <v>#NAME?</v>
      </c>
      <c r="AM801" s="15" t="e">
        <f aca="false">_xlfn.xlookup(AK801,A:A,J:J)</f>
        <v>#NAME?</v>
      </c>
      <c r="AN801" s="15" t="e">
        <f aca="false">_xlfn.xlookup(AK801,A:A,M:M)+_xlfn.xlookup(AK801,A:A,N:N)</f>
        <v>#NAME?</v>
      </c>
      <c r="AO801" s="223" t="e">
        <f aca="false">_xlfn.xlookup(AK801,A:A,AG:AG)</f>
        <v>#NAME?</v>
      </c>
      <c r="AP801" s="223" t="e">
        <f aca="false">_xlfn.xlookup(AK801,A:A,AD:AD)</f>
        <v>#NAME?</v>
      </c>
      <c r="AQ801" s="223" t="e">
        <f aca="false">_xlfn.xlookup(AK801,A:A,AE:AE)</f>
        <v>#NAME?</v>
      </c>
      <c r="BB801" s="15" t="e">
        <f aca="false">_xlfn.xlookup(BA801,A:A,E:E)</f>
        <v>#NAME?</v>
      </c>
      <c r="BC801" s="15" t="e">
        <f aca="false">_xlfn.xlookup(BA801,A:A,J:J)</f>
        <v>#NAME?</v>
      </c>
      <c r="BD801" s="75" t="e">
        <f aca="false">_xlfn.xlookup(BA801,A:A,M:M)+_xlfn.xlookup(BA801,A:A,N:N)</f>
        <v>#NAME?</v>
      </c>
    </row>
    <row r="802" customFormat="false" ht="14.25" hidden="false" customHeight="false" outlineLevel="0" collapsed="false">
      <c r="AK802" s="15" t="e">
        <v>#NAME?</v>
      </c>
      <c r="AL802" s="15" t="e">
        <f aca="false">_xlfn.xlookup(AK802,A:A,F:F)</f>
        <v>#NAME?</v>
      </c>
      <c r="AM802" s="15" t="e">
        <f aca="false">_xlfn.xlookup(AK802,A:A,J:J)</f>
        <v>#NAME?</v>
      </c>
      <c r="AN802" s="15" t="e">
        <f aca="false">_xlfn.xlookup(AK802,A:A,M:M)+_xlfn.xlookup(AK802,A:A,N:N)</f>
        <v>#NAME?</v>
      </c>
      <c r="AO802" s="223" t="e">
        <f aca="false">_xlfn.xlookup(AK802,A:A,AG:AG)</f>
        <v>#NAME?</v>
      </c>
      <c r="AP802" s="223" t="e">
        <f aca="false">_xlfn.xlookup(AK802,A:A,AD:AD)</f>
        <v>#NAME?</v>
      </c>
      <c r="AQ802" s="223" t="e">
        <f aca="false">_xlfn.xlookup(AK802,A:A,AE:AE)</f>
        <v>#NAME?</v>
      </c>
      <c r="BB802" s="15" t="e">
        <f aca="false">_xlfn.xlookup(BA802,A:A,E:E)</f>
        <v>#NAME?</v>
      </c>
      <c r="BC802" s="15" t="e">
        <f aca="false">_xlfn.xlookup(BA802,A:A,J:J)</f>
        <v>#NAME?</v>
      </c>
      <c r="BD802" s="75" t="e">
        <f aca="false">_xlfn.xlookup(BA802,A:A,M:M)+_xlfn.xlookup(BA802,A:A,N:N)</f>
        <v>#NAME?</v>
      </c>
    </row>
    <row r="803" customFormat="false" ht="14.25" hidden="false" customHeight="false" outlineLevel="0" collapsed="false">
      <c r="AK803" s="15" t="e">
        <v>#NAME?</v>
      </c>
      <c r="AL803" s="15" t="e">
        <f aca="false">_xlfn.xlookup(AK803,A:A,F:F)</f>
        <v>#NAME?</v>
      </c>
      <c r="AM803" s="15" t="e">
        <f aca="false">_xlfn.xlookup(AK803,A:A,J:J)</f>
        <v>#NAME?</v>
      </c>
      <c r="AN803" s="15" t="e">
        <f aca="false">_xlfn.xlookup(AK803,A:A,M:M)+_xlfn.xlookup(AK803,A:A,N:N)</f>
        <v>#NAME?</v>
      </c>
      <c r="AO803" s="223" t="e">
        <f aca="false">_xlfn.xlookup(AK803,A:A,AG:AG)</f>
        <v>#NAME?</v>
      </c>
      <c r="AP803" s="223" t="e">
        <f aca="false">_xlfn.xlookup(AK803,A:A,AD:AD)</f>
        <v>#NAME?</v>
      </c>
      <c r="AQ803" s="223" t="e">
        <f aca="false">_xlfn.xlookup(AK803,A:A,AE:AE)</f>
        <v>#NAME?</v>
      </c>
      <c r="BB803" s="15" t="e">
        <f aca="false">_xlfn.xlookup(BA803,A:A,E:E)</f>
        <v>#NAME?</v>
      </c>
      <c r="BC803" s="15" t="e">
        <f aca="false">_xlfn.xlookup(BA803,A:A,J:J)</f>
        <v>#NAME?</v>
      </c>
      <c r="BD803" s="75" t="e">
        <f aca="false">_xlfn.xlookup(BA803,A:A,M:M)+_xlfn.xlookup(BA803,A:A,N:N)</f>
        <v>#NAME?</v>
      </c>
    </row>
    <row r="804" customFormat="false" ht="14.25" hidden="false" customHeight="false" outlineLevel="0" collapsed="false">
      <c r="AK804" s="15" t="e">
        <v>#NAME?</v>
      </c>
      <c r="AL804" s="15" t="e">
        <f aca="false">_xlfn.xlookup(AK804,A:A,F:F)</f>
        <v>#NAME?</v>
      </c>
      <c r="AM804" s="15" t="e">
        <f aca="false">_xlfn.xlookup(AK804,A:A,J:J)</f>
        <v>#NAME?</v>
      </c>
      <c r="AN804" s="15" t="e">
        <f aca="false">_xlfn.xlookup(AK804,A:A,M:M)+_xlfn.xlookup(AK804,A:A,N:N)</f>
        <v>#NAME?</v>
      </c>
      <c r="AO804" s="223" t="e">
        <f aca="false">_xlfn.xlookup(AK804,A:A,AG:AG)</f>
        <v>#NAME?</v>
      </c>
      <c r="AP804" s="223" t="e">
        <f aca="false">_xlfn.xlookup(AK804,A:A,AD:AD)</f>
        <v>#NAME?</v>
      </c>
      <c r="AQ804" s="223" t="e">
        <f aca="false">_xlfn.xlookup(AK804,A:A,AE:AE)</f>
        <v>#NAME?</v>
      </c>
      <c r="BB804" s="15" t="e">
        <f aca="false">_xlfn.xlookup(BA804,A:A,E:E)</f>
        <v>#NAME?</v>
      </c>
      <c r="BC804" s="15" t="e">
        <f aca="false">_xlfn.xlookup(BA804,A:A,J:J)</f>
        <v>#NAME?</v>
      </c>
      <c r="BD804" s="75" t="e">
        <f aca="false">_xlfn.xlookup(BA804,A:A,M:M)+_xlfn.xlookup(BA804,A:A,N:N)</f>
        <v>#NAME?</v>
      </c>
    </row>
    <row r="805" customFormat="false" ht="14.25" hidden="false" customHeight="false" outlineLevel="0" collapsed="false">
      <c r="AK805" s="15" t="e">
        <v>#NAME?</v>
      </c>
      <c r="AL805" s="15" t="e">
        <f aca="false">_xlfn.xlookup(AK805,A:A,F:F)</f>
        <v>#NAME?</v>
      </c>
      <c r="AM805" s="15" t="e">
        <f aca="false">_xlfn.xlookup(AK805,A:A,J:J)</f>
        <v>#NAME?</v>
      </c>
      <c r="AN805" s="15" t="e">
        <f aca="false">_xlfn.xlookup(AK805,A:A,M:M)+_xlfn.xlookup(AK805,A:A,N:N)</f>
        <v>#NAME?</v>
      </c>
      <c r="AO805" s="223" t="e">
        <f aca="false">_xlfn.xlookup(AK805,A:A,AG:AG)</f>
        <v>#NAME?</v>
      </c>
      <c r="AP805" s="223" t="e">
        <f aca="false">_xlfn.xlookup(AK805,A:A,AD:AD)</f>
        <v>#NAME?</v>
      </c>
      <c r="AQ805" s="223" t="e">
        <f aca="false">_xlfn.xlookup(AK805,A:A,AE:AE)</f>
        <v>#NAME?</v>
      </c>
      <c r="BB805" s="15" t="e">
        <f aca="false">_xlfn.xlookup(BA805,A:A,E:E)</f>
        <v>#NAME?</v>
      </c>
      <c r="BC805" s="15" t="e">
        <f aca="false">_xlfn.xlookup(BA805,A:A,J:J)</f>
        <v>#NAME?</v>
      </c>
      <c r="BD805" s="75" t="e">
        <f aca="false">_xlfn.xlookup(BA805,A:A,M:M)+_xlfn.xlookup(BA805,A:A,N:N)</f>
        <v>#NAME?</v>
      </c>
    </row>
    <row r="806" customFormat="false" ht="14.25" hidden="false" customHeight="false" outlineLevel="0" collapsed="false">
      <c r="AK806" s="15" t="e">
        <v>#NAME?</v>
      </c>
      <c r="AL806" s="15" t="e">
        <f aca="false">_xlfn.xlookup(AK806,A:A,F:F)</f>
        <v>#NAME?</v>
      </c>
      <c r="AM806" s="15" t="e">
        <f aca="false">_xlfn.xlookup(AK806,A:A,J:J)</f>
        <v>#NAME?</v>
      </c>
      <c r="AN806" s="15" t="e">
        <f aca="false">_xlfn.xlookup(AK806,A:A,M:M)+_xlfn.xlookup(AK806,A:A,N:N)</f>
        <v>#NAME?</v>
      </c>
      <c r="AO806" s="223" t="e">
        <f aca="false">_xlfn.xlookup(AK806,A:A,AG:AG)</f>
        <v>#NAME?</v>
      </c>
      <c r="AP806" s="223" t="e">
        <f aca="false">_xlfn.xlookup(AK806,A:A,AD:AD)</f>
        <v>#NAME?</v>
      </c>
      <c r="AQ806" s="223" t="e">
        <f aca="false">_xlfn.xlookup(AK806,A:A,AE:AE)</f>
        <v>#NAME?</v>
      </c>
      <c r="BB806" s="15" t="e">
        <f aca="false">_xlfn.xlookup(BA806,A:A,E:E)</f>
        <v>#NAME?</v>
      </c>
      <c r="BC806" s="15" t="e">
        <f aca="false">_xlfn.xlookup(BA806,A:A,J:J)</f>
        <v>#NAME?</v>
      </c>
      <c r="BD806" s="75" t="e">
        <f aca="false">_xlfn.xlookup(BA806,A:A,M:M)+_xlfn.xlookup(BA806,A:A,N:N)</f>
        <v>#NAME?</v>
      </c>
    </row>
    <row r="807" customFormat="false" ht="14.25" hidden="false" customHeight="false" outlineLevel="0" collapsed="false">
      <c r="AK807" s="15" t="e">
        <v>#NAME?</v>
      </c>
      <c r="AL807" s="15" t="e">
        <f aca="false">_xlfn.xlookup(AK807,A:A,F:F)</f>
        <v>#NAME?</v>
      </c>
      <c r="AM807" s="15" t="e">
        <f aca="false">_xlfn.xlookup(AK807,A:A,J:J)</f>
        <v>#NAME?</v>
      </c>
      <c r="AN807" s="15" t="e">
        <f aca="false">_xlfn.xlookup(AK807,A:A,M:M)+_xlfn.xlookup(AK807,A:A,N:N)</f>
        <v>#NAME?</v>
      </c>
      <c r="AO807" s="223" t="e">
        <f aca="false">_xlfn.xlookup(AK807,A:A,AG:AG)</f>
        <v>#NAME?</v>
      </c>
      <c r="AP807" s="223" t="e">
        <f aca="false">_xlfn.xlookup(AK807,A:A,AD:AD)</f>
        <v>#NAME?</v>
      </c>
      <c r="AQ807" s="223" t="e">
        <f aca="false">_xlfn.xlookup(AK807,A:A,AE:AE)</f>
        <v>#NAME?</v>
      </c>
      <c r="BB807" s="15" t="e">
        <f aca="false">_xlfn.xlookup(BA807,A:A,E:E)</f>
        <v>#NAME?</v>
      </c>
      <c r="BC807" s="15" t="e">
        <f aca="false">_xlfn.xlookup(BA807,A:A,J:J)</f>
        <v>#NAME?</v>
      </c>
      <c r="BD807" s="75" t="e">
        <f aca="false">_xlfn.xlookup(BA807,A:A,M:M)+_xlfn.xlookup(BA807,A:A,N:N)</f>
        <v>#NAME?</v>
      </c>
    </row>
    <row r="808" customFormat="false" ht="14.25" hidden="false" customHeight="false" outlineLevel="0" collapsed="false">
      <c r="AK808" s="15" t="e">
        <v>#NAME?</v>
      </c>
      <c r="AL808" s="15" t="e">
        <f aca="false">_xlfn.xlookup(AK808,A:A,F:F)</f>
        <v>#NAME?</v>
      </c>
      <c r="AM808" s="15" t="e">
        <f aca="false">_xlfn.xlookup(AK808,A:A,J:J)</f>
        <v>#NAME?</v>
      </c>
      <c r="AN808" s="15" t="e">
        <f aca="false">_xlfn.xlookup(AK808,A:A,M:M)+_xlfn.xlookup(AK808,A:A,N:N)</f>
        <v>#NAME?</v>
      </c>
      <c r="AO808" s="223" t="e">
        <f aca="false">_xlfn.xlookup(AK808,A:A,AG:AG)</f>
        <v>#NAME?</v>
      </c>
      <c r="AP808" s="223" t="e">
        <f aca="false">_xlfn.xlookup(AK808,A:A,AD:AD)</f>
        <v>#NAME?</v>
      </c>
      <c r="AQ808" s="223" t="e">
        <f aca="false">_xlfn.xlookup(AK808,A:A,AE:AE)</f>
        <v>#NAME?</v>
      </c>
      <c r="BB808" s="15" t="e">
        <f aca="false">_xlfn.xlookup(BA808,A:A,E:E)</f>
        <v>#NAME?</v>
      </c>
      <c r="BC808" s="15" t="e">
        <f aca="false">_xlfn.xlookup(BA808,A:A,J:J)</f>
        <v>#NAME?</v>
      </c>
      <c r="BD808" s="75" t="e">
        <f aca="false">_xlfn.xlookup(BA808,A:A,M:M)+_xlfn.xlookup(BA808,A:A,N:N)</f>
        <v>#NAME?</v>
      </c>
    </row>
    <row r="809" customFormat="false" ht="14.25" hidden="false" customHeight="false" outlineLevel="0" collapsed="false">
      <c r="AK809" s="15" t="e">
        <v>#NAME?</v>
      </c>
      <c r="AL809" s="15" t="e">
        <f aca="false">_xlfn.xlookup(AK809,A:A,F:F)</f>
        <v>#NAME?</v>
      </c>
      <c r="AM809" s="15" t="e">
        <f aca="false">_xlfn.xlookup(AK809,A:A,J:J)</f>
        <v>#NAME?</v>
      </c>
      <c r="AN809" s="15" t="e">
        <f aca="false">_xlfn.xlookup(AK809,A:A,M:M)+_xlfn.xlookup(AK809,A:A,N:N)</f>
        <v>#NAME?</v>
      </c>
      <c r="AO809" s="223" t="e">
        <f aca="false">_xlfn.xlookup(AK809,A:A,AG:AG)</f>
        <v>#NAME?</v>
      </c>
      <c r="AP809" s="223" t="e">
        <f aca="false">_xlfn.xlookup(AK809,A:A,AD:AD)</f>
        <v>#NAME?</v>
      </c>
      <c r="AQ809" s="223" t="e">
        <f aca="false">_xlfn.xlookup(AK809,A:A,AE:AE)</f>
        <v>#NAME?</v>
      </c>
      <c r="BB809" s="15" t="e">
        <f aca="false">_xlfn.xlookup(BA809,A:A,E:E)</f>
        <v>#NAME?</v>
      </c>
      <c r="BC809" s="15" t="e">
        <f aca="false">_xlfn.xlookup(BA809,A:A,J:J)</f>
        <v>#NAME?</v>
      </c>
      <c r="BD809" s="75" t="e">
        <f aca="false">_xlfn.xlookup(BA809,A:A,M:M)+_xlfn.xlookup(BA809,A:A,N:N)</f>
        <v>#NAME?</v>
      </c>
    </row>
    <row r="810" customFormat="false" ht="14.25" hidden="false" customHeight="false" outlineLevel="0" collapsed="false">
      <c r="AK810" s="15" t="e">
        <v>#NAME?</v>
      </c>
      <c r="AL810" s="15" t="e">
        <f aca="false">_xlfn.xlookup(AK810,A:A,F:F)</f>
        <v>#NAME?</v>
      </c>
      <c r="AM810" s="15" t="e">
        <f aca="false">_xlfn.xlookup(AK810,A:A,J:J)</f>
        <v>#NAME?</v>
      </c>
      <c r="AN810" s="15" t="e">
        <f aca="false">_xlfn.xlookup(AK810,A:A,M:M)+_xlfn.xlookup(AK810,A:A,N:N)</f>
        <v>#NAME?</v>
      </c>
      <c r="AO810" s="223" t="e">
        <f aca="false">_xlfn.xlookup(AK810,A:A,AG:AG)</f>
        <v>#NAME?</v>
      </c>
      <c r="AP810" s="223" t="e">
        <f aca="false">_xlfn.xlookup(AK810,A:A,AD:AD)</f>
        <v>#NAME?</v>
      </c>
      <c r="AQ810" s="223" t="e">
        <f aca="false">_xlfn.xlookup(AK810,A:A,AE:AE)</f>
        <v>#NAME?</v>
      </c>
      <c r="BB810" s="15" t="e">
        <f aca="false">_xlfn.xlookup(BA810,A:A,E:E)</f>
        <v>#NAME?</v>
      </c>
      <c r="BC810" s="15" t="e">
        <f aca="false">_xlfn.xlookup(BA810,A:A,J:J)</f>
        <v>#NAME?</v>
      </c>
      <c r="BD810" s="75" t="e">
        <f aca="false">_xlfn.xlookup(BA810,A:A,M:M)+_xlfn.xlookup(BA810,A:A,N:N)</f>
        <v>#NAME?</v>
      </c>
    </row>
    <row r="811" customFormat="false" ht="14.25" hidden="false" customHeight="false" outlineLevel="0" collapsed="false">
      <c r="AK811" s="15" t="e">
        <v>#NAME?</v>
      </c>
      <c r="AL811" s="15" t="e">
        <f aca="false">_xlfn.xlookup(AK811,A:A,F:F)</f>
        <v>#NAME?</v>
      </c>
      <c r="AM811" s="15" t="e">
        <f aca="false">_xlfn.xlookup(AK811,A:A,J:J)</f>
        <v>#NAME?</v>
      </c>
      <c r="AN811" s="15" t="e">
        <f aca="false">_xlfn.xlookup(AK811,A:A,M:M)+_xlfn.xlookup(AK811,A:A,N:N)</f>
        <v>#NAME?</v>
      </c>
      <c r="AO811" s="223" t="e">
        <f aca="false">_xlfn.xlookup(AK811,A:A,AG:AG)</f>
        <v>#NAME?</v>
      </c>
      <c r="AP811" s="223" t="e">
        <f aca="false">_xlfn.xlookup(AK811,A:A,AD:AD)</f>
        <v>#NAME?</v>
      </c>
      <c r="AQ811" s="223" t="e">
        <f aca="false">_xlfn.xlookup(AK811,A:A,AE:AE)</f>
        <v>#NAME?</v>
      </c>
      <c r="BB811" s="15" t="e">
        <f aca="false">_xlfn.xlookup(BA811,A:A,E:E)</f>
        <v>#NAME?</v>
      </c>
      <c r="BC811" s="15" t="e">
        <f aca="false">_xlfn.xlookup(BA811,A:A,J:J)</f>
        <v>#NAME?</v>
      </c>
      <c r="BD811" s="75" t="e">
        <f aca="false">_xlfn.xlookup(BA811,A:A,M:M)+_xlfn.xlookup(BA811,A:A,N:N)</f>
        <v>#NAME?</v>
      </c>
    </row>
    <row r="812" customFormat="false" ht="14.25" hidden="false" customHeight="false" outlineLevel="0" collapsed="false">
      <c r="AK812" s="15" t="e">
        <v>#NAME?</v>
      </c>
      <c r="AL812" s="15" t="e">
        <f aca="false">_xlfn.xlookup(AK812,A:A,F:F)</f>
        <v>#NAME?</v>
      </c>
      <c r="AM812" s="15" t="e">
        <f aca="false">_xlfn.xlookup(AK812,A:A,J:J)</f>
        <v>#NAME?</v>
      </c>
      <c r="AN812" s="15" t="e">
        <f aca="false">_xlfn.xlookup(AK812,A:A,M:M)+_xlfn.xlookup(AK812,A:A,N:N)</f>
        <v>#NAME?</v>
      </c>
      <c r="AO812" s="223" t="e">
        <f aca="false">_xlfn.xlookup(AK812,A:A,AG:AG)</f>
        <v>#NAME?</v>
      </c>
      <c r="AP812" s="223" t="e">
        <f aca="false">_xlfn.xlookup(AK812,A:A,AD:AD)</f>
        <v>#NAME?</v>
      </c>
      <c r="AQ812" s="223" t="e">
        <f aca="false">_xlfn.xlookup(AK812,A:A,AE:AE)</f>
        <v>#NAME?</v>
      </c>
      <c r="BB812" s="15" t="e">
        <f aca="false">_xlfn.xlookup(BA812,A:A,E:E)</f>
        <v>#NAME?</v>
      </c>
      <c r="BC812" s="15" t="e">
        <f aca="false">_xlfn.xlookup(BA812,A:A,J:J)</f>
        <v>#NAME?</v>
      </c>
      <c r="BD812" s="75" t="e">
        <f aca="false">_xlfn.xlookup(BA812,A:A,M:M)+_xlfn.xlookup(BA812,A:A,N:N)</f>
        <v>#NAME?</v>
      </c>
    </row>
    <row r="813" customFormat="false" ht="14.25" hidden="false" customHeight="false" outlineLevel="0" collapsed="false">
      <c r="AK813" s="15" t="e">
        <v>#NAME?</v>
      </c>
      <c r="AL813" s="15" t="e">
        <f aca="false">_xlfn.xlookup(AK813,A:A,F:F)</f>
        <v>#NAME?</v>
      </c>
      <c r="AM813" s="15" t="e">
        <f aca="false">_xlfn.xlookup(AK813,A:A,J:J)</f>
        <v>#NAME?</v>
      </c>
      <c r="AN813" s="15" t="e">
        <f aca="false">_xlfn.xlookup(AK813,A:A,M:M)+_xlfn.xlookup(AK813,A:A,N:N)</f>
        <v>#NAME?</v>
      </c>
      <c r="AO813" s="223" t="e">
        <f aca="false">_xlfn.xlookup(AK813,A:A,AG:AG)</f>
        <v>#NAME?</v>
      </c>
      <c r="AP813" s="223" t="e">
        <f aca="false">_xlfn.xlookup(AK813,A:A,AD:AD)</f>
        <v>#NAME?</v>
      </c>
      <c r="AQ813" s="223" t="e">
        <f aca="false">_xlfn.xlookup(AK813,A:A,AE:AE)</f>
        <v>#NAME?</v>
      </c>
      <c r="BB813" s="15" t="e">
        <f aca="false">_xlfn.xlookup(BA813,A:A,E:E)</f>
        <v>#NAME?</v>
      </c>
      <c r="BC813" s="15" t="e">
        <f aca="false">_xlfn.xlookup(BA813,A:A,J:J)</f>
        <v>#NAME?</v>
      </c>
      <c r="BD813" s="75" t="e">
        <f aca="false">_xlfn.xlookup(BA813,A:A,M:M)+_xlfn.xlookup(BA813,A:A,N:N)</f>
        <v>#NAME?</v>
      </c>
    </row>
    <row r="814" customFormat="false" ht="14.25" hidden="false" customHeight="false" outlineLevel="0" collapsed="false">
      <c r="AK814" s="15" t="e">
        <v>#NAME?</v>
      </c>
      <c r="AL814" s="15" t="e">
        <f aca="false">_xlfn.xlookup(AK814,A:A,F:F)</f>
        <v>#NAME?</v>
      </c>
      <c r="AM814" s="15" t="e">
        <f aca="false">_xlfn.xlookup(AK814,A:A,J:J)</f>
        <v>#NAME?</v>
      </c>
      <c r="AN814" s="15" t="e">
        <f aca="false">_xlfn.xlookup(AK814,A:A,M:M)+_xlfn.xlookup(AK814,A:A,N:N)</f>
        <v>#NAME?</v>
      </c>
      <c r="AO814" s="223" t="e">
        <f aca="false">_xlfn.xlookup(AK814,A:A,AG:AG)</f>
        <v>#NAME?</v>
      </c>
      <c r="AP814" s="223" t="e">
        <f aca="false">_xlfn.xlookup(AK814,A:A,AD:AD)</f>
        <v>#NAME?</v>
      </c>
      <c r="AQ814" s="223" t="e">
        <f aca="false">_xlfn.xlookup(AK814,A:A,AE:AE)</f>
        <v>#NAME?</v>
      </c>
      <c r="BB814" s="15" t="e">
        <f aca="false">_xlfn.xlookup(BA814,A:A,E:E)</f>
        <v>#NAME?</v>
      </c>
      <c r="BC814" s="15" t="e">
        <f aca="false">_xlfn.xlookup(BA814,A:A,J:J)</f>
        <v>#NAME?</v>
      </c>
      <c r="BD814" s="75" t="e">
        <f aca="false">_xlfn.xlookup(BA814,A:A,M:M)+_xlfn.xlookup(BA814,A:A,N:N)</f>
        <v>#NAME?</v>
      </c>
    </row>
    <row r="815" customFormat="false" ht="14.25" hidden="false" customHeight="false" outlineLevel="0" collapsed="false">
      <c r="AK815" s="15" t="e">
        <v>#NAME?</v>
      </c>
      <c r="AL815" s="15" t="e">
        <f aca="false">_xlfn.xlookup(AK815,A:A,F:F)</f>
        <v>#NAME?</v>
      </c>
      <c r="AM815" s="15" t="e">
        <f aca="false">_xlfn.xlookup(AK815,A:A,J:J)</f>
        <v>#NAME?</v>
      </c>
      <c r="AN815" s="15" t="e">
        <f aca="false">_xlfn.xlookup(AK815,A:A,M:M)+_xlfn.xlookup(AK815,A:A,N:N)</f>
        <v>#NAME?</v>
      </c>
      <c r="AO815" s="223" t="e">
        <f aca="false">_xlfn.xlookup(AK815,A:A,AG:AG)</f>
        <v>#NAME?</v>
      </c>
      <c r="AP815" s="223" t="e">
        <f aca="false">_xlfn.xlookup(AK815,A:A,AD:AD)</f>
        <v>#NAME?</v>
      </c>
      <c r="AQ815" s="223" t="e">
        <f aca="false">_xlfn.xlookup(AK815,A:A,AE:AE)</f>
        <v>#NAME?</v>
      </c>
      <c r="BB815" s="15" t="e">
        <f aca="false">_xlfn.xlookup(BA815,A:A,E:E)</f>
        <v>#NAME?</v>
      </c>
      <c r="BC815" s="15" t="e">
        <f aca="false">_xlfn.xlookup(BA815,A:A,J:J)</f>
        <v>#NAME?</v>
      </c>
      <c r="BD815" s="75" t="e">
        <f aca="false">_xlfn.xlookup(BA815,A:A,M:M)+_xlfn.xlookup(BA815,A:A,N:N)</f>
        <v>#NAME?</v>
      </c>
    </row>
    <row r="816" customFormat="false" ht="14.25" hidden="false" customHeight="false" outlineLevel="0" collapsed="false">
      <c r="AK816" s="15" t="e">
        <v>#NAME?</v>
      </c>
      <c r="AL816" s="15" t="e">
        <f aca="false">_xlfn.xlookup(AK816,A:A,F:F)</f>
        <v>#NAME?</v>
      </c>
      <c r="AM816" s="15" t="e">
        <f aca="false">_xlfn.xlookup(AK816,A:A,J:J)</f>
        <v>#NAME?</v>
      </c>
      <c r="AN816" s="15" t="e">
        <f aca="false">_xlfn.xlookup(AK816,A:A,M:M)+_xlfn.xlookup(AK816,A:A,N:N)</f>
        <v>#NAME?</v>
      </c>
      <c r="AO816" s="223" t="e">
        <f aca="false">_xlfn.xlookup(AK816,A:A,AG:AG)</f>
        <v>#NAME?</v>
      </c>
      <c r="AP816" s="223" t="e">
        <f aca="false">_xlfn.xlookup(AK816,A:A,AD:AD)</f>
        <v>#NAME?</v>
      </c>
      <c r="AQ816" s="223" t="e">
        <f aca="false">_xlfn.xlookup(AK816,A:A,AE:AE)</f>
        <v>#NAME?</v>
      </c>
      <c r="BB816" s="15" t="e">
        <f aca="false">_xlfn.xlookup(BA816,A:A,E:E)</f>
        <v>#NAME?</v>
      </c>
      <c r="BC816" s="15" t="e">
        <f aca="false">_xlfn.xlookup(BA816,A:A,J:J)</f>
        <v>#NAME?</v>
      </c>
      <c r="BD816" s="75" t="e">
        <f aca="false">_xlfn.xlookup(BA816,A:A,M:M)+_xlfn.xlookup(BA816,A:A,N:N)</f>
        <v>#NAME?</v>
      </c>
    </row>
    <row r="817" customFormat="false" ht="14.25" hidden="false" customHeight="false" outlineLevel="0" collapsed="false">
      <c r="AK817" s="15" t="e">
        <v>#NAME?</v>
      </c>
      <c r="AL817" s="15" t="e">
        <f aca="false">_xlfn.xlookup(AK817,A:A,F:F)</f>
        <v>#NAME?</v>
      </c>
      <c r="AM817" s="15" t="e">
        <f aca="false">_xlfn.xlookup(AK817,A:A,J:J)</f>
        <v>#NAME?</v>
      </c>
      <c r="AN817" s="15" t="e">
        <f aca="false">_xlfn.xlookup(AK817,A:A,M:M)+_xlfn.xlookup(AK817,A:A,N:N)</f>
        <v>#NAME?</v>
      </c>
      <c r="AO817" s="223" t="e">
        <f aca="false">_xlfn.xlookup(AK817,A:A,AG:AG)</f>
        <v>#NAME?</v>
      </c>
      <c r="AP817" s="223" t="e">
        <f aca="false">_xlfn.xlookup(AK817,A:A,AD:AD)</f>
        <v>#NAME?</v>
      </c>
      <c r="AQ817" s="223" t="e">
        <f aca="false">_xlfn.xlookup(AK817,A:A,AE:AE)</f>
        <v>#NAME?</v>
      </c>
      <c r="BB817" s="15" t="e">
        <f aca="false">_xlfn.xlookup(BA817,A:A,E:E)</f>
        <v>#NAME?</v>
      </c>
      <c r="BC817" s="15" t="e">
        <f aca="false">_xlfn.xlookup(BA817,A:A,J:J)</f>
        <v>#NAME?</v>
      </c>
      <c r="BD817" s="75" t="e">
        <f aca="false">_xlfn.xlookup(BA817,A:A,M:M)+_xlfn.xlookup(BA817,A:A,N:N)</f>
        <v>#NAME?</v>
      </c>
    </row>
    <row r="818" customFormat="false" ht="14.25" hidden="false" customHeight="false" outlineLevel="0" collapsed="false">
      <c r="AK818" s="15" t="e">
        <v>#NAME?</v>
      </c>
      <c r="AL818" s="15" t="e">
        <f aca="false">_xlfn.xlookup(AK818,A:A,F:F)</f>
        <v>#NAME?</v>
      </c>
      <c r="AM818" s="15" t="e">
        <f aca="false">_xlfn.xlookup(AK818,A:A,J:J)</f>
        <v>#NAME?</v>
      </c>
      <c r="AN818" s="15" t="e">
        <f aca="false">_xlfn.xlookup(AK818,A:A,M:M)+_xlfn.xlookup(AK818,A:A,N:N)</f>
        <v>#NAME?</v>
      </c>
      <c r="AO818" s="223" t="e">
        <f aca="false">_xlfn.xlookup(AK818,A:A,AG:AG)</f>
        <v>#NAME?</v>
      </c>
      <c r="AP818" s="223" t="e">
        <f aca="false">_xlfn.xlookup(AK818,A:A,AD:AD)</f>
        <v>#NAME?</v>
      </c>
      <c r="AQ818" s="223" t="e">
        <f aca="false">_xlfn.xlookup(AK818,A:A,AE:AE)</f>
        <v>#NAME?</v>
      </c>
      <c r="BB818" s="15" t="e">
        <f aca="false">_xlfn.xlookup(BA818,A:A,E:E)</f>
        <v>#NAME?</v>
      </c>
      <c r="BC818" s="15" t="e">
        <f aca="false">_xlfn.xlookup(BA818,A:A,J:J)</f>
        <v>#NAME?</v>
      </c>
      <c r="BD818" s="75" t="e">
        <f aca="false">_xlfn.xlookup(BA818,A:A,M:M)+_xlfn.xlookup(BA818,A:A,N:N)</f>
        <v>#NAME?</v>
      </c>
    </row>
    <row r="819" customFormat="false" ht="14.25" hidden="false" customHeight="false" outlineLevel="0" collapsed="false">
      <c r="AK819" s="15" t="e">
        <v>#NAME?</v>
      </c>
      <c r="AL819" s="15" t="e">
        <f aca="false">_xlfn.xlookup(AK819,A:A,F:F)</f>
        <v>#NAME?</v>
      </c>
      <c r="AM819" s="15" t="e">
        <f aca="false">_xlfn.xlookup(AK819,A:A,J:J)</f>
        <v>#NAME?</v>
      </c>
      <c r="AN819" s="15" t="e">
        <f aca="false">_xlfn.xlookup(AK819,A:A,M:M)+_xlfn.xlookup(AK819,A:A,N:N)</f>
        <v>#NAME?</v>
      </c>
      <c r="AO819" s="223" t="e">
        <f aca="false">_xlfn.xlookup(AK819,A:A,AG:AG)</f>
        <v>#NAME?</v>
      </c>
      <c r="AP819" s="223" t="e">
        <f aca="false">_xlfn.xlookup(AK819,A:A,AD:AD)</f>
        <v>#NAME?</v>
      </c>
      <c r="AQ819" s="223" t="e">
        <f aca="false">_xlfn.xlookup(AK819,A:A,AE:AE)</f>
        <v>#NAME?</v>
      </c>
      <c r="BB819" s="15" t="e">
        <f aca="false">_xlfn.xlookup(BA819,A:A,E:E)</f>
        <v>#NAME?</v>
      </c>
      <c r="BC819" s="15" t="e">
        <f aca="false">_xlfn.xlookup(BA819,A:A,J:J)</f>
        <v>#NAME?</v>
      </c>
      <c r="BD819" s="75" t="e">
        <f aca="false">_xlfn.xlookup(BA819,A:A,M:M)+_xlfn.xlookup(BA819,A:A,N:N)</f>
        <v>#NAME?</v>
      </c>
    </row>
    <row r="820" customFormat="false" ht="14.25" hidden="false" customHeight="false" outlineLevel="0" collapsed="false">
      <c r="AK820" s="15" t="e">
        <v>#NAME?</v>
      </c>
      <c r="AL820" s="15" t="e">
        <f aca="false">_xlfn.xlookup(AK820,A:A,F:F)</f>
        <v>#NAME?</v>
      </c>
      <c r="AM820" s="15" t="e">
        <f aca="false">_xlfn.xlookup(AK820,A:A,J:J)</f>
        <v>#NAME?</v>
      </c>
      <c r="AN820" s="15" t="e">
        <f aca="false">_xlfn.xlookup(AK820,A:A,M:M)+_xlfn.xlookup(AK820,A:A,N:N)</f>
        <v>#NAME?</v>
      </c>
      <c r="AO820" s="223" t="e">
        <f aca="false">_xlfn.xlookup(AK820,A:A,AG:AG)</f>
        <v>#NAME?</v>
      </c>
      <c r="AP820" s="223" t="e">
        <f aca="false">_xlfn.xlookup(AK820,A:A,AD:AD)</f>
        <v>#NAME?</v>
      </c>
      <c r="AQ820" s="223" t="e">
        <f aca="false">_xlfn.xlookup(AK820,A:A,AE:AE)</f>
        <v>#NAME?</v>
      </c>
      <c r="BB820" s="15" t="e">
        <f aca="false">_xlfn.xlookup(BA820,A:A,E:E)</f>
        <v>#NAME?</v>
      </c>
      <c r="BC820" s="15" t="e">
        <f aca="false">_xlfn.xlookup(BA820,A:A,J:J)</f>
        <v>#NAME?</v>
      </c>
      <c r="BD820" s="75" t="e">
        <f aca="false">_xlfn.xlookup(BA820,A:A,M:M)+_xlfn.xlookup(BA820,A:A,N:N)</f>
        <v>#NAME?</v>
      </c>
    </row>
    <row r="821" customFormat="false" ht="14.25" hidden="false" customHeight="false" outlineLevel="0" collapsed="false">
      <c r="AK821" s="15" t="e">
        <v>#NAME?</v>
      </c>
      <c r="AL821" s="15" t="e">
        <f aca="false">_xlfn.xlookup(AK821,A:A,F:F)</f>
        <v>#NAME?</v>
      </c>
      <c r="AM821" s="15" t="e">
        <f aca="false">_xlfn.xlookup(AK821,A:A,J:J)</f>
        <v>#NAME?</v>
      </c>
      <c r="AN821" s="15" t="e">
        <f aca="false">_xlfn.xlookup(AK821,A:A,M:M)+_xlfn.xlookup(AK821,A:A,N:N)</f>
        <v>#NAME?</v>
      </c>
      <c r="AO821" s="223" t="e">
        <f aca="false">_xlfn.xlookup(AK821,A:A,AG:AG)</f>
        <v>#NAME?</v>
      </c>
      <c r="AP821" s="223" t="e">
        <f aca="false">_xlfn.xlookup(AK821,A:A,AD:AD)</f>
        <v>#NAME?</v>
      </c>
      <c r="AQ821" s="223" t="e">
        <f aca="false">_xlfn.xlookup(AK821,A:A,AE:AE)</f>
        <v>#NAME?</v>
      </c>
      <c r="BB821" s="15" t="e">
        <f aca="false">_xlfn.xlookup(BA821,A:A,E:E)</f>
        <v>#NAME?</v>
      </c>
      <c r="BC821" s="15" t="e">
        <f aca="false">_xlfn.xlookup(BA821,A:A,J:J)</f>
        <v>#NAME?</v>
      </c>
      <c r="BD821" s="75" t="e">
        <f aca="false">_xlfn.xlookup(BA821,A:A,M:M)+_xlfn.xlookup(BA821,A:A,N:N)</f>
        <v>#NAME?</v>
      </c>
    </row>
    <row r="822" customFormat="false" ht="14.25" hidden="false" customHeight="false" outlineLevel="0" collapsed="false">
      <c r="AK822" s="15" t="e">
        <v>#NAME?</v>
      </c>
      <c r="AL822" s="15" t="e">
        <f aca="false">_xlfn.xlookup(AK822,A:A,F:F)</f>
        <v>#NAME?</v>
      </c>
      <c r="AM822" s="15" t="e">
        <f aca="false">_xlfn.xlookup(AK822,A:A,J:J)</f>
        <v>#NAME?</v>
      </c>
      <c r="AN822" s="15" t="e">
        <f aca="false">_xlfn.xlookup(AK822,A:A,M:M)+_xlfn.xlookup(AK822,A:A,N:N)</f>
        <v>#NAME?</v>
      </c>
      <c r="AO822" s="223" t="e">
        <f aca="false">_xlfn.xlookup(AK822,A:A,AG:AG)</f>
        <v>#NAME?</v>
      </c>
      <c r="AP822" s="223" t="e">
        <f aca="false">_xlfn.xlookup(AK822,A:A,AD:AD)</f>
        <v>#NAME?</v>
      </c>
      <c r="AQ822" s="223" t="e">
        <f aca="false">_xlfn.xlookup(AK822,A:A,AE:AE)</f>
        <v>#NAME?</v>
      </c>
      <c r="BB822" s="15" t="e">
        <f aca="false">_xlfn.xlookup(BA822,A:A,E:E)</f>
        <v>#NAME?</v>
      </c>
      <c r="BC822" s="15" t="e">
        <f aca="false">_xlfn.xlookup(BA822,A:A,J:J)</f>
        <v>#NAME?</v>
      </c>
      <c r="BD822" s="75" t="e">
        <f aca="false">_xlfn.xlookup(BA822,A:A,M:M)+_xlfn.xlookup(BA822,A:A,N:N)</f>
        <v>#NAME?</v>
      </c>
    </row>
    <row r="823" customFormat="false" ht="14.25" hidden="false" customHeight="false" outlineLevel="0" collapsed="false">
      <c r="AK823" s="15" t="e">
        <v>#NAME?</v>
      </c>
      <c r="AL823" s="15" t="e">
        <f aca="false">_xlfn.xlookup(AK823,A:A,F:F)</f>
        <v>#NAME?</v>
      </c>
      <c r="AM823" s="15" t="e">
        <f aca="false">_xlfn.xlookup(AK823,A:A,J:J)</f>
        <v>#NAME?</v>
      </c>
      <c r="AN823" s="15" t="e">
        <f aca="false">_xlfn.xlookup(AK823,A:A,M:M)+_xlfn.xlookup(AK823,A:A,N:N)</f>
        <v>#NAME?</v>
      </c>
      <c r="AO823" s="223" t="e">
        <f aca="false">_xlfn.xlookup(AK823,A:A,AG:AG)</f>
        <v>#NAME?</v>
      </c>
      <c r="AP823" s="223" t="e">
        <f aca="false">_xlfn.xlookup(AK823,A:A,AD:AD)</f>
        <v>#NAME?</v>
      </c>
      <c r="AQ823" s="223" t="e">
        <f aca="false">_xlfn.xlookup(AK823,A:A,AE:AE)</f>
        <v>#NAME?</v>
      </c>
      <c r="BB823" s="15" t="e">
        <f aca="false">_xlfn.xlookup(BA823,A:A,E:E)</f>
        <v>#NAME?</v>
      </c>
      <c r="BC823" s="15" t="e">
        <f aca="false">_xlfn.xlookup(BA823,A:A,J:J)</f>
        <v>#NAME?</v>
      </c>
      <c r="BD823" s="75" t="e">
        <f aca="false">_xlfn.xlookup(BA823,A:A,M:M)+_xlfn.xlookup(BA823,A:A,N:N)</f>
        <v>#NAME?</v>
      </c>
    </row>
    <row r="824" customFormat="false" ht="14.25" hidden="false" customHeight="false" outlineLevel="0" collapsed="false">
      <c r="AK824" s="15" t="e">
        <v>#NAME?</v>
      </c>
      <c r="AL824" s="15" t="e">
        <f aca="false">_xlfn.xlookup(AK824,A:A,F:F)</f>
        <v>#NAME?</v>
      </c>
      <c r="AM824" s="15" t="e">
        <f aca="false">_xlfn.xlookup(AK824,A:A,J:J)</f>
        <v>#NAME?</v>
      </c>
      <c r="AN824" s="15" t="e">
        <f aca="false">_xlfn.xlookup(AK824,A:A,M:M)+_xlfn.xlookup(AK824,A:A,N:N)</f>
        <v>#NAME?</v>
      </c>
      <c r="AO824" s="223" t="e">
        <f aca="false">_xlfn.xlookup(AK824,A:A,AG:AG)</f>
        <v>#NAME?</v>
      </c>
      <c r="AP824" s="223" t="e">
        <f aca="false">_xlfn.xlookup(AK824,A:A,AD:AD)</f>
        <v>#NAME?</v>
      </c>
      <c r="AQ824" s="223" t="e">
        <f aca="false">_xlfn.xlookup(AK824,A:A,AE:AE)</f>
        <v>#NAME?</v>
      </c>
      <c r="BB824" s="15" t="e">
        <f aca="false">_xlfn.xlookup(BA824,A:A,E:E)</f>
        <v>#NAME?</v>
      </c>
      <c r="BC824" s="15" t="e">
        <f aca="false">_xlfn.xlookup(BA824,A:A,J:J)</f>
        <v>#NAME?</v>
      </c>
      <c r="BD824" s="75" t="e">
        <f aca="false">_xlfn.xlookup(BA824,A:A,M:M)+_xlfn.xlookup(BA824,A:A,N:N)</f>
        <v>#NAME?</v>
      </c>
    </row>
    <row r="825" customFormat="false" ht="14.25" hidden="false" customHeight="false" outlineLevel="0" collapsed="false">
      <c r="AK825" s="15" t="e">
        <v>#NAME?</v>
      </c>
      <c r="AL825" s="15" t="e">
        <f aca="false">_xlfn.xlookup(AK825,A:A,F:F)</f>
        <v>#NAME?</v>
      </c>
      <c r="AM825" s="15" t="e">
        <f aca="false">_xlfn.xlookup(AK825,A:A,J:J)</f>
        <v>#NAME?</v>
      </c>
      <c r="AN825" s="15" t="e">
        <f aca="false">_xlfn.xlookup(AK825,A:A,M:M)+_xlfn.xlookup(AK825,A:A,N:N)</f>
        <v>#NAME?</v>
      </c>
      <c r="AO825" s="223" t="e">
        <f aca="false">_xlfn.xlookup(AK825,A:A,AG:AG)</f>
        <v>#NAME?</v>
      </c>
      <c r="AP825" s="223" t="e">
        <f aca="false">_xlfn.xlookup(AK825,A:A,AD:AD)</f>
        <v>#NAME?</v>
      </c>
      <c r="AQ825" s="223" t="e">
        <f aca="false">_xlfn.xlookup(AK825,A:A,AE:AE)</f>
        <v>#NAME?</v>
      </c>
      <c r="BB825" s="15" t="e">
        <f aca="false">_xlfn.xlookup(BA825,A:A,E:E)</f>
        <v>#NAME?</v>
      </c>
      <c r="BC825" s="15" t="e">
        <f aca="false">_xlfn.xlookup(BA825,A:A,J:J)</f>
        <v>#NAME?</v>
      </c>
      <c r="BD825" s="75" t="e">
        <f aca="false">_xlfn.xlookup(BA825,A:A,M:M)+_xlfn.xlookup(BA825,A:A,N:N)</f>
        <v>#NAME?</v>
      </c>
    </row>
    <row r="826" customFormat="false" ht="14.25" hidden="false" customHeight="false" outlineLevel="0" collapsed="false">
      <c r="AK826" s="15" t="e">
        <v>#NAME?</v>
      </c>
      <c r="AL826" s="15" t="e">
        <f aca="false">_xlfn.xlookup(AK826,A:A,F:F)</f>
        <v>#NAME?</v>
      </c>
      <c r="AM826" s="15" t="e">
        <f aca="false">_xlfn.xlookup(AK826,A:A,J:J)</f>
        <v>#NAME?</v>
      </c>
      <c r="AN826" s="15" t="e">
        <f aca="false">_xlfn.xlookup(AK826,A:A,M:M)+_xlfn.xlookup(AK826,A:A,N:N)</f>
        <v>#NAME?</v>
      </c>
      <c r="AO826" s="223" t="e">
        <f aca="false">_xlfn.xlookup(AK826,A:A,AG:AG)</f>
        <v>#NAME?</v>
      </c>
      <c r="AP826" s="223" t="e">
        <f aca="false">_xlfn.xlookup(AK826,A:A,AD:AD)</f>
        <v>#NAME?</v>
      </c>
      <c r="AQ826" s="223" t="e">
        <f aca="false">_xlfn.xlookup(AK826,A:A,AE:AE)</f>
        <v>#NAME?</v>
      </c>
      <c r="BB826" s="15" t="e">
        <f aca="false">_xlfn.xlookup(BA826,A:A,E:E)</f>
        <v>#NAME?</v>
      </c>
      <c r="BC826" s="15" t="e">
        <f aca="false">_xlfn.xlookup(BA826,A:A,J:J)</f>
        <v>#NAME?</v>
      </c>
      <c r="BD826" s="75" t="e">
        <f aca="false">_xlfn.xlookup(BA826,A:A,M:M)+_xlfn.xlookup(BA826,A:A,N:N)</f>
        <v>#NAME?</v>
      </c>
    </row>
    <row r="827" customFormat="false" ht="14.25" hidden="false" customHeight="false" outlineLevel="0" collapsed="false">
      <c r="AK827" s="15" t="e">
        <v>#NAME?</v>
      </c>
      <c r="AL827" s="15" t="e">
        <f aca="false">_xlfn.xlookup(AK827,A:A,F:F)</f>
        <v>#NAME?</v>
      </c>
      <c r="AM827" s="15" t="e">
        <f aca="false">_xlfn.xlookup(AK827,A:A,J:J)</f>
        <v>#NAME?</v>
      </c>
      <c r="AN827" s="15" t="e">
        <f aca="false">_xlfn.xlookup(AK827,A:A,M:M)+_xlfn.xlookup(AK827,A:A,N:N)</f>
        <v>#NAME?</v>
      </c>
      <c r="AO827" s="223" t="e">
        <f aca="false">_xlfn.xlookup(AK827,A:A,AG:AG)</f>
        <v>#NAME?</v>
      </c>
      <c r="AP827" s="223" t="e">
        <f aca="false">_xlfn.xlookup(AK827,A:A,AD:AD)</f>
        <v>#NAME?</v>
      </c>
      <c r="AQ827" s="223" t="e">
        <f aca="false">_xlfn.xlookup(AK827,A:A,AE:AE)</f>
        <v>#NAME?</v>
      </c>
      <c r="BB827" s="15" t="e">
        <f aca="false">_xlfn.xlookup(BA827,A:A,E:E)</f>
        <v>#NAME?</v>
      </c>
      <c r="BC827" s="15" t="e">
        <f aca="false">_xlfn.xlookup(BA827,A:A,J:J)</f>
        <v>#NAME?</v>
      </c>
      <c r="BD827" s="75" t="e">
        <f aca="false">_xlfn.xlookup(BA827,A:A,M:M)+_xlfn.xlookup(BA827,A:A,N:N)</f>
        <v>#NAME?</v>
      </c>
    </row>
    <row r="828" customFormat="false" ht="14.25" hidden="false" customHeight="false" outlineLevel="0" collapsed="false">
      <c r="AK828" s="15" t="e">
        <v>#NAME?</v>
      </c>
      <c r="AL828" s="15" t="e">
        <f aca="false">_xlfn.xlookup(AK828,A:A,F:F)</f>
        <v>#NAME?</v>
      </c>
      <c r="AM828" s="15" t="e">
        <f aca="false">_xlfn.xlookup(AK828,A:A,J:J)</f>
        <v>#NAME?</v>
      </c>
      <c r="AN828" s="15" t="e">
        <f aca="false">_xlfn.xlookup(AK828,A:A,M:M)+_xlfn.xlookup(AK828,A:A,N:N)</f>
        <v>#NAME?</v>
      </c>
      <c r="AO828" s="223" t="e">
        <f aca="false">_xlfn.xlookup(AK828,A:A,AG:AG)</f>
        <v>#NAME?</v>
      </c>
      <c r="AP828" s="223" t="e">
        <f aca="false">_xlfn.xlookup(AK828,A:A,AD:AD)</f>
        <v>#NAME?</v>
      </c>
      <c r="AQ828" s="223" t="e">
        <f aca="false">_xlfn.xlookup(AK828,A:A,AE:AE)</f>
        <v>#NAME?</v>
      </c>
      <c r="BB828" s="15" t="e">
        <f aca="false">_xlfn.xlookup(BA828,A:A,E:E)</f>
        <v>#NAME?</v>
      </c>
      <c r="BC828" s="15" t="e">
        <f aca="false">_xlfn.xlookup(BA828,A:A,J:J)</f>
        <v>#NAME?</v>
      </c>
      <c r="BD828" s="75" t="e">
        <f aca="false">_xlfn.xlookup(BA828,A:A,M:M)+_xlfn.xlookup(BA828,A:A,N:N)</f>
        <v>#NAME?</v>
      </c>
    </row>
    <row r="829" customFormat="false" ht="14.25" hidden="false" customHeight="false" outlineLevel="0" collapsed="false">
      <c r="AK829" s="15" t="e">
        <v>#NAME?</v>
      </c>
      <c r="AL829" s="15" t="e">
        <f aca="false">_xlfn.xlookup(AK829,A:A,F:F)</f>
        <v>#NAME?</v>
      </c>
      <c r="AM829" s="15" t="e">
        <f aca="false">_xlfn.xlookup(AK829,A:A,J:J)</f>
        <v>#NAME?</v>
      </c>
      <c r="AN829" s="15" t="e">
        <f aca="false">_xlfn.xlookup(AK829,A:A,M:M)+_xlfn.xlookup(AK829,A:A,N:N)</f>
        <v>#NAME?</v>
      </c>
      <c r="AO829" s="223" t="e">
        <f aca="false">_xlfn.xlookup(AK829,A:A,AG:AG)</f>
        <v>#NAME?</v>
      </c>
      <c r="AP829" s="223" t="e">
        <f aca="false">_xlfn.xlookup(AK829,A:A,AD:AD)</f>
        <v>#NAME?</v>
      </c>
      <c r="AQ829" s="223" t="e">
        <f aca="false">_xlfn.xlookup(AK829,A:A,AE:AE)</f>
        <v>#NAME?</v>
      </c>
      <c r="BB829" s="15" t="e">
        <f aca="false">_xlfn.xlookup(BA829,A:A,E:E)</f>
        <v>#NAME?</v>
      </c>
      <c r="BC829" s="15" t="e">
        <f aca="false">_xlfn.xlookup(BA829,A:A,J:J)</f>
        <v>#NAME?</v>
      </c>
      <c r="BD829" s="75" t="e">
        <f aca="false">_xlfn.xlookup(BA829,A:A,M:M)+_xlfn.xlookup(BA829,A:A,N:N)</f>
        <v>#NAME?</v>
      </c>
    </row>
    <row r="830" customFormat="false" ht="14.25" hidden="false" customHeight="false" outlineLevel="0" collapsed="false">
      <c r="AK830" s="15" t="e">
        <v>#NAME?</v>
      </c>
      <c r="AL830" s="15" t="e">
        <f aca="false">_xlfn.xlookup(AK830,A:A,F:F)</f>
        <v>#NAME?</v>
      </c>
      <c r="AM830" s="15" t="e">
        <f aca="false">_xlfn.xlookup(AK830,A:A,J:J)</f>
        <v>#NAME?</v>
      </c>
      <c r="AN830" s="15" t="e">
        <f aca="false">_xlfn.xlookup(AK830,A:A,M:M)+_xlfn.xlookup(AK830,A:A,N:N)</f>
        <v>#NAME?</v>
      </c>
      <c r="AO830" s="223" t="e">
        <f aca="false">_xlfn.xlookup(AK830,A:A,AG:AG)</f>
        <v>#NAME?</v>
      </c>
      <c r="AP830" s="223" t="e">
        <f aca="false">_xlfn.xlookup(AK830,A:A,AD:AD)</f>
        <v>#NAME?</v>
      </c>
      <c r="AQ830" s="223" t="e">
        <f aca="false">_xlfn.xlookup(AK830,A:A,AE:AE)</f>
        <v>#NAME?</v>
      </c>
      <c r="BB830" s="15" t="e">
        <f aca="false">_xlfn.xlookup(BA830,A:A,E:E)</f>
        <v>#NAME?</v>
      </c>
      <c r="BC830" s="15" t="e">
        <f aca="false">_xlfn.xlookup(BA830,A:A,J:J)</f>
        <v>#NAME?</v>
      </c>
      <c r="BD830" s="75" t="e">
        <f aca="false">_xlfn.xlookup(BA830,A:A,M:M)+_xlfn.xlookup(BA830,A:A,N:N)</f>
        <v>#NAME?</v>
      </c>
    </row>
    <row r="831" customFormat="false" ht="14.25" hidden="false" customHeight="false" outlineLevel="0" collapsed="false">
      <c r="AK831" s="15" t="e">
        <v>#NAME?</v>
      </c>
      <c r="AL831" s="15" t="e">
        <f aca="false">_xlfn.xlookup(AK831,A:A,F:F)</f>
        <v>#NAME?</v>
      </c>
      <c r="AM831" s="15" t="e">
        <f aca="false">_xlfn.xlookup(AK831,A:A,J:J)</f>
        <v>#NAME?</v>
      </c>
      <c r="AN831" s="15" t="e">
        <f aca="false">_xlfn.xlookup(AK831,A:A,M:M)+_xlfn.xlookup(AK831,A:A,N:N)</f>
        <v>#NAME?</v>
      </c>
      <c r="AO831" s="223" t="e">
        <f aca="false">_xlfn.xlookup(AK831,A:A,AG:AG)</f>
        <v>#NAME?</v>
      </c>
      <c r="AP831" s="223" t="e">
        <f aca="false">_xlfn.xlookup(AK831,A:A,AD:AD)</f>
        <v>#NAME?</v>
      </c>
      <c r="AQ831" s="223" t="e">
        <f aca="false">_xlfn.xlookup(AK831,A:A,AE:AE)</f>
        <v>#NAME?</v>
      </c>
      <c r="BB831" s="15" t="e">
        <f aca="false">_xlfn.xlookup(BA831,A:A,E:E)</f>
        <v>#NAME?</v>
      </c>
      <c r="BC831" s="15" t="e">
        <f aca="false">_xlfn.xlookup(BA831,A:A,J:J)</f>
        <v>#NAME?</v>
      </c>
      <c r="BD831" s="75" t="e">
        <f aca="false">_xlfn.xlookup(BA831,A:A,M:M)+_xlfn.xlookup(BA831,A:A,N:N)</f>
        <v>#NAME?</v>
      </c>
    </row>
    <row r="832" customFormat="false" ht="14.25" hidden="false" customHeight="false" outlineLevel="0" collapsed="false">
      <c r="AK832" s="15" t="e">
        <v>#NAME?</v>
      </c>
      <c r="AL832" s="15" t="e">
        <f aca="false">_xlfn.xlookup(AK832,A:A,F:F)</f>
        <v>#NAME?</v>
      </c>
      <c r="AM832" s="15" t="e">
        <f aca="false">_xlfn.xlookup(AK832,A:A,J:J)</f>
        <v>#NAME?</v>
      </c>
      <c r="AN832" s="15" t="e">
        <f aca="false">_xlfn.xlookup(AK832,A:A,M:M)+_xlfn.xlookup(AK832,A:A,N:N)</f>
        <v>#NAME?</v>
      </c>
      <c r="AO832" s="223" t="e">
        <f aca="false">_xlfn.xlookup(AK832,A:A,AG:AG)</f>
        <v>#NAME?</v>
      </c>
      <c r="AP832" s="223" t="e">
        <f aca="false">_xlfn.xlookup(AK832,A:A,AD:AD)</f>
        <v>#NAME?</v>
      </c>
      <c r="AQ832" s="223" t="e">
        <f aca="false">_xlfn.xlookup(AK832,A:A,AE:AE)</f>
        <v>#NAME?</v>
      </c>
      <c r="BB832" s="15" t="e">
        <f aca="false">_xlfn.xlookup(BA832,A:A,E:E)</f>
        <v>#NAME?</v>
      </c>
      <c r="BC832" s="15" t="e">
        <f aca="false">_xlfn.xlookup(BA832,A:A,J:J)</f>
        <v>#NAME?</v>
      </c>
      <c r="BD832" s="75" t="e">
        <f aca="false">_xlfn.xlookup(BA832,A:A,M:M)+_xlfn.xlookup(BA832,A:A,N:N)</f>
        <v>#NAME?</v>
      </c>
    </row>
    <row r="833" customFormat="false" ht="14.25" hidden="false" customHeight="false" outlineLevel="0" collapsed="false">
      <c r="AK833" s="15" t="e">
        <v>#NAME?</v>
      </c>
      <c r="AL833" s="15" t="e">
        <f aca="false">_xlfn.xlookup(AK833,A:A,F:F)</f>
        <v>#NAME?</v>
      </c>
      <c r="AM833" s="15" t="e">
        <f aca="false">_xlfn.xlookup(AK833,A:A,J:J)</f>
        <v>#NAME?</v>
      </c>
      <c r="AN833" s="15" t="e">
        <f aca="false">_xlfn.xlookup(AK833,A:A,M:M)+_xlfn.xlookup(AK833,A:A,N:N)</f>
        <v>#NAME?</v>
      </c>
      <c r="AO833" s="223" t="e">
        <f aca="false">_xlfn.xlookup(AK833,A:A,AG:AG)</f>
        <v>#NAME?</v>
      </c>
      <c r="AP833" s="223" t="e">
        <f aca="false">_xlfn.xlookup(AK833,A:A,AD:AD)</f>
        <v>#NAME?</v>
      </c>
      <c r="AQ833" s="223" t="e">
        <f aca="false">_xlfn.xlookup(AK833,A:A,AE:AE)</f>
        <v>#NAME?</v>
      </c>
      <c r="BB833" s="15" t="e">
        <f aca="false">_xlfn.xlookup(BA833,A:A,E:E)</f>
        <v>#NAME?</v>
      </c>
      <c r="BC833" s="15" t="e">
        <f aca="false">_xlfn.xlookup(BA833,A:A,J:J)</f>
        <v>#NAME?</v>
      </c>
      <c r="BD833" s="75" t="e">
        <f aca="false">_xlfn.xlookup(BA833,A:A,M:M)+_xlfn.xlookup(BA833,A:A,N:N)</f>
        <v>#NAME?</v>
      </c>
    </row>
    <row r="834" customFormat="false" ht="14.25" hidden="false" customHeight="false" outlineLevel="0" collapsed="false">
      <c r="AK834" s="15" t="e">
        <v>#NAME?</v>
      </c>
      <c r="AL834" s="15" t="e">
        <f aca="false">_xlfn.xlookup(AK834,A:A,F:F)</f>
        <v>#NAME?</v>
      </c>
      <c r="AM834" s="15" t="e">
        <f aca="false">_xlfn.xlookup(AK834,A:A,J:J)</f>
        <v>#NAME?</v>
      </c>
      <c r="AN834" s="15" t="e">
        <f aca="false">_xlfn.xlookup(AK834,A:A,M:M)+_xlfn.xlookup(AK834,A:A,N:N)</f>
        <v>#NAME?</v>
      </c>
      <c r="AO834" s="223" t="e">
        <f aca="false">_xlfn.xlookup(AK834,A:A,AG:AG)</f>
        <v>#NAME?</v>
      </c>
      <c r="AP834" s="223" t="e">
        <f aca="false">_xlfn.xlookup(AK834,A:A,AD:AD)</f>
        <v>#NAME?</v>
      </c>
      <c r="AQ834" s="223" t="e">
        <f aca="false">_xlfn.xlookup(AK834,A:A,AE:AE)</f>
        <v>#NAME?</v>
      </c>
      <c r="BB834" s="15" t="e">
        <f aca="false">_xlfn.xlookup(BA834,A:A,E:E)</f>
        <v>#NAME?</v>
      </c>
      <c r="BC834" s="15" t="e">
        <f aca="false">_xlfn.xlookup(BA834,A:A,J:J)</f>
        <v>#NAME?</v>
      </c>
      <c r="BD834" s="75" t="e">
        <f aca="false">_xlfn.xlookup(BA834,A:A,M:M)+_xlfn.xlookup(BA834,A:A,N:N)</f>
        <v>#NAME?</v>
      </c>
    </row>
    <row r="835" customFormat="false" ht="14.25" hidden="false" customHeight="false" outlineLevel="0" collapsed="false">
      <c r="AK835" s="15" t="e">
        <v>#NAME?</v>
      </c>
      <c r="AL835" s="15" t="e">
        <f aca="false">_xlfn.xlookup(AK835,A:A,F:F)</f>
        <v>#NAME?</v>
      </c>
      <c r="AM835" s="15" t="e">
        <f aca="false">_xlfn.xlookup(AK835,A:A,J:J)</f>
        <v>#NAME?</v>
      </c>
      <c r="AN835" s="15" t="e">
        <f aca="false">_xlfn.xlookup(AK835,A:A,M:M)+_xlfn.xlookup(AK835,A:A,N:N)</f>
        <v>#NAME?</v>
      </c>
      <c r="AO835" s="223" t="e">
        <f aca="false">_xlfn.xlookup(AK835,A:A,AG:AG)</f>
        <v>#NAME?</v>
      </c>
      <c r="AP835" s="223" t="e">
        <f aca="false">_xlfn.xlookup(AK835,A:A,AD:AD)</f>
        <v>#NAME?</v>
      </c>
      <c r="AQ835" s="223" t="e">
        <f aca="false">_xlfn.xlookup(AK835,A:A,AE:AE)</f>
        <v>#NAME?</v>
      </c>
      <c r="BB835" s="15" t="e">
        <f aca="false">_xlfn.xlookup(BA835,A:A,E:E)</f>
        <v>#NAME?</v>
      </c>
      <c r="BC835" s="15" t="e">
        <f aca="false">_xlfn.xlookup(BA835,A:A,J:J)</f>
        <v>#NAME?</v>
      </c>
      <c r="BD835" s="75" t="e">
        <f aca="false">_xlfn.xlookup(BA835,A:A,M:M)+_xlfn.xlookup(BA835,A:A,N:N)</f>
        <v>#NAME?</v>
      </c>
    </row>
    <row r="836" customFormat="false" ht="14.25" hidden="false" customHeight="false" outlineLevel="0" collapsed="false">
      <c r="AK836" s="15" t="e">
        <v>#NAME?</v>
      </c>
      <c r="AL836" s="15" t="e">
        <f aca="false">_xlfn.xlookup(AK836,A:A,F:F)</f>
        <v>#NAME?</v>
      </c>
      <c r="AM836" s="15" t="e">
        <f aca="false">_xlfn.xlookup(AK836,A:A,J:J)</f>
        <v>#NAME?</v>
      </c>
      <c r="AN836" s="15" t="e">
        <f aca="false">_xlfn.xlookup(AK836,A:A,M:M)+_xlfn.xlookup(AK836,A:A,N:N)</f>
        <v>#NAME?</v>
      </c>
      <c r="AO836" s="223" t="e">
        <f aca="false">_xlfn.xlookup(AK836,A:A,AG:AG)</f>
        <v>#NAME?</v>
      </c>
      <c r="AP836" s="223" t="e">
        <f aca="false">_xlfn.xlookup(AK836,A:A,AD:AD)</f>
        <v>#NAME?</v>
      </c>
      <c r="AQ836" s="223" t="e">
        <f aca="false">_xlfn.xlookup(AK836,A:A,AE:AE)</f>
        <v>#NAME?</v>
      </c>
      <c r="BB836" s="15" t="e">
        <f aca="false">_xlfn.xlookup(BA836,A:A,E:E)</f>
        <v>#NAME?</v>
      </c>
      <c r="BC836" s="15" t="e">
        <f aca="false">_xlfn.xlookup(BA836,A:A,J:J)</f>
        <v>#NAME?</v>
      </c>
      <c r="BD836" s="75" t="e">
        <f aca="false">_xlfn.xlookup(BA836,A:A,M:M)+_xlfn.xlookup(BA836,A:A,N:N)</f>
        <v>#NAME?</v>
      </c>
    </row>
    <row r="837" customFormat="false" ht="14.25" hidden="false" customHeight="false" outlineLevel="0" collapsed="false">
      <c r="AK837" s="15" t="e">
        <v>#NAME?</v>
      </c>
      <c r="AL837" s="15" t="e">
        <f aca="false">_xlfn.xlookup(AK837,A:A,F:F)</f>
        <v>#NAME?</v>
      </c>
      <c r="AM837" s="15" t="e">
        <f aca="false">_xlfn.xlookup(AK837,A:A,J:J)</f>
        <v>#NAME?</v>
      </c>
      <c r="AN837" s="15" t="e">
        <f aca="false">_xlfn.xlookup(AK837,A:A,M:M)+_xlfn.xlookup(AK837,A:A,N:N)</f>
        <v>#NAME?</v>
      </c>
      <c r="AO837" s="223" t="e">
        <f aca="false">_xlfn.xlookup(AK837,A:A,AG:AG)</f>
        <v>#NAME?</v>
      </c>
      <c r="AP837" s="223" t="e">
        <f aca="false">_xlfn.xlookup(AK837,A:A,AD:AD)</f>
        <v>#NAME?</v>
      </c>
      <c r="AQ837" s="223" t="e">
        <f aca="false">_xlfn.xlookup(AK837,A:A,AE:AE)</f>
        <v>#NAME?</v>
      </c>
      <c r="BB837" s="15" t="e">
        <f aca="false">_xlfn.xlookup(BA837,A:A,E:E)</f>
        <v>#NAME?</v>
      </c>
      <c r="BC837" s="15" t="e">
        <f aca="false">_xlfn.xlookup(BA837,A:A,J:J)</f>
        <v>#NAME?</v>
      </c>
      <c r="BD837" s="75" t="e">
        <f aca="false">_xlfn.xlookup(BA837,A:A,M:M)+_xlfn.xlookup(BA837,A:A,N:N)</f>
        <v>#NAME?</v>
      </c>
    </row>
    <row r="838" customFormat="false" ht="14.25" hidden="false" customHeight="false" outlineLevel="0" collapsed="false">
      <c r="AK838" s="15" t="e">
        <v>#NAME?</v>
      </c>
      <c r="AL838" s="15" t="e">
        <f aca="false">_xlfn.xlookup(AK838,A:A,F:F)</f>
        <v>#NAME?</v>
      </c>
      <c r="AM838" s="15" t="e">
        <f aca="false">_xlfn.xlookup(AK838,A:A,J:J)</f>
        <v>#NAME?</v>
      </c>
      <c r="AN838" s="15" t="e">
        <f aca="false">_xlfn.xlookup(AK838,A:A,M:M)+_xlfn.xlookup(AK838,A:A,N:N)</f>
        <v>#NAME?</v>
      </c>
      <c r="AO838" s="223" t="e">
        <f aca="false">_xlfn.xlookup(AK838,A:A,AG:AG)</f>
        <v>#NAME?</v>
      </c>
      <c r="AP838" s="223" t="e">
        <f aca="false">_xlfn.xlookup(AK838,A:A,AD:AD)</f>
        <v>#NAME?</v>
      </c>
      <c r="AQ838" s="223" t="e">
        <f aca="false">_xlfn.xlookup(AK838,A:A,AE:AE)</f>
        <v>#NAME?</v>
      </c>
      <c r="BB838" s="15" t="e">
        <f aca="false">_xlfn.xlookup(BA838,A:A,E:E)</f>
        <v>#NAME?</v>
      </c>
      <c r="BC838" s="15" t="e">
        <f aca="false">_xlfn.xlookup(BA838,A:A,J:J)</f>
        <v>#NAME?</v>
      </c>
      <c r="BD838" s="75" t="e">
        <f aca="false">_xlfn.xlookup(BA838,A:A,M:M)+_xlfn.xlookup(BA838,A:A,N:N)</f>
        <v>#NAME?</v>
      </c>
    </row>
    <row r="839" customFormat="false" ht="14.25" hidden="false" customHeight="false" outlineLevel="0" collapsed="false">
      <c r="AK839" s="15" t="e">
        <v>#NAME?</v>
      </c>
      <c r="AL839" s="15" t="e">
        <f aca="false">_xlfn.xlookup(AK839,A:A,F:F)</f>
        <v>#NAME?</v>
      </c>
      <c r="AM839" s="15" t="e">
        <f aca="false">_xlfn.xlookup(AK839,A:A,J:J)</f>
        <v>#NAME?</v>
      </c>
      <c r="AN839" s="15" t="e">
        <f aca="false">_xlfn.xlookup(AK839,A:A,M:M)+_xlfn.xlookup(AK839,A:A,N:N)</f>
        <v>#NAME?</v>
      </c>
      <c r="AO839" s="223" t="e">
        <f aca="false">_xlfn.xlookup(AK839,A:A,AG:AG)</f>
        <v>#NAME?</v>
      </c>
      <c r="AP839" s="223" t="e">
        <f aca="false">_xlfn.xlookup(AK839,A:A,AD:AD)</f>
        <v>#NAME?</v>
      </c>
      <c r="AQ839" s="223" t="e">
        <f aca="false">_xlfn.xlookup(AK839,A:A,AE:AE)</f>
        <v>#NAME?</v>
      </c>
      <c r="BB839" s="15" t="e">
        <f aca="false">_xlfn.xlookup(BA839,A:A,E:E)</f>
        <v>#NAME?</v>
      </c>
      <c r="BC839" s="15" t="e">
        <f aca="false">_xlfn.xlookup(BA839,A:A,J:J)</f>
        <v>#NAME?</v>
      </c>
      <c r="BD839" s="75" t="e">
        <f aca="false">_xlfn.xlookup(BA839,A:A,M:M)+_xlfn.xlookup(BA839,A:A,N:N)</f>
        <v>#NAME?</v>
      </c>
    </row>
    <row r="840" customFormat="false" ht="14.25" hidden="false" customHeight="false" outlineLevel="0" collapsed="false">
      <c r="AK840" s="15" t="e">
        <v>#NAME?</v>
      </c>
      <c r="AL840" s="15" t="e">
        <f aca="false">_xlfn.xlookup(AK840,A:A,F:F)</f>
        <v>#NAME?</v>
      </c>
      <c r="AM840" s="15" t="e">
        <f aca="false">_xlfn.xlookup(AK840,A:A,J:J)</f>
        <v>#NAME?</v>
      </c>
      <c r="AN840" s="15" t="e">
        <f aca="false">_xlfn.xlookup(AK840,A:A,M:M)+_xlfn.xlookup(AK840,A:A,N:N)</f>
        <v>#NAME?</v>
      </c>
      <c r="AO840" s="223" t="e">
        <f aca="false">_xlfn.xlookup(AK840,A:A,AG:AG)</f>
        <v>#NAME?</v>
      </c>
      <c r="AP840" s="223" t="e">
        <f aca="false">_xlfn.xlookup(AK840,A:A,AD:AD)</f>
        <v>#NAME?</v>
      </c>
      <c r="AQ840" s="223" t="e">
        <f aca="false">_xlfn.xlookup(AK840,A:A,AE:AE)</f>
        <v>#NAME?</v>
      </c>
      <c r="BB840" s="15" t="e">
        <f aca="false">_xlfn.xlookup(BA840,A:A,E:E)</f>
        <v>#NAME?</v>
      </c>
      <c r="BC840" s="15" t="e">
        <f aca="false">_xlfn.xlookup(BA840,A:A,J:J)</f>
        <v>#NAME?</v>
      </c>
      <c r="BD840" s="75" t="e">
        <f aca="false">_xlfn.xlookup(BA840,A:A,M:M)+_xlfn.xlookup(BA840,A:A,N:N)</f>
        <v>#NAME?</v>
      </c>
    </row>
    <row r="841" customFormat="false" ht="14.25" hidden="false" customHeight="false" outlineLevel="0" collapsed="false">
      <c r="AK841" s="15" t="e">
        <v>#NAME?</v>
      </c>
      <c r="AL841" s="15" t="e">
        <f aca="false">_xlfn.xlookup(AK841,A:A,F:F)</f>
        <v>#NAME?</v>
      </c>
      <c r="AM841" s="15" t="e">
        <f aca="false">_xlfn.xlookup(AK841,A:A,J:J)</f>
        <v>#NAME?</v>
      </c>
      <c r="AN841" s="15" t="e">
        <f aca="false">_xlfn.xlookup(AK841,A:A,M:M)+_xlfn.xlookup(AK841,A:A,N:N)</f>
        <v>#NAME?</v>
      </c>
      <c r="AO841" s="223" t="e">
        <f aca="false">_xlfn.xlookup(AK841,A:A,AG:AG)</f>
        <v>#NAME?</v>
      </c>
      <c r="AP841" s="223" t="e">
        <f aca="false">_xlfn.xlookup(AK841,A:A,AD:AD)</f>
        <v>#NAME?</v>
      </c>
      <c r="AQ841" s="223" t="e">
        <f aca="false">_xlfn.xlookup(AK841,A:A,AE:AE)</f>
        <v>#NAME?</v>
      </c>
      <c r="BB841" s="15" t="e">
        <f aca="false">_xlfn.xlookup(BA841,A:A,E:E)</f>
        <v>#NAME?</v>
      </c>
      <c r="BC841" s="15" t="e">
        <f aca="false">_xlfn.xlookup(BA841,A:A,J:J)</f>
        <v>#NAME?</v>
      </c>
      <c r="BD841" s="75" t="e">
        <f aca="false">_xlfn.xlookup(BA841,A:A,M:M)+_xlfn.xlookup(BA841,A:A,N:N)</f>
        <v>#NAME?</v>
      </c>
    </row>
    <row r="842" customFormat="false" ht="14.25" hidden="false" customHeight="false" outlineLevel="0" collapsed="false">
      <c r="AK842" s="15" t="e">
        <v>#NAME?</v>
      </c>
      <c r="AL842" s="15" t="e">
        <f aca="false">_xlfn.xlookup(AK842,A:A,F:F)</f>
        <v>#NAME?</v>
      </c>
      <c r="AM842" s="15" t="e">
        <f aca="false">_xlfn.xlookup(AK842,A:A,J:J)</f>
        <v>#NAME?</v>
      </c>
      <c r="AN842" s="15" t="e">
        <f aca="false">_xlfn.xlookup(AK842,A:A,M:M)+_xlfn.xlookup(AK842,A:A,N:N)</f>
        <v>#NAME?</v>
      </c>
      <c r="AO842" s="223" t="e">
        <f aca="false">_xlfn.xlookup(AK842,A:A,AG:AG)</f>
        <v>#NAME?</v>
      </c>
      <c r="AP842" s="223" t="e">
        <f aca="false">_xlfn.xlookup(AK842,A:A,AD:AD)</f>
        <v>#NAME?</v>
      </c>
      <c r="AQ842" s="223" t="e">
        <f aca="false">_xlfn.xlookup(AK842,A:A,AE:AE)</f>
        <v>#NAME?</v>
      </c>
      <c r="BB842" s="15" t="e">
        <f aca="false">_xlfn.xlookup(BA842,A:A,E:E)</f>
        <v>#NAME?</v>
      </c>
      <c r="BC842" s="15" t="e">
        <f aca="false">_xlfn.xlookup(BA842,A:A,J:J)</f>
        <v>#NAME?</v>
      </c>
      <c r="BD842" s="75" t="e">
        <f aca="false">_xlfn.xlookup(BA842,A:A,M:M)+_xlfn.xlookup(BA842,A:A,N:N)</f>
        <v>#NAME?</v>
      </c>
    </row>
    <row r="843" customFormat="false" ht="14.25" hidden="false" customHeight="false" outlineLevel="0" collapsed="false">
      <c r="AK843" s="15" t="e">
        <v>#NAME?</v>
      </c>
      <c r="AL843" s="15" t="e">
        <f aca="false">_xlfn.xlookup(AK843,A:A,F:F)</f>
        <v>#NAME?</v>
      </c>
      <c r="AM843" s="15" t="e">
        <f aca="false">_xlfn.xlookup(AK843,A:A,J:J)</f>
        <v>#NAME?</v>
      </c>
      <c r="AN843" s="15" t="e">
        <f aca="false">_xlfn.xlookup(AK843,A:A,M:M)+_xlfn.xlookup(AK843,A:A,N:N)</f>
        <v>#NAME?</v>
      </c>
      <c r="AO843" s="223" t="e">
        <f aca="false">_xlfn.xlookup(AK843,A:A,AG:AG)</f>
        <v>#NAME?</v>
      </c>
      <c r="AP843" s="223" t="e">
        <f aca="false">_xlfn.xlookup(AK843,A:A,AD:AD)</f>
        <v>#NAME?</v>
      </c>
      <c r="AQ843" s="223" t="e">
        <f aca="false">_xlfn.xlookup(AK843,A:A,AE:AE)</f>
        <v>#NAME?</v>
      </c>
      <c r="BB843" s="15" t="e">
        <f aca="false">_xlfn.xlookup(BA843,A:A,E:E)</f>
        <v>#NAME?</v>
      </c>
      <c r="BC843" s="15" t="e">
        <f aca="false">_xlfn.xlookup(BA843,A:A,J:J)</f>
        <v>#NAME?</v>
      </c>
      <c r="BD843" s="75" t="e">
        <f aca="false">_xlfn.xlookup(BA843,A:A,M:M)+_xlfn.xlookup(BA843,A:A,N:N)</f>
        <v>#NAME?</v>
      </c>
    </row>
    <row r="844" customFormat="false" ht="14.25" hidden="false" customHeight="false" outlineLevel="0" collapsed="false">
      <c r="AK844" s="15" t="e">
        <v>#NAME?</v>
      </c>
      <c r="AL844" s="15" t="e">
        <f aca="false">_xlfn.xlookup(AK844,A:A,F:F)</f>
        <v>#NAME?</v>
      </c>
      <c r="AM844" s="15" t="e">
        <f aca="false">_xlfn.xlookup(AK844,A:A,J:J)</f>
        <v>#NAME?</v>
      </c>
      <c r="AN844" s="15" t="e">
        <f aca="false">_xlfn.xlookup(AK844,A:A,M:M)+_xlfn.xlookup(AK844,A:A,N:N)</f>
        <v>#NAME?</v>
      </c>
      <c r="AO844" s="223" t="e">
        <f aca="false">_xlfn.xlookup(AK844,A:A,AG:AG)</f>
        <v>#NAME?</v>
      </c>
      <c r="AP844" s="223" t="e">
        <f aca="false">_xlfn.xlookup(AK844,A:A,AD:AD)</f>
        <v>#NAME?</v>
      </c>
      <c r="AQ844" s="223" t="e">
        <f aca="false">_xlfn.xlookup(AK844,A:A,AE:AE)</f>
        <v>#NAME?</v>
      </c>
      <c r="BB844" s="15" t="e">
        <f aca="false">_xlfn.xlookup(BA844,A:A,E:E)</f>
        <v>#NAME?</v>
      </c>
      <c r="BC844" s="15" t="e">
        <f aca="false">_xlfn.xlookup(BA844,A:A,J:J)</f>
        <v>#NAME?</v>
      </c>
      <c r="BD844" s="75" t="e">
        <f aca="false">_xlfn.xlookup(BA844,A:A,M:M)+_xlfn.xlookup(BA844,A:A,N:N)</f>
        <v>#NAME?</v>
      </c>
    </row>
    <row r="845" customFormat="false" ht="14.25" hidden="false" customHeight="false" outlineLevel="0" collapsed="false">
      <c r="AK845" s="15" t="e">
        <v>#NAME?</v>
      </c>
      <c r="AL845" s="15" t="e">
        <f aca="false">_xlfn.xlookup(AK845,A:A,F:F)</f>
        <v>#NAME?</v>
      </c>
      <c r="AM845" s="15" t="e">
        <f aca="false">_xlfn.xlookup(AK845,A:A,J:J)</f>
        <v>#NAME?</v>
      </c>
      <c r="AN845" s="15" t="e">
        <f aca="false">_xlfn.xlookup(AK845,A:A,M:M)+_xlfn.xlookup(AK845,A:A,N:N)</f>
        <v>#NAME?</v>
      </c>
      <c r="AO845" s="223" t="e">
        <f aca="false">_xlfn.xlookup(AK845,A:A,AG:AG)</f>
        <v>#NAME?</v>
      </c>
      <c r="AP845" s="223" t="e">
        <f aca="false">_xlfn.xlookup(AK845,A:A,AD:AD)</f>
        <v>#NAME?</v>
      </c>
      <c r="AQ845" s="223" t="e">
        <f aca="false">_xlfn.xlookup(AK845,A:A,AE:AE)</f>
        <v>#NAME?</v>
      </c>
      <c r="BB845" s="15" t="e">
        <f aca="false">_xlfn.xlookup(BA845,A:A,E:E)</f>
        <v>#NAME?</v>
      </c>
      <c r="BC845" s="15" t="e">
        <f aca="false">_xlfn.xlookup(BA845,A:A,J:J)</f>
        <v>#NAME?</v>
      </c>
      <c r="BD845" s="75" t="e">
        <f aca="false">_xlfn.xlookup(BA845,A:A,M:M)+_xlfn.xlookup(BA845,A:A,N:N)</f>
        <v>#NAME?</v>
      </c>
    </row>
    <row r="846" customFormat="false" ht="14.25" hidden="false" customHeight="false" outlineLevel="0" collapsed="false">
      <c r="AK846" s="15" t="e">
        <v>#NAME?</v>
      </c>
      <c r="AL846" s="15" t="e">
        <f aca="false">_xlfn.xlookup(AK846,A:A,F:F)</f>
        <v>#NAME?</v>
      </c>
      <c r="AM846" s="15" t="e">
        <f aca="false">_xlfn.xlookup(AK846,A:A,J:J)</f>
        <v>#NAME?</v>
      </c>
      <c r="AN846" s="15" t="e">
        <f aca="false">_xlfn.xlookup(AK846,A:A,M:M)+_xlfn.xlookup(AK846,A:A,N:N)</f>
        <v>#NAME?</v>
      </c>
      <c r="AO846" s="223" t="e">
        <f aca="false">_xlfn.xlookup(AK846,A:A,AG:AG)</f>
        <v>#NAME?</v>
      </c>
      <c r="AP846" s="223" t="e">
        <f aca="false">_xlfn.xlookup(AK846,A:A,AD:AD)</f>
        <v>#NAME?</v>
      </c>
      <c r="AQ846" s="223" t="e">
        <f aca="false">_xlfn.xlookup(AK846,A:A,AE:AE)</f>
        <v>#NAME?</v>
      </c>
      <c r="BB846" s="15" t="e">
        <f aca="false">_xlfn.xlookup(BA846,A:A,E:E)</f>
        <v>#NAME?</v>
      </c>
      <c r="BC846" s="15" t="e">
        <f aca="false">_xlfn.xlookup(BA846,A:A,J:J)</f>
        <v>#NAME?</v>
      </c>
      <c r="BD846" s="75" t="e">
        <f aca="false">_xlfn.xlookup(BA846,A:A,M:M)+_xlfn.xlookup(BA846,A:A,N:N)</f>
        <v>#NAME?</v>
      </c>
    </row>
    <row r="847" customFormat="false" ht="14.25" hidden="false" customHeight="false" outlineLevel="0" collapsed="false">
      <c r="AK847" s="15" t="e">
        <v>#NAME?</v>
      </c>
      <c r="AL847" s="15" t="e">
        <f aca="false">_xlfn.xlookup(AK847,A:A,F:F)</f>
        <v>#NAME?</v>
      </c>
      <c r="AM847" s="15" t="e">
        <f aca="false">_xlfn.xlookup(AK847,A:A,J:J)</f>
        <v>#NAME?</v>
      </c>
      <c r="AN847" s="15" t="e">
        <f aca="false">_xlfn.xlookup(AK847,A:A,M:M)+_xlfn.xlookup(AK847,A:A,N:N)</f>
        <v>#NAME?</v>
      </c>
      <c r="AO847" s="223" t="e">
        <f aca="false">_xlfn.xlookup(AK847,A:A,AG:AG)</f>
        <v>#NAME?</v>
      </c>
      <c r="AP847" s="223" t="e">
        <f aca="false">_xlfn.xlookup(AK847,A:A,AD:AD)</f>
        <v>#NAME?</v>
      </c>
      <c r="AQ847" s="223" t="e">
        <f aca="false">_xlfn.xlookup(AK847,A:A,AE:AE)</f>
        <v>#NAME?</v>
      </c>
      <c r="BB847" s="15" t="e">
        <f aca="false">_xlfn.xlookup(BA847,A:A,E:E)</f>
        <v>#NAME?</v>
      </c>
      <c r="BC847" s="15" t="e">
        <f aca="false">_xlfn.xlookup(BA847,A:A,J:J)</f>
        <v>#NAME?</v>
      </c>
      <c r="BD847" s="75" t="e">
        <f aca="false">_xlfn.xlookup(BA847,A:A,M:M)+_xlfn.xlookup(BA847,A:A,N:N)</f>
        <v>#NAME?</v>
      </c>
    </row>
    <row r="848" customFormat="false" ht="14.25" hidden="false" customHeight="false" outlineLevel="0" collapsed="false">
      <c r="AK848" s="15" t="e">
        <v>#NAME?</v>
      </c>
      <c r="AL848" s="15" t="e">
        <f aca="false">_xlfn.xlookup(AK848,A:A,F:F)</f>
        <v>#NAME?</v>
      </c>
      <c r="AM848" s="15" t="e">
        <f aca="false">_xlfn.xlookup(AK848,A:A,J:J)</f>
        <v>#NAME?</v>
      </c>
      <c r="AN848" s="15" t="e">
        <f aca="false">_xlfn.xlookup(AK848,A:A,M:M)+_xlfn.xlookup(AK848,A:A,N:N)</f>
        <v>#NAME?</v>
      </c>
      <c r="AO848" s="223" t="e">
        <f aca="false">_xlfn.xlookup(AK848,A:A,AG:AG)</f>
        <v>#NAME?</v>
      </c>
      <c r="AP848" s="223" t="e">
        <f aca="false">_xlfn.xlookup(AK848,A:A,AD:AD)</f>
        <v>#NAME?</v>
      </c>
      <c r="AQ848" s="223" t="e">
        <f aca="false">_xlfn.xlookup(AK848,A:A,AE:AE)</f>
        <v>#NAME?</v>
      </c>
      <c r="BB848" s="15" t="e">
        <f aca="false">_xlfn.xlookup(BA848,A:A,E:E)</f>
        <v>#NAME?</v>
      </c>
      <c r="BC848" s="15" t="e">
        <f aca="false">_xlfn.xlookup(BA848,A:A,J:J)</f>
        <v>#NAME?</v>
      </c>
      <c r="BD848" s="75" t="e">
        <f aca="false">_xlfn.xlookup(BA848,A:A,M:M)+_xlfn.xlookup(BA848,A:A,N:N)</f>
        <v>#NAME?</v>
      </c>
    </row>
    <row r="849" customFormat="false" ht="14.25" hidden="false" customHeight="false" outlineLevel="0" collapsed="false">
      <c r="AK849" s="15" t="e">
        <v>#NAME?</v>
      </c>
      <c r="AL849" s="15" t="e">
        <f aca="false">_xlfn.xlookup(AK849,A:A,F:F)</f>
        <v>#NAME?</v>
      </c>
      <c r="AM849" s="15" t="e">
        <f aca="false">_xlfn.xlookup(AK849,A:A,J:J)</f>
        <v>#NAME?</v>
      </c>
      <c r="AN849" s="15" t="e">
        <f aca="false">_xlfn.xlookup(AK849,A:A,M:M)+_xlfn.xlookup(AK849,A:A,N:N)</f>
        <v>#NAME?</v>
      </c>
      <c r="AO849" s="223" t="e">
        <f aca="false">_xlfn.xlookup(AK849,A:A,AG:AG)</f>
        <v>#NAME?</v>
      </c>
      <c r="AP849" s="223" t="e">
        <f aca="false">_xlfn.xlookup(AK849,A:A,AD:AD)</f>
        <v>#NAME?</v>
      </c>
      <c r="AQ849" s="223" t="e">
        <f aca="false">_xlfn.xlookup(AK849,A:A,AE:AE)</f>
        <v>#NAME?</v>
      </c>
      <c r="BB849" s="15" t="e">
        <f aca="false">_xlfn.xlookup(BA849,A:A,E:E)</f>
        <v>#NAME?</v>
      </c>
      <c r="BC849" s="15" t="e">
        <f aca="false">_xlfn.xlookup(BA849,A:A,J:J)</f>
        <v>#NAME?</v>
      </c>
      <c r="BD849" s="75" t="e">
        <f aca="false">_xlfn.xlookup(BA849,A:A,M:M)+_xlfn.xlookup(BA849,A:A,N:N)</f>
        <v>#NAME?</v>
      </c>
    </row>
    <row r="850" customFormat="false" ht="14.25" hidden="false" customHeight="false" outlineLevel="0" collapsed="false">
      <c r="AK850" s="15" t="e">
        <v>#NAME?</v>
      </c>
      <c r="AL850" s="15" t="e">
        <f aca="false">_xlfn.xlookup(AK850,A:A,F:F)</f>
        <v>#NAME?</v>
      </c>
      <c r="AM850" s="15" t="e">
        <f aca="false">_xlfn.xlookup(AK850,A:A,J:J)</f>
        <v>#NAME?</v>
      </c>
      <c r="AN850" s="15" t="e">
        <f aca="false">_xlfn.xlookup(AK850,A:A,M:M)+_xlfn.xlookup(AK850,A:A,N:N)</f>
        <v>#NAME?</v>
      </c>
      <c r="AO850" s="223" t="e">
        <f aca="false">_xlfn.xlookup(AK850,A:A,AG:AG)</f>
        <v>#NAME?</v>
      </c>
      <c r="AP850" s="223" t="e">
        <f aca="false">_xlfn.xlookup(AK850,A:A,AD:AD)</f>
        <v>#NAME?</v>
      </c>
      <c r="AQ850" s="223" t="e">
        <f aca="false">_xlfn.xlookup(AK850,A:A,AE:AE)</f>
        <v>#NAME?</v>
      </c>
      <c r="BB850" s="15" t="e">
        <f aca="false">_xlfn.xlookup(BA850,A:A,E:E)</f>
        <v>#NAME?</v>
      </c>
      <c r="BC850" s="15" t="e">
        <f aca="false">_xlfn.xlookup(BA850,A:A,J:J)</f>
        <v>#NAME?</v>
      </c>
      <c r="BD850" s="75" t="e">
        <f aca="false">_xlfn.xlookup(BA850,A:A,M:M)+_xlfn.xlookup(BA850,A:A,N:N)</f>
        <v>#NAME?</v>
      </c>
    </row>
    <row r="851" customFormat="false" ht="14.25" hidden="false" customHeight="false" outlineLevel="0" collapsed="false">
      <c r="AK851" s="15" t="e">
        <v>#NAME?</v>
      </c>
      <c r="AL851" s="15" t="e">
        <f aca="false">_xlfn.xlookup(AK851,A:A,F:F)</f>
        <v>#NAME?</v>
      </c>
      <c r="AM851" s="15" t="e">
        <f aca="false">_xlfn.xlookup(AK851,A:A,J:J)</f>
        <v>#NAME?</v>
      </c>
      <c r="AN851" s="15" t="e">
        <f aca="false">_xlfn.xlookup(AK851,A:A,M:M)+_xlfn.xlookup(AK851,A:A,N:N)</f>
        <v>#NAME?</v>
      </c>
      <c r="AO851" s="223" t="e">
        <f aca="false">_xlfn.xlookup(AK851,A:A,AG:AG)</f>
        <v>#NAME?</v>
      </c>
      <c r="AP851" s="223" t="e">
        <f aca="false">_xlfn.xlookup(AK851,A:A,AD:AD)</f>
        <v>#NAME?</v>
      </c>
      <c r="AQ851" s="223" t="e">
        <f aca="false">_xlfn.xlookup(AK851,A:A,AE:AE)</f>
        <v>#NAME?</v>
      </c>
      <c r="BB851" s="15" t="e">
        <f aca="false">_xlfn.xlookup(BA851,A:A,E:E)</f>
        <v>#NAME?</v>
      </c>
      <c r="BC851" s="15" t="e">
        <f aca="false">_xlfn.xlookup(BA851,A:A,J:J)</f>
        <v>#NAME?</v>
      </c>
      <c r="BD851" s="75" t="e">
        <f aca="false">_xlfn.xlookup(BA851,A:A,M:M)+_xlfn.xlookup(BA851,A:A,N:N)</f>
        <v>#NAME?</v>
      </c>
    </row>
    <row r="852" customFormat="false" ht="14.25" hidden="false" customHeight="false" outlineLevel="0" collapsed="false">
      <c r="AK852" s="15" t="e">
        <v>#NAME?</v>
      </c>
      <c r="AL852" s="15" t="e">
        <f aca="false">_xlfn.xlookup(AK852,A:A,F:F)</f>
        <v>#NAME?</v>
      </c>
      <c r="AM852" s="15" t="e">
        <f aca="false">_xlfn.xlookup(AK852,A:A,J:J)</f>
        <v>#NAME?</v>
      </c>
      <c r="AN852" s="15" t="e">
        <f aca="false">_xlfn.xlookup(AK852,A:A,M:M)+_xlfn.xlookup(AK852,A:A,N:N)</f>
        <v>#NAME?</v>
      </c>
      <c r="AO852" s="223" t="e">
        <f aca="false">_xlfn.xlookup(AK852,A:A,AG:AG)</f>
        <v>#NAME?</v>
      </c>
      <c r="AP852" s="223" t="e">
        <f aca="false">_xlfn.xlookup(AK852,A:A,AD:AD)</f>
        <v>#NAME?</v>
      </c>
      <c r="AQ852" s="223" t="e">
        <f aca="false">_xlfn.xlookup(AK852,A:A,AE:AE)</f>
        <v>#NAME?</v>
      </c>
      <c r="BB852" s="15" t="e">
        <f aca="false">_xlfn.xlookup(BA852,A:A,E:E)</f>
        <v>#NAME?</v>
      </c>
      <c r="BC852" s="15" t="e">
        <f aca="false">_xlfn.xlookup(BA852,A:A,J:J)</f>
        <v>#NAME?</v>
      </c>
      <c r="BD852" s="75" t="e">
        <f aca="false">_xlfn.xlookup(BA852,A:A,M:M)+_xlfn.xlookup(BA852,A:A,N:N)</f>
        <v>#NAME?</v>
      </c>
    </row>
    <row r="853" customFormat="false" ht="14.25" hidden="false" customHeight="false" outlineLevel="0" collapsed="false">
      <c r="AK853" s="15" t="e">
        <v>#NAME?</v>
      </c>
      <c r="AL853" s="15" t="e">
        <f aca="false">_xlfn.xlookup(AK853,A:A,F:F)</f>
        <v>#NAME?</v>
      </c>
      <c r="AM853" s="15" t="e">
        <f aca="false">_xlfn.xlookup(AK853,A:A,J:J)</f>
        <v>#NAME?</v>
      </c>
      <c r="AN853" s="15" t="e">
        <f aca="false">_xlfn.xlookup(AK853,A:A,M:M)+_xlfn.xlookup(AK853,A:A,N:N)</f>
        <v>#NAME?</v>
      </c>
      <c r="AO853" s="223" t="e">
        <f aca="false">_xlfn.xlookup(AK853,A:A,AG:AG)</f>
        <v>#NAME?</v>
      </c>
      <c r="AP853" s="223" t="e">
        <f aca="false">_xlfn.xlookup(AK853,A:A,AD:AD)</f>
        <v>#NAME?</v>
      </c>
      <c r="AQ853" s="223" t="e">
        <f aca="false">_xlfn.xlookup(AK853,A:A,AE:AE)</f>
        <v>#NAME?</v>
      </c>
      <c r="BB853" s="15" t="e">
        <f aca="false">_xlfn.xlookup(BA853,A:A,E:E)</f>
        <v>#NAME?</v>
      </c>
      <c r="BC853" s="15" t="e">
        <f aca="false">_xlfn.xlookup(BA853,A:A,J:J)</f>
        <v>#NAME?</v>
      </c>
      <c r="BD853" s="75" t="e">
        <f aca="false">_xlfn.xlookup(BA853,A:A,M:M)+_xlfn.xlookup(BA853,A:A,N:N)</f>
        <v>#NAME?</v>
      </c>
    </row>
    <row r="854" customFormat="false" ht="14.25" hidden="false" customHeight="false" outlineLevel="0" collapsed="false">
      <c r="AK854" s="15" t="e">
        <v>#NAME?</v>
      </c>
      <c r="AL854" s="15" t="e">
        <f aca="false">_xlfn.xlookup(AK854,A:A,F:F)</f>
        <v>#NAME?</v>
      </c>
      <c r="AM854" s="15" t="e">
        <f aca="false">_xlfn.xlookup(AK854,A:A,J:J)</f>
        <v>#NAME?</v>
      </c>
      <c r="AN854" s="15" t="e">
        <f aca="false">_xlfn.xlookup(AK854,A:A,M:M)+_xlfn.xlookup(AK854,A:A,N:N)</f>
        <v>#NAME?</v>
      </c>
      <c r="AO854" s="223" t="e">
        <f aca="false">_xlfn.xlookup(AK854,A:A,AG:AG)</f>
        <v>#NAME?</v>
      </c>
      <c r="AP854" s="223" t="e">
        <f aca="false">_xlfn.xlookup(AK854,A:A,AD:AD)</f>
        <v>#NAME?</v>
      </c>
      <c r="AQ854" s="223" t="e">
        <f aca="false">_xlfn.xlookup(AK854,A:A,AE:AE)</f>
        <v>#NAME?</v>
      </c>
      <c r="BB854" s="15" t="e">
        <f aca="false">_xlfn.xlookup(BA854,A:A,E:E)</f>
        <v>#NAME?</v>
      </c>
      <c r="BC854" s="15" t="e">
        <f aca="false">_xlfn.xlookup(BA854,A:A,J:J)</f>
        <v>#NAME?</v>
      </c>
      <c r="BD854" s="75" t="e">
        <f aca="false">_xlfn.xlookup(BA854,A:A,M:M)+_xlfn.xlookup(BA854,A:A,N:N)</f>
        <v>#NAME?</v>
      </c>
    </row>
    <row r="855" customFormat="false" ht="14.25" hidden="false" customHeight="false" outlineLevel="0" collapsed="false">
      <c r="AK855" s="15" t="e">
        <v>#NAME?</v>
      </c>
      <c r="AL855" s="15" t="e">
        <f aca="false">_xlfn.xlookup(AK855,A:A,F:F)</f>
        <v>#NAME?</v>
      </c>
      <c r="AM855" s="15" t="e">
        <f aca="false">_xlfn.xlookup(AK855,A:A,J:J)</f>
        <v>#NAME?</v>
      </c>
      <c r="AN855" s="15" t="e">
        <f aca="false">_xlfn.xlookup(AK855,A:A,M:M)+_xlfn.xlookup(AK855,A:A,N:N)</f>
        <v>#NAME?</v>
      </c>
      <c r="AO855" s="223" t="e">
        <f aca="false">_xlfn.xlookup(AK855,A:A,AG:AG)</f>
        <v>#NAME?</v>
      </c>
      <c r="AP855" s="223" t="e">
        <f aca="false">_xlfn.xlookup(AK855,A:A,AD:AD)</f>
        <v>#NAME?</v>
      </c>
      <c r="AQ855" s="223" t="e">
        <f aca="false">_xlfn.xlookup(AK855,A:A,AE:AE)</f>
        <v>#NAME?</v>
      </c>
      <c r="BB855" s="15" t="e">
        <f aca="false">_xlfn.xlookup(BA855,A:A,E:E)</f>
        <v>#NAME?</v>
      </c>
      <c r="BC855" s="15" t="e">
        <f aca="false">_xlfn.xlookup(BA855,A:A,J:J)</f>
        <v>#NAME?</v>
      </c>
      <c r="BD855" s="75" t="e">
        <f aca="false">_xlfn.xlookup(BA855,A:A,M:M)+_xlfn.xlookup(BA855,A:A,N:N)</f>
        <v>#NAME?</v>
      </c>
    </row>
    <row r="856" customFormat="false" ht="14.25" hidden="false" customHeight="false" outlineLevel="0" collapsed="false">
      <c r="AK856" s="15" t="e">
        <v>#NAME?</v>
      </c>
      <c r="AL856" s="15" t="e">
        <f aca="false">_xlfn.xlookup(AK856,A:A,F:F)</f>
        <v>#NAME?</v>
      </c>
      <c r="AM856" s="15" t="e">
        <f aca="false">_xlfn.xlookup(AK856,A:A,J:J)</f>
        <v>#NAME?</v>
      </c>
      <c r="AN856" s="15" t="e">
        <f aca="false">_xlfn.xlookup(AK856,A:A,M:M)+_xlfn.xlookup(AK856,A:A,N:N)</f>
        <v>#NAME?</v>
      </c>
      <c r="AO856" s="223" t="e">
        <f aca="false">_xlfn.xlookup(AK856,A:A,AG:AG)</f>
        <v>#NAME?</v>
      </c>
      <c r="AP856" s="223" t="e">
        <f aca="false">_xlfn.xlookup(AK856,A:A,AD:AD)</f>
        <v>#NAME?</v>
      </c>
      <c r="AQ856" s="223" t="e">
        <f aca="false">_xlfn.xlookup(AK856,A:A,AE:AE)</f>
        <v>#NAME?</v>
      </c>
      <c r="BB856" s="15" t="e">
        <f aca="false">_xlfn.xlookup(BA856,A:A,E:E)</f>
        <v>#NAME?</v>
      </c>
      <c r="BC856" s="15" t="e">
        <f aca="false">_xlfn.xlookup(BA856,A:A,J:J)</f>
        <v>#NAME?</v>
      </c>
      <c r="BD856" s="75" t="e">
        <f aca="false">_xlfn.xlookup(BA856,A:A,M:M)+_xlfn.xlookup(BA856,A:A,N:N)</f>
        <v>#NAME?</v>
      </c>
    </row>
    <row r="857" customFormat="false" ht="14.25" hidden="false" customHeight="false" outlineLevel="0" collapsed="false">
      <c r="AK857" s="15" t="e">
        <v>#NAME?</v>
      </c>
      <c r="AL857" s="15" t="e">
        <f aca="false">_xlfn.xlookup(AK857,A:A,F:F)</f>
        <v>#NAME?</v>
      </c>
      <c r="AM857" s="15" t="e">
        <f aca="false">_xlfn.xlookup(AK857,A:A,J:J)</f>
        <v>#NAME?</v>
      </c>
      <c r="AN857" s="15" t="e">
        <f aca="false">_xlfn.xlookup(AK857,A:A,M:M)+_xlfn.xlookup(AK857,A:A,N:N)</f>
        <v>#NAME?</v>
      </c>
      <c r="AO857" s="223" t="e">
        <f aca="false">_xlfn.xlookup(AK857,A:A,AG:AG)</f>
        <v>#NAME?</v>
      </c>
      <c r="AP857" s="223" t="e">
        <f aca="false">_xlfn.xlookup(AK857,A:A,AD:AD)</f>
        <v>#NAME?</v>
      </c>
      <c r="AQ857" s="223" t="e">
        <f aca="false">_xlfn.xlookup(AK857,A:A,AE:AE)</f>
        <v>#NAME?</v>
      </c>
      <c r="BB857" s="15" t="e">
        <f aca="false">_xlfn.xlookup(BA857,A:A,E:E)</f>
        <v>#NAME?</v>
      </c>
      <c r="BC857" s="15" t="e">
        <f aca="false">_xlfn.xlookup(BA857,A:A,J:J)</f>
        <v>#NAME?</v>
      </c>
      <c r="BD857" s="75" t="e">
        <f aca="false">_xlfn.xlookup(BA857,A:A,M:M)+_xlfn.xlookup(BA857,A:A,N:N)</f>
        <v>#NAME?</v>
      </c>
    </row>
    <row r="858" customFormat="false" ht="14.25" hidden="false" customHeight="false" outlineLevel="0" collapsed="false">
      <c r="AK858" s="15" t="e">
        <v>#NAME?</v>
      </c>
      <c r="AL858" s="15" t="e">
        <f aca="false">_xlfn.xlookup(AK858,A:A,F:F)</f>
        <v>#NAME?</v>
      </c>
      <c r="AM858" s="15" t="e">
        <f aca="false">_xlfn.xlookup(AK858,A:A,J:J)</f>
        <v>#NAME?</v>
      </c>
      <c r="AN858" s="15" t="e">
        <f aca="false">_xlfn.xlookup(AK858,A:A,M:M)+_xlfn.xlookup(AK858,A:A,N:N)</f>
        <v>#NAME?</v>
      </c>
      <c r="AO858" s="223" t="e">
        <f aca="false">_xlfn.xlookup(AK858,A:A,AG:AG)</f>
        <v>#NAME?</v>
      </c>
      <c r="AP858" s="223" t="e">
        <f aca="false">_xlfn.xlookup(AK858,A:A,AD:AD)</f>
        <v>#NAME?</v>
      </c>
      <c r="AQ858" s="223" t="e">
        <f aca="false">_xlfn.xlookup(AK858,A:A,AE:AE)</f>
        <v>#NAME?</v>
      </c>
      <c r="BB858" s="15" t="e">
        <f aca="false">_xlfn.xlookup(BA858,A:A,E:E)</f>
        <v>#NAME?</v>
      </c>
      <c r="BC858" s="15" t="e">
        <f aca="false">_xlfn.xlookup(BA858,A:A,J:J)</f>
        <v>#NAME?</v>
      </c>
      <c r="BD858" s="75" t="e">
        <f aca="false">_xlfn.xlookup(BA858,A:A,M:M)+_xlfn.xlookup(BA858,A:A,N:N)</f>
        <v>#NAME?</v>
      </c>
    </row>
    <row r="859" customFormat="false" ht="14.25" hidden="false" customHeight="false" outlineLevel="0" collapsed="false">
      <c r="AK859" s="15" t="e">
        <v>#NAME?</v>
      </c>
      <c r="AL859" s="15" t="e">
        <f aca="false">_xlfn.xlookup(AK859,A:A,F:F)</f>
        <v>#NAME?</v>
      </c>
      <c r="AM859" s="15" t="e">
        <f aca="false">_xlfn.xlookup(AK859,A:A,J:J)</f>
        <v>#NAME?</v>
      </c>
      <c r="AN859" s="15" t="e">
        <f aca="false">_xlfn.xlookup(AK859,A:A,M:M)+_xlfn.xlookup(AK859,A:A,N:N)</f>
        <v>#NAME?</v>
      </c>
      <c r="AO859" s="223" t="e">
        <f aca="false">_xlfn.xlookup(AK859,A:A,AG:AG)</f>
        <v>#NAME?</v>
      </c>
      <c r="AP859" s="223" t="e">
        <f aca="false">_xlfn.xlookup(AK859,A:A,AD:AD)</f>
        <v>#NAME?</v>
      </c>
      <c r="AQ859" s="223" t="e">
        <f aca="false">_xlfn.xlookup(AK859,A:A,AE:AE)</f>
        <v>#NAME?</v>
      </c>
      <c r="BB859" s="15" t="e">
        <f aca="false">_xlfn.xlookup(BA859,A:A,E:E)</f>
        <v>#NAME?</v>
      </c>
      <c r="BC859" s="15" t="e">
        <f aca="false">_xlfn.xlookup(BA859,A:A,J:J)</f>
        <v>#NAME?</v>
      </c>
      <c r="BD859" s="75" t="e">
        <f aca="false">_xlfn.xlookup(BA859,A:A,M:M)+_xlfn.xlookup(BA859,A:A,N:N)</f>
        <v>#NAME?</v>
      </c>
    </row>
    <row r="860" customFormat="false" ht="14.25" hidden="false" customHeight="false" outlineLevel="0" collapsed="false">
      <c r="AK860" s="15" t="e">
        <v>#NAME?</v>
      </c>
      <c r="AL860" s="15" t="e">
        <f aca="false">_xlfn.xlookup(AK860,A:A,F:F)</f>
        <v>#NAME?</v>
      </c>
      <c r="AM860" s="15" t="e">
        <f aca="false">_xlfn.xlookup(AK860,A:A,J:J)</f>
        <v>#NAME?</v>
      </c>
      <c r="AN860" s="15" t="e">
        <f aca="false">_xlfn.xlookup(AK860,A:A,M:M)+_xlfn.xlookup(AK860,A:A,N:N)</f>
        <v>#NAME?</v>
      </c>
      <c r="AO860" s="223" t="e">
        <f aca="false">_xlfn.xlookup(AK860,A:A,AG:AG)</f>
        <v>#NAME?</v>
      </c>
      <c r="AP860" s="223" t="e">
        <f aca="false">_xlfn.xlookup(AK860,A:A,AD:AD)</f>
        <v>#NAME?</v>
      </c>
      <c r="AQ860" s="223" t="e">
        <f aca="false">_xlfn.xlookup(AK860,A:A,AE:AE)</f>
        <v>#NAME?</v>
      </c>
      <c r="BB860" s="15" t="e">
        <f aca="false">_xlfn.xlookup(BA860,A:A,E:E)</f>
        <v>#NAME?</v>
      </c>
      <c r="BC860" s="15" t="e">
        <f aca="false">_xlfn.xlookup(BA860,A:A,J:J)</f>
        <v>#NAME?</v>
      </c>
      <c r="BD860" s="75" t="e">
        <f aca="false">_xlfn.xlookup(BA860,A:A,M:M)+_xlfn.xlookup(BA860,A:A,N:N)</f>
        <v>#NAME?</v>
      </c>
    </row>
    <row r="861" customFormat="false" ht="14.25" hidden="false" customHeight="false" outlineLevel="0" collapsed="false">
      <c r="AK861" s="15" t="e">
        <v>#NAME?</v>
      </c>
      <c r="AL861" s="15" t="e">
        <f aca="false">_xlfn.xlookup(AK861,A:A,F:F)</f>
        <v>#NAME?</v>
      </c>
      <c r="AM861" s="15" t="e">
        <f aca="false">_xlfn.xlookup(AK861,A:A,J:J)</f>
        <v>#NAME?</v>
      </c>
      <c r="AN861" s="15" t="e">
        <f aca="false">_xlfn.xlookup(AK861,A:A,M:M)+_xlfn.xlookup(AK861,A:A,N:N)</f>
        <v>#NAME?</v>
      </c>
      <c r="AO861" s="223" t="e">
        <f aca="false">_xlfn.xlookup(AK861,A:A,AG:AG)</f>
        <v>#NAME?</v>
      </c>
      <c r="AP861" s="223" t="e">
        <f aca="false">_xlfn.xlookup(AK861,A:A,AD:AD)</f>
        <v>#NAME?</v>
      </c>
      <c r="AQ861" s="223" t="e">
        <f aca="false">_xlfn.xlookup(AK861,A:A,AE:AE)</f>
        <v>#NAME?</v>
      </c>
      <c r="BB861" s="15" t="e">
        <f aca="false">_xlfn.xlookup(BA861,A:A,E:E)</f>
        <v>#NAME?</v>
      </c>
      <c r="BC861" s="15" t="e">
        <f aca="false">_xlfn.xlookup(BA861,A:A,J:J)</f>
        <v>#NAME?</v>
      </c>
      <c r="BD861" s="75" t="e">
        <f aca="false">_xlfn.xlookup(BA861,A:A,M:M)+_xlfn.xlookup(BA861,A:A,N:N)</f>
        <v>#NAME?</v>
      </c>
    </row>
    <row r="862" customFormat="false" ht="14.25" hidden="false" customHeight="false" outlineLevel="0" collapsed="false">
      <c r="AK862" s="15" t="e">
        <v>#NAME?</v>
      </c>
      <c r="AL862" s="15" t="e">
        <f aca="false">_xlfn.xlookup(AK862,A:A,F:F)</f>
        <v>#NAME?</v>
      </c>
      <c r="AM862" s="15" t="e">
        <f aca="false">_xlfn.xlookup(AK862,A:A,J:J)</f>
        <v>#NAME?</v>
      </c>
      <c r="AN862" s="15" t="e">
        <f aca="false">_xlfn.xlookup(AK862,A:A,M:M)+_xlfn.xlookup(AK862,A:A,N:N)</f>
        <v>#NAME?</v>
      </c>
      <c r="AO862" s="223" t="e">
        <f aca="false">_xlfn.xlookup(AK862,A:A,AG:AG)</f>
        <v>#NAME?</v>
      </c>
      <c r="AP862" s="223" t="e">
        <f aca="false">_xlfn.xlookup(AK862,A:A,AD:AD)</f>
        <v>#NAME?</v>
      </c>
      <c r="AQ862" s="223" t="e">
        <f aca="false">_xlfn.xlookup(AK862,A:A,AE:AE)</f>
        <v>#NAME?</v>
      </c>
      <c r="BB862" s="15" t="e">
        <f aca="false">_xlfn.xlookup(BA862,A:A,E:E)</f>
        <v>#NAME?</v>
      </c>
      <c r="BC862" s="15" t="e">
        <f aca="false">_xlfn.xlookup(BA862,A:A,J:J)</f>
        <v>#NAME?</v>
      </c>
      <c r="BD862" s="75" t="e">
        <f aca="false">_xlfn.xlookup(BA862,A:A,M:M)+_xlfn.xlookup(BA862,A:A,N:N)</f>
        <v>#NAME?</v>
      </c>
    </row>
    <row r="863" customFormat="false" ht="14.25" hidden="false" customHeight="false" outlineLevel="0" collapsed="false">
      <c r="AK863" s="15" t="e">
        <v>#NAME?</v>
      </c>
      <c r="AL863" s="15" t="e">
        <f aca="false">_xlfn.xlookup(AK863,A:A,F:F)</f>
        <v>#NAME?</v>
      </c>
      <c r="AM863" s="15" t="e">
        <f aca="false">_xlfn.xlookup(AK863,A:A,J:J)</f>
        <v>#NAME?</v>
      </c>
      <c r="AN863" s="15" t="e">
        <f aca="false">_xlfn.xlookup(AK863,A:A,M:M)+_xlfn.xlookup(AK863,A:A,N:N)</f>
        <v>#NAME?</v>
      </c>
      <c r="AO863" s="223" t="e">
        <f aca="false">_xlfn.xlookup(AK863,A:A,AG:AG)</f>
        <v>#NAME?</v>
      </c>
      <c r="AP863" s="223" t="e">
        <f aca="false">_xlfn.xlookup(AK863,A:A,AD:AD)</f>
        <v>#NAME?</v>
      </c>
      <c r="AQ863" s="223" t="e">
        <f aca="false">_xlfn.xlookup(AK863,A:A,AE:AE)</f>
        <v>#NAME?</v>
      </c>
      <c r="BB863" s="15" t="e">
        <f aca="false">_xlfn.xlookup(BA863,A:A,E:E)</f>
        <v>#NAME?</v>
      </c>
      <c r="BC863" s="15" t="e">
        <f aca="false">_xlfn.xlookup(BA863,A:A,J:J)</f>
        <v>#NAME?</v>
      </c>
      <c r="BD863" s="75" t="e">
        <f aca="false">_xlfn.xlookup(BA863,A:A,M:M)+_xlfn.xlookup(BA863,A:A,N:N)</f>
        <v>#NAME?</v>
      </c>
    </row>
    <row r="864" customFormat="false" ht="14.25" hidden="false" customHeight="false" outlineLevel="0" collapsed="false">
      <c r="AK864" s="15" t="e">
        <v>#NAME?</v>
      </c>
      <c r="AL864" s="15" t="e">
        <f aca="false">_xlfn.xlookup(AK864,A:A,F:F)</f>
        <v>#NAME?</v>
      </c>
      <c r="AM864" s="15" t="e">
        <f aca="false">_xlfn.xlookup(AK864,A:A,J:J)</f>
        <v>#NAME?</v>
      </c>
      <c r="AN864" s="15" t="e">
        <f aca="false">_xlfn.xlookup(AK864,A:A,M:M)+_xlfn.xlookup(AK864,A:A,N:N)</f>
        <v>#NAME?</v>
      </c>
      <c r="AO864" s="223" t="e">
        <f aca="false">_xlfn.xlookup(AK864,A:A,AG:AG)</f>
        <v>#NAME?</v>
      </c>
      <c r="AP864" s="223" t="e">
        <f aca="false">_xlfn.xlookup(AK864,A:A,AD:AD)</f>
        <v>#NAME?</v>
      </c>
      <c r="AQ864" s="223" t="e">
        <f aca="false">_xlfn.xlookup(AK864,A:A,AE:AE)</f>
        <v>#NAME?</v>
      </c>
      <c r="BB864" s="15" t="e">
        <f aca="false">_xlfn.xlookup(BA864,A:A,E:E)</f>
        <v>#NAME?</v>
      </c>
      <c r="BC864" s="15" t="e">
        <f aca="false">_xlfn.xlookup(BA864,A:A,J:J)</f>
        <v>#NAME?</v>
      </c>
      <c r="BD864" s="75" t="e">
        <f aca="false">_xlfn.xlookup(BA864,A:A,M:M)+_xlfn.xlookup(BA864,A:A,N:N)</f>
        <v>#NAME?</v>
      </c>
    </row>
    <row r="865" customFormat="false" ht="14.25" hidden="false" customHeight="false" outlineLevel="0" collapsed="false">
      <c r="AK865" s="15" t="e">
        <v>#NAME?</v>
      </c>
      <c r="AL865" s="15" t="e">
        <f aca="false">_xlfn.xlookup(AK865,A:A,F:F)</f>
        <v>#NAME?</v>
      </c>
      <c r="AM865" s="15" t="e">
        <f aca="false">_xlfn.xlookup(AK865,A:A,J:J)</f>
        <v>#NAME?</v>
      </c>
      <c r="AN865" s="15" t="e">
        <f aca="false">_xlfn.xlookup(AK865,A:A,M:M)+_xlfn.xlookup(AK865,A:A,N:N)</f>
        <v>#NAME?</v>
      </c>
      <c r="AO865" s="223" t="e">
        <f aca="false">_xlfn.xlookup(AK865,A:A,AG:AG)</f>
        <v>#NAME?</v>
      </c>
      <c r="AP865" s="223" t="e">
        <f aca="false">_xlfn.xlookup(AK865,A:A,AD:AD)</f>
        <v>#NAME?</v>
      </c>
      <c r="AQ865" s="223" t="e">
        <f aca="false">_xlfn.xlookup(AK865,A:A,AE:AE)</f>
        <v>#NAME?</v>
      </c>
      <c r="BB865" s="15" t="e">
        <f aca="false">_xlfn.xlookup(BA865,A:A,E:E)</f>
        <v>#NAME?</v>
      </c>
      <c r="BC865" s="15" t="e">
        <f aca="false">_xlfn.xlookup(BA865,A:A,J:J)</f>
        <v>#NAME?</v>
      </c>
      <c r="BD865" s="75" t="e">
        <f aca="false">_xlfn.xlookup(BA865,A:A,M:M)+_xlfn.xlookup(BA865,A:A,N:N)</f>
        <v>#NAME?</v>
      </c>
    </row>
    <row r="866" customFormat="false" ht="14.25" hidden="false" customHeight="false" outlineLevel="0" collapsed="false">
      <c r="AK866" s="15" t="e">
        <v>#NAME?</v>
      </c>
      <c r="AL866" s="15" t="e">
        <f aca="false">_xlfn.xlookup(AK866,A:A,F:F)</f>
        <v>#NAME?</v>
      </c>
      <c r="AM866" s="15" t="e">
        <f aca="false">_xlfn.xlookup(AK866,A:A,J:J)</f>
        <v>#NAME?</v>
      </c>
      <c r="AN866" s="15" t="e">
        <f aca="false">_xlfn.xlookup(AK866,A:A,M:M)+_xlfn.xlookup(AK866,A:A,N:N)</f>
        <v>#NAME?</v>
      </c>
      <c r="AO866" s="223" t="e">
        <f aca="false">_xlfn.xlookup(AK866,A:A,AG:AG)</f>
        <v>#NAME?</v>
      </c>
      <c r="AP866" s="223" t="e">
        <f aca="false">_xlfn.xlookup(AK866,A:A,AD:AD)</f>
        <v>#NAME?</v>
      </c>
      <c r="AQ866" s="223" t="e">
        <f aca="false">_xlfn.xlookup(AK866,A:A,AE:AE)</f>
        <v>#NAME?</v>
      </c>
      <c r="BB866" s="15" t="e">
        <f aca="false">_xlfn.xlookup(BA866,A:A,E:E)</f>
        <v>#NAME?</v>
      </c>
      <c r="BC866" s="15" t="e">
        <f aca="false">_xlfn.xlookup(BA866,A:A,J:J)</f>
        <v>#NAME?</v>
      </c>
      <c r="BD866" s="75" t="e">
        <f aca="false">_xlfn.xlookup(BA866,A:A,M:M)+_xlfn.xlookup(BA866,A:A,N:N)</f>
        <v>#NAME?</v>
      </c>
    </row>
    <row r="867" customFormat="false" ht="14.25" hidden="false" customHeight="false" outlineLevel="0" collapsed="false">
      <c r="AK867" s="15" t="e">
        <v>#NAME?</v>
      </c>
      <c r="AL867" s="15" t="e">
        <f aca="false">_xlfn.xlookup(AK867,A:A,F:F)</f>
        <v>#NAME?</v>
      </c>
      <c r="AM867" s="15" t="e">
        <f aca="false">_xlfn.xlookup(AK867,A:A,J:J)</f>
        <v>#NAME?</v>
      </c>
      <c r="AN867" s="15" t="e">
        <f aca="false">_xlfn.xlookup(AK867,A:A,M:M)+_xlfn.xlookup(AK867,A:A,N:N)</f>
        <v>#NAME?</v>
      </c>
      <c r="AO867" s="223" t="e">
        <f aca="false">_xlfn.xlookup(AK867,A:A,AG:AG)</f>
        <v>#NAME?</v>
      </c>
      <c r="AP867" s="223" t="e">
        <f aca="false">_xlfn.xlookup(AK867,A:A,AD:AD)</f>
        <v>#NAME?</v>
      </c>
      <c r="AQ867" s="223" t="e">
        <f aca="false">_xlfn.xlookup(AK867,A:A,AE:AE)</f>
        <v>#NAME?</v>
      </c>
      <c r="BB867" s="15" t="e">
        <f aca="false">_xlfn.xlookup(BA867,A:A,E:E)</f>
        <v>#NAME?</v>
      </c>
      <c r="BC867" s="15" t="e">
        <f aca="false">_xlfn.xlookup(BA867,A:A,J:J)</f>
        <v>#NAME?</v>
      </c>
      <c r="BD867" s="75" t="e">
        <f aca="false">_xlfn.xlookup(BA867,A:A,M:M)+_xlfn.xlookup(BA867,A:A,N:N)</f>
        <v>#NAME?</v>
      </c>
    </row>
    <row r="868" customFormat="false" ht="14.25" hidden="false" customHeight="false" outlineLevel="0" collapsed="false">
      <c r="AK868" s="15" t="e">
        <v>#NAME?</v>
      </c>
      <c r="AL868" s="15" t="e">
        <f aca="false">_xlfn.xlookup(AK868,A:A,F:F)</f>
        <v>#NAME?</v>
      </c>
      <c r="AM868" s="15" t="e">
        <f aca="false">_xlfn.xlookup(AK868,A:A,J:J)</f>
        <v>#NAME?</v>
      </c>
      <c r="AN868" s="15" t="e">
        <f aca="false">_xlfn.xlookup(AK868,A:A,M:M)+_xlfn.xlookup(AK868,A:A,N:N)</f>
        <v>#NAME?</v>
      </c>
      <c r="AO868" s="223" t="e">
        <f aca="false">_xlfn.xlookup(AK868,A:A,AG:AG)</f>
        <v>#NAME?</v>
      </c>
      <c r="AP868" s="223" t="e">
        <f aca="false">_xlfn.xlookup(AK868,A:A,AD:AD)</f>
        <v>#NAME?</v>
      </c>
      <c r="AQ868" s="223" t="e">
        <f aca="false">_xlfn.xlookup(AK868,A:A,AE:AE)</f>
        <v>#NAME?</v>
      </c>
      <c r="BB868" s="15" t="e">
        <f aca="false">_xlfn.xlookup(BA868,A:A,E:E)</f>
        <v>#NAME?</v>
      </c>
      <c r="BC868" s="15" t="e">
        <f aca="false">_xlfn.xlookup(BA868,A:A,J:J)</f>
        <v>#NAME?</v>
      </c>
      <c r="BD868" s="75" t="e">
        <f aca="false">_xlfn.xlookup(BA868,A:A,M:M)+_xlfn.xlookup(BA868,A:A,N:N)</f>
        <v>#NAME?</v>
      </c>
    </row>
    <row r="869" customFormat="false" ht="14.25" hidden="false" customHeight="false" outlineLevel="0" collapsed="false">
      <c r="AK869" s="15" t="e">
        <v>#NAME?</v>
      </c>
      <c r="AL869" s="15" t="e">
        <f aca="false">_xlfn.xlookup(AK869,A:A,F:F)</f>
        <v>#NAME?</v>
      </c>
      <c r="AM869" s="15" t="e">
        <f aca="false">_xlfn.xlookup(AK869,A:A,J:J)</f>
        <v>#NAME?</v>
      </c>
      <c r="AN869" s="15" t="e">
        <f aca="false">_xlfn.xlookup(AK869,A:A,M:M)+_xlfn.xlookup(AK869,A:A,N:N)</f>
        <v>#NAME?</v>
      </c>
      <c r="AO869" s="223" t="e">
        <f aca="false">_xlfn.xlookup(AK869,A:A,AG:AG)</f>
        <v>#NAME?</v>
      </c>
      <c r="AP869" s="223" t="e">
        <f aca="false">_xlfn.xlookup(AK869,A:A,AD:AD)</f>
        <v>#NAME?</v>
      </c>
      <c r="AQ869" s="223" t="e">
        <f aca="false">_xlfn.xlookup(AK869,A:A,AE:AE)</f>
        <v>#NAME?</v>
      </c>
      <c r="BB869" s="15" t="e">
        <f aca="false">_xlfn.xlookup(BA869,A:A,E:E)</f>
        <v>#NAME?</v>
      </c>
      <c r="BC869" s="15" t="e">
        <f aca="false">_xlfn.xlookup(BA869,A:A,J:J)</f>
        <v>#NAME?</v>
      </c>
      <c r="BD869" s="75" t="e">
        <f aca="false">_xlfn.xlookup(BA869,A:A,M:M)+_xlfn.xlookup(BA869,A:A,N:N)</f>
        <v>#NAME?</v>
      </c>
    </row>
    <row r="870" customFormat="false" ht="14.25" hidden="false" customHeight="false" outlineLevel="0" collapsed="false">
      <c r="AK870" s="15" t="e">
        <v>#NAME?</v>
      </c>
      <c r="AL870" s="15" t="e">
        <f aca="false">_xlfn.xlookup(AK870,A:A,F:F)</f>
        <v>#NAME?</v>
      </c>
      <c r="AM870" s="15" t="e">
        <f aca="false">_xlfn.xlookup(AK870,A:A,J:J)</f>
        <v>#NAME?</v>
      </c>
      <c r="AN870" s="15" t="e">
        <f aca="false">_xlfn.xlookup(AK870,A:A,M:M)+_xlfn.xlookup(AK870,A:A,N:N)</f>
        <v>#NAME?</v>
      </c>
      <c r="AO870" s="223" t="e">
        <f aca="false">_xlfn.xlookup(AK870,A:A,AG:AG)</f>
        <v>#NAME?</v>
      </c>
      <c r="AP870" s="223" t="e">
        <f aca="false">_xlfn.xlookup(AK870,A:A,AD:AD)</f>
        <v>#NAME?</v>
      </c>
      <c r="AQ870" s="223" t="e">
        <f aca="false">_xlfn.xlookup(AK870,A:A,AE:AE)</f>
        <v>#NAME?</v>
      </c>
      <c r="BB870" s="15" t="e">
        <f aca="false">_xlfn.xlookup(BA870,A:A,E:E)</f>
        <v>#NAME?</v>
      </c>
      <c r="BC870" s="15" t="e">
        <f aca="false">_xlfn.xlookup(BA870,A:A,J:J)</f>
        <v>#NAME?</v>
      </c>
      <c r="BD870" s="75" t="e">
        <f aca="false">_xlfn.xlookup(BA870,A:A,M:M)+_xlfn.xlookup(BA870,A:A,N:N)</f>
        <v>#NAME?</v>
      </c>
    </row>
    <row r="871" customFormat="false" ht="14.25" hidden="false" customHeight="false" outlineLevel="0" collapsed="false">
      <c r="AK871" s="15" t="e">
        <v>#NAME?</v>
      </c>
      <c r="AL871" s="15" t="e">
        <f aca="false">_xlfn.xlookup(AK871,A:A,F:F)</f>
        <v>#NAME?</v>
      </c>
      <c r="AM871" s="15" t="e">
        <f aca="false">_xlfn.xlookup(AK871,A:A,J:J)</f>
        <v>#NAME?</v>
      </c>
      <c r="AN871" s="15" t="e">
        <f aca="false">_xlfn.xlookup(AK871,A:A,M:M)+_xlfn.xlookup(AK871,A:A,N:N)</f>
        <v>#NAME?</v>
      </c>
      <c r="AO871" s="223" t="e">
        <f aca="false">_xlfn.xlookup(AK871,A:A,AG:AG)</f>
        <v>#NAME?</v>
      </c>
      <c r="AP871" s="223" t="e">
        <f aca="false">_xlfn.xlookup(AK871,A:A,AD:AD)</f>
        <v>#NAME?</v>
      </c>
      <c r="AQ871" s="223" t="e">
        <f aca="false">_xlfn.xlookup(AK871,A:A,AE:AE)</f>
        <v>#NAME?</v>
      </c>
      <c r="BB871" s="15" t="e">
        <f aca="false">_xlfn.xlookup(BA871,A:A,E:E)</f>
        <v>#NAME?</v>
      </c>
      <c r="BC871" s="15" t="e">
        <f aca="false">_xlfn.xlookup(BA871,A:A,J:J)</f>
        <v>#NAME?</v>
      </c>
      <c r="BD871" s="75" t="e">
        <f aca="false">_xlfn.xlookup(BA871,A:A,M:M)+_xlfn.xlookup(BA871,A:A,N:N)</f>
        <v>#NAME?</v>
      </c>
    </row>
    <row r="872" customFormat="false" ht="14.25" hidden="false" customHeight="false" outlineLevel="0" collapsed="false">
      <c r="AK872" s="15" t="e">
        <v>#NAME?</v>
      </c>
      <c r="AL872" s="15" t="e">
        <f aca="false">_xlfn.xlookup(AK872,A:A,F:F)</f>
        <v>#NAME?</v>
      </c>
      <c r="AM872" s="15" t="e">
        <f aca="false">_xlfn.xlookup(AK872,A:A,J:J)</f>
        <v>#NAME?</v>
      </c>
      <c r="AN872" s="15" t="e">
        <f aca="false">_xlfn.xlookup(AK872,A:A,M:M)+_xlfn.xlookup(AK872,A:A,N:N)</f>
        <v>#NAME?</v>
      </c>
      <c r="AO872" s="223" t="e">
        <f aca="false">_xlfn.xlookup(AK872,A:A,AG:AG)</f>
        <v>#NAME?</v>
      </c>
      <c r="AP872" s="223" t="e">
        <f aca="false">_xlfn.xlookup(AK872,A:A,AD:AD)</f>
        <v>#NAME?</v>
      </c>
      <c r="AQ872" s="223" t="e">
        <f aca="false">_xlfn.xlookup(AK872,A:A,AE:AE)</f>
        <v>#NAME?</v>
      </c>
      <c r="BB872" s="15" t="e">
        <f aca="false">_xlfn.xlookup(BA872,A:A,E:E)</f>
        <v>#NAME?</v>
      </c>
      <c r="BC872" s="15" t="e">
        <f aca="false">_xlfn.xlookup(BA872,A:A,J:J)</f>
        <v>#NAME?</v>
      </c>
      <c r="BD872" s="75" t="e">
        <f aca="false">_xlfn.xlookup(BA872,A:A,M:M)+_xlfn.xlookup(BA872,A:A,N:N)</f>
        <v>#NAME?</v>
      </c>
    </row>
    <row r="873" customFormat="false" ht="14.25" hidden="false" customHeight="false" outlineLevel="0" collapsed="false">
      <c r="AK873" s="15" t="e">
        <v>#NAME?</v>
      </c>
      <c r="AL873" s="15" t="e">
        <f aca="false">_xlfn.xlookup(AK873,A:A,F:F)</f>
        <v>#NAME?</v>
      </c>
      <c r="AM873" s="15" t="e">
        <f aca="false">_xlfn.xlookup(AK873,A:A,J:J)</f>
        <v>#NAME?</v>
      </c>
      <c r="AN873" s="15" t="e">
        <f aca="false">_xlfn.xlookup(AK873,A:A,M:M)+_xlfn.xlookup(AK873,A:A,N:N)</f>
        <v>#NAME?</v>
      </c>
      <c r="AO873" s="223" t="e">
        <f aca="false">_xlfn.xlookup(AK873,A:A,AG:AG)</f>
        <v>#NAME?</v>
      </c>
      <c r="AP873" s="223" t="e">
        <f aca="false">_xlfn.xlookup(AK873,A:A,AD:AD)</f>
        <v>#NAME?</v>
      </c>
      <c r="AQ873" s="223" t="e">
        <f aca="false">_xlfn.xlookup(AK873,A:A,AE:AE)</f>
        <v>#NAME?</v>
      </c>
      <c r="BB873" s="15" t="e">
        <f aca="false">_xlfn.xlookup(BA873,A:A,E:E)</f>
        <v>#NAME?</v>
      </c>
      <c r="BC873" s="15" t="e">
        <f aca="false">_xlfn.xlookup(BA873,A:A,J:J)</f>
        <v>#NAME?</v>
      </c>
      <c r="BD873" s="75" t="e">
        <f aca="false">_xlfn.xlookup(BA873,A:A,M:M)+_xlfn.xlookup(BA873,A:A,N:N)</f>
        <v>#NAME?</v>
      </c>
    </row>
    <row r="874" customFormat="false" ht="14.25" hidden="false" customHeight="false" outlineLevel="0" collapsed="false">
      <c r="AK874" s="15" t="e">
        <v>#NAME?</v>
      </c>
      <c r="AL874" s="15" t="e">
        <f aca="false">_xlfn.xlookup(AK874,A:A,F:F)</f>
        <v>#NAME?</v>
      </c>
      <c r="AM874" s="15" t="e">
        <f aca="false">_xlfn.xlookup(AK874,A:A,J:J)</f>
        <v>#NAME?</v>
      </c>
      <c r="AN874" s="15" t="e">
        <f aca="false">_xlfn.xlookup(AK874,A:A,M:M)+_xlfn.xlookup(AK874,A:A,N:N)</f>
        <v>#NAME?</v>
      </c>
      <c r="AO874" s="223" t="e">
        <f aca="false">_xlfn.xlookup(AK874,A:A,AG:AG)</f>
        <v>#NAME?</v>
      </c>
      <c r="AP874" s="223" t="e">
        <f aca="false">_xlfn.xlookup(AK874,A:A,AD:AD)</f>
        <v>#NAME?</v>
      </c>
      <c r="AQ874" s="223" t="e">
        <f aca="false">_xlfn.xlookup(AK874,A:A,AE:AE)</f>
        <v>#NAME?</v>
      </c>
      <c r="BB874" s="15" t="e">
        <f aca="false">_xlfn.xlookup(BA874,A:A,E:E)</f>
        <v>#NAME?</v>
      </c>
      <c r="BC874" s="15" t="e">
        <f aca="false">_xlfn.xlookup(BA874,A:A,J:J)</f>
        <v>#NAME?</v>
      </c>
      <c r="BD874" s="75" t="e">
        <f aca="false">_xlfn.xlookup(BA874,A:A,M:M)+_xlfn.xlookup(BA874,A:A,N:N)</f>
        <v>#NAME?</v>
      </c>
    </row>
    <row r="875" customFormat="false" ht="14.25" hidden="false" customHeight="false" outlineLevel="0" collapsed="false">
      <c r="AK875" s="15" t="e">
        <v>#NAME?</v>
      </c>
      <c r="AL875" s="15" t="e">
        <f aca="false">_xlfn.xlookup(AK875,A:A,F:F)</f>
        <v>#NAME?</v>
      </c>
      <c r="AM875" s="15" t="e">
        <f aca="false">_xlfn.xlookup(AK875,A:A,J:J)</f>
        <v>#NAME?</v>
      </c>
      <c r="AN875" s="15" t="e">
        <f aca="false">_xlfn.xlookup(AK875,A:A,M:M)+_xlfn.xlookup(AK875,A:A,N:N)</f>
        <v>#NAME?</v>
      </c>
      <c r="AO875" s="223" t="e">
        <f aca="false">_xlfn.xlookup(AK875,A:A,AG:AG)</f>
        <v>#NAME?</v>
      </c>
      <c r="AP875" s="223" t="e">
        <f aca="false">_xlfn.xlookup(AK875,A:A,AD:AD)</f>
        <v>#NAME?</v>
      </c>
      <c r="AQ875" s="223" t="e">
        <f aca="false">_xlfn.xlookup(AK875,A:A,AE:AE)</f>
        <v>#NAME?</v>
      </c>
      <c r="BB875" s="15" t="e">
        <f aca="false">_xlfn.xlookup(BA875,A:A,E:E)</f>
        <v>#NAME?</v>
      </c>
      <c r="BC875" s="15" t="e">
        <f aca="false">_xlfn.xlookup(BA875,A:A,J:J)</f>
        <v>#NAME?</v>
      </c>
      <c r="BD875" s="75" t="e">
        <f aca="false">_xlfn.xlookup(BA875,A:A,M:M)+_xlfn.xlookup(BA875,A:A,N:N)</f>
        <v>#NAME?</v>
      </c>
    </row>
    <row r="876" customFormat="false" ht="14.25" hidden="false" customHeight="false" outlineLevel="0" collapsed="false">
      <c r="AK876" s="15" t="e">
        <v>#NAME?</v>
      </c>
      <c r="AL876" s="15" t="e">
        <f aca="false">_xlfn.xlookup(AK876,A:A,F:F)</f>
        <v>#NAME?</v>
      </c>
      <c r="AM876" s="15" t="e">
        <f aca="false">_xlfn.xlookup(AK876,A:A,J:J)</f>
        <v>#NAME?</v>
      </c>
      <c r="AN876" s="15" t="e">
        <f aca="false">_xlfn.xlookup(AK876,A:A,M:M)+_xlfn.xlookup(AK876,A:A,N:N)</f>
        <v>#NAME?</v>
      </c>
      <c r="AO876" s="223" t="e">
        <f aca="false">_xlfn.xlookup(AK876,A:A,AG:AG)</f>
        <v>#NAME?</v>
      </c>
      <c r="AP876" s="223" t="e">
        <f aca="false">_xlfn.xlookup(AK876,A:A,AD:AD)</f>
        <v>#NAME?</v>
      </c>
      <c r="AQ876" s="223" t="e">
        <f aca="false">_xlfn.xlookup(AK876,A:A,AE:AE)</f>
        <v>#NAME?</v>
      </c>
      <c r="BB876" s="15" t="e">
        <f aca="false">_xlfn.xlookup(BA876,A:A,E:E)</f>
        <v>#NAME?</v>
      </c>
      <c r="BC876" s="15" t="e">
        <f aca="false">_xlfn.xlookup(BA876,A:A,J:J)</f>
        <v>#NAME?</v>
      </c>
      <c r="BD876" s="75" t="e">
        <f aca="false">_xlfn.xlookup(BA876,A:A,M:M)+_xlfn.xlookup(BA876,A:A,N:N)</f>
        <v>#NAME?</v>
      </c>
    </row>
    <row r="877" customFormat="false" ht="14.25" hidden="false" customHeight="false" outlineLevel="0" collapsed="false">
      <c r="AK877" s="15" t="e">
        <v>#NAME?</v>
      </c>
      <c r="AL877" s="15" t="e">
        <f aca="false">_xlfn.xlookup(AK877,A:A,F:F)</f>
        <v>#NAME?</v>
      </c>
      <c r="AM877" s="15" t="e">
        <f aca="false">_xlfn.xlookup(AK877,A:A,J:J)</f>
        <v>#NAME?</v>
      </c>
      <c r="AN877" s="15" t="e">
        <f aca="false">_xlfn.xlookup(AK877,A:A,M:M)+_xlfn.xlookup(AK877,A:A,N:N)</f>
        <v>#NAME?</v>
      </c>
      <c r="AO877" s="223" t="e">
        <f aca="false">_xlfn.xlookup(AK877,A:A,AG:AG)</f>
        <v>#NAME?</v>
      </c>
      <c r="AP877" s="223" t="e">
        <f aca="false">_xlfn.xlookup(AK877,A:A,AD:AD)</f>
        <v>#NAME?</v>
      </c>
      <c r="AQ877" s="223" t="e">
        <f aca="false">_xlfn.xlookup(AK877,A:A,AE:AE)</f>
        <v>#NAME?</v>
      </c>
      <c r="BB877" s="15" t="e">
        <f aca="false">_xlfn.xlookup(BA877,A:A,E:E)</f>
        <v>#NAME?</v>
      </c>
      <c r="BC877" s="15" t="e">
        <f aca="false">_xlfn.xlookup(BA877,A:A,J:J)</f>
        <v>#NAME?</v>
      </c>
      <c r="BD877" s="75" t="e">
        <f aca="false">_xlfn.xlookup(BA877,A:A,M:M)+_xlfn.xlookup(BA877,A:A,N:N)</f>
        <v>#NAME?</v>
      </c>
    </row>
    <row r="878" customFormat="false" ht="14.25" hidden="false" customHeight="false" outlineLevel="0" collapsed="false">
      <c r="AK878" s="15" t="e">
        <v>#NAME?</v>
      </c>
      <c r="AL878" s="15" t="e">
        <f aca="false">_xlfn.xlookup(AK878,A:A,F:F)</f>
        <v>#NAME?</v>
      </c>
      <c r="AM878" s="15" t="e">
        <f aca="false">_xlfn.xlookup(AK878,A:A,J:J)</f>
        <v>#NAME?</v>
      </c>
      <c r="AN878" s="15" t="e">
        <f aca="false">_xlfn.xlookup(AK878,A:A,M:M)+_xlfn.xlookup(AK878,A:A,N:N)</f>
        <v>#NAME?</v>
      </c>
      <c r="AO878" s="223" t="e">
        <f aca="false">_xlfn.xlookup(AK878,A:A,AG:AG)</f>
        <v>#NAME?</v>
      </c>
      <c r="AP878" s="223" t="e">
        <f aca="false">_xlfn.xlookup(AK878,A:A,AD:AD)</f>
        <v>#NAME?</v>
      </c>
      <c r="AQ878" s="223" t="e">
        <f aca="false">_xlfn.xlookup(AK878,A:A,AE:AE)</f>
        <v>#NAME?</v>
      </c>
      <c r="BB878" s="15" t="e">
        <f aca="false">_xlfn.xlookup(BA878,A:A,E:E)</f>
        <v>#NAME?</v>
      </c>
      <c r="BC878" s="15" t="e">
        <f aca="false">_xlfn.xlookup(BA878,A:A,J:J)</f>
        <v>#NAME?</v>
      </c>
      <c r="BD878" s="75" t="e">
        <f aca="false">_xlfn.xlookup(BA878,A:A,M:M)+_xlfn.xlookup(BA878,A:A,N:N)</f>
        <v>#NAME?</v>
      </c>
    </row>
    <row r="879" customFormat="false" ht="14.25" hidden="false" customHeight="false" outlineLevel="0" collapsed="false">
      <c r="AK879" s="15" t="e">
        <v>#NAME?</v>
      </c>
      <c r="AL879" s="15" t="e">
        <f aca="false">_xlfn.xlookup(AK879,A:A,F:F)</f>
        <v>#NAME?</v>
      </c>
      <c r="AM879" s="15" t="e">
        <f aca="false">_xlfn.xlookup(AK879,A:A,J:J)</f>
        <v>#NAME?</v>
      </c>
      <c r="AN879" s="15" t="e">
        <f aca="false">_xlfn.xlookup(AK879,A:A,M:M)+_xlfn.xlookup(AK879,A:A,N:N)</f>
        <v>#NAME?</v>
      </c>
      <c r="AO879" s="223" t="e">
        <f aca="false">_xlfn.xlookup(AK879,A:A,AG:AG)</f>
        <v>#NAME?</v>
      </c>
      <c r="AP879" s="223" t="e">
        <f aca="false">_xlfn.xlookup(AK879,A:A,AD:AD)</f>
        <v>#NAME?</v>
      </c>
      <c r="AQ879" s="223" t="e">
        <f aca="false">_xlfn.xlookup(AK879,A:A,AE:AE)</f>
        <v>#NAME?</v>
      </c>
      <c r="BB879" s="15" t="e">
        <f aca="false">_xlfn.xlookup(BA879,A:A,E:E)</f>
        <v>#NAME?</v>
      </c>
      <c r="BC879" s="15" t="e">
        <f aca="false">_xlfn.xlookup(BA879,A:A,J:J)</f>
        <v>#NAME?</v>
      </c>
      <c r="BD879" s="75" t="e">
        <f aca="false">_xlfn.xlookup(BA879,A:A,M:M)+_xlfn.xlookup(BA879,A:A,N:N)</f>
        <v>#NAME?</v>
      </c>
    </row>
    <row r="880" customFormat="false" ht="14.25" hidden="false" customHeight="false" outlineLevel="0" collapsed="false">
      <c r="AK880" s="15" t="e">
        <v>#NAME?</v>
      </c>
      <c r="AL880" s="15" t="e">
        <f aca="false">_xlfn.xlookup(AK880,A:A,F:F)</f>
        <v>#NAME?</v>
      </c>
      <c r="AM880" s="15" t="e">
        <f aca="false">_xlfn.xlookup(AK880,A:A,J:J)</f>
        <v>#NAME?</v>
      </c>
      <c r="AN880" s="15" t="e">
        <f aca="false">_xlfn.xlookup(AK880,A:A,M:M)+_xlfn.xlookup(AK880,A:A,N:N)</f>
        <v>#NAME?</v>
      </c>
      <c r="AO880" s="223" t="e">
        <f aca="false">_xlfn.xlookup(AK880,A:A,AG:AG)</f>
        <v>#NAME?</v>
      </c>
      <c r="AP880" s="223" t="e">
        <f aca="false">_xlfn.xlookup(AK880,A:A,AD:AD)</f>
        <v>#NAME?</v>
      </c>
      <c r="AQ880" s="223" t="e">
        <f aca="false">_xlfn.xlookup(AK880,A:A,AE:AE)</f>
        <v>#NAME?</v>
      </c>
      <c r="BB880" s="15" t="e">
        <f aca="false">_xlfn.xlookup(BA880,A:A,E:E)</f>
        <v>#NAME?</v>
      </c>
      <c r="BC880" s="15" t="e">
        <f aca="false">_xlfn.xlookup(BA880,A:A,J:J)</f>
        <v>#NAME?</v>
      </c>
      <c r="BD880" s="75" t="e">
        <f aca="false">_xlfn.xlookup(BA880,A:A,M:M)+_xlfn.xlookup(BA880,A:A,N:N)</f>
        <v>#NAME?</v>
      </c>
    </row>
    <row r="881" customFormat="false" ht="14.25" hidden="false" customHeight="false" outlineLevel="0" collapsed="false">
      <c r="AK881" s="15" t="e">
        <v>#NAME?</v>
      </c>
      <c r="AL881" s="15" t="e">
        <f aca="false">_xlfn.xlookup(AK881,A:A,F:F)</f>
        <v>#NAME?</v>
      </c>
      <c r="AM881" s="15" t="e">
        <f aca="false">_xlfn.xlookup(AK881,A:A,J:J)</f>
        <v>#NAME?</v>
      </c>
      <c r="AN881" s="15" t="e">
        <f aca="false">_xlfn.xlookup(AK881,A:A,M:M)+_xlfn.xlookup(AK881,A:A,N:N)</f>
        <v>#NAME?</v>
      </c>
      <c r="AO881" s="223" t="e">
        <f aca="false">_xlfn.xlookup(AK881,A:A,AG:AG)</f>
        <v>#NAME?</v>
      </c>
      <c r="AP881" s="223" t="e">
        <f aca="false">_xlfn.xlookup(AK881,A:A,AD:AD)</f>
        <v>#NAME?</v>
      </c>
      <c r="AQ881" s="223" t="e">
        <f aca="false">_xlfn.xlookup(AK881,A:A,AE:AE)</f>
        <v>#NAME?</v>
      </c>
      <c r="BB881" s="15" t="e">
        <f aca="false">_xlfn.xlookup(BA881,A:A,E:E)</f>
        <v>#NAME?</v>
      </c>
      <c r="BC881" s="15" t="e">
        <f aca="false">_xlfn.xlookup(BA881,A:A,J:J)</f>
        <v>#NAME?</v>
      </c>
      <c r="BD881" s="75" t="e">
        <f aca="false">_xlfn.xlookup(BA881,A:A,M:M)+_xlfn.xlookup(BA881,A:A,N:N)</f>
        <v>#NAME?</v>
      </c>
    </row>
    <row r="882" customFormat="false" ht="14.25" hidden="false" customHeight="false" outlineLevel="0" collapsed="false">
      <c r="AK882" s="15" t="e">
        <v>#NAME?</v>
      </c>
      <c r="AL882" s="15" t="e">
        <f aca="false">_xlfn.xlookup(AK882,A:A,F:F)</f>
        <v>#NAME?</v>
      </c>
      <c r="AM882" s="15" t="e">
        <f aca="false">_xlfn.xlookup(AK882,A:A,J:J)</f>
        <v>#NAME?</v>
      </c>
      <c r="AN882" s="15" t="e">
        <f aca="false">_xlfn.xlookup(AK882,A:A,M:M)+_xlfn.xlookup(AK882,A:A,N:N)</f>
        <v>#NAME?</v>
      </c>
      <c r="AO882" s="223" t="e">
        <f aca="false">_xlfn.xlookup(AK882,A:A,AG:AG)</f>
        <v>#NAME?</v>
      </c>
      <c r="AP882" s="223" t="e">
        <f aca="false">_xlfn.xlookup(AK882,A:A,AD:AD)</f>
        <v>#NAME?</v>
      </c>
      <c r="AQ882" s="223" t="e">
        <f aca="false">_xlfn.xlookup(AK882,A:A,AE:AE)</f>
        <v>#NAME?</v>
      </c>
      <c r="BB882" s="15" t="e">
        <f aca="false">_xlfn.xlookup(BA882,A:A,E:E)</f>
        <v>#NAME?</v>
      </c>
      <c r="BC882" s="15" t="e">
        <f aca="false">_xlfn.xlookup(BA882,A:A,J:J)</f>
        <v>#NAME?</v>
      </c>
      <c r="BD882" s="75" t="e">
        <f aca="false">_xlfn.xlookup(BA882,A:A,M:M)+_xlfn.xlookup(BA882,A:A,N:N)</f>
        <v>#NAME?</v>
      </c>
    </row>
    <row r="883" customFormat="false" ht="14.25" hidden="false" customHeight="false" outlineLevel="0" collapsed="false">
      <c r="AK883" s="15" t="e">
        <v>#NAME?</v>
      </c>
      <c r="AL883" s="15" t="e">
        <f aca="false">_xlfn.xlookup(AK883,A:A,F:F)</f>
        <v>#NAME?</v>
      </c>
      <c r="AM883" s="15" t="e">
        <f aca="false">_xlfn.xlookup(AK883,A:A,J:J)</f>
        <v>#NAME?</v>
      </c>
      <c r="AN883" s="15" t="e">
        <f aca="false">_xlfn.xlookup(AK883,A:A,M:M)+_xlfn.xlookup(AK883,A:A,N:N)</f>
        <v>#NAME?</v>
      </c>
      <c r="AO883" s="223" t="e">
        <f aca="false">_xlfn.xlookup(AK883,A:A,AG:AG)</f>
        <v>#NAME?</v>
      </c>
      <c r="AP883" s="223" t="e">
        <f aca="false">_xlfn.xlookup(AK883,A:A,AD:AD)</f>
        <v>#NAME?</v>
      </c>
      <c r="AQ883" s="223" t="e">
        <f aca="false">_xlfn.xlookup(AK883,A:A,AE:AE)</f>
        <v>#NAME?</v>
      </c>
      <c r="BB883" s="15" t="e">
        <f aca="false">_xlfn.xlookup(BA883,A:A,E:E)</f>
        <v>#NAME?</v>
      </c>
      <c r="BC883" s="15" t="e">
        <f aca="false">_xlfn.xlookup(BA883,A:A,J:J)</f>
        <v>#NAME?</v>
      </c>
      <c r="BD883" s="75" t="e">
        <f aca="false">_xlfn.xlookup(BA883,A:A,M:M)+_xlfn.xlookup(BA883,A:A,N:N)</f>
        <v>#NAME?</v>
      </c>
    </row>
    <row r="884" customFormat="false" ht="14.25" hidden="false" customHeight="false" outlineLevel="0" collapsed="false">
      <c r="AK884" s="15" t="e">
        <v>#NAME?</v>
      </c>
      <c r="AL884" s="15" t="e">
        <f aca="false">_xlfn.xlookup(AK884,A:A,F:F)</f>
        <v>#NAME?</v>
      </c>
      <c r="AM884" s="15" t="e">
        <f aca="false">_xlfn.xlookup(AK884,A:A,J:J)</f>
        <v>#NAME?</v>
      </c>
      <c r="AN884" s="15" t="e">
        <f aca="false">_xlfn.xlookup(AK884,A:A,M:M)+_xlfn.xlookup(AK884,A:A,N:N)</f>
        <v>#NAME?</v>
      </c>
      <c r="AO884" s="223" t="e">
        <f aca="false">_xlfn.xlookup(AK884,A:A,AG:AG)</f>
        <v>#NAME?</v>
      </c>
      <c r="AP884" s="223" t="e">
        <f aca="false">_xlfn.xlookup(AK884,A:A,AD:AD)</f>
        <v>#NAME?</v>
      </c>
      <c r="AQ884" s="223" t="e">
        <f aca="false">_xlfn.xlookup(AK884,A:A,AE:AE)</f>
        <v>#NAME?</v>
      </c>
      <c r="BB884" s="15" t="e">
        <f aca="false">_xlfn.xlookup(BA884,A:A,E:E)</f>
        <v>#NAME?</v>
      </c>
      <c r="BC884" s="15" t="e">
        <f aca="false">_xlfn.xlookup(BA884,A:A,J:J)</f>
        <v>#NAME?</v>
      </c>
      <c r="BD884" s="75" t="e">
        <f aca="false">_xlfn.xlookup(BA884,A:A,M:M)+_xlfn.xlookup(BA884,A:A,N:N)</f>
        <v>#NAME?</v>
      </c>
    </row>
    <row r="885" customFormat="false" ht="14.25" hidden="false" customHeight="false" outlineLevel="0" collapsed="false">
      <c r="AK885" s="15" t="e">
        <v>#NAME?</v>
      </c>
      <c r="AL885" s="15" t="e">
        <f aca="false">_xlfn.xlookup(AK885,A:A,F:F)</f>
        <v>#NAME?</v>
      </c>
      <c r="AM885" s="15" t="e">
        <f aca="false">_xlfn.xlookup(AK885,A:A,J:J)</f>
        <v>#NAME?</v>
      </c>
      <c r="AN885" s="15" t="e">
        <f aca="false">_xlfn.xlookup(AK885,A:A,M:M)+_xlfn.xlookup(AK885,A:A,N:N)</f>
        <v>#NAME?</v>
      </c>
      <c r="AO885" s="223" t="e">
        <f aca="false">_xlfn.xlookup(AK885,A:A,AG:AG)</f>
        <v>#NAME?</v>
      </c>
      <c r="AP885" s="223" t="e">
        <f aca="false">_xlfn.xlookup(AK885,A:A,AD:AD)</f>
        <v>#NAME?</v>
      </c>
      <c r="AQ885" s="223" t="e">
        <f aca="false">_xlfn.xlookup(AK885,A:A,AE:AE)</f>
        <v>#NAME?</v>
      </c>
      <c r="BB885" s="15" t="e">
        <f aca="false">_xlfn.xlookup(BA885,A:A,E:E)</f>
        <v>#NAME?</v>
      </c>
      <c r="BC885" s="15" t="e">
        <f aca="false">_xlfn.xlookup(BA885,A:A,J:J)</f>
        <v>#NAME?</v>
      </c>
      <c r="BD885" s="75" t="e">
        <f aca="false">_xlfn.xlookup(BA885,A:A,M:M)+_xlfn.xlookup(BA885,A:A,N:N)</f>
        <v>#NAME?</v>
      </c>
    </row>
    <row r="886" customFormat="false" ht="14.25" hidden="false" customHeight="false" outlineLevel="0" collapsed="false">
      <c r="AK886" s="15" t="e">
        <v>#NAME?</v>
      </c>
      <c r="AL886" s="15" t="e">
        <f aca="false">_xlfn.xlookup(AK886,A:A,F:F)</f>
        <v>#NAME?</v>
      </c>
      <c r="AM886" s="15" t="e">
        <f aca="false">_xlfn.xlookup(AK886,A:A,J:J)</f>
        <v>#NAME?</v>
      </c>
      <c r="AN886" s="15" t="e">
        <f aca="false">_xlfn.xlookup(AK886,A:A,M:M)+_xlfn.xlookup(AK886,A:A,N:N)</f>
        <v>#NAME?</v>
      </c>
      <c r="AO886" s="223" t="e">
        <f aca="false">_xlfn.xlookup(AK886,A:A,AG:AG)</f>
        <v>#NAME?</v>
      </c>
      <c r="AP886" s="223" t="e">
        <f aca="false">_xlfn.xlookup(AK886,A:A,AD:AD)</f>
        <v>#NAME?</v>
      </c>
      <c r="AQ886" s="223" t="e">
        <f aca="false">_xlfn.xlookup(AK886,A:A,AE:AE)</f>
        <v>#NAME?</v>
      </c>
      <c r="BB886" s="15" t="e">
        <f aca="false">_xlfn.xlookup(BA886,A:A,E:E)</f>
        <v>#NAME?</v>
      </c>
      <c r="BC886" s="15" t="e">
        <f aca="false">_xlfn.xlookup(BA886,A:A,J:J)</f>
        <v>#NAME?</v>
      </c>
      <c r="BD886" s="75" t="e">
        <f aca="false">_xlfn.xlookup(BA886,A:A,M:M)+_xlfn.xlookup(BA886,A:A,N:N)</f>
        <v>#NAME?</v>
      </c>
    </row>
    <row r="887" customFormat="false" ht="14.25" hidden="false" customHeight="false" outlineLevel="0" collapsed="false">
      <c r="AK887" s="15" t="e">
        <v>#NAME?</v>
      </c>
      <c r="AL887" s="15" t="e">
        <f aca="false">_xlfn.xlookup(AK887,A:A,F:F)</f>
        <v>#NAME?</v>
      </c>
      <c r="AM887" s="15" t="e">
        <f aca="false">_xlfn.xlookup(AK887,A:A,J:J)</f>
        <v>#NAME?</v>
      </c>
      <c r="AN887" s="15" t="e">
        <f aca="false">_xlfn.xlookup(AK887,A:A,M:M)+_xlfn.xlookup(AK887,A:A,N:N)</f>
        <v>#NAME?</v>
      </c>
      <c r="AO887" s="223" t="e">
        <f aca="false">_xlfn.xlookup(AK887,A:A,AG:AG)</f>
        <v>#NAME?</v>
      </c>
      <c r="AP887" s="223" t="e">
        <f aca="false">_xlfn.xlookup(AK887,A:A,AD:AD)</f>
        <v>#NAME?</v>
      </c>
      <c r="AQ887" s="223" t="e">
        <f aca="false">_xlfn.xlookup(AK887,A:A,AE:AE)</f>
        <v>#NAME?</v>
      </c>
      <c r="BB887" s="15" t="e">
        <f aca="false">_xlfn.xlookup(BA887,A:A,E:E)</f>
        <v>#NAME?</v>
      </c>
      <c r="BC887" s="15" t="e">
        <f aca="false">_xlfn.xlookup(BA887,A:A,J:J)</f>
        <v>#NAME?</v>
      </c>
      <c r="BD887" s="75" t="e">
        <f aca="false">_xlfn.xlookup(BA887,A:A,M:M)+_xlfn.xlookup(BA887,A:A,N:N)</f>
        <v>#NAME?</v>
      </c>
    </row>
    <row r="888" customFormat="false" ht="14.25" hidden="false" customHeight="false" outlineLevel="0" collapsed="false">
      <c r="AK888" s="15" t="e">
        <v>#NAME?</v>
      </c>
      <c r="AL888" s="15" t="e">
        <f aca="false">_xlfn.xlookup(AK888,A:A,F:F)</f>
        <v>#NAME?</v>
      </c>
      <c r="AM888" s="15" t="e">
        <f aca="false">_xlfn.xlookup(AK888,A:A,J:J)</f>
        <v>#NAME?</v>
      </c>
      <c r="AN888" s="15" t="e">
        <f aca="false">_xlfn.xlookup(AK888,A:A,M:M)+_xlfn.xlookup(AK888,A:A,N:N)</f>
        <v>#NAME?</v>
      </c>
      <c r="AO888" s="223" t="e">
        <f aca="false">_xlfn.xlookup(AK888,A:A,AG:AG)</f>
        <v>#NAME?</v>
      </c>
      <c r="AP888" s="223" t="e">
        <f aca="false">_xlfn.xlookup(AK888,A:A,AD:AD)</f>
        <v>#NAME?</v>
      </c>
      <c r="AQ888" s="223" t="e">
        <f aca="false">_xlfn.xlookup(AK888,A:A,AE:AE)</f>
        <v>#NAME?</v>
      </c>
      <c r="BB888" s="15" t="e">
        <f aca="false">_xlfn.xlookup(BA888,A:A,E:E)</f>
        <v>#NAME?</v>
      </c>
      <c r="BC888" s="15" t="e">
        <f aca="false">_xlfn.xlookup(BA888,A:A,J:J)</f>
        <v>#NAME?</v>
      </c>
      <c r="BD888" s="75" t="e">
        <f aca="false">_xlfn.xlookup(BA888,A:A,M:M)+_xlfn.xlookup(BA888,A:A,N:N)</f>
        <v>#NAME?</v>
      </c>
    </row>
    <row r="889" customFormat="false" ht="14.25" hidden="false" customHeight="false" outlineLevel="0" collapsed="false">
      <c r="AK889" s="15" t="e">
        <v>#NAME?</v>
      </c>
      <c r="AL889" s="15" t="e">
        <f aca="false">_xlfn.xlookup(AK889,A:A,F:F)</f>
        <v>#NAME?</v>
      </c>
      <c r="AM889" s="15" t="e">
        <f aca="false">_xlfn.xlookup(AK889,A:A,J:J)</f>
        <v>#NAME?</v>
      </c>
      <c r="AN889" s="15" t="e">
        <f aca="false">_xlfn.xlookup(AK889,A:A,M:M)+_xlfn.xlookup(AK889,A:A,N:N)</f>
        <v>#NAME?</v>
      </c>
      <c r="AO889" s="223" t="e">
        <f aca="false">_xlfn.xlookup(AK889,A:A,AG:AG)</f>
        <v>#NAME?</v>
      </c>
      <c r="AP889" s="223" t="e">
        <f aca="false">_xlfn.xlookup(AK889,A:A,AD:AD)</f>
        <v>#NAME?</v>
      </c>
      <c r="AQ889" s="223" t="e">
        <f aca="false">_xlfn.xlookup(AK889,A:A,AE:AE)</f>
        <v>#NAME?</v>
      </c>
      <c r="BB889" s="15" t="e">
        <f aca="false">_xlfn.xlookup(BA889,A:A,E:E)</f>
        <v>#NAME?</v>
      </c>
      <c r="BC889" s="15" t="e">
        <f aca="false">_xlfn.xlookup(BA889,A:A,J:J)</f>
        <v>#NAME?</v>
      </c>
      <c r="BD889" s="75" t="e">
        <f aca="false">_xlfn.xlookup(BA889,A:A,M:M)+_xlfn.xlookup(BA889,A:A,N:N)</f>
        <v>#NAME?</v>
      </c>
    </row>
    <row r="890" customFormat="false" ht="14.25" hidden="false" customHeight="false" outlineLevel="0" collapsed="false">
      <c r="AK890" s="15" t="e">
        <v>#NAME?</v>
      </c>
      <c r="AL890" s="15" t="e">
        <f aca="false">_xlfn.xlookup(AK890,A:A,F:F)</f>
        <v>#NAME?</v>
      </c>
      <c r="AM890" s="15" t="e">
        <f aca="false">_xlfn.xlookup(AK890,A:A,J:J)</f>
        <v>#NAME?</v>
      </c>
      <c r="AN890" s="15" t="e">
        <f aca="false">_xlfn.xlookup(AK890,A:A,M:M)+_xlfn.xlookup(AK890,A:A,N:N)</f>
        <v>#NAME?</v>
      </c>
      <c r="AO890" s="223" t="e">
        <f aca="false">_xlfn.xlookup(AK890,A:A,AG:AG)</f>
        <v>#NAME?</v>
      </c>
      <c r="AP890" s="223" t="e">
        <f aca="false">_xlfn.xlookup(AK890,A:A,AD:AD)</f>
        <v>#NAME?</v>
      </c>
      <c r="AQ890" s="223" t="e">
        <f aca="false">_xlfn.xlookup(AK890,A:A,AE:AE)</f>
        <v>#NAME?</v>
      </c>
      <c r="BB890" s="15" t="e">
        <f aca="false">_xlfn.xlookup(BA890,A:A,E:E)</f>
        <v>#NAME?</v>
      </c>
      <c r="BC890" s="15" t="e">
        <f aca="false">_xlfn.xlookup(BA890,A:A,J:J)</f>
        <v>#NAME?</v>
      </c>
      <c r="BD890" s="75" t="e">
        <f aca="false">_xlfn.xlookup(BA890,A:A,M:M)+_xlfn.xlookup(BA890,A:A,N:N)</f>
        <v>#NAME?</v>
      </c>
    </row>
    <row r="891" customFormat="false" ht="14.25" hidden="false" customHeight="false" outlineLevel="0" collapsed="false">
      <c r="AK891" s="15" t="e">
        <v>#NAME?</v>
      </c>
      <c r="AL891" s="15" t="e">
        <f aca="false">_xlfn.xlookup(AK891,A:A,F:F)</f>
        <v>#NAME?</v>
      </c>
      <c r="AM891" s="15" t="e">
        <f aca="false">_xlfn.xlookup(AK891,A:A,J:J)</f>
        <v>#NAME?</v>
      </c>
      <c r="AN891" s="15" t="e">
        <f aca="false">_xlfn.xlookup(AK891,A:A,M:M)+_xlfn.xlookup(AK891,A:A,N:N)</f>
        <v>#NAME?</v>
      </c>
      <c r="AO891" s="223" t="e">
        <f aca="false">_xlfn.xlookup(AK891,A:A,AG:AG)</f>
        <v>#NAME?</v>
      </c>
      <c r="AP891" s="223" t="e">
        <f aca="false">_xlfn.xlookup(AK891,A:A,AD:AD)</f>
        <v>#NAME?</v>
      </c>
      <c r="AQ891" s="223" t="e">
        <f aca="false">_xlfn.xlookup(AK891,A:A,AE:AE)</f>
        <v>#NAME?</v>
      </c>
      <c r="BB891" s="15" t="e">
        <f aca="false">_xlfn.xlookup(BA891,A:A,E:E)</f>
        <v>#NAME?</v>
      </c>
      <c r="BC891" s="15" t="e">
        <f aca="false">_xlfn.xlookup(BA891,A:A,J:J)</f>
        <v>#NAME?</v>
      </c>
      <c r="BD891" s="75" t="e">
        <f aca="false">_xlfn.xlookup(BA891,A:A,M:M)+_xlfn.xlookup(BA891,A:A,N:N)</f>
        <v>#NAME?</v>
      </c>
    </row>
    <row r="892" customFormat="false" ht="14.25" hidden="false" customHeight="false" outlineLevel="0" collapsed="false">
      <c r="AK892" s="15" t="e">
        <v>#NAME?</v>
      </c>
      <c r="AL892" s="15" t="e">
        <f aca="false">_xlfn.xlookup(AK892,A:A,F:F)</f>
        <v>#NAME?</v>
      </c>
      <c r="AM892" s="15" t="e">
        <f aca="false">_xlfn.xlookup(AK892,A:A,J:J)</f>
        <v>#NAME?</v>
      </c>
      <c r="AN892" s="15" t="e">
        <f aca="false">_xlfn.xlookup(AK892,A:A,M:M)+_xlfn.xlookup(AK892,A:A,N:N)</f>
        <v>#NAME?</v>
      </c>
      <c r="AO892" s="223" t="e">
        <f aca="false">_xlfn.xlookup(AK892,A:A,AG:AG)</f>
        <v>#NAME?</v>
      </c>
      <c r="AP892" s="223" t="e">
        <f aca="false">_xlfn.xlookup(AK892,A:A,AD:AD)</f>
        <v>#NAME?</v>
      </c>
      <c r="AQ892" s="223" t="e">
        <f aca="false">_xlfn.xlookup(AK892,A:A,AE:AE)</f>
        <v>#NAME?</v>
      </c>
      <c r="BB892" s="15" t="e">
        <f aca="false">_xlfn.xlookup(BA892,A:A,E:E)</f>
        <v>#NAME?</v>
      </c>
      <c r="BC892" s="15" t="e">
        <f aca="false">_xlfn.xlookup(BA892,A:A,J:J)</f>
        <v>#NAME?</v>
      </c>
      <c r="BD892" s="75" t="e">
        <f aca="false">_xlfn.xlookup(BA892,A:A,M:M)+_xlfn.xlookup(BA892,A:A,N:N)</f>
        <v>#NAME?</v>
      </c>
    </row>
    <row r="893" customFormat="false" ht="14.25" hidden="false" customHeight="false" outlineLevel="0" collapsed="false">
      <c r="AK893" s="15" t="e">
        <v>#NAME?</v>
      </c>
      <c r="AL893" s="15" t="e">
        <f aca="false">_xlfn.xlookup(AK893,A:A,F:F)</f>
        <v>#NAME?</v>
      </c>
      <c r="AM893" s="15" t="e">
        <f aca="false">_xlfn.xlookup(AK893,A:A,J:J)</f>
        <v>#NAME?</v>
      </c>
      <c r="AN893" s="15" t="e">
        <f aca="false">_xlfn.xlookup(AK893,A:A,M:M)+_xlfn.xlookup(AK893,A:A,N:N)</f>
        <v>#NAME?</v>
      </c>
      <c r="AO893" s="223" t="e">
        <f aca="false">_xlfn.xlookup(AK893,A:A,AG:AG)</f>
        <v>#NAME?</v>
      </c>
      <c r="AP893" s="223" t="e">
        <f aca="false">_xlfn.xlookup(AK893,A:A,AD:AD)</f>
        <v>#NAME?</v>
      </c>
      <c r="AQ893" s="223" t="e">
        <f aca="false">_xlfn.xlookup(AK893,A:A,AE:AE)</f>
        <v>#NAME?</v>
      </c>
      <c r="BB893" s="15" t="e">
        <f aca="false">_xlfn.xlookup(BA893,A:A,E:E)</f>
        <v>#NAME?</v>
      </c>
      <c r="BC893" s="15" t="e">
        <f aca="false">_xlfn.xlookup(BA893,A:A,J:J)</f>
        <v>#NAME?</v>
      </c>
      <c r="BD893" s="75" t="e">
        <f aca="false">_xlfn.xlookup(BA893,A:A,M:M)+_xlfn.xlookup(BA893,A:A,N:N)</f>
        <v>#NAME?</v>
      </c>
    </row>
    <row r="894" customFormat="false" ht="14.25" hidden="false" customHeight="false" outlineLevel="0" collapsed="false">
      <c r="AK894" s="15" t="e">
        <v>#NAME?</v>
      </c>
      <c r="AL894" s="15" t="e">
        <f aca="false">_xlfn.xlookup(AK894,A:A,F:F)</f>
        <v>#NAME?</v>
      </c>
      <c r="AM894" s="15" t="e">
        <f aca="false">_xlfn.xlookup(AK894,A:A,J:J)</f>
        <v>#NAME?</v>
      </c>
      <c r="AN894" s="15" t="e">
        <f aca="false">_xlfn.xlookup(AK894,A:A,M:M)+_xlfn.xlookup(AK894,A:A,N:N)</f>
        <v>#NAME?</v>
      </c>
      <c r="AO894" s="223" t="e">
        <f aca="false">_xlfn.xlookup(AK894,A:A,AG:AG)</f>
        <v>#NAME?</v>
      </c>
      <c r="AP894" s="223" t="e">
        <f aca="false">_xlfn.xlookup(AK894,A:A,AD:AD)</f>
        <v>#NAME?</v>
      </c>
      <c r="AQ894" s="223" t="e">
        <f aca="false">_xlfn.xlookup(AK894,A:A,AE:AE)</f>
        <v>#NAME?</v>
      </c>
      <c r="BB894" s="15" t="e">
        <f aca="false">_xlfn.xlookup(BA894,A:A,E:E)</f>
        <v>#NAME?</v>
      </c>
      <c r="BC894" s="15" t="e">
        <f aca="false">_xlfn.xlookup(BA894,A:A,J:J)</f>
        <v>#NAME?</v>
      </c>
      <c r="BD894" s="75" t="e">
        <f aca="false">_xlfn.xlookup(BA894,A:A,M:M)+_xlfn.xlookup(BA894,A:A,N:N)</f>
        <v>#NAME?</v>
      </c>
    </row>
    <row r="895" customFormat="false" ht="14.25" hidden="false" customHeight="false" outlineLevel="0" collapsed="false">
      <c r="AK895" s="15" t="e">
        <v>#NAME?</v>
      </c>
      <c r="AL895" s="15" t="e">
        <f aca="false">_xlfn.xlookup(AK895,A:A,F:F)</f>
        <v>#NAME?</v>
      </c>
      <c r="AM895" s="15" t="e">
        <f aca="false">_xlfn.xlookup(AK895,A:A,J:J)</f>
        <v>#NAME?</v>
      </c>
      <c r="AN895" s="15" t="e">
        <f aca="false">_xlfn.xlookup(AK895,A:A,M:M)+_xlfn.xlookup(AK895,A:A,N:N)</f>
        <v>#NAME?</v>
      </c>
      <c r="AO895" s="223" t="e">
        <f aca="false">_xlfn.xlookup(AK895,A:A,AG:AG)</f>
        <v>#NAME?</v>
      </c>
      <c r="AP895" s="223" t="e">
        <f aca="false">_xlfn.xlookup(AK895,A:A,AD:AD)</f>
        <v>#NAME?</v>
      </c>
      <c r="AQ895" s="223" t="e">
        <f aca="false">_xlfn.xlookup(AK895,A:A,AE:AE)</f>
        <v>#NAME?</v>
      </c>
      <c r="BB895" s="15" t="e">
        <f aca="false">_xlfn.xlookup(BA895,A:A,E:E)</f>
        <v>#NAME?</v>
      </c>
      <c r="BC895" s="15" t="e">
        <f aca="false">_xlfn.xlookup(BA895,A:A,J:J)</f>
        <v>#NAME?</v>
      </c>
      <c r="BD895" s="75" t="e">
        <f aca="false">_xlfn.xlookup(BA895,A:A,M:M)+_xlfn.xlookup(BA895,A:A,N:N)</f>
        <v>#NAME?</v>
      </c>
    </row>
    <row r="896" customFormat="false" ht="14.25" hidden="false" customHeight="false" outlineLevel="0" collapsed="false">
      <c r="AK896" s="15" t="e">
        <v>#NAME?</v>
      </c>
      <c r="AL896" s="15" t="e">
        <f aca="false">_xlfn.xlookup(AK896,A:A,F:F)</f>
        <v>#NAME?</v>
      </c>
      <c r="AM896" s="15" t="e">
        <f aca="false">_xlfn.xlookup(AK896,A:A,J:J)</f>
        <v>#NAME?</v>
      </c>
      <c r="AN896" s="15" t="e">
        <f aca="false">_xlfn.xlookup(AK896,A:A,M:M)+_xlfn.xlookup(AK896,A:A,N:N)</f>
        <v>#NAME?</v>
      </c>
      <c r="AO896" s="223" t="e">
        <f aca="false">_xlfn.xlookup(AK896,A:A,AG:AG)</f>
        <v>#NAME?</v>
      </c>
      <c r="AP896" s="223" t="e">
        <f aca="false">_xlfn.xlookup(AK896,A:A,AD:AD)</f>
        <v>#NAME?</v>
      </c>
      <c r="AQ896" s="223" t="e">
        <f aca="false">_xlfn.xlookup(AK896,A:A,AE:AE)</f>
        <v>#NAME?</v>
      </c>
      <c r="BB896" s="15" t="e">
        <f aca="false">_xlfn.xlookup(BA896,A:A,E:E)</f>
        <v>#NAME?</v>
      </c>
      <c r="BC896" s="15" t="e">
        <f aca="false">_xlfn.xlookup(BA896,A:A,J:J)</f>
        <v>#NAME?</v>
      </c>
      <c r="BD896" s="75" t="e">
        <f aca="false">_xlfn.xlookup(BA896,A:A,M:M)+_xlfn.xlookup(BA896,A:A,N:N)</f>
        <v>#NAME?</v>
      </c>
    </row>
    <row r="897" customFormat="false" ht="14.25" hidden="false" customHeight="false" outlineLevel="0" collapsed="false">
      <c r="AK897" s="15" t="e">
        <v>#NAME?</v>
      </c>
      <c r="AL897" s="15" t="e">
        <f aca="false">_xlfn.xlookup(AK897,A:A,F:F)</f>
        <v>#NAME?</v>
      </c>
      <c r="AM897" s="15" t="e">
        <f aca="false">_xlfn.xlookup(AK897,A:A,J:J)</f>
        <v>#NAME?</v>
      </c>
      <c r="AN897" s="15" t="e">
        <f aca="false">_xlfn.xlookup(AK897,A:A,M:M)+_xlfn.xlookup(AK897,A:A,N:N)</f>
        <v>#NAME?</v>
      </c>
      <c r="AO897" s="223" t="e">
        <f aca="false">_xlfn.xlookup(AK897,A:A,AG:AG)</f>
        <v>#NAME?</v>
      </c>
      <c r="AP897" s="223" t="e">
        <f aca="false">_xlfn.xlookup(AK897,A:A,AD:AD)</f>
        <v>#NAME?</v>
      </c>
      <c r="AQ897" s="223" t="e">
        <f aca="false">_xlfn.xlookup(AK897,A:A,AE:AE)</f>
        <v>#NAME?</v>
      </c>
      <c r="BB897" s="15" t="e">
        <f aca="false">_xlfn.xlookup(BA897,A:A,E:E)</f>
        <v>#NAME?</v>
      </c>
      <c r="BC897" s="15" t="e">
        <f aca="false">_xlfn.xlookup(BA897,A:A,J:J)</f>
        <v>#NAME?</v>
      </c>
      <c r="BD897" s="75" t="e">
        <f aca="false">_xlfn.xlookup(BA897,A:A,M:M)+_xlfn.xlookup(BA897,A:A,N:N)</f>
        <v>#NAME?</v>
      </c>
    </row>
    <row r="898" customFormat="false" ht="14.25" hidden="false" customHeight="false" outlineLevel="0" collapsed="false">
      <c r="AK898" s="15" t="e">
        <v>#NAME?</v>
      </c>
      <c r="AL898" s="15" t="e">
        <f aca="false">_xlfn.xlookup(AK898,A:A,F:F)</f>
        <v>#NAME?</v>
      </c>
      <c r="AM898" s="15" t="e">
        <f aca="false">_xlfn.xlookup(AK898,A:A,J:J)</f>
        <v>#NAME?</v>
      </c>
      <c r="AN898" s="15" t="e">
        <f aca="false">_xlfn.xlookup(AK898,A:A,M:M)+_xlfn.xlookup(AK898,A:A,N:N)</f>
        <v>#NAME?</v>
      </c>
      <c r="AO898" s="223" t="e">
        <f aca="false">_xlfn.xlookup(AK898,A:A,AG:AG)</f>
        <v>#NAME?</v>
      </c>
      <c r="AP898" s="223" t="e">
        <f aca="false">_xlfn.xlookup(AK898,A:A,AD:AD)</f>
        <v>#NAME?</v>
      </c>
      <c r="AQ898" s="223" t="e">
        <f aca="false">_xlfn.xlookup(AK898,A:A,AE:AE)</f>
        <v>#NAME?</v>
      </c>
      <c r="BB898" s="15" t="e">
        <f aca="false">_xlfn.xlookup(BA898,A:A,E:E)</f>
        <v>#NAME?</v>
      </c>
      <c r="BC898" s="15" t="e">
        <f aca="false">_xlfn.xlookup(BA898,A:A,J:J)</f>
        <v>#NAME?</v>
      </c>
      <c r="BD898" s="75" t="e">
        <f aca="false">_xlfn.xlookup(BA898,A:A,M:M)+_xlfn.xlookup(BA898,A:A,N:N)</f>
        <v>#NAME?</v>
      </c>
    </row>
    <row r="899" customFormat="false" ht="14.25" hidden="false" customHeight="false" outlineLevel="0" collapsed="false">
      <c r="AK899" s="15" t="e">
        <v>#NAME?</v>
      </c>
      <c r="AL899" s="15" t="e">
        <f aca="false">_xlfn.xlookup(AK899,A:A,F:F)</f>
        <v>#NAME?</v>
      </c>
      <c r="AM899" s="15" t="e">
        <f aca="false">_xlfn.xlookup(AK899,A:A,J:J)</f>
        <v>#NAME?</v>
      </c>
      <c r="AN899" s="15" t="e">
        <f aca="false">_xlfn.xlookup(AK899,A:A,M:M)+_xlfn.xlookup(AK899,A:A,N:N)</f>
        <v>#NAME?</v>
      </c>
      <c r="AO899" s="223" t="e">
        <f aca="false">_xlfn.xlookup(AK899,A:A,AG:AG)</f>
        <v>#NAME?</v>
      </c>
      <c r="AP899" s="223" t="e">
        <f aca="false">_xlfn.xlookup(AK899,A:A,AD:AD)</f>
        <v>#NAME?</v>
      </c>
      <c r="AQ899" s="223" t="e">
        <f aca="false">_xlfn.xlookup(AK899,A:A,AE:AE)</f>
        <v>#NAME?</v>
      </c>
      <c r="BB899" s="15" t="e">
        <f aca="false">_xlfn.xlookup(BA899,A:A,E:E)</f>
        <v>#NAME?</v>
      </c>
      <c r="BC899" s="15" t="e">
        <f aca="false">_xlfn.xlookup(BA899,A:A,J:J)</f>
        <v>#NAME?</v>
      </c>
      <c r="BD899" s="75" t="e">
        <f aca="false">_xlfn.xlookup(BA899,A:A,M:M)+_xlfn.xlookup(BA899,A:A,N:N)</f>
        <v>#NAME?</v>
      </c>
    </row>
    <row r="900" customFormat="false" ht="14.25" hidden="false" customHeight="false" outlineLevel="0" collapsed="false">
      <c r="AK900" s="15" t="e">
        <v>#NAME?</v>
      </c>
      <c r="AL900" s="15" t="e">
        <f aca="false">_xlfn.xlookup(AK900,A:A,F:F)</f>
        <v>#NAME?</v>
      </c>
      <c r="AM900" s="15" t="e">
        <f aca="false">_xlfn.xlookup(AK900,A:A,J:J)</f>
        <v>#NAME?</v>
      </c>
      <c r="AN900" s="15" t="e">
        <f aca="false">_xlfn.xlookup(AK900,A:A,M:M)+_xlfn.xlookup(AK900,A:A,N:N)</f>
        <v>#NAME?</v>
      </c>
      <c r="AO900" s="223" t="e">
        <f aca="false">_xlfn.xlookup(AK900,A:A,AG:AG)</f>
        <v>#NAME?</v>
      </c>
      <c r="AP900" s="223" t="e">
        <f aca="false">_xlfn.xlookup(AK900,A:A,AD:AD)</f>
        <v>#NAME?</v>
      </c>
      <c r="AQ900" s="223" t="e">
        <f aca="false">_xlfn.xlookup(AK900,A:A,AE:AE)</f>
        <v>#NAME?</v>
      </c>
      <c r="BB900" s="15" t="e">
        <f aca="false">_xlfn.xlookup(BA900,A:A,E:E)</f>
        <v>#NAME?</v>
      </c>
      <c r="BC900" s="15" t="e">
        <f aca="false">_xlfn.xlookup(BA900,A:A,J:J)</f>
        <v>#NAME?</v>
      </c>
      <c r="BD900" s="75" t="e">
        <f aca="false">_xlfn.xlookup(BA900,A:A,M:M)+_xlfn.xlookup(BA900,A:A,N:N)</f>
        <v>#NAME?</v>
      </c>
    </row>
    <row r="901" customFormat="false" ht="14.25" hidden="false" customHeight="false" outlineLevel="0" collapsed="false">
      <c r="AK901" s="15" t="e">
        <v>#NAME?</v>
      </c>
      <c r="AL901" s="15" t="e">
        <f aca="false">_xlfn.xlookup(AK901,A:A,F:F)</f>
        <v>#NAME?</v>
      </c>
      <c r="AM901" s="15" t="e">
        <f aca="false">_xlfn.xlookup(AK901,A:A,J:J)</f>
        <v>#NAME?</v>
      </c>
      <c r="AN901" s="15" t="e">
        <f aca="false">_xlfn.xlookup(AK901,A:A,M:M)+_xlfn.xlookup(AK901,A:A,N:N)</f>
        <v>#NAME?</v>
      </c>
      <c r="AO901" s="223" t="e">
        <f aca="false">_xlfn.xlookup(AK901,A:A,AG:AG)</f>
        <v>#NAME?</v>
      </c>
      <c r="AP901" s="223" t="e">
        <f aca="false">_xlfn.xlookup(AK901,A:A,AD:AD)</f>
        <v>#NAME?</v>
      </c>
      <c r="AQ901" s="223" t="e">
        <f aca="false">_xlfn.xlookup(AK901,A:A,AE:AE)</f>
        <v>#NAME?</v>
      </c>
      <c r="BB901" s="15" t="e">
        <f aca="false">_xlfn.xlookup(BA901,A:A,E:E)</f>
        <v>#NAME?</v>
      </c>
      <c r="BC901" s="15" t="e">
        <f aca="false">_xlfn.xlookup(BA901,A:A,J:J)</f>
        <v>#NAME?</v>
      </c>
      <c r="BD901" s="75" t="e">
        <f aca="false">_xlfn.xlookup(BA901,A:A,M:M)+_xlfn.xlookup(BA901,A:A,N:N)</f>
        <v>#NAME?</v>
      </c>
    </row>
    <row r="902" customFormat="false" ht="14.25" hidden="false" customHeight="false" outlineLevel="0" collapsed="false">
      <c r="AK902" s="15" t="e">
        <v>#NAME?</v>
      </c>
      <c r="AL902" s="15" t="e">
        <f aca="false">_xlfn.xlookup(AK902,A:A,F:F)</f>
        <v>#NAME?</v>
      </c>
      <c r="AM902" s="15" t="e">
        <f aca="false">_xlfn.xlookup(AK902,A:A,J:J)</f>
        <v>#NAME?</v>
      </c>
      <c r="AN902" s="15" t="e">
        <f aca="false">_xlfn.xlookup(AK902,A:A,M:M)+_xlfn.xlookup(AK902,A:A,N:N)</f>
        <v>#NAME?</v>
      </c>
      <c r="AO902" s="223" t="e">
        <f aca="false">_xlfn.xlookup(AK902,A:A,AG:AG)</f>
        <v>#NAME?</v>
      </c>
      <c r="AP902" s="223" t="e">
        <f aca="false">_xlfn.xlookup(AK902,A:A,AD:AD)</f>
        <v>#NAME?</v>
      </c>
      <c r="AQ902" s="223" t="e">
        <f aca="false">_xlfn.xlookup(AK902,A:A,AE:AE)</f>
        <v>#NAME?</v>
      </c>
      <c r="BB902" s="15" t="e">
        <f aca="false">_xlfn.xlookup(BA902,A:A,E:E)</f>
        <v>#NAME?</v>
      </c>
      <c r="BC902" s="15" t="e">
        <f aca="false">_xlfn.xlookup(BA902,A:A,J:J)</f>
        <v>#NAME?</v>
      </c>
      <c r="BD902" s="75" t="e">
        <f aca="false">_xlfn.xlookup(BA902,A:A,M:M)+_xlfn.xlookup(BA902,A:A,N:N)</f>
        <v>#NAME?</v>
      </c>
    </row>
    <row r="903" customFormat="false" ht="14.25" hidden="false" customHeight="false" outlineLevel="0" collapsed="false">
      <c r="AK903" s="15" t="e">
        <v>#NAME?</v>
      </c>
      <c r="AL903" s="15" t="e">
        <f aca="false">_xlfn.xlookup(AK903,A:A,F:F)</f>
        <v>#NAME?</v>
      </c>
      <c r="AM903" s="15" t="e">
        <f aca="false">_xlfn.xlookup(AK903,A:A,J:J)</f>
        <v>#NAME?</v>
      </c>
      <c r="AN903" s="15" t="e">
        <f aca="false">_xlfn.xlookup(AK903,A:A,M:M)+_xlfn.xlookup(AK903,A:A,N:N)</f>
        <v>#NAME?</v>
      </c>
      <c r="AO903" s="223" t="e">
        <f aca="false">_xlfn.xlookup(AK903,A:A,AG:AG)</f>
        <v>#NAME?</v>
      </c>
      <c r="AP903" s="223" t="e">
        <f aca="false">_xlfn.xlookup(AK903,A:A,AD:AD)</f>
        <v>#NAME?</v>
      </c>
      <c r="AQ903" s="223" t="e">
        <f aca="false">_xlfn.xlookup(AK903,A:A,AE:AE)</f>
        <v>#NAME?</v>
      </c>
      <c r="BB903" s="15" t="e">
        <f aca="false">_xlfn.xlookup(BA903,A:A,E:E)</f>
        <v>#NAME?</v>
      </c>
      <c r="BC903" s="15" t="e">
        <f aca="false">_xlfn.xlookup(BA903,A:A,J:J)</f>
        <v>#NAME?</v>
      </c>
      <c r="BD903" s="75" t="e">
        <f aca="false">_xlfn.xlookup(BA903,A:A,M:M)+_xlfn.xlookup(BA903,A:A,N:N)</f>
        <v>#NAME?</v>
      </c>
    </row>
    <row r="904" customFormat="false" ht="14.25" hidden="false" customHeight="false" outlineLevel="0" collapsed="false">
      <c r="AK904" s="15" t="e">
        <v>#NAME?</v>
      </c>
      <c r="AL904" s="15" t="e">
        <f aca="false">_xlfn.xlookup(AK904,A:A,F:F)</f>
        <v>#NAME?</v>
      </c>
      <c r="AM904" s="15" t="e">
        <f aca="false">_xlfn.xlookup(AK904,A:A,J:J)</f>
        <v>#NAME?</v>
      </c>
      <c r="AN904" s="15" t="e">
        <f aca="false">_xlfn.xlookup(AK904,A:A,M:M)+_xlfn.xlookup(AK904,A:A,N:N)</f>
        <v>#NAME?</v>
      </c>
      <c r="AO904" s="223" t="e">
        <f aca="false">_xlfn.xlookup(AK904,A:A,AG:AG)</f>
        <v>#NAME?</v>
      </c>
      <c r="AP904" s="223" t="e">
        <f aca="false">_xlfn.xlookup(AK904,A:A,AD:AD)</f>
        <v>#NAME?</v>
      </c>
      <c r="AQ904" s="223" t="e">
        <f aca="false">_xlfn.xlookup(AK904,A:A,AE:AE)</f>
        <v>#NAME?</v>
      </c>
      <c r="BB904" s="15" t="e">
        <f aca="false">_xlfn.xlookup(BA904,A:A,E:E)</f>
        <v>#NAME?</v>
      </c>
      <c r="BC904" s="15" t="e">
        <f aca="false">_xlfn.xlookup(BA904,A:A,J:J)</f>
        <v>#NAME?</v>
      </c>
      <c r="BD904" s="75" t="e">
        <f aca="false">_xlfn.xlookup(BA904,A:A,M:M)+_xlfn.xlookup(BA904,A:A,N:N)</f>
        <v>#NAME?</v>
      </c>
    </row>
    <row r="905" customFormat="false" ht="14.25" hidden="false" customHeight="false" outlineLevel="0" collapsed="false">
      <c r="AK905" s="15" t="e">
        <v>#NAME?</v>
      </c>
      <c r="AL905" s="15" t="e">
        <f aca="false">_xlfn.xlookup(AK905,A:A,F:F)</f>
        <v>#NAME?</v>
      </c>
      <c r="AM905" s="15" t="e">
        <f aca="false">_xlfn.xlookup(AK905,A:A,J:J)</f>
        <v>#NAME?</v>
      </c>
      <c r="AN905" s="15" t="e">
        <f aca="false">_xlfn.xlookup(AK905,A:A,M:M)+_xlfn.xlookup(AK905,A:A,N:N)</f>
        <v>#NAME?</v>
      </c>
      <c r="AO905" s="223" t="e">
        <f aca="false">_xlfn.xlookup(AK905,A:A,AG:AG)</f>
        <v>#NAME?</v>
      </c>
      <c r="AP905" s="223" t="e">
        <f aca="false">_xlfn.xlookup(AK905,A:A,AD:AD)</f>
        <v>#NAME?</v>
      </c>
      <c r="AQ905" s="223" t="e">
        <f aca="false">_xlfn.xlookup(AK905,A:A,AE:AE)</f>
        <v>#NAME?</v>
      </c>
      <c r="BB905" s="15" t="e">
        <f aca="false">_xlfn.xlookup(BA905,A:A,E:E)</f>
        <v>#NAME?</v>
      </c>
      <c r="BC905" s="15" t="e">
        <f aca="false">_xlfn.xlookup(BA905,A:A,J:J)</f>
        <v>#NAME?</v>
      </c>
      <c r="BD905" s="75" t="e">
        <f aca="false">_xlfn.xlookup(BA905,A:A,M:M)+_xlfn.xlookup(BA905,A:A,N:N)</f>
        <v>#NAME?</v>
      </c>
    </row>
    <row r="906" customFormat="false" ht="14.25" hidden="false" customHeight="false" outlineLevel="0" collapsed="false">
      <c r="AK906" s="15" t="e">
        <v>#NAME?</v>
      </c>
      <c r="AL906" s="15" t="e">
        <f aca="false">_xlfn.xlookup(AK906,A:A,F:F)</f>
        <v>#NAME?</v>
      </c>
      <c r="AM906" s="15" t="e">
        <f aca="false">_xlfn.xlookup(AK906,A:A,J:J)</f>
        <v>#NAME?</v>
      </c>
      <c r="AN906" s="15" t="e">
        <f aca="false">_xlfn.xlookup(AK906,A:A,M:M)+_xlfn.xlookup(AK906,A:A,N:N)</f>
        <v>#NAME?</v>
      </c>
      <c r="AO906" s="223" t="e">
        <f aca="false">_xlfn.xlookup(AK906,A:A,AG:AG)</f>
        <v>#NAME?</v>
      </c>
      <c r="AP906" s="223" t="e">
        <f aca="false">_xlfn.xlookup(AK906,A:A,AD:AD)</f>
        <v>#NAME?</v>
      </c>
      <c r="AQ906" s="223" t="e">
        <f aca="false">_xlfn.xlookup(AK906,A:A,AE:AE)</f>
        <v>#NAME?</v>
      </c>
      <c r="BB906" s="15" t="e">
        <f aca="false">_xlfn.xlookup(BA906,A:A,E:E)</f>
        <v>#NAME?</v>
      </c>
      <c r="BC906" s="15" t="e">
        <f aca="false">_xlfn.xlookup(BA906,A:A,J:J)</f>
        <v>#NAME?</v>
      </c>
      <c r="BD906" s="75" t="e">
        <f aca="false">_xlfn.xlookup(BA906,A:A,M:M)+_xlfn.xlookup(BA906,A:A,N:N)</f>
        <v>#NAME?</v>
      </c>
    </row>
    <row r="907" customFormat="false" ht="14.25" hidden="false" customHeight="false" outlineLevel="0" collapsed="false">
      <c r="AK907" s="15" t="e">
        <v>#NAME?</v>
      </c>
      <c r="AL907" s="15" t="e">
        <f aca="false">_xlfn.xlookup(AK907,A:A,F:F)</f>
        <v>#NAME?</v>
      </c>
      <c r="AM907" s="15" t="e">
        <f aca="false">_xlfn.xlookup(AK907,A:A,J:J)</f>
        <v>#NAME?</v>
      </c>
      <c r="AN907" s="15" t="e">
        <f aca="false">_xlfn.xlookup(AK907,A:A,M:M)+_xlfn.xlookup(AK907,A:A,N:N)</f>
        <v>#NAME?</v>
      </c>
      <c r="AO907" s="223" t="e">
        <f aca="false">_xlfn.xlookup(AK907,A:A,AG:AG)</f>
        <v>#NAME?</v>
      </c>
      <c r="AP907" s="223" t="e">
        <f aca="false">_xlfn.xlookup(AK907,A:A,AD:AD)</f>
        <v>#NAME?</v>
      </c>
      <c r="AQ907" s="223" t="e">
        <f aca="false">_xlfn.xlookup(AK907,A:A,AE:AE)</f>
        <v>#NAME?</v>
      </c>
      <c r="BB907" s="15" t="e">
        <f aca="false">_xlfn.xlookup(BA907,A:A,E:E)</f>
        <v>#NAME?</v>
      </c>
      <c r="BC907" s="15" t="e">
        <f aca="false">_xlfn.xlookup(BA907,A:A,J:J)</f>
        <v>#NAME?</v>
      </c>
      <c r="BD907" s="75" t="e">
        <f aca="false">_xlfn.xlookup(BA907,A:A,M:M)+_xlfn.xlookup(BA907,A:A,N:N)</f>
        <v>#NAME?</v>
      </c>
    </row>
    <row r="908" customFormat="false" ht="14.25" hidden="false" customHeight="false" outlineLevel="0" collapsed="false">
      <c r="AK908" s="15" t="e">
        <v>#NAME?</v>
      </c>
      <c r="AL908" s="15" t="e">
        <f aca="false">_xlfn.xlookup(AK908,A:A,F:F)</f>
        <v>#NAME?</v>
      </c>
      <c r="AM908" s="15" t="e">
        <f aca="false">_xlfn.xlookup(AK908,A:A,J:J)</f>
        <v>#NAME?</v>
      </c>
      <c r="AN908" s="15" t="e">
        <f aca="false">_xlfn.xlookup(AK908,A:A,M:M)+_xlfn.xlookup(AK908,A:A,N:N)</f>
        <v>#NAME?</v>
      </c>
      <c r="AO908" s="223" t="e">
        <f aca="false">_xlfn.xlookup(AK908,A:A,AG:AG)</f>
        <v>#NAME?</v>
      </c>
      <c r="AP908" s="223" t="e">
        <f aca="false">_xlfn.xlookup(AK908,A:A,AD:AD)</f>
        <v>#NAME?</v>
      </c>
      <c r="AQ908" s="223" t="e">
        <f aca="false">_xlfn.xlookup(AK908,A:A,AE:AE)</f>
        <v>#NAME?</v>
      </c>
      <c r="BB908" s="15" t="e">
        <f aca="false">_xlfn.xlookup(BA908,A:A,E:E)</f>
        <v>#NAME?</v>
      </c>
      <c r="BC908" s="15" t="e">
        <f aca="false">_xlfn.xlookup(BA908,A:A,J:J)</f>
        <v>#NAME?</v>
      </c>
      <c r="BD908" s="75" t="e">
        <f aca="false">_xlfn.xlookup(BA908,A:A,M:M)+_xlfn.xlookup(BA908,A:A,N:N)</f>
        <v>#NAME?</v>
      </c>
    </row>
    <row r="909" customFormat="false" ht="14.25" hidden="false" customHeight="false" outlineLevel="0" collapsed="false">
      <c r="AK909" s="15" t="e">
        <v>#NAME?</v>
      </c>
      <c r="AL909" s="15" t="e">
        <f aca="false">_xlfn.xlookup(AK909,A:A,F:F)</f>
        <v>#NAME?</v>
      </c>
      <c r="AM909" s="15" t="e">
        <f aca="false">_xlfn.xlookup(AK909,A:A,J:J)</f>
        <v>#NAME?</v>
      </c>
      <c r="AN909" s="15" t="e">
        <f aca="false">_xlfn.xlookup(AK909,A:A,M:M)+_xlfn.xlookup(AK909,A:A,N:N)</f>
        <v>#NAME?</v>
      </c>
      <c r="AO909" s="223" t="e">
        <f aca="false">_xlfn.xlookup(AK909,A:A,AG:AG)</f>
        <v>#NAME?</v>
      </c>
      <c r="AP909" s="223" t="e">
        <f aca="false">_xlfn.xlookup(AK909,A:A,AD:AD)</f>
        <v>#NAME?</v>
      </c>
      <c r="AQ909" s="223" t="e">
        <f aca="false">_xlfn.xlookup(AK909,A:A,AE:AE)</f>
        <v>#NAME?</v>
      </c>
      <c r="BB909" s="15" t="e">
        <f aca="false">_xlfn.xlookup(BA909,A:A,E:E)</f>
        <v>#NAME?</v>
      </c>
      <c r="BC909" s="15" t="e">
        <f aca="false">_xlfn.xlookup(BA909,A:A,J:J)</f>
        <v>#NAME?</v>
      </c>
      <c r="BD909" s="75" t="e">
        <f aca="false">_xlfn.xlookup(BA909,A:A,M:M)+_xlfn.xlookup(BA909,A:A,N:N)</f>
        <v>#NAME?</v>
      </c>
    </row>
    <row r="910" customFormat="false" ht="14.25" hidden="false" customHeight="false" outlineLevel="0" collapsed="false">
      <c r="AK910" s="15" t="e">
        <v>#NAME?</v>
      </c>
      <c r="AL910" s="15" t="e">
        <f aca="false">_xlfn.xlookup(AK910,A:A,F:F)</f>
        <v>#NAME?</v>
      </c>
      <c r="AM910" s="15" t="e">
        <f aca="false">_xlfn.xlookup(AK910,A:A,J:J)</f>
        <v>#NAME?</v>
      </c>
      <c r="AN910" s="15" t="e">
        <f aca="false">_xlfn.xlookup(AK910,A:A,M:M)+_xlfn.xlookup(AK910,A:A,N:N)</f>
        <v>#NAME?</v>
      </c>
      <c r="AO910" s="223" t="e">
        <f aca="false">_xlfn.xlookup(AK910,A:A,AG:AG)</f>
        <v>#NAME?</v>
      </c>
      <c r="AP910" s="223" t="e">
        <f aca="false">_xlfn.xlookup(AK910,A:A,AD:AD)</f>
        <v>#NAME?</v>
      </c>
      <c r="AQ910" s="223" t="e">
        <f aca="false">_xlfn.xlookup(AK910,A:A,AE:AE)</f>
        <v>#NAME?</v>
      </c>
      <c r="BB910" s="15" t="e">
        <f aca="false">_xlfn.xlookup(BA910,A:A,E:E)</f>
        <v>#NAME?</v>
      </c>
      <c r="BC910" s="15" t="e">
        <f aca="false">_xlfn.xlookup(BA910,A:A,J:J)</f>
        <v>#NAME?</v>
      </c>
      <c r="BD910" s="75" t="e">
        <f aca="false">_xlfn.xlookup(BA910,A:A,M:M)+_xlfn.xlookup(BA910,A:A,N:N)</f>
        <v>#NAME?</v>
      </c>
    </row>
    <row r="911" customFormat="false" ht="14.25" hidden="false" customHeight="false" outlineLevel="0" collapsed="false">
      <c r="AK911" s="15" t="e">
        <v>#NAME?</v>
      </c>
      <c r="AL911" s="15" t="e">
        <f aca="false">_xlfn.xlookup(AK911,A:A,F:F)</f>
        <v>#NAME?</v>
      </c>
      <c r="AM911" s="15" t="e">
        <f aca="false">_xlfn.xlookup(AK911,A:A,J:J)</f>
        <v>#NAME?</v>
      </c>
      <c r="AN911" s="15" t="e">
        <f aca="false">_xlfn.xlookup(AK911,A:A,M:M)+_xlfn.xlookup(AK911,A:A,N:N)</f>
        <v>#NAME?</v>
      </c>
      <c r="AO911" s="223" t="e">
        <f aca="false">_xlfn.xlookup(AK911,A:A,AG:AG)</f>
        <v>#NAME?</v>
      </c>
      <c r="AP911" s="223" t="e">
        <f aca="false">_xlfn.xlookup(AK911,A:A,AD:AD)</f>
        <v>#NAME?</v>
      </c>
      <c r="AQ911" s="223" t="e">
        <f aca="false">_xlfn.xlookup(AK911,A:A,AE:AE)</f>
        <v>#NAME?</v>
      </c>
      <c r="BB911" s="15" t="e">
        <f aca="false">_xlfn.xlookup(BA911,A:A,E:E)</f>
        <v>#NAME?</v>
      </c>
      <c r="BC911" s="15" t="e">
        <f aca="false">_xlfn.xlookup(BA911,A:A,J:J)</f>
        <v>#NAME?</v>
      </c>
      <c r="BD911" s="75" t="e">
        <f aca="false">_xlfn.xlookup(BA911,A:A,M:M)+_xlfn.xlookup(BA911,A:A,N:N)</f>
        <v>#NAME?</v>
      </c>
    </row>
    <row r="912" customFormat="false" ht="14.25" hidden="false" customHeight="false" outlineLevel="0" collapsed="false">
      <c r="AK912" s="15" t="e">
        <v>#NAME?</v>
      </c>
      <c r="AL912" s="15" t="e">
        <f aca="false">_xlfn.xlookup(AK912,A:A,F:F)</f>
        <v>#NAME?</v>
      </c>
      <c r="AM912" s="15" t="e">
        <f aca="false">_xlfn.xlookup(AK912,A:A,J:J)</f>
        <v>#NAME?</v>
      </c>
      <c r="AN912" s="15" t="e">
        <f aca="false">_xlfn.xlookup(AK912,A:A,M:M)+_xlfn.xlookup(AK912,A:A,N:N)</f>
        <v>#NAME?</v>
      </c>
      <c r="AO912" s="223" t="e">
        <f aca="false">_xlfn.xlookup(AK912,A:A,AG:AG)</f>
        <v>#NAME?</v>
      </c>
      <c r="AP912" s="223" t="e">
        <f aca="false">_xlfn.xlookup(AK912,A:A,AD:AD)</f>
        <v>#NAME?</v>
      </c>
      <c r="AQ912" s="223" t="e">
        <f aca="false">_xlfn.xlookup(AK912,A:A,AE:AE)</f>
        <v>#NAME?</v>
      </c>
      <c r="BB912" s="15" t="e">
        <f aca="false">_xlfn.xlookup(BA912,A:A,E:E)</f>
        <v>#NAME?</v>
      </c>
      <c r="BC912" s="15" t="e">
        <f aca="false">_xlfn.xlookup(BA912,A:A,J:J)</f>
        <v>#NAME?</v>
      </c>
      <c r="BD912" s="75" t="e">
        <f aca="false">_xlfn.xlookup(BA912,A:A,M:M)+_xlfn.xlookup(BA912,A:A,N:N)</f>
        <v>#NAME?</v>
      </c>
    </row>
    <row r="913" customFormat="false" ht="14.25" hidden="false" customHeight="false" outlineLevel="0" collapsed="false">
      <c r="AK913" s="15" t="e">
        <v>#NAME?</v>
      </c>
      <c r="AL913" s="15" t="e">
        <f aca="false">_xlfn.xlookup(AK913,A:A,F:F)</f>
        <v>#NAME?</v>
      </c>
      <c r="AM913" s="15" t="e">
        <f aca="false">_xlfn.xlookup(AK913,A:A,J:J)</f>
        <v>#NAME?</v>
      </c>
      <c r="AN913" s="15" t="e">
        <f aca="false">_xlfn.xlookup(AK913,A:A,M:M)+_xlfn.xlookup(AK913,A:A,N:N)</f>
        <v>#NAME?</v>
      </c>
      <c r="AO913" s="223" t="e">
        <f aca="false">_xlfn.xlookup(AK913,A:A,AG:AG)</f>
        <v>#NAME?</v>
      </c>
      <c r="AP913" s="223" t="e">
        <f aca="false">_xlfn.xlookup(AK913,A:A,AD:AD)</f>
        <v>#NAME?</v>
      </c>
      <c r="AQ913" s="223" t="e">
        <f aca="false">_xlfn.xlookup(AK913,A:A,AE:AE)</f>
        <v>#NAME?</v>
      </c>
      <c r="BB913" s="15" t="e">
        <f aca="false">_xlfn.xlookup(BA913,A:A,E:E)</f>
        <v>#NAME?</v>
      </c>
      <c r="BC913" s="15" t="e">
        <f aca="false">_xlfn.xlookup(BA913,A:A,J:J)</f>
        <v>#NAME?</v>
      </c>
      <c r="BD913" s="75" t="e">
        <f aca="false">_xlfn.xlookup(BA913,A:A,M:M)+_xlfn.xlookup(BA913,A:A,N:N)</f>
        <v>#NAME?</v>
      </c>
    </row>
    <row r="914" customFormat="false" ht="14.25" hidden="false" customHeight="false" outlineLevel="0" collapsed="false">
      <c r="AK914" s="15" t="e">
        <v>#NAME?</v>
      </c>
      <c r="AL914" s="15" t="e">
        <f aca="false">_xlfn.xlookup(AK914,A:A,F:F)</f>
        <v>#NAME?</v>
      </c>
      <c r="AM914" s="15" t="e">
        <f aca="false">_xlfn.xlookup(AK914,A:A,J:J)</f>
        <v>#NAME?</v>
      </c>
      <c r="AN914" s="15" t="e">
        <f aca="false">_xlfn.xlookup(AK914,A:A,M:M)+_xlfn.xlookup(AK914,A:A,N:N)</f>
        <v>#NAME?</v>
      </c>
      <c r="AO914" s="223" t="e">
        <f aca="false">_xlfn.xlookup(AK914,A:A,AG:AG)</f>
        <v>#NAME?</v>
      </c>
      <c r="AP914" s="223" t="e">
        <f aca="false">_xlfn.xlookup(AK914,A:A,AD:AD)</f>
        <v>#NAME?</v>
      </c>
      <c r="AQ914" s="223" t="e">
        <f aca="false">_xlfn.xlookup(AK914,A:A,AE:AE)</f>
        <v>#NAME?</v>
      </c>
      <c r="BB914" s="15" t="e">
        <f aca="false">_xlfn.xlookup(BA914,A:A,E:E)</f>
        <v>#NAME?</v>
      </c>
      <c r="BC914" s="15" t="e">
        <f aca="false">_xlfn.xlookup(BA914,A:A,J:J)</f>
        <v>#NAME?</v>
      </c>
      <c r="BD914" s="75" t="e">
        <f aca="false">_xlfn.xlookup(BA914,A:A,M:M)+_xlfn.xlookup(BA914,A:A,N:N)</f>
        <v>#NAME?</v>
      </c>
    </row>
    <row r="915" customFormat="false" ht="14.25" hidden="false" customHeight="false" outlineLevel="0" collapsed="false">
      <c r="AK915" s="15" t="e">
        <v>#NAME?</v>
      </c>
      <c r="AL915" s="15" t="e">
        <f aca="false">_xlfn.xlookup(AK915,A:A,F:F)</f>
        <v>#NAME?</v>
      </c>
      <c r="AM915" s="15" t="e">
        <f aca="false">_xlfn.xlookup(AK915,A:A,J:J)</f>
        <v>#NAME?</v>
      </c>
      <c r="AN915" s="15" t="e">
        <f aca="false">_xlfn.xlookup(AK915,A:A,M:M)+_xlfn.xlookup(AK915,A:A,N:N)</f>
        <v>#NAME?</v>
      </c>
      <c r="AO915" s="223" t="e">
        <f aca="false">_xlfn.xlookup(AK915,A:A,AG:AG)</f>
        <v>#NAME?</v>
      </c>
      <c r="AP915" s="223" t="e">
        <f aca="false">_xlfn.xlookup(AK915,A:A,AD:AD)</f>
        <v>#NAME?</v>
      </c>
      <c r="AQ915" s="223" t="e">
        <f aca="false">_xlfn.xlookup(AK915,A:A,AE:AE)</f>
        <v>#NAME?</v>
      </c>
      <c r="BB915" s="15" t="e">
        <f aca="false">_xlfn.xlookup(BA915,A:A,E:E)</f>
        <v>#NAME?</v>
      </c>
      <c r="BC915" s="15" t="e">
        <f aca="false">_xlfn.xlookup(BA915,A:A,J:J)</f>
        <v>#NAME?</v>
      </c>
      <c r="BD915" s="75" t="e">
        <f aca="false">_xlfn.xlookup(BA915,A:A,M:M)+_xlfn.xlookup(BA915,A:A,N:N)</f>
        <v>#NAME?</v>
      </c>
    </row>
    <row r="916" customFormat="false" ht="14.25" hidden="false" customHeight="false" outlineLevel="0" collapsed="false">
      <c r="AK916" s="15" t="e">
        <v>#NAME?</v>
      </c>
      <c r="AL916" s="15" t="e">
        <f aca="false">_xlfn.xlookup(AK916,A:A,F:F)</f>
        <v>#NAME?</v>
      </c>
      <c r="AM916" s="15" t="e">
        <f aca="false">_xlfn.xlookup(AK916,A:A,J:J)</f>
        <v>#NAME?</v>
      </c>
      <c r="AN916" s="15" t="e">
        <f aca="false">_xlfn.xlookup(AK916,A:A,M:M)+_xlfn.xlookup(AK916,A:A,N:N)</f>
        <v>#NAME?</v>
      </c>
      <c r="AO916" s="223" t="e">
        <f aca="false">_xlfn.xlookup(AK916,A:A,AG:AG)</f>
        <v>#NAME?</v>
      </c>
      <c r="AP916" s="223" t="e">
        <f aca="false">_xlfn.xlookup(AK916,A:A,AD:AD)</f>
        <v>#NAME?</v>
      </c>
      <c r="AQ916" s="223" t="e">
        <f aca="false">_xlfn.xlookup(AK916,A:A,AE:AE)</f>
        <v>#NAME?</v>
      </c>
      <c r="BB916" s="15" t="e">
        <f aca="false">_xlfn.xlookup(BA916,A:A,E:E)</f>
        <v>#NAME?</v>
      </c>
      <c r="BC916" s="15" t="e">
        <f aca="false">_xlfn.xlookup(BA916,A:A,J:J)</f>
        <v>#NAME?</v>
      </c>
      <c r="BD916" s="75" t="e">
        <f aca="false">_xlfn.xlookup(BA916,A:A,M:M)+_xlfn.xlookup(BA916,A:A,N:N)</f>
        <v>#NAME?</v>
      </c>
    </row>
    <row r="917" customFormat="false" ht="14.25" hidden="false" customHeight="false" outlineLevel="0" collapsed="false">
      <c r="AK917" s="15" t="e">
        <v>#NAME?</v>
      </c>
      <c r="AL917" s="15" t="e">
        <f aca="false">_xlfn.xlookup(AK917,A:A,F:F)</f>
        <v>#NAME?</v>
      </c>
      <c r="AM917" s="15" t="e">
        <f aca="false">_xlfn.xlookup(AK917,A:A,J:J)</f>
        <v>#NAME?</v>
      </c>
      <c r="AN917" s="15" t="e">
        <f aca="false">_xlfn.xlookup(AK917,A:A,M:M)+_xlfn.xlookup(AK917,A:A,N:N)</f>
        <v>#NAME?</v>
      </c>
      <c r="AO917" s="223" t="e">
        <f aca="false">_xlfn.xlookup(AK917,A:A,AG:AG)</f>
        <v>#NAME?</v>
      </c>
      <c r="AP917" s="223" t="e">
        <f aca="false">_xlfn.xlookup(AK917,A:A,AD:AD)</f>
        <v>#NAME?</v>
      </c>
      <c r="AQ917" s="223" t="e">
        <f aca="false">_xlfn.xlookup(AK917,A:A,AE:AE)</f>
        <v>#NAME?</v>
      </c>
      <c r="BB917" s="15" t="e">
        <f aca="false">_xlfn.xlookup(BA917,A:A,E:E)</f>
        <v>#NAME?</v>
      </c>
      <c r="BC917" s="15" t="e">
        <f aca="false">_xlfn.xlookup(BA917,A:A,J:J)</f>
        <v>#NAME?</v>
      </c>
      <c r="BD917" s="75" t="e">
        <f aca="false">_xlfn.xlookup(BA917,A:A,M:M)+_xlfn.xlookup(BA917,A:A,N:N)</f>
        <v>#NAME?</v>
      </c>
    </row>
    <row r="918" customFormat="false" ht="14.25" hidden="false" customHeight="false" outlineLevel="0" collapsed="false">
      <c r="AK918" s="15" t="e">
        <v>#NAME?</v>
      </c>
      <c r="AL918" s="15" t="e">
        <f aca="false">_xlfn.xlookup(AK918,A:A,F:F)</f>
        <v>#NAME?</v>
      </c>
      <c r="AM918" s="15" t="e">
        <f aca="false">_xlfn.xlookup(AK918,A:A,J:J)</f>
        <v>#NAME?</v>
      </c>
      <c r="AN918" s="15" t="e">
        <f aca="false">_xlfn.xlookup(AK918,A:A,M:M)+_xlfn.xlookup(AK918,A:A,N:N)</f>
        <v>#NAME?</v>
      </c>
      <c r="AO918" s="223" t="e">
        <f aca="false">_xlfn.xlookup(AK918,A:A,AG:AG)</f>
        <v>#NAME?</v>
      </c>
      <c r="AP918" s="223" t="e">
        <f aca="false">_xlfn.xlookup(AK918,A:A,AD:AD)</f>
        <v>#NAME?</v>
      </c>
      <c r="AQ918" s="223" t="e">
        <f aca="false">_xlfn.xlookup(AK918,A:A,AE:AE)</f>
        <v>#NAME?</v>
      </c>
      <c r="BB918" s="15" t="e">
        <f aca="false">_xlfn.xlookup(BA918,A:A,E:E)</f>
        <v>#NAME?</v>
      </c>
      <c r="BC918" s="15" t="e">
        <f aca="false">_xlfn.xlookup(BA918,A:A,J:J)</f>
        <v>#NAME?</v>
      </c>
      <c r="BD918" s="75" t="e">
        <f aca="false">_xlfn.xlookup(BA918,A:A,M:M)+_xlfn.xlookup(BA918,A:A,N:N)</f>
        <v>#NAME?</v>
      </c>
    </row>
    <row r="919" customFormat="false" ht="14.25" hidden="false" customHeight="false" outlineLevel="0" collapsed="false">
      <c r="AK919" s="15" t="e">
        <v>#NAME?</v>
      </c>
      <c r="AL919" s="15" t="e">
        <f aca="false">_xlfn.xlookup(AK919,A:A,F:F)</f>
        <v>#NAME?</v>
      </c>
      <c r="AM919" s="15" t="e">
        <f aca="false">_xlfn.xlookup(AK919,A:A,J:J)</f>
        <v>#NAME?</v>
      </c>
      <c r="AN919" s="15" t="e">
        <f aca="false">_xlfn.xlookup(AK919,A:A,M:M)+_xlfn.xlookup(AK919,A:A,N:N)</f>
        <v>#NAME?</v>
      </c>
      <c r="AO919" s="223" t="e">
        <f aca="false">_xlfn.xlookup(AK919,A:A,AG:AG)</f>
        <v>#NAME?</v>
      </c>
      <c r="AP919" s="223" t="e">
        <f aca="false">_xlfn.xlookup(AK919,A:A,AD:AD)</f>
        <v>#NAME?</v>
      </c>
      <c r="AQ919" s="223" t="e">
        <f aca="false">_xlfn.xlookup(AK919,A:A,AE:AE)</f>
        <v>#NAME?</v>
      </c>
      <c r="BB919" s="15" t="e">
        <f aca="false">_xlfn.xlookup(BA919,A:A,E:E)</f>
        <v>#NAME?</v>
      </c>
      <c r="BC919" s="15" t="e">
        <f aca="false">_xlfn.xlookup(BA919,A:A,J:J)</f>
        <v>#NAME?</v>
      </c>
      <c r="BD919" s="75" t="e">
        <f aca="false">_xlfn.xlookup(BA919,A:A,M:M)+_xlfn.xlookup(BA919,A:A,N:N)</f>
        <v>#NAME?</v>
      </c>
    </row>
    <row r="920" customFormat="false" ht="14.25" hidden="false" customHeight="false" outlineLevel="0" collapsed="false">
      <c r="AK920" s="15" t="e">
        <v>#NAME?</v>
      </c>
      <c r="AL920" s="15" t="e">
        <f aca="false">_xlfn.xlookup(AK920,A:A,F:F)</f>
        <v>#NAME?</v>
      </c>
      <c r="AM920" s="15" t="e">
        <f aca="false">_xlfn.xlookup(AK920,A:A,J:J)</f>
        <v>#NAME?</v>
      </c>
      <c r="AN920" s="15" t="e">
        <f aca="false">_xlfn.xlookup(AK920,A:A,M:M)+_xlfn.xlookup(AK920,A:A,N:N)</f>
        <v>#NAME?</v>
      </c>
      <c r="AO920" s="223" t="e">
        <f aca="false">_xlfn.xlookup(AK920,A:A,AG:AG)</f>
        <v>#NAME?</v>
      </c>
      <c r="AP920" s="223" t="e">
        <f aca="false">_xlfn.xlookup(AK920,A:A,AD:AD)</f>
        <v>#NAME?</v>
      </c>
      <c r="AQ920" s="223" t="e">
        <f aca="false">_xlfn.xlookup(AK920,A:A,AE:AE)</f>
        <v>#NAME?</v>
      </c>
      <c r="BB920" s="15" t="e">
        <f aca="false">_xlfn.xlookup(BA920,A:A,E:E)</f>
        <v>#NAME?</v>
      </c>
      <c r="BC920" s="15" t="e">
        <f aca="false">_xlfn.xlookup(BA920,A:A,J:J)</f>
        <v>#NAME?</v>
      </c>
      <c r="BD920" s="75" t="e">
        <f aca="false">_xlfn.xlookup(BA920,A:A,M:M)+_xlfn.xlookup(BA920,A:A,N:N)</f>
        <v>#NAME?</v>
      </c>
    </row>
    <row r="921" customFormat="false" ht="14.25" hidden="false" customHeight="false" outlineLevel="0" collapsed="false">
      <c r="AK921" s="15" t="e">
        <v>#NAME?</v>
      </c>
      <c r="AL921" s="15" t="e">
        <f aca="false">_xlfn.xlookup(AK921,A:A,F:F)</f>
        <v>#NAME?</v>
      </c>
      <c r="AM921" s="15" t="e">
        <f aca="false">_xlfn.xlookup(AK921,A:A,J:J)</f>
        <v>#NAME?</v>
      </c>
      <c r="AN921" s="15" t="e">
        <f aca="false">_xlfn.xlookup(AK921,A:A,M:M)+_xlfn.xlookup(AK921,A:A,N:N)</f>
        <v>#NAME?</v>
      </c>
      <c r="AO921" s="223" t="e">
        <f aca="false">_xlfn.xlookup(AK921,A:A,AG:AG)</f>
        <v>#NAME?</v>
      </c>
      <c r="AP921" s="223" t="e">
        <f aca="false">_xlfn.xlookup(AK921,A:A,AD:AD)</f>
        <v>#NAME?</v>
      </c>
      <c r="AQ921" s="223" t="e">
        <f aca="false">_xlfn.xlookup(AK921,A:A,AE:AE)</f>
        <v>#NAME?</v>
      </c>
      <c r="BB921" s="15" t="e">
        <f aca="false">_xlfn.xlookup(BA921,A:A,E:E)</f>
        <v>#NAME?</v>
      </c>
      <c r="BC921" s="15" t="e">
        <f aca="false">_xlfn.xlookup(BA921,A:A,J:J)</f>
        <v>#NAME?</v>
      </c>
      <c r="BD921" s="75" t="e">
        <f aca="false">_xlfn.xlookup(BA921,A:A,M:M)+_xlfn.xlookup(BA921,A:A,N:N)</f>
        <v>#NAME?</v>
      </c>
    </row>
    <row r="922" customFormat="false" ht="14.25" hidden="false" customHeight="false" outlineLevel="0" collapsed="false">
      <c r="AK922" s="15" t="e">
        <v>#NAME?</v>
      </c>
      <c r="AL922" s="15" t="e">
        <f aca="false">_xlfn.xlookup(AK922,A:A,F:F)</f>
        <v>#NAME?</v>
      </c>
      <c r="AM922" s="15" t="e">
        <f aca="false">_xlfn.xlookup(AK922,A:A,J:J)</f>
        <v>#NAME?</v>
      </c>
      <c r="AN922" s="15" t="e">
        <f aca="false">_xlfn.xlookup(AK922,A:A,M:M)+_xlfn.xlookup(AK922,A:A,N:N)</f>
        <v>#NAME?</v>
      </c>
      <c r="AO922" s="223" t="e">
        <f aca="false">_xlfn.xlookup(AK922,A:A,AG:AG)</f>
        <v>#NAME?</v>
      </c>
      <c r="AP922" s="223" t="e">
        <f aca="false">_xlfn.xlookup(AK922,A:A,AD:AD)</f>
        <v>#NAME?</v>
      </c>
      <c r="AQ922" s="223" t="e">
        <f aca="false">_xlfn.xlookup(AK922,A:A,AE:AE)</f>
        <v>#NAME?</v>
      </c>
      <c r="BB922" s="15" t="e">
        <f aca="false">_xlfn.xlookup(BA922,A:A,E:E)</f>
        <v>#NAME?</v>
      </c>
      <c r="BC922" s="15" t="e">
        <f aca="false">_xlfn.xlookup(BA922,A:A,J:J)</f>
        <v>#NAME?</v>
      </c>
      <c r="BD922" s="75" t="e">
        <f aca="false">_xlfn.xlookup(BA922,A:A,M:M)+_xlfn.xlookup(BA922,A:A,N:N)</f>
        <v>#NAME?</v>
      </c>
    </row>
    <row r="923" customFormat="false" ht="14.25" hidden="false" customHeight="false" outlineLevel="0" collapsed="false">
      <c r="AK923" s="15" t="e">
        <v>#NAME?</v>
      </c>
      <c r="AL923" s="15" t="e">
        <f aca="false">_xlfn.xlookup(AK923,A:A,F:F)</f>
        <v>#NAME?</v>
      </c>
      <c r="AM923" s="15" t="e">
        <f aca="false">_xlfn.xlookup(AK923,A:A,J:J)</f>
        <v>#NAME?</v>
      </c>
      <c r="AN923" s="15" t="e">
        <f aca="false">_xlfn.xlookup(AK923,A:A,M:M)+_xlfn.xlookup(AK923,A:A,N:N)</f>
        <v>#NAME?</v>
      </c>
      <c r="AO923" s="223" t="e">
        <f aca="false">_xlfn.xlookup(AK923,A:A,AG:AG)</f>
        <v>#NAME?</v>
      </c>
      <c r="AP923" s="223" t="e">
        <f aca="false">_xlfn.xlookup(AK923,A:A,AD:AD)</f>
        <v>#NAME?</v>
      </c>
      <c r="AQ923" s="223" t="e">
        <f aca="false">_xlfn.xlookup(AK923,A:A,AE:AE)</f>
        <v>#NAME?</v>
      </c>
      <c r="BB923" s="15" t="e">
        <f aca="false">_xlfn.xlookup(BA923,A:A,E:E)</f>
        <v>#NAME?</v>
      </c>
      <c r="BC923" s="15" t="e">
        <f aca="false">_xlfn.xlookup(BA923,A:A,J:J)</f>
        <v>#NAME?</v>
      </c>
      <c r="BD923" s="75" t="e">
        <f aca="false">_xlfn.xlookup(BA923,A:A,M:M)+_xlfn.xlookup(BA923,A:A,N:N)</f>
        <v>#NAME?</v>
      </c>
    </row>
    <row r="924" customFormat="false" ht="14.25" hidden="false" customHeight="false" outlineLevel="0" collapsed="false">
      <c r="AK924" s="15" t="e">
        <v>#NAME?</v>
      </c>
      <c r="AL924" s="15" t="e">
        <f aca="false">_xlfn.xlookup(AK924,A:A,F:F)</f>
        <v>#NAME?</v>
      </c>
      <c r="AM924" s="15" t="e">
        <f aca="false">_xlfn.xlookup(AK924,A:A,J:J)</f>
        <v>#NAME?</v>
      </c>
      <c r="AN924" s="15" t="e">
        <f aca="false">_xlfn.xlookup(AK924,A:A,M:M)+_xlfn.xlookup(AK924,A:A,N:N)</f>
        <v>#NAME?</v>
      </c>
      <c r="AO924" s="223" t="e">
        <f aca="false">_xlfn.xlookup(AK924,A:A,AG:AG)</f>
        <v>#NAME?</v>
      </c>
      <c r="AP924" s="223" t="e">
        <f aca="false">_xlfn.xlookup(AK924,A:A,AD:AD)</f>
        <v>#NAME?</v>
      </c>
      <c r="AQ924" s="223" t="e">
        <f aca="false">_xlfn.xlookup(AK924,A:A,AE:AE)</f>
        <v>#NAME?</v>
      </c>
      <c r="BB924" s="15" t="e">
        <f aca="false">_xlfn.xlookup(BA924,A:A,E:E)</f>
        <v>#NAME?</v>
      </c>
      <c r="BC924" s="15" t="e">
        <f aca="false">_xlfn.xlookup(BA924,A:A,J:J)</f>
        <v>#NAME?</v>
      </c>
      <c r="BD924" s="75" t="e">
        <f aca="false">_xlfn.xlookup(BA924,A:A,M:M)+_xlfn.xlookup(BA924,A:A,N:N)</f>
        <v>#NAME?</v>
      </c>
    </row>
    <row r="925" customFormat="false" ht="14.25" hidden="false" customHeight="false" outlineLevel="0" collapsed="false">
      <c r="AK925" s="15" t="e">
        <v>#NAME?</v>
      </c>
      <c r="AL925" s="15" t="e">
        <f aca="false">_xlfn.xlookup(AK925,A:A,F:F)</f>
        <v>#NAME?</v>
      </c>
      <c r="AM925" s="15" t="e">
        <f aca="false">_xlfn.xlookup(AK925,A:A,J:J)</f>
        <v>#NAME?</v>
      </c>
      <c r="AN925" s="15" t="e">
        <f aca="false">_xlfn.xlookup(AK925,A:A,M:M)+_xlfn.xlookup(AK925,A:A,N:N)</f>
        <v>#NAME?</v>
      </c>
      <c r="AO925" s="223" t="e">
        <f aca="false">_xlfn.xlookup(AK925,A:A,AG:AG)</f>
        <v>#NAME?</v>
      </c>
      <c r="AP925" s="223" t="e">
        <f aca="false">_xlfn.xlookup(AK925,A:A,AD:AD)</f>
        <v>#NAME?</v>
      </c>
      <c r="AQ925" s="223" t="e">
        <f aca="false">_xlfn.xlookup(AK925,A:A,AE:AE)</f>
        <v>#NAME?</v>
      </c>
      <c r="BB925" s="15" t="e">
        <f aca="false">_xlfn.xlookup(BA925,A:A,E:E)</f>
        <v>#NAME?</v>
      </c>
      <c r="BC925" s="15" t="e">
        <f aca="false">_xlfn.xlookup(BA925,A:A,J:J)</f>
        <v>#NAME?</v>
      </c>
      <c r="BD925" s="75" t="e">
        <f aca="false">_xlfn.xlookup(BA925,A:A,M:M)+_xlfn.xlookup(BA925,A:A,N:N)</f>
        <v>#NAME?</v>
      </c>
    </row>
    <row r="926" customFormat="false" ht="14.25" hidden="false" customHeight="false" outlineLevel="0" collapsed="false">
      <c r="AK926" s="15" t="e">
        <v>#NAME?</v>
      </c>
      <c r="AL926" s="15" t="e">
        <f aca="false">_xlfn.xlookup(AK926,A:A,F:F)</f>
        <v>#NAME?</v>
      </c>
      <c r="AM926" s="15" t="e">
        <f aca="false">_xlfn.xlookup(AK926,A:A,J:J)</f>
        <v>#NAME?</v>
      </c>
      <c r="AN926" s="15" t="e">
        <f aca="false">_xlfn.xlookup(AK926,A:A,M:M)+_xlfn.xlookup(AK926,A:A,N:N)</f>
        <v>#NAME?</v>
      </c>
      <c r="AO926" s="223" t="e">
        <f aca="false">_xlfn.xlookup(AK926,A:A,AG:AG)</f>
        <v>#NAME?</v>
      </c>
      <c r="AP926" s="223" t="e">
        <f aca="false">_xlfn.xlookup(AK926,A:A,AD:AD)</f>
        <v>#NAME?</v>
      </c>
      <c r="AQ926" s="223" t="e">
        <f aca="false">_xlfn.xlookup(AK926,A:A,AE:AE)</f>
        <v>#NAME?</v>
      </c>
      <c r="BB926" s="15" t="e">
        <f aca="false">_xlfn.xlookup(BA926,A:A,E:E)</f>
        <v>#NAME?</v>
      </c>
      <c r="BC926" s="15" t="e">
        <f aca="false">_xlfn.xlookup(BA926,A:A,J:J)</f>
        <v>#NAME?</v>
      </c>
      <c r="BD926" s="75" t="e">
        <f aca="false">_xlfn.xlookup(BA926,A:A,M:M)+_xlfn.xlookup(BA926,A:A,N:N)</f>
        <v>#NAME?</v>
      </c>
    </row>
    <row r="927" customFormat="false" ht="14.25" hidden="false" customHeight="false" outlineLevel="0" collapsed="false">
      <c r="AK927" s="15" t="e">
        <v>#NAME?</v>
      </c>
      <c r="AL927" s="15" t="e">
        <f aca="false">_xlfn.xlookup(AK927,A:A,F:F)</f>
        <v>#NAME?</v>
      </c>
      <c r="AM927" s="15" t="e">
        <f aca="false">_xlfn.xlookup(AK927,A:A,J:J)</f>
        <v>#NAME?</v>
      </c>
      <c r="AN927" s="15" t="e">
        <f aca="false">_xlfn.xlookup(AK927,A:A,M:M)+_xlfn.xlookup(AK927,A:A,N:N)</f>
        <v>#NAME?</v>
      </c>
      <c r="AO927" s="223" t="e">
        <f aca="false">_xlfn.xlookup(AK927,A:A,AG:AG)</f>
        <v>#NAME?</v>
      </c>
      <c r="AP927" s="223" t="e">
        <f aca="false">_xlfn.xlookup(AK927,A:A,AD:AD)</f>
        <v>#NAME?</v>
      </c>
      <c r="AQ927" s="223" t="e">
        <f aca="false">_xlfn.xlookup(AK927,A:A,AE:AE)</f>
        <v>#NAME?</v>
      </c>
      <c r="BB927" s="15" t="e">
        <f aca="false">_xlfn.xlookup(BA927,A:A,E:E)</f>
        <v>#NAME?</v>
      </c>
      <c r="BC927" s="15" t="e">
        <f aca="false">_xlfn.xlookup(BA927,A:A,J:J)</f>
        <v>#NAME?</v>
      </c>
      <c r="BD927" s="75" t="e">
        <f aca="false">_xlfn.xlookup(BA927,A:A,M:M)+_xlfn.xlookup(BA927,A:A,N:N)</f>
        <v>#NAME?</v>
      </c>
    </row>
    <row r="928" customFormat="false" ht="14.25" hidden="false" customHeight="false" outlineLevel="0" collapsed="false">
      <c r="AK928" s="15" t="e">
        <v>#NAME?</v>
      </c>
      <c r="AL928" s="15" t="e">
        <f aca="false">_xlfn.xlookup(AK928,A:A,F:F)</f>
        <v>#NAME?</v>
      </c>
      <c r="AM928" s="15" t="e">
        <f aca="false">_xlfn.xlookup(AK928,A:A,J:J)</f>
        <v>#NAME?</v>
      </c>
      <c r="AN928" s="15" t="e">
        <f aca="false">_xlfn.xlookup(AK928,A:A,M:M)+_xlfn.xlookup(AK928,A:A,N:N)</f>
        <v>#NAME?</v>
      </c>
      <c r="AO928" s="223" t="e">
        <f aca="false">_xlfn.xlookup(AK928,A:A,AG:AG)</f>
        <v>#NAME?</v>
      </c>
      <c r="AP928" s="223" t="e">
        <f aca="false">_xlfn.xlookup(AK928,A:A,AD:AD)</f>
        <v>#NAME?</v>
      </c>
      <c r="AQ928" s="223" t="e">
        <f aca="false">_xlfn.xlookup(AK928,A:A,AE:AE)</f>
        <v>#NAME?</v>
      </c>
      <c r="BB928" s="15" t="e">
        <f aca="false">_xlfn.xlookup(BA928,A:A,E:E)</f>
        <v>#NAME?</v>
      </c>
      <c r="BC928" s="15" t="e">
        <f aca="false">_xlfn.xlookup(BA928,A:A,J:J)</f>
        <v>#NAME?</v>
      </c>
      <c r="BD928" s="75" t="e">
        <f aca="false">_xlfn.xlookup(BA928,A:A,M:M)+_xlfn.xlookup(BA928,A:A,N:N)</f>
        <v>#NAME?</v>
      </c>
    </row>
    <row r="929" customFormat="false" ht="14.25" hidden="false" customHeight="false" outlineLevel="0" collapsed="false">
      <c r="AK929" s="15" t="e">
        <v>#NAME?</v>
      </c>
      <c r="AL929" s="15" t="e">
        <f aca="false">_xlfn.xlookup(AK929,A:A,F:F)</f>
        <v>#NAME?</v>
      </c>
      <c r="AM929" s="15" t="e">
        <f aca="false">_xlfn.xlookup(AK929,A:A,J:J)</f>
        <v>#NAME?</v>
      </c>
      <c r="AN929" s="15" t="e">
        <f aca="false">_xlfn.xlookup(AK929,A:A,M:M)+_xlfn.xlookup(AK929,A:A,N:N)</f>
        <v>#NAME?</v>
      </c>
      <c r="AO929" s="223" t="e">
        <f aca="false">_xlfn.xlookup(AK929,A:A,AG:AG)</f>
        <v>#NAME?</v>
      </c>
      <c r="AP929" s="223" t="e">
        <f aca="false">_xlfn.xlookup(AK929,A:A,AD:AD)</f>
        <v>#NAME?</v>
      </c>
      <c r="AQ929" s="223" t="e">
        <f aca="false">_xlfn.xlookup(AK929,A:A,AE:AE)</f>
        <v>#NAME?</v>
      </c>
      <c r="BB929" s="15" t="e">
        <f aca="false">_xlfn.xlookup(BA929,A:A,E:E)</f>
        <v>#NAME?</v>
      </c>
      <c r="BC929" s="15" t="e">
        <f aca="false">_xlfn.xlookup(BA929,A:A,J:J)</f>
        <v>#NAME?</v>
      </c>
      <c r="BD929" s="75" t="e">
        <f aca="false">_xlfn.xlookup(BA929,A:A,M:M)+_xlfn.xlookup(BA929,A:A,N:N)</f>
        <v>#NAME?</v>
      </c>
    </row>
    <row r="930" customFormat="false" ht="14.25" hidden="false" customHeight="false" outlineLevel="0" collapsed="false">
      <c r="AK930" s="15" t="e">
        <v>#NAME?</v>
      </c>
      <c r="AL930" s="15" t="e">
        <f aca="false">_xlfn.xlookup(AK930,A:A,F:F)</f>
        <v>#NAME?</v>
      </c>
      <c r="AM930" s="15" t="e">
        <f aca="false">_xlfn.xlookup(AK930,A:A,J:J)</f>
        <v>#NAME?</v>
      </c>
      <c r="AN930" s="15" t="e">
        <f aca="false">_xlfn.xlookup(AK930,A:A,M:M)+_xlfn.xlookup(AK930,A:A,N:N)</f>
        <v>#NAME?</v>
      </c>
      <c r="AO930" s="223" t="e">
        <f aca="false">_xlfn.xlookup(AK930,A:A,AG:AG)</f>
        <v>#NAME?</v>
      </c>
      <c r="AP930" s="223" t="e">
        <f aca="false">_xlfn.xlookup(AK930,A:A,AD:AD)</f>
        <v>#NAME?</v>
      </c>
      <c r="AQ930" s="223" t="e">
        <f aca="false">_xlfn.xlookup(AK930,A:A,AE:AE)</f>
        <v>#NAME?</v>
      </c>
      <c r="BB930" s="15" t="e">
        <f aca="false">_xlfn.xlookup(BA930,A:A,E:E)</f>
        <v>#NAME?</v>
      </c>
      <c r="BC930" s="15" t="e">
        <f aca="false">_xlfn.xlookup(BA930,A:A,J:J)</f>
        <v>#NAME?</v>
      </c>
      <c r="BD930" s="75" t="e">
        <f aca="false">_xlfn.xlookup(BA930,A:A,M:M)+_xlfn.xlookup(BA930,A:A,N:N)</f>
        <v>#NAME?</v>
      </c>
    </row>
    <row r="931" customFormat="false" ht="14.25" hidden="false" customHeight="false" outlineLevel="0" collapsed="false">
      <c r="AK931" s="15" t="e">
        <v>#NAME?</v>
      </c>
      <c r="AL931" s="15" t="e">
        <f aca="false">_xlfn.xlookup(AK931,A:A,F:F)</f>
        <v>#NAME?</v>
      </c>
      <c r="AM931" s="15" t="e">
        <f aca="false">_xlfn.xlookup(AK931,A:A,J:J)</f>
        <v>#NAME?</v>
      </c>
      <c r="AN931" s="15" t="e">
        <f aca="false">_xlfn.xlookup(AK931,A:A,M:M)+_xlfn.xlookup(AK931,A:A,N:N)</f>
        <v>#NAME?</v>
      </c>
      <c r="AO931" s="223" t="e">
        <f aca="false">_xlfn.xlookup(AK931,A:A,AG:AG)</f>
        <v>#NAME?</v>
      </c>
      <c r="AP931" s="223" t="e">
        <f aca="false">_xlfn.xlookup(AK931,A:A,AD:AD)</f>
        <v>#NAME?</v>
      </c>
      <c r="AQ931" s="223" t="e">
        <f aca="false">_xlfn.xlookup(AK931,A:A,AE:AE)</f>
        <v>#NAME?</v>
      </c>
      <c r="BB931" s="15" t="e">
        <f aca="false">_xlfn.xlookup(BA931,A:A,E:E)</f>
        <v>#NAME?</v>
      </c>
      <c r="BC931" s="15" t="e">
        <f aca="false">_xlfn.xlookup(BA931,A:A,J:J)</f>
        <v>#NAME?</v>
      </c>
      <c r="BD931" s="75" t="e">
        <f aca="false">_xlfn.xlookup(BA931,A:A,M:M)+_xlfn.xlookup(BA931,A:A,N:N)</f>
        <v>#NAME?</v>
      </c>
    </row>
    <row r="932" customFormat="false" ht="14.25" hidden="false" customHeight="false" outlineLevel="0" collapsed="false">
      <c r="AK932" s="15" t="e">
        <v>#NAME?</v>
      </c>
      <c r="AL932" s="15" t="e">
        <f aca="false">_xlfn.xlookup(AK932,A:A,F:F)</f>
        <v>#NAME?</v>
      </c>
      <c r="AM932" s="15" t="e">
        <f aca="false">_xlfn.xlookup(AK932,A:A,J:J)</f>
        <v>#NAME?</v>
      </c>
      <c r="AN932" s="15" t="e">
        <f aca="false">_xlfn.xlookup(AK932,A:A,M:M)+_xlfn.xlookup(AK932,A:A,N:N)</f>
        <v>#NAME?</v>
      </c>
      <c r="AO932" s="223" t="e">
        <f aca="false">_xlfn.xlookup(AK932,A:A,AG:AG)</f>
        <v>#NAME?</v>
      </c>
      <c r="AP932" s="223" t="e">
        <f aca="false">_xlfn.xlookup(AK932,A:A,AD:AD)</f>
        <v>#NAME?</v>
      </c>
      <c r="AQ932" s="223" t="e">
        <f aca="false">_xlfn.xlookup(AK932,A:A,AE:AE)</f>
        <v>#NAME?</v>
      </c>
      <c r="BB932" s="15" t="e">
        <f aca="false">_xlfn.xlookup(BA932,A:A,E:E)</f>
        <v>#NAME?</v>
      </c>
      <c r="BC932" s="15" t="e">
        <f aca="false">_xlfn.xlookup(BA932,A:A,J:J)</f>
        <v>#NAME?</v>
      </c>
      <c r="BD932" s="75" t="e">
        <f aca="false">_xlfn.xlookup(BA932,A:A,M:M)+_xlfn.xlookup(BA932,A:A,N:N)</f>
        <v>#NAME?</v>
      </c>
    </row>
    <row r="933" customFormat="false" ht="14.25" hidden="false" customHeight="false" outlineLevel="0" collapsed="false">
      <c r="AK933" s="15" t="e">
        <v>#NAME?</v>
      </c>
      <c r="AL933" s="15" t="e">
        <f aca="false">_xlfn.xlookup(AK933,A:A,F:F)</f>
        <v>#NAME?</v>
      </c>
      <c r="AM933" s="15" t="e">
        <f aca="false">_xlfn.xlookup(AK933,A:A,J:J)</f>
        <v>#NAME?</v>
      </c>
      <c r="AN933" s="15" t="e">
        <f aca="false">_xlfn.xlookup(AK933,A:A,M:M)+_xlfn.xlookup(AK933,A:A,N:N)</f>
        <v>#NAME?</v>
      </c>
      <c r="AO933" s="223" t="e">
        <f aca="false">_xlfn.xlookup(AK933,A:A,AG:AG)</f>
        <v>#NAME?</v>
      </c>
      <c r="AP933" s="223" t="e">
        <f aca="false">_xlfn.xlookup(AK933,A:A,AD:AD)</f>
        <v>#NAME?</v>
      </c>
      <c r="AQ933" s="223" t="e">
        <f aca="false">_xlfn.xlookup(AK933,A:A,AE:AE)</f>
        <v>#NAME?</v>
      </c>
      <c r="BB933" s="15" t="e">
        <f aca="false">_xlfn.xlookup(BA933,A:A,E:E)</f>
        <v>#NAME?</v>
      </c>
      <c r="BC933" s="15" t="e">
        <f aca="false">_xlfn.xlookup(BA933,A:A,J:J)</f>
        <v>#NAME?</v>
      </c>
      <c r="BD933" s="75" t="e">
        <f aca="false">_xlfn.xlookup(BA933,A:A,M:M)+_xlfn.xlookup(BA933,A:A,N:N)</f>
        <v>#NAME?</v>
      </c>
    </row>
    <row r="934" customFormat="false" ht="14.25" hidden="false" customHeight="false" outlineLevel="0" collapsed="false">
      <c r="AK934" s="15" t="e">
        <v>#NAME?</v>
      </c>
      <c r="AL934" s="15" t="e">
        <f aca="false">_xlfn.xlookup(AK934,A:A,F:F)</f>
        <v>#NAME?</v>
      </c>
      <c r="AM934" s="15" t="e">
        <f aca="false">_xlfn.xlookup(AK934,A:A,J:J)</f>
        <v>#NAME?</v>
      </c>
      <c r="AN934" s="15" t="e">
        <f aca="false">_xlfn.xlookup(AK934,A:A,M:M)+_xlfn.xlookup(AK934,A:A,N:N)</f>
        <v>#NAME?</v>
      </c>
      <c r="AO934" s="223" t="e">
        <f aca="false">_xlfn.xlookup(AK934,A:A,AG:AG)</f>
        <v>#NAME?</v>
      </c>
      <c r="AP934" s="223" t="e">
        <f aca="false">_xlfn.xlookup(AK934,A:A,AD:AD)</f>
        <v>#NAME?</v>
      </c>
      <c r="AQ934" s="223" t="e">
        <f aca="false">_xlfn.xlookup(AK934,A:A,AE:AE)</f>
        <v>#NAME?</v>
      </c>
      <c r="BB934" s="15" t="e">
        <f aca="false">_xlfn.xlookup(BA934,A:A,E:E)</f>
        <v>#NAME?</v>
      </c>
      <c r="BC934" s="15" t="e">
        <f aca="false">_xlfn.xlookup(BA934,A:A,J:J)</f>
        <v>#NAME?</v>
      </c>
      <c r="BD934" s="75" t="e">
        <f aca="false">_xlfn.xlookup(BA934,A:A,M:M)+_xlfn.xlookup(BA934,A:A,N:N)</f>
        <v>#NAME?</v>
      </c>
    </row>
    <row r="935" customFormat="false" ht="14.25" hidden="false" customHeight="false" outlineLevel="0" collapsed="false">
      <c r="AK935" s="15" t="e">
        <v>#NAME?</v>
      </c>
      <c r="AL935" s="15" t="e">
        <f aca="false">_xlfn.xlookup(AK935,A:A,F:F)</f>
        <v>#NAME?</v>
      </c>
      <c r="AM935" s="15" t="e">
        <f aca="false">_xlfn.xlookup(AK935,A:A,J:J)</f>
        <v>#NAME?</v>
      </c>
      <c r="AN935" s="15" t="e">
        <f aca="false">_xlfn.xlookup(AK935,A:A,M:M)+_xlfn.xlookup(AK935,A:A,N:N)</f>
        <v>#NAME?</v>
      </c>
      <c r="AO935" s="223" t="e">
        <f aca="false">_xlfn.xlookup(AK935,A:A,AG:AG)</f>
        <v>#NAME?</v>
      </c>
      <c r="AP935" s="223" t="e">
        <f aca="false">_xlfn.xlookup(AK935,A:A,AD:AD)</f>
        <v>#NAME?</v>
      </c>
      <c r="AQ935" s="223" t="e">
        <f aca="false">_xlfn.xlookup(AK935,A:A,AE:AE)</f>
        <v>#NAME?</v>
      </c>
      <c r="BB935" s="15" t="e">
        <f aca="false">_xlfn.xlookup(BA935,A:A,E:E)</f>
        <v>#NAME?</v>
      </c>
      <c r="BC935" s="15" t="e">
        <f aca="false">_xlfn.xlookup(BA935,A:A,J:J)</f>
        <v>#NAME?</v>
      </c>
      <c r="BD935" s="75" t="e">
        <f aca="false">_xlfn.xlookup(BA935,A:A,M:M)+_xlfn.xlookup(BA935,A:A,N:N)</f>
        <v>#NAME?</v>
      </c>
    </row>
    <row r="936" customFormat="false" ht="14.25" hidden="false" customHeight="false" outlineLevel="0" collapsed="false">
      <c r="AK936" s="15" t="e">
        <v>#NAME?</v>
      </c>
      <c r="AL936" s="15" t="e">
        <f aca="false">_xlfn.xlookup(AK936,A:A,F:F)</f>
        <v>#NAME?</v>
      </c>
      <c r="AM936" s="15" t="e">
        <f aca="false">_xlfn.xlookup(AK936,A:A,J:J)</f>
        <v>#NAME?</v>
      </c>
      <c r="AN936" s="15" t="e">
        <f aca="false">_xlfn.xlookup(AK936,A:A,M:M)+_xlfn.xlookup(AK936,A:A,N:N)</f>
        <v>#NAME?</v>
      </c>
      <c r="AO936" s="223" t="e">
        <f aca="false">_xlfn.xlookup(AK936,A:A,AG:AG)</f>
        <v>#NAME?</v>
      </c>
      <c r="AP936" s="223" t="e">
        <f aca="false">_xlfn.xlookup(AK936,A:A,AD:AD)</f>
        <v>#NAME?</v>
      </c>
      <c r="AQ936" s="223" t="e">
        <f aca="false">_xlfn.xlookup(AK936,A:A,AE:AE)</f>
        <v>#NAME?</v>
      </c>
      <c r="BB936" s="15" t="e">
        <f aca="false">_xlfn.xlookup(BA936,A:A,E:E)</f>
        <v>#NAME?</v>
      </c>
      <c r="BC936" s="15" t="e">
        <f aca="false">_xlfn.xlookup(BA936,A:A,J:J)</f>
        <v>#NAME?</v>
      </c>
      <c r="BD936" s="75" t="e">
        <f aca="false">_xlfn.xlookup(BA936,A:A,M:M)+_xlfn.xlookup(BA936,A:A,N:N)</f>
        <v>#NAME?</v>
      </c>
    </row>
    <row r="937" customFormat="false" ht="14.25" hidden="false" customHeight="false" outlineLevel="0" collapsed="false">
      <c r="AK937" s="15" t="e">
        <v>#NAME?</v>
      </c>
      <c r="AL937" s="15" t="e">
        <f aca="false">_xlfn.xlookup(AK937,A:A,F:F)</f>
        <v>#NAME?</v>
      </c>
      <c r="AM937" s="15" t="e">
        <f aca="false">_xlfn.xlookup(AK937,A:A,J:J)</f>
        <v>#NAME?</v>
      </c>
      <c r="AN937" s="15" t="e">
        <f aca="false">_xlfn.xlookup(AK937,A:A,M:M)+_xlfn.xlookup(AK937,A:A,N:N)</f>
        <v>#NAME?</v>
      </c>
      <c r="AO937" s="223" t="e">
        <f aca="false">_xlfn.xlookup(AK937,A:A,AG:AG)</f>
        <v>#NAME?</v>
      </c>
      <c r="AP937" s="223" t="e">
        <f aca="false">_xlfn.xlookup(AK937,A:A,AD:AD)</f>
        <v>#NAME?</v>
      </c>
      <c r="AQ937" s="223" t="e">
        <f aca="false">_xlfn.xlookup(AK937,A:A,AE:AE)</f>
        <v>#NAME?</v>
      </c>
      <c r="BB937" s="15" t="e">
        <f aca="false">_xlfn.xlookup(BA937,A:A,E:E)</f>
        <v>#NAME?</v>
      </c>
      <c r="BC937" s="15" t="e">
        <f aca="false">_xlfn.xlookup(BA937,A:A,J:J)</f>
        <v>#NAME?</v>
      </c>
      <c r="BD937" s="75" t="e">
        <f aca="false">_xlfn.xlookup(BA937,A:A,M:M)+_xlfn.xlookup(BA937,A:A,N:N)</f>
        <v>#NAME?</v>
      </c>
    </row>
    <row r="938" customFormat="false" ht="14.25" hidden="false" customHeight="false" outlineLevel="0" collapsed="false">
      <c r="AK938" s="15" t="e">
        <v>#NAME?</v>
      </c>
      <c r="AL938" s="15" t="e">
        <f aca="false">_xlfn.xlookup(AK938,A:A,F:F)</f>
        <v>#NAME?</v>
      </c>
      <c r="AM938" s="15" t="e">
        <f aca="false">_xlfn.xlookup(AK938,A:A,J:J)</f>
        <v>#NAME?</v>
      </c>
      <c r="AN938" s="15" t="e">
        <f aca="false">_xlfn.xlookup(AK938,A:A,M:M)+_xlfn.xlookup(AK938,A:A,N:N)</f>
        <v>#NAME?</v>
      </c>
      <c r="AO938" s="223" t="e">
        <f aca="false">_xlfn.xlookup(AK938,A:A,AG:AG)</f>
        <v>#NAME?</v>
      </c>
      <c r="AP938" s="223" t="e">
        <f aca="false">_xlfn.xlookup(AK938,A:A,AD:AD)</f>
        <v>#NAME?</v>
      </c>
      <c r="AQ938" s="223" t="e">
        <f aca="false">_xlfn.xlookup(AK938,A:A,AE:AE)</f>
        <v>#NAME?</v>
      </c>
      <c r="BB938" s="15" t="e">
        <f aca="false">_xlfn.xlookup(BA938,A:A,E:E)</f>
        <v>#NAME?</v>
      </c>
      <c r="BC938" s="15" t="e">
        <f aca="false">_xlfn.xlookup(BA938,A:A,J:J)</f>
        <v>#NAME?</v>
      </c>
      <c r="BD938" s="75" t="e">
        <f aca="false">_xlfn.xlookup(BA938,A:A,M:M)+_xlfn.xlookup(BA938,A:A,N:N)</f>
        <v>#NAME?</v>
      </c>
    </row>
    <row r="939" customFormat="false" ht="14.25" hidden="false" customHeight="false" outlineLevel="0" collapsed="false">
      <c r="AK939" s="15" t="e">
        <v>#NAME?</v>
      </c>
      <c r="AL939" s="15" t="e">
        <f aca="false">_xlfn.xlookup(AK939,A:A,F:F)</f>
        <v>#NAME?</v>
      </c>
      <c r="AM939" s="15" t="e">
        <f aca="false">_xlfn.xlookup(AK939,A:A,J:J)</f>
        <v>#NAME?</v>
      </c>
      <c r="AN939" s="15" t="e">
        <f aca="false">_xlfn.xlookup(AK939,A:A,M:M)+_xlfn.xlookup(AK939,A:A,N:N)</f>
        <v>#NAME?</v>
      </c>
      <c r="AO939" s="223" t="e">
        <f aca="false">_xlfn.xlookup(AK939,A:A,AG:AG)</f>
        <v>#NAME?</v>
      </c>
      <c r="AP939" s="223" t="e">
        <f aca="false">_xlfn.xlookup(AK939,A:A,AD:AD)</f>
        <v>#NAME?</v>
      </c>
      <c r="AQ939" s="223" t="e">
        <f aca="false">_xlfn.xlookup(AK939,A:A,AE:AE)</f>
        <v>#NAME?</v>
      </c>
      <c r="BB939" s="15" t="e">
        <f aca="false">_xlfn.xlookup(BA939,A:A,E:E)</f>
        <v>#NAME?</v>
      </c>
      <c r="BC939" s="15" t="e">
        <f aca="false">_xlfn.xlookup(BA939,A:A,J:J)</f>
        <v>#NAME?</v>
      </c>
      <c r="BD939" s="75" t="e">
        <f aca="false">_xlfn.xlookup(BA939,A:A,M:M)+_xlfn.xlookup(BA939,A:A,N:N)</f>
        <v>#NAME?</v>
      </c>
    </row>
    <row r="940" customFormat="false" ht="14.25" hidden="false" customHeight="false" outlineLevel="0" collapsed="false">
      <c r="AK940" s="15" t="e">
        <v>#NAME?</v>
      </c>
      <c r="AL940" s="15" t="e">
        <f aca="false">_xlfn.xlookup(AK940,A:A,F:F)</f>
        <v>#NAME?</v>
      </c>
      <c r="AM940" s="15" t="e">
        <f aca="false">_xlfn.xlookup(AK940,A:A,J:J)</f>
        <v>#NAME?</v>
      </c>
      <c r="AN940" s="15" t="e">
        <f aca="false">_xlfn.xlookup(AK940,A:A,M:M)+_xlfn.xlookup(AK940,A:A,N:N)</f>
        <v>#NAME?</v>
      </c>
      <c r="AO940" s="223" t="e">
        <f aca="false">_xlfn.xlookup(AK940,A:A,AG:AG)</f>
        <v>#NAME?</v>
      </c>
      <c r="AP940" s="223" t="e">
        <f aca="false">_xlfn.xlookup(AK940,A:A,AD:AD)</f>
        <v>#NAME?</v>
      </c>
      <c r="AQ940" s="223" t="e">
        <f aca="false">_xlfn.xlookup(AK940,A:A,AE:AE)</f>
        <v>#NAME?</v>
      </c>
      <c r="BB940" s="15" t="e">
        <f aca="false">_xlfn.xlookup(BA940,A:A,E:E)</f>
        <v>#NAME?</v>
      </c>
      <c r="BC940" s="15" t="e">
        <f aca="false">_xlfn.xlookup(BA940,A:A,J:J)</f>
        <v>#NAME?</v>
      </c>
      <c r="BD940" s="75" t="e">
        <f aca="false">_xlfn.xlookup(BA940,A:A,M:M)+_xlfn.xlookup(BA940,A:A,N:N)</f>
        <v>#NAME?</v>
      </c>
    </row>
    <row r="941" customFormat="false" ht="14.25" hidden="false" customHeight="false" outlineLevel="0" collapsed="false">
      <c r="AK941" s="15" t="e">
        <v>#NAME?</v>
      </c>
      <c r="AL941" s="15" t="e">
        <f aca="false">_xlfn.xlookup(AK941,A:A,F:F)</f>
        <v>#NAME?</v>
      </c>
      <c r="AM941" s="15" t="e">
        <f aca="false">_xlfn.xlookup(AK941,A:A,J:J)</f>
        <v>#NAME?</v>
      </c>
      <c r="AN941" s="15" t="e">
        <f aca="false">_xlfn.xlookup(AK941,A:A,M:M)+_xlfn.xlookup(AK941,A:A,N:N)</f>
        <v>#NAME?</v>
      </c>
      <c r="AO941" s="223" t="e">
        <f aca="false">_xlfn.xlookup(AK941,A:A,AG:AG)</f>
        <v>#NAME?</v>
      </c>
      <c r="AP941" s="223" t="e">
        <f aca="false">_xlfn.xlookup(AK941,A:A,AD:AD)</f>
        <v>#NAME?</v>
      </c>
      <c r="AQ941" s="223" t="e">
        <f aca="false">_xlfn.xlookup(AK941,A:A,AE:AE)</f>
        <v>#NAME?</v>
      </c>
      <c r="BB941" s="15" t="e">
        <f aca="false">_xlfn.xlookup(BA941,A:A,E:E)</f>
        <v>#NAME?</v>
      </c>
      <c r="BC941" s="15" t="e">
        <f aca="false">_xlfn.xlookup(BA941,A:A,J:J)</f>
        <v>#NAME?</v>
      </c>
      <c r="BD941" s="75" t="e">
        <f aca="false">_xlfn.xlookup(BA941,A:A,M:M)+_xlfn.xlookup(BA941,A:A,N:N)</f>
        <v>#NAME?</v>
      </c>
    </row>
    <row r="942" customFormat="false" ht="14.25" hidden="false" customHeight="false" outlineLevel="0" collapsed="false">
      <c r="AK942" s="15" t="e">
        <v>#NAME?</v>
      </c>
      <c r="AL942" s="15" t="e">
        <f aca="false">_xlfn.xlookup(AK942,A:A,F:F)</f>
        <v>#NAME?</v>
      </c>
      <c r="AM942" s="15" t="e">
        <f aca="false">_xlfn.xlookup(AK942,A:A,J:J)</f>
        <v>#NAME?</v>
      </c>
      <c r="AN942" s="15" t="e">
        <f aca="false">_xlfn.xlookup(AK942,A:A,M:M)+_xlfn.xlookup(AK942,A:A,N:N)</f>
        <v>#NAME?</v>
      </c>
      <c r="AO942" s="223" t="e">
        <f aca="false">_xlfn.xlookup(AK942,A:A,AG:AG)</f>
        <v>#NAME?</v>
      </c>
      <c r="AP942" s="223" t="e">
        <f aca="false">_xlfn.xlookup(AK942,A:A,AD:AD)</f>
        <v>#NAME?</v>
      </c>
      <c r="AQ942" s="223" t="e">
        <f aca="false">_xlfn.xlookup(AK942,A:A,AE:AE)</f>
        <v>#NAME?</v>
      </c>
      <c r="BB942" s="15" t="e">
        <f aca="false">_xlfn.xlookup(BA942,A:A,E:E)</f>
        <v>#NAME?</v>
      </c>
      <c r="BC942" s="15" t="e">
        <f aca="false">_xlfn.xlookup(BA942,A:A,J:J)</f>
        <v>#NAME?</v>
      </c>
      <c r="BD942" s="75" t="e">
        <f aca="false">_xlfn.xlookup(BA942,A:A,M:M)+_xlfn.xlookup(BA942,A:A,N:N)</f>
        <v>#NAME?</v>
      </c>
    </row>
    <row r="943" customFormat="false" ht="14.25" hidden="false" customHeight="false" outlineLevel="0" collapsed="false">
      <c r="AK943" s="15" t="e">
        <v>#NAME?</v>
      </c>
      <c r="AL943" s="15" t="e">
        <f aca="false">_xlfn.xlookup(AK943,A:A,F:F)</f>
        <v>#NAME?</v>
      </c>
      <c r="AM943" s="15" t="e">
        <f aca="false">_xlfn.xlookup(AK943,A:A,J:J)</f>
        <v>#NAME?</v>
      </c>
      <c r="AN943" s="15" t="e">
        <f aca="false">_xlfn.xlookup(AK943,A:A,M:M)+_xlfn.xlookup(AK943,A:A,N:N)</f>
        <v>#NAME?</v>
      </c>
      <c r="AO943" s="223" t="e">
        <f aca="false">_xlfn.xlookup(AK943,A:A,AG:AG)</f>
        <v>#NAME?</v>
      </c>
      <c r="AP943" s="223" t="e">
        <f aca="false">_xlfn.xlookup(AK943,A:A,AD:AD)</f>
        <v>#NAME?</v>
      </c>
      <c r="AQ943" s="223" t="e">
        <f aca="false">_xlfn.xlookup(AK943,A:A,AE:AE)</f>
        <v>#NAME?</v>
      </c>
      <c r="BB943" s="15" t="e">
        <f aca="false">_xlfn.xlookup(BA943,A:A,E:E)</f>
        <v>#NAME?</v>
      </c>
      <c r="BC943" s="15" t="e">
        <f aca="false">_xlfn.xlookup(BA943,A:A,J:J)</f>
        <v>#NAME?</v>
      </c>
      <c r="BD943" s="75" t="e">
        <f aca="false">_xlfn.xlookup(BA943,A:A,M:M)+_xlfn.xlookup(BA943,A:A,N:N)</f>
        <v>#NAME?</v>
      </c>
    </row>
    <row r="944" customFormat="false" ht="14.25" hidden="false" customHeight="false" outlineLevel="0" collapsed="false">
      <c r="AK944" s="15" t="e">
        <v>#NAME?</v>
      </c>
      <c r="AL944" s="15" t="e">
        <f aca="false">_xlfn.xlookup(AK944,A:A,F:F)</f>
        <v>#NAME?</v>
      </c>
      <c r="AM944" s="15" t="e">
        <f aca="false">_xlfn.xlookup(AK944,A:A,J:J)</f>
        <v>#NAME?</v>
      </c>
      <c r="AN944" s="15" t="e">
        <f aca="false">_xlfn.xlookup(AK944,A:A,M:M)+_xlfn.xlookup(AK944,A:A,N:N)</f>
        <v>#NAME?</v>
      </c>
      <c r="AO944" s="223" t="e">
        <f aca="false">_xlfn.xlookup(AK944,A:A,AG:AG)</f>
        <v>#NAME?</v>
      </c>
      <c r="AP944" s="223" t="e">
        <f aca="false">_xlfn.xlookup(AK944,A:A,AD:AD)</f>
        <v>#NAME?</v>
      </c>
      <c r="AQ944" s="223" t="e">
        <f aca="false">_xlfn.xlookup(AK944,A:A,AE:AE)</f>
        <v>#NAME?</v>
      </c>
      <c r="BB944" s="15" t="e">
        <f aca="false">_xlfn.xlookup(BA944,A:A,E:E)</f>
        <v>#NAME?</v>
      </c>
      <c r="BC944" s="15" t="e">
        <f aca="false">_xlfn.xlookup(BA944,A:A,J:J)</f>
        <v>#NAME?</v>
      </c>
      <c r="BD944" s="75" t="e">
        <f aca="false">_xlfn.xlookup(BA944,A:A,M:M)+_xlfn.xlookup(BA944,A:A,N:N)</f>
        <v>#NAME?</v>
      </c>
    </row>
    <row r="945" customFormat="false" ht="14.25" hidden="false" customHeight="false" outlineLevel="0" collapsed="false">
      <c r="AK945" s="15" t="e">
        <v>#NAME?</v>
      </c>
      <c r="AL945" s="15" t="e">
        <f aca="false">_xlfn.xlookup(AK945,A:A,F:F)</f>
        <v>#NAME?</v>
      </c>
      <c r="AM945" s="15" t="e">
        <f aca="false">_xlfn.xlookup(AK945,A:A,J:J)</f>
        <v>#NAME?</v>
      </c>
      <c r="AN945" s="15" t="e">
        <f aca="false">_xlfn.xlookup(AK945,A:A,M:M)+_xlfn.xlookup(AK945,A:A,N:N)</f>
        <v>#NAME?</v>
      </c>
      <c r="AO945" s="223" t="e">
        <f aca="false">_xlfn.xlookup(AK945,A:A,AG:AG)</f>
        <v>#NAME?</v>
      </c>
      <c r="AP945" s="223" t="e">
        <f aca="false">_xlfn.xlookup(AK945,A:A,AD:AD)</f>
        <v>#NAME?</v>
      </c>
      <c r="AQ945" s="223" t="e">
        <f aca="false">_xlfn.xlookup(AK945,A:A,AE:AE)</f>
        <v>#NAME?</v>
      </c>
      <c r="BB945" s="15" t="e">
        <f aca="false">_xlfn.xlookup(BA945,A:A,E:E)</f>
        <v>#NAME?</v>
      </c>
      <c r="BC945" s="15" t="e">
        <f aca="false">_xlfn.xlookup(BA945,A:A,J:J)</f>
        <v>#NAME?</v>
      </c>
      <c r="BD945" s="75" t="e">
        <f aca="false">_xlfn.xlookup(BA945,A:A,M:M)+_xlfn.xlookup(BA945,A:A,N:N)</f>
        <v>#NAME?</v>
      </c>
    </row>
    <row r="946" customFormat="false" ht="14.25" hidden="false" customHeight="false" outlineLevel="0" collapsed="false">
      <c r="AK946" s="15" t="e">
        <v>#NAME?</v>
      </c>
      <c r="AL946" s="15" t="e">
        <f aca="false">_xlfn.xlookup(AK946,A:A,F:F)</f>
        <v>#NAME?</v>
      </c>
      <c r="AM946" s="15" t="e">
        <f aca="false">_xlfn.xlookup(AK946,A:A,J:J)</f>
        <v>#NAME?</v>
      </c>
      <c r="AN946" s="15" t="e">
        <f aca="false">_xlfn.xlookup(AK946,A:A,M:M)+_xlfn.xlookup(AK946,A:A,N:N)</f>
        <v>#NAME?</v>
      </c>
      <c r="AO946" s="223" t="e">
        <f aca="false">_xlfn.xlookup(AK946,A:A,AG:AG)</f>
        <v>#NAME?</v>
      </c>
      <c r="AP946" s="223" t="e">
        <f aca="false">_xlfn.xlookup(AK946,A:A,AD:AD)</f>
        <v>#NAME?</v>
      </c>
      <c r="AQ946" s="223" t="e">
        <f aca="false">_xlfn.xlookup(AK946,A:A,AE:AE)</f>
        <v>#NAME?</v>
      </c>
      <c r="BB946" s="15" t="e">
        <f aca="false">_xlfn.xlookup(BA946,A:A,E:E)</f>
        <v>#NAME?</v>
      </c>
      <c r="BC946" s="15" t="e">
        <f aca="false">_xlfn.xlookup(BA946,A:A,J:J)</f>
        <v>#NAME?</v>
      </c>
      <c r="BD946" s="75" t="e">
        <f aca="false">_xlfn.xlookup(BA946,A:A,M:M)+_xlfn.xlookup(BA946,A:A,N:N)</f>
        <v>#NAME?</v>
      </c>
    </row>
    <row r="947" customFormat="false" ht="14.25" hidden="false" customHeight="false" outlineLevel="0" collapsed="false">
      <c r="AK947" s="15" t="e">
        <v>#NAME?</v>
      </c>
      <c r="AL947" s="15" t="e">
        <f aca="false">_xlfn.xlookup(AK947,A:A,F:F)</f>
        <v>#NAME?</v>
      </c>
      <c r="AM947" s="15" t="e">
        <f aca="false">_xlfn.xlookup(AK947,A:A,J:J)</f>
        <v>#NAME?</v>
      </c>
      <c r="AN947" s="15" t="e">
        <f aca="false">_xlfn.xlookup(AK947,A:A,M:M)+_xlfn.xlookup(AK947,A:A,N:N)</f>
        <v>#NAME?</v>
      </c>
      <c r="AO947" s="223" t="e">
        <f aca="false">_xlfn.xlookup(AK947,A:A,AG:AG)</f>
        <v>#NAME?</v>
      </c>
      <c r="AP947" s="223" t="e">
        <f aca="false">_xlfn.xlookup(AK947,A:A,AD:AD)</f>
        <v>#NAME?</v>
      </c>
      <c r="AQ947" s="223" t="e">
        <f aca="false">_xlfn.xlookup(AK947,A:A,AE:AE)</f>
        <v>#NAME?</v>
      </c>
      <c r="BB947" s="15" t="e">
        <f aca="false">_xlfn.xlookup(BA947,A:A,E:E)</f>
        <v>#NAME?</v>
      </c>
      <c r="BC947" s="15" t="e">
        <f aca="false">_xlfn.xlookup(BA947,A:A,J:J)</f>
        <v>#NAME?</v>
      </c>
      <c r="BD947" s="75" t="e">
        <f aca="false">_xlfn.xlookup(BA947,A:A,M:M)+_xlfn.xlookup(BA947,A:A,N:N)</f>
        <v>#NAME?</v>
      </c>
    </row>
    <row r="948" customFormat="false" ht="14.25" hidden="false" customHeight="false" outlineLevel="0" collapsed="false">
      <c r="AK948" s="15" t="e">
        <v>#NAME?</v>
      </c>
      <c r="AL948" s="15" t="e">
        <f aca="false">_xlfn.xlookup(AK948,A:A,F:F)</f>
        <v>#NAME?</v>
      </c>
      <c r="AM948" s="15" t="e">
        <f aca="false">_xlfn.xlookup(AK948,A:A,J:J)</f>
        <v>#NAME?</v>
      </c>
      <c r="AN948" s="15" t="e">
        <f aca="false">_xlfn.xlookup(AK948,A:A,M:M)+_xlfn.xlookup(AK948,A:A,N:N)</f>
        <v>#NAME?</v>
      </c>
      <c r="AO948" s="223" t="e">
        <f aca="false">_xlfn.xlookup(AK948,A:A,AG:AG)</f>
        <v>#NAME?</v>
      </c>
      <c r="AP948" s="223" t="e">
        <f aca="false">_xlfn.xlookup(AK948,A:A,AD:AD)</f>
        <v>#NAME?</v>
      </c>
      <c r="AQ948" s="223" t="e">
        <f aca="false">_xlfn.xlookup(AK948,A:A,AE:AE)</f>
        <v>#NAME?</v>
      </c>
      <c r="BB948" s="15" t="e">
        <f aca="false">_xlfn.xlookup(BA948,A:A,E:E)</f>
        <v>#NAME?</v>
      </c>
      <c r="BC948" s="15" t="e">
        <f aca="false">_xlfn.xlookup(BA948,A:A,J:J)</f>
        <v>#NAME?</v>
      </c>
      <c r="BD948" s="75" t="e">
        <f aca="false">_xlfn.xlookup(BA948,A:A,M:M)+_xlfn.xlookup(BA948,A:A,N:N)</f>
        <v>#NAME?</v>
      </c>
    </row>
    <row r="949" customFormat="false" ht="14.25" hidden="false" customHeight="false" outlineLevel="0" collapsed="false">
      <c r="AK949" s="15" t="e">
        <v>#NAME?</v>
      </c>
      <c r="AL949" s="15" t="e">
        <f aca="false">_xlfn.xlookup(AK949,A:A,F:F)</f>
        <v>#NAME?</v>
      </c>
      <c r="AM949" s="15" t="e">
        <f aca="false">_xlfn.xlookup(AK949,A:A,J:J)</f>
        <v>#NAME?</v>
      </c>
      <c r="AN949" s="15" t="e">
        <f aca="false">_xlfn.xlookup(AK949,A:A,M:M)+_xlfn.xlookup(AK949,A:A,N:N)</f>
        <v>#NAME?</v>
      </c>
      <c r="AO949" s="223" t="e">
        <f aca="false">_xlfn.xlookup(AK949,A:A,AG:AG)</f>
        <v>#NAME?</v>
      </c>
      <c r="AP949" s="223" t="e">
        <f aca="false">_xlfn.xlookup(AK949,A:A,AD:AD)</f>
        <v>#NAME?</v>
      </c>
      <c r="AQ949" s="223" t="e">
        <f aca="false">_xlfn.xlookup(AK949,A:A,AE:AE)</f>
        <v>#NAME?</v>
      </c>
      <c r="BB949" s="15" t="e">
        <f aca="false">_xlfn.xlookup(BA949,A:A,E:E)</f>
        <v>#NAME?</v>
      </c>
      <c r="BC949" s="15" t="e">
        <f aca="false">_xlfn.xlookup(BA949,A:A,J:J)</f>
        <v>#NAME?</v>
      </c>
      <c r="BD949" s="75" t="e">
        <f aca="false">_xlfn.xlookup(BA949,A:A,M:M)+_xlfn.xlookup(BA949,A:A,N:N)</f>
        <v>#NAME?</v>
      </c>
    </row>
    <row r="950" customFormat="false" ht="14.25" hidden="false" customHeight="false" outlineLevel="0" collapsed="false">
      <c r="AK950" s="15" t="e">
        <v>#NAME?</v>
      </c>
      <c r="AL950" s="15" t="e">
        <f aca="false">_xlfn.xlookup(AK950,A:A,F:F)</f>
        <v>#NAME?</v>
      </c>
      <c r="AM950" s="15" t="e">
        <f aca="false">_xlfn.xlookup(AK950,A:A,J:J)</f>
        <v>#NAME?</v>
      </c>
      <c r="AN950" s="15" t="e">
        <f aca="false">_xlfn.xlookup(AK950,A:A,M:M)+_xlfn.xlookup(AK950,A:A,N:N)</f>
        <v>#NAME?</v>
      </c>
      <c r="AO950" s="223" t="e">
        <f aca="false">_xlfn.xlookup(AK950,A:A,AG:AG)</f>
        <v>#NAME?</v>
      </c>
      <c r="AP950" s="223" t="e">
        <f aca="false">_xlfn.xlookup(AK950,A:A,AD:AD)</f>
        <v>#NAME?</v>
      </c>
      <c r="AQ950" s="223" t="e">
        <f aca="false">_xlfn.xlookup(AK950,A:A,AE:AE)</f>
        <v>#NAME?</v>
      </c>
      <c r="BB950" s="15" t="e">
        <f aca="false">_xlfn.xlookup(BA950,A:A,E:E)</f>
        <v>#NAME?</v>
      </c>
      <c r="BC950" s="15" t="e">
        <f aca="false">_xlfn.xlookup(BA950,A:A,J:J)</f>
        <v>#NAME?</v>
      </c>
      <c r="BD950" s="75" t="e">
        <f aca="false">_xlfn.xlookup(BA950,A:A,M:M)+_xlfn.xlookup(BA950,A:A,N:N)</f>
        <v>#NAME?</v>
      </c>
    </row>
    <row r="951" customFormat="false" ht="14.25" hidden="false" customHeight="false" outlineLevel="0" collapsed="false">
      <c r="AK951" s="15" t="e">
        <v>#NAME?</v>
      </c>
      <c r="AL951" s="15" t="e">
        <f aca="false">_xlfn.xlookup(AK951,A:A,F:F)</f>
        <v>#NAME?</v>
      </c>
      <c r="AM951" s="15" t="e">
        <f aca="false">_xlfn.xlookup(AK951,A:A,J:J)</f>
        <v>#NAME?</v>
      </c>
      <c r="AN951" s="15" t="e">
        <f aca="false">_xlfn.xlookup(AK951,A:A,M:M)+_xlfn.xlookup(AK951,A:A,N:N)</f>
        <v>#NAME?</v>
      </c>
      <c r="AO951" s="223" t="e">
        <f aca="false">_xlfn.xlookup(AK951,A:A,AG:AG)</f>
        <v>#NAME?</v>
      </c>
      <c r="AP951" s="223" t="e">
        <f aca="false">_xlfn.xlookup(AK951,A:A,AD:AD)</f>
        <v>#NAME?</v>
      </c>
      <c r="AQ951" s="223" t="e">
        <f aca="false">_xlfn.xlookup(AK951,A:A,AE:AE)</f>
        <v>#NAME?</v>
      </c>
      <c r="BB951" s="15" t="e">
        <f aca="false">_xlfn.xlookup(BA951,A:A,E:E)</f>
        <v>#NAME?</v>
      </c>
      <c r="BC951" s="15" t="e">
        <f aca="false">_xlfn.xlookup(BA951,A:A,J:J)</f>
        <v>#NAME?</v>
      </c>
      <c r="BD951" s="75" t="e">
        <f aca="false">_xlfn.xlookup(BA951,A:A,M:M)+_xlfn.xlookup(BA951,A:A,N:N)</f>
        <v>#NAME?</v>
      </c>
    </row>
    <row r="952" customFormat="false" ht="14.25" hidden="false" customHeight="false" outlineLevel="0" collapsed="false">
      <c r="AK952" s="15" t="e">
        <v>#NAME?</v>
      </c>
      <c r="AL952" s="15" t="e">
        <f aca="false">_xlfn.xlookup(AK952,A:A,F:F)</f>
        <v>#NAME?</v>
      </c>
      <c r="AM952" s="15" t="e">
        <f aca="false">_xlfn.xlookup(AK952,A:A,J:J)</f>
        <v>#NAME?</v>
      </c>
      <c r="AN952" s="15" t="e">
        <f aca="false">_xlfn.xlookup(AK952,A:A,M:M)+_xlfn.xlookup(AK952,A:A,N:N)</f>
        <v>#NAME?</v>
      </c>
      <c r="AO952" s="223" t="e">
        <f aca="false">_xlfn.xlookup(AK952,A:A,AG:AG)</f>
        <v>#NAME?</v>
      </c>
      <c r="AP952" s="223" t="e">
        <f aca="false">_xlfn.xlookup(AK952,A:A,AD:AD)</f>
        <v>#NAME?</v>
      </c>
      <c r="AQ952" s="223" t="e">
        <f aca="false">_xlfn.xlookup(AK952,A:A,AE:AE)</f>
        <v>#NAME?</v>
      </c>
      <c r="BB952" s="15" t="e">
        <f aca="false">_xlfn.xlookup(BA952,A:A,E:E)</f>
        <v>#NAME?</v>
      </c>
      <c r="BC952" s="15" t="e">
        <f aca="false">_xlfn.xlookup(BA952,A:A,J:J)</f>
        <v>#NAME?</v>
      </c>
      <c r="BD952" s="75" t="e">
        <f aca="false">_xlfn.xlookup(BA952,A:A,M:M)+_xlfn.xlookup(BA952,A:A,N:N)</f>
        <v>#NAME?</v>
      </c>
    </row>
    <row r="953" customFormat="false" ht="14.25" hidden="false" customHeight="false" outlineLevel="0" collapsed="false">
      <c r="AK953" s="15" t="e">
        <v>#NAME?</v>
      </c>
      <c r="AL953" s="15" t="e">
        <f aca="false">_xlfn.xlookup(AK953,A:A,F:F)</f>
        <v>#NAME?</v>
      </c>
      <c r="AM953" s="15" t="e">
        <f aca="false">_xlfn.xlookup(AK953,A:A,J:J)</f>
        <v>#NAME?</v>
      </c>
      <c r="AN953" s="15" t="e">
        <f aca="false">_xlfn.xlookup(AK953,A:A,M:M)+_xlfn.xlookup(AK953,A:A,N:N)</f>
        <v>#NAME?</v>
      </c>
      <c r="AO953" s="223" t="e">
        <f aca="false">_xlfn.xlookup(AK953,A:A,AG:AG)</f>
        <v>#NAME?</v>
      </c>
      <c r="AP953" s="223" t="e">
        <f aca="false">_xlfn.xlookup(AK953,A:A,AD:AD)</f>
        <v>#NAME?</v>
      </c>
      <c r="AQ953" s="223" t="e">
        <f aca="false">_xlfn.xlookup(AK953,A:A,AE:AE)</f>
        <v>#NAME?</v>
      </c>
      <c r="BB953" s="15" t="e">
        <f aca="false">_xlfn.xlookup(BA953,A:A,E:E)</f>
        <v>#NAME?</v>
      </c>
      <c r="BC953" s="15" t="e">
        <f aca="false">_xlfn.xlookup(BA953,A:A,J:J)</f>
        <v>#NAME?</v>
      </c>
      <c r="BD953" s="75" t="e">
        <f aca="false">_xlfn.xlookup(BA953,A:A,M:M)+_xlfn.xlookup(BA953,A:A,N:N)</f>
        <v>#NAME?</v>
      </c>
    </row>
    <row r="954" customFormat="false" ht="14.25" hidden="false" customHeight="false" outlineLevel="0" collapsed="false">
      <c r="AK954" s="15" t="e">
        <v>#NAME?</v>
      </c>
      <c r="AL954" s="15" t="e">
        <f aca="false">_xlfn.xlookup(AK954,A:A,F:F)</f>
        <v>#NAME?</v>
      </c>
      <c r="AM954" s="15" t="e">
        <f aca="false">_xlfn.xlookup(AK954,A:A,J:J)</f>
        <v>#NAME?</v>
      </c>
      <c r="AN954" s="15" t="e">
        <f aca="false">_xlfn.xlookup(AK954,A:A,M:M)+_xlfn.xlookup(AK954,A:A,N:N)</f>
        <v>#NAME?</v>
      </c>
      <c r="AO954" s="223" t="e">
        <f aca="false">_xlfn.xlookup(AK954,A:A,AG:AG)</f>
        <v>#NAME?</v>
      </c>
      <c r="AP954" s="223" t="e">
        <f aca="false">_xlfn.xlookup(AK954,A:A,AD:AD)</f>
        <v>#NAME?</v>
      </c>
      <c r="AQ954" s="223" t="e">
        <f aca="false">_xlfn.xlookup(AK954,A:A,AE:AE)</f>
        <v>#NAME?</v>
      </c>
      <c r="BB954" s="15" t="e">
        <f aca="false">_xlfn.xlookup(BA954,A:A,E:E)</f>
        <v>#NAME?</v>
      </c>
      <c r="BC954" s="15" t="e">
        <f aca="false">_xlfn.xlookup(BA954,A:A,J:J)</f>
        <v>#NAME?</v>
      </c>
      <c r="BD954" s="75" t="e">
        <f aca="false">_xlfn.xlookup(BA954,A:A,M:M)+_xlfn.xlookup(BA954,A:A,N:N)</f>
        <v>#NAME?</v>
      </c>
    </row>
    <row r="955" customFormat="false" ht="14.25" hidden="false" customHeight="false" outlineLevel="0" collapsed="false">
      <c r="AK955" s="15" t="e">
        <v>#NAME?</v>
      </c>
      <c r="AL955" s="15" t="e">
        <f aca="false">_xlfn.xlookup(AK955,A:A,F:F)</f>
        <v>#NAME?</v>
      </c>
      <c r="AM955" s="15" t="e">
        <f aca="false">_xlfn.xlookup(AK955,A:A,J:J)</f>
        <v>#NAME?</v>
      </c>
      <c r="AN955" s="15" t="e">
        <f aca="false">_xlfn.xlookup(AK955,A:A,M:M)+_xlfn.xlookup(AK955,A:A,N:N)</f>
        <v>#NAME?</v>
      </c>
      <c r="AO955" s="223" t="e">
        <f aca="false">_xlfn.xlookup(AK955,A:A,AG:AG)</f>
        <v>#NAME?</v>
      </c>
      <c r="AP955" s="223" t="e">
        <f aca="false">_xlfn.xlookup(AK955,A:A,AD:AD)</f>
        <v>#NAME?</v>
      </c>
      <c r="AQ955" s="223" t="e">
        <f aca="false">_xlfn.xlookup(AK955,A:A,AE:AE)</f>
        <v>#NAME?</v>
      </c>
      <c r="BB955" s="15" t="e">
        <f aca="false">_xlfn.xlookup(BA955,A:A,E:E)</f>
        <v>#NAME?</v>
      </c>
      <c r="BC955" s="15" t="e">
        <f aca="false">_xlfn.xlookup(BA955,A:A,J:J)</f>
        <v>#NAME?</v>
      </c>
      <c r="BD955" s="75" t="e">
        <f aca="false">_xlfn.xlookup(BA955,A:A,M:M)+_xlfn.xlookup(BA955,A:A,N:N)</f>
        <v>#NAME?</v>
      </c>
    </row>
    <row r="956" customFormat="false" ht="14.25" hidden="false" customHeight="false" outlineLevel="0" collapsed="false">
      <c r="AK956" s="15" t="e">
        <v>#NAME?</v>
      </c>
      <c r="AL956" s="15" t="e">
        <f aca="false">_xlfn.xlookup(AK956,A:A,F:F)</f>
        <v>#NAME?</v>
      </c>
      <c r="AM956" s="15" t="e">
        <f aca="false">_xlfn.xlookup(AK956,A:A,J:J)</f>
        <v>#NAME?</v>
      </c>
      <c r="AN956" s="15" t="e">
        <f aca="false">_xlfn.xlookup(AK956,A:A,M:M)+_xlfn.xlookup(AK956,A:A,N:N)</f>
        <v>#NAME?</v>
      </c>
      <c r="AO956" s="223" t="e">
        <f aca="false">_xlfn.xlookup(AK956,A:A,AG:AG)</f>
        <v>#NAME?</v>
      </c>
      <c r="AP956" s="223" t="e">
        <f aca="false">_xlfn.xlookup(AK956,A:A,AD:AD)</f>
        <v>#NAME?</v>
      </c>
      <c r="AQ956" s="223" t="e">
        <f aca="false">_xlfn.xlookup(AK956,A:A,AE:AE)</f>
        <v>#NAME?</v>
      </c>
      <c r="BB956" s="15" t="e">
        <f aca="false">_xlfn.xlookup(BA956,A:A,E:E)</f>
        <v>#NAME?</v>
      </c>
      <c r="BC956" s="15" t="e">
        <f aca="false">_xlfn.xlookup(BA956,A:A,J:J)</f>
        <v>#NAME?</v>
      </c>
      <c r="BD956" s="75" t="e">
        <f aca="false">_xlfn.xlookup(BA956,A:A,M:M)+_xlfn.xlookup(BA956,A:A,N:N)</f>
        <v>#NAME?</v>
      </c>
    </row>
    <row r="957" customFormat="false" ht="14.25" hidden="false" customHeight="false" outlineLevel="0" collapsed="false">
      <c r="AK957" s="15" t="e">
        <v>#NAME?</v>
      </c>
      <c r="AL957" s="15" t="e">
        <f aca="false">_xlfn.xlookup(AK957,A:A,F:F)</f>
        <v>#NAME?</v>
      </c>
      <c r="AM957" s="15" t="e">
        <f aca="false">_xlfn.xlookup(AK957,A:A,J:J)</f>
        <v>#NAME?</v>
      </c>
      <c r="AN957" s="15" t="e">
        <f aca="false">_xlfn.xlookup(AK957,A:A,M:M)+_xlfn.xlookup(AK957,A:A,N:N)</f>
        <v>#NAME?</v>
      </c>
      <c r="AO957" s="223" t="e">
        <f aca="false">_xlfn.xlookup(AK957,A:A,AG:AG)</f>
        <v>#NAME?</v>
      </c>
      <c r="AP957" s="223" t="e">
        <f aca="false">_xlfn.xlookup(AK957,A:A,AD:AD)</f>
        <v>#NAME?</v>
      </c>
      <c r="AQ957" s="223" t="e">
        <f aca="false">_xlfn.xlookup(AK957,A:A,AE:AE)</f>
        <v>#NAME?</v>
      </c>
      <c r="BB957" s="15" t="e">
        <f aca="false">_xlfn.xlookup(BA957,A:A,E:E)</f>
        <v>#NAME?</v>
      </c>
      <c r="BC957" s="15" t="e">
        <f aca="false">_xlfn.xlookup(BA957,A:A,J:J)</f>
        <v>#NAME?</v>
      </c>
      <c r="BD957" s="75" t="e">
        <f aca="false">_xlfn.xlookup(BA957,A:A,M:M)+_xlfn.xlookup(BA957,A:A,N:N)</f>
        <v>#NAME?</v>
      </c>
    </row>
    <row r="958" customFormat="false" ht="14.25" hidden="false" customHeight="false" outlineLevel="0" collapsed="false">
      <c r="AK958" s="15" t="e">
        <v>#NAME?</v>
      </c>
      <c r="AL958" s="15" t="e">
        <f aca="false">_xlfn.xlookup(AK958,A:A,F:F)</f>
        <v>#NAME?</v>
      </c>
      <c r="AM958" s="15" t="e">
        <f aca="false">_xlfn.xlookup(AK958,A:A,J:J)</f>
        <v>#NAME?</v>
      </c>
      <c r="AN958" s="15" t="e">
        <f aca="false">_xlfn.xlookup(AK958,A:A,M:M)+_xlfn.xlookup(AK958,A:A,N:N)</f>
        <v>#NAME?</v>
      </c>
      <c r="AO958" s="223" t="e">
        <f aca="false">_xlfn.xlookup(AK958,A:A,AG:AG)</f>
        <v>#NAME?</v>
      </c>
      <c r="AP958" s="223" t="e">
        <f aca="false">_xlfn.xlookup(AK958,A:A,AD:AD)</f>
        <v>#NAME?</v>
      </c>
      <c r="AQ958" s="223" t="e">
        <f aca="false">_xlfn.xlookup(AK958,A:A,AE:AE)</f>
        <v>#NAME?</v>
      </c>
      <c r="BB958" s="15" t="e">
        <f aca="false">_xlfn.xlookup(BA958,A:A,E:E)</f>
        <v>#NAME?</v>
      </c>
      <c r="BC958" s="15" t="e">
        <f aca="false">_xlfn.xlookup(BA958,A:A,J:J)</f>
        <v>#NAME?</v>
      </c>
      <c r="BD958" s="75" t="e">
        <f aca="false">_xlfn.xlookup(BA958,A:A,M:M)+_xlfn.xlookup(BA958,A:A,N:N)</f>
        <v>#NAME?</v>
      </c>
    </row>
    <row r="959" customFormat="false" ht="14.25" hidden="false" customHeight="false" outlineLevel="0" collapsed="false">
      <c r="AK959" s="15" t="e">
        <v>#NAME?</v>
      </c>
      <c r="AL959" s="15" t="e">
        <f aca="false">_xlfn.xlookup(AK959,A:A,F:F)</f>
        <v>#NAME?</v>
      </c>
      <c r="AM959" s="15" t="e">
        <f aca="false">_xlfn.xlookup(AK959,A:A,J:J)</f>
        <v>#NAME?</v>
      </c>
      <c r="AN959" s="15" t="e">
        <f aca="false">_xlfn.xlookup(AK959,A:A,M:M)+_xlfn.xlookup(AK959,A:A,N:N)</f>
        <v>#NAME?</v>
      </c>
      <c r="AO959" s="223" t="e">
        <f aca="false">_xlfn.xlookup(AK959,A:A,AG:AG)</f>
        <v>#NAME?</v>
      </c>
      <c r="AP959" s="223" t="e">
        <f aca="false">_xlfn.xlookup(AK959,A:A,AD:AD)</f>
        <v>#NAME?</v>
      </c>
      <c r="AQ959" s="223" t="e">
        <f aca="false">_xlfn.xlookup(AK959,A:A,AE:AE)</f>
        <v>#NAME?</v>
      </c>
      <c r="BB959" s="15" t="e">
        <f aca="false">_xlfn.xlookup(BA959,A:A,E:E)</f>
        <v>#NAME?</v>
      </c>
      <c r="BC959" s="15" t="e">
        <f aca="false">_xlfn.xlookup(BA959,A:A,J:J)</f>
        <v>#NAME?</v>
      </c>
      <c r="BD959" s="75" t="e">
        <f aca="false">_xlfn.xlookup(BA959,A:A,M:M)+_xlfn.xlookup(BA959,A:A,N:N)</f>
        <v>#NAME?</v>
      </c>
    </row>
    <row r="960" customFormat="false" ht="14.25" hidden="false" customHeight="false" outlineLevel="0" collapsed="false">
      <c r="AK960" s="15" t="e">
        <v>#NAME?</v>
      </c>
      <c r="AL960" s="15" t="e">
        <f aca="false">_xlfn.xlookup(AK960,A:A,F:F)</f>
        <v>#NAME?</v>
      </c>
      <c r="AM960" s="15" t="e">
        <f aca="false">_xlfn.xlookup(AK960,A:A,J:J)</f>
        <v>#NAME?</v>
      </c>
      <c r="AN960" s="15" t="e">
        <f aca="false">_xlfn.xlookup(AK960,A:A,M:M)+_xlfn.xlookup(AK960,A:A,N:N)</f>
        <v>#NAME?</v>
      </c>
      <c r="AO960" s="223" t="e">
        <f aca="false">_xlfn.xlookup(AK960,A:A,AG:AG)</f>
        <v>#NAME?</v>
      </c>
      <c r="AP960" s="223" t="e">
        <f aca="false">_xlfn.xlookup(AK960,A:A,AD:AD)</f>
        <v>#NAME?</v>
      </c>
      <c r="AQ960" s="223" t="e">
        <f aca="false">_xlfn.xlookup(AK960,A:A,AE:AE)</f>
        <v>#NAME?</v>
      </c>
      <c r="BB960" s="15" t="e">
        <f aca="false">_xlfn.xlookup(BA960,A:A,E:E)</f>
        <v>#NAME?</v>
      </c>
      <c r="BC960" s="15" t="e">
        <f aca="false">_xlfn.xlookup(BA960,A:A,J:J)</f>
        <v>#NAME?</v>
      </c>
      <c r="BD960" s="75" t="e">
        <f aca="false">_xlfn.xlookup(BA960,A:A,M:M)+_xlfn.xlookup(BA960,A:A,N:N)</f>
        <v>#NAME?</v>
      </c>
    </row>
    <row r="961" customFormat="false" ht="14.25" hidden="false" customHeight="false" outlineLevel="0" collapsed="false">
      <c r="AK961" s="15" t="e">
        <v>#NAME?</v>
      </c>
      <c r="AL961" s="15" t="e">
        <f aca="false">_xlfn.xlookup(AK961,A:A,F:F)</f>
        <v>#NAME?</v>
      </c>
      <c r="AM961" s="15" t="e">
        <f aca="false">_xlfn.xlookup(AK961,A:A,J:J)</f>
        <v>#NAME?</v>
      </c>
      <c r="AN961" s="15" t="e">
        <f aca="false">_xlfn.xlookup(AK961,A:A,M:M)+_xlfn.xlookup(AK961,A:A,N:N)</f>
        <v>#NAME?</v>
      </c>
      <c r="AO961" s="223" t="e">
        <f aca="false">_xlfn.xlookup(AK961,A:A,AG:AG)</f>
        <v>#NAME?</v>
      </c>
      <c r="AP961" s="223" t="e">
        <f aca="false">_xlfn.xlookup(AK961,A:A,AD:AD)</f>
        <v>#NAME?</v>
      </c>
      <c r="AQ961" s="223" t="e">
        <f aca="false">_xlfn.xlookup(AK961,A:A,AE:AE)</f>
        <v>#NAME?</v>
      </c>
      <c r="BB961" s="15" t="e">
        <f aca="false">_xlfn.xlookup(BA961,A:A,E:E)</f>
        <v>#NAME?</v>
      </c>
      <c r="BC961" s="15" t="e">
        <f aca="false">_xlfn.xlookup(BA961,A:A,J:J)</f>
        <v>#NAME?</v>
      </c>
      <c r="BD961" s="75" t="e">
        <f aca="false">_xlfn.xlookup(BA961,A:A,M:M)+_xlfn.xlookup(BA961,A:A,N:N)</f>
        <v>#NAME?</v>
      </c>
    </row>
    <row r="962" customFormat="false" ht="14.25" hidden="false" customHeight="false" outlineLevel="0" collapsed="false">
      <c r="AK962" s="15" t="e">
        <v>#NAME?</v>
      </c>
      <c r="AL962" s="15" t="e">
        <f aca="false">_xlfn.xlookup(AK962,A:A,F:F)</f>
        <v>#NAME?</v>
      </c>
      <c r="AM962" s="15" t="e">
        <f aca="false">_xlfn.xlookup(AK962,A:A,J:J)</f>
        <v>#NAME?</v>
      </c>
      <c r="AN962" s="15" t="e">
        <f aca="false">_xlfn.xlookup(AK962,A:A,M:M)+_xlfn.xlookup(AK962,A:A,N:N)</f>
        <v>#NAME?</v>
      </c>
      <c r="AO962" s="223" t="e">
        <f aca="false">_xlfn.xlookup(AK962,A:A,AG:AG)</f>
        <v>#NAME?</v>
      </c>
      <c r="AP962" s="223" t="e">
        <f aca="false">_xlfn.xlookup(AK962,A:A,AD:AD)</f>
        <v>#NAME?</v>
      </c>
      <c r="AQ962" s="223" t="e">
        <f aca="false">_xlfn.xlookup(AK962,A:A,AE:AE)</f>
        <v>#NAME?</v>
      </c>
      <c r="BB962" s="15" t="e">
        <f aca="false">_xlfn.xlookup(BA962,A:A,E:E)</f>
        <v>#NAME?</v>
      </c>
      <c r="BC962" s="15" t="e">
        <f aca="false">_xlfn.xlookup(BA962,A:A,J:J)</f>
        <v>#NAME?</v>
      </c>
      <c r="BD962" s="75" t="e">
        <f aca="false">_xlfn.xlookup(BA962,A:A,M:M)+_xlfn.xlookup(BA962,A:A,N:N)</f>
        <v>#NAME?</v>
      </c>
    </row>
    <row r="963" customFormat="false" ht="14.25" hidden="false" customHeight="false" outlineLevel="0" collapsed="false">
      <c r="AK963" s="15" t="e">
        <v>#NAME?</v>
      </c>
      <c r="AL963" s="15" t="e">
        <f aca="false">_xlfn.xlookup(AK963,A:A,F:F)</f>
        <v>#NAME?</v>
      </c>
      <c r="AM963" s="15" t="e">
        <f aca="false">_xlfn.xlookup(AK963,A:A,J:J)</f>
        <v>#NAME?</v>
      </c>
      <c r="AN963" s="15" t="e">
        <f aca="false">_xlfn.xlookup(AK963,A:A,M:M)+_xlfn.xlookup(AK963,A:A,N:N)</f>
        <v>#NAME?</v>
      </c>
      <c r="AO963" s="223" t="e">
        <f aca="false">_xlfn.xlookup(AK963,A:A,AG:AG)</f>
        <v>#NAME?</v>
      </c>
      <c r="AP963" s="223" t="e">
        <f aca="false">_xlfn.xlookup(AK963,A:A,AD:AD)</f>
        <v>#NAME?</v>
      </c>
      <c r="AQ963" s="223" t="e">
        <f aca="false">_xlfn.xlookup(AK963,A:A,AE:AE)</f>
        <v>#NAME?</v>
      </c>
      <c r="BB963" s="15" t="e">
        <f aca="false">_xlfn.xlookup(BA963,A:A,E:E)</f>
        <v>#NAME?</v>
      </c>
      <c r="BC963" s="15" t="e">
        <f aca="false">_xlfn.xlookup(BA963,A:A,J:J)</f>
        <v>#NAME?</v>
      </c>
      <c r="BD963" s="75" t="e">
        <f aca="false">_xlfn.xlookup(BA963,A:A,M:M)+_xlfn.xlookup(BA963,A:A,N:N)</f>
        <v>#NAME?</v>
      </c>
    </row>
    <row r="964" customFormat="false" ht="14.25" hidden="false" customHeight="false" outlineLevel="0" collapsed="false">
      <c r="AK964" s="15" t="e">
        <v>#NAME?</v>
      </c>
      <c r="AL964" s="15" t="e">
        <f aca="false">_xlfn.xlookup(AK964,A:A,F:F)</f>
        <v>#NAME?</v>
      </c>
      <c r="AM964" s="15" t="e">
        <f aca="false">_xlfn.xlookup(AK964,A:A,J:J)</f>
        <v>#NAME?</v>
      </c>
      <c r="AN964" s="15" t="e">
        <f aca="false">_xlfn.xlookup(AK964,A:A,M:M)+_xlfn.xlookup(AK964,A:A,N:N)</f>
        <v>#NAME?</v>
      </c>
      <c r="AO964" s="223" t="e">
        <f aca="false">_xlfn.xlookup(AK964,A:A,AG:AG)</f>
        <v>#NAME?</v>
      </c>
      <c r="AP964" s="223" t="e">
        <f aca="false">_xlfn.xlookup(AK964,A:A,AD:AD)</f>
        <v>#NAME?</v>
      </c>
      <c r="AQ964" s="223" t="e">
        <f aca="false">_xlfn.xlookup(AK964,A:A,AE:AE)</f>
        <v>#NAME?</v>
      </c>
      <c r="BB964" s="15" t="e">
        <f aca="false">_xlfn.xlookup(BA964,A:A,E:E)</f>
        <v>#NAME?</v>
      </c>
      <c r="BC964" s="15" t="e">
        <f aca="false">_xlfn.xlookup(BA964,A:A,J:J)</f>
        <v>#NAME?</v>
      </c>
      <c r="BD964" s="75" t="e">
        <f aca="false">_xlfn.xlookup(BA964,A:A,M:M)+_xlfn.xlookup(BA964,A:A,N:N)</f>
        <v>#NAME?</v>
      </c>
    </row>
    <row r="965" customFormat="false" ht="14.25" hidden="false" customHeight="false" outlineLevel="0" collapsed="false">
      <c r="AK965" s="15" t="e">
        <v>#NAME?</v>
      </c>
      <c r="AL965" s="15" t="e">
        <f aca="false">_xlfn.xlookup(AK965,A:A,F:F)</f>
        <v>#NAME?</v>
      </c>
      <c r="AM965" s="15" t="e">
        <f aca="false">_xlfn.xlookup(AK965,A:A,J:J)</f>
        <v>#NAME?</v>
      </c>
      <c r="AN965" s="15" t="e">
        <f aca="false">_xlfn.xlookup(AK965,A:A,M:M)+_xlfn.xlookup(AK965,A:A,N:N)</f>
        <v>#NAME?</v>
      </c>
      <c r="AO965" s="223" t="e">
        <f aca="false">_xlfn.xlookup(AK965,A:A,AG:AG)</f>
        <v>#NAME?</v>
      </c>
      <c r="AP965" s="223" t="e">
        <f aca="false">_xlfn.xlookup(AK965,A:A,AD:AD)</f>
        <v>#NAME?</v>
      </c>
      <c r="AQ965" s="223" t="e">
        <f aca="false">_xlfn.xlookup(AK965,A:A,AE:AE)</f>
        <v>#NAME?</v>
      </c>
      <c r="BB965" s="15" t="e">
        <f aca="false">_xlfn.xlookup(BA965,A:A,E:E)</f>
        <v>#NAME?</v>
      </c>
      <c r="BC965" s="15" t="e">
        <f aca="false">_xlfn.xlookup(BA965,A:A,J:J)</f>
        <v>#NAME?</v>
      </c>
      <c r="BD965" s="75" t="e">
        <f aca="false">_xlfn.xlookup(BA965,A:A,M:M)+_xlfn.xlookup(BA965,A:A,N:N)</f>
        <v>#NAME?</v>
      </c>
    </row>
    <row r="966" customFormat="false" ht="14.25" hidden="false" customHeight="false" outlineLevel="0" collapsed="false">
      <c r="AK966" s="15" t="e">
        <v>#NAME?</v>
      </c>
      <c r="AL966" s="15" t="e">
        <f aca="false">_xlfn.xlookup(AK966,A:A,F:F)</f>
        <v>#NAME?</v>
      </c>
      <c r="AM966" s="15" t="e">
        <f aca="false">_xlfn.xlookup(AK966,A:A,J:J)</f>
        <v>#NAME?</v>
      </c>
      <c r="AN966" s="15" t="e">
        <f aca="false">_xlfn.xlookup(AK966,A:A,M:M)+_xlfn.xlookup(AK966,A:A,N:N)</f>
        <v>#NAME?</v>
      </c>
      <c r="AO966" s="223" t="e">
        <f aca="false">_xlfn.xlookup(AK966,A:A,AG:AG)</f>
        <v>#NAME?</v>
      </c>
      <c r="AP966" s="223" t="e">
        <f aca="false">_xlfn.xlookup(AK966,A:A,AD:AD)</f>
        <v>#NAME?</v>
      </c>
      <c r="AQ966" s="223" t="e">
        <f aca="false">_xlfn.xlookup(AK966,A:A,AE:AE)</f>
        <v>#NAME?</v>
      </c>
      <c r="BB966" s="15" t="e">
        <f aca="false">_xlfn.xlookup(BA966,A:A,E:E)</f>
        <v>#NAME?</v>
      </c>
      <c r="BC966" s="15" t="e">
        <f aca="false">_xlfn.xlookup(BA966,A:A,J:J)</f>
        <v>#NAME?</v>
      </c>
      <c r="BD966" s="75" t="e">
        <f aca="false">_xlfn.xlookup(BA966,A:A,M:M)+_xlfn.xlookup(BA966,A:A,N:N)</f>
        <v>#NAME?</v>
      </c>
    </row>
    <row r="967" customFormat="false" ht="14.25" hidden="false" customHeight="false" outlineLevel="0" collapsed="false">
      <c r="AK967" s="15" t="e">
        <v>#NAME?</v>
      </c>
      <c r="AL967" s="15" t="e">
        <f aca="false">_xlfn.xlookup(AK967,A:A,F:F)</f>
        <v>#NAME?</v>
      </c>
      <c r="AM967" s="15" t="e">
        <f aca="false">_xlfn.xlookup(AK967,A:A,J:J)</f>
        <v>#NAME?</v>
      </c>
      <c r="AN967" s="15" t="e">
        <f aca="false">_xlfn.xlookup(AK967,A:A,M:M)+_xlfn.xlookup(AK967,A:A,N:N)</f>
        <v>#NAME?</v>
      </c>
      <c r="AO967" s="223" t="e">
        <f aca="false">_xlfn.xlookup(AK967,A:A,AG:AG)</f>
        <v>#NAME?</v>
      </c>
      <c r="AP967" s="223" t="e">
        <f aca="false">_xlfn.xlookup(AK967,A:A,AD:AD)</f>
        <v>#NAME?</v>
      </c>
      <c r="AQ967" s="223" t="e">
        <f aca="false">_xlfn.xlookup(AK967,A:A,AE:AE)</f>
        <v>#NAME?</v>
      </c>
      <c r="BB967" s="15" t="e">
        <f aca="false">_xlfn.xlookup(BA967,A:A,E:E)</f>
        <v>#NAME?</v>
      </c>
      <c r="BC967" s="15" t="e">
        <f aca="false">_xlfn.xlookup(BA967,A:A,J:J)</f>
        <v>#NAME?</v>
      </c>
      <c r="BD967" s="75" t="e">
        <f aca="false">_xlfn.xlookup(BA967,A:A,M:M)+_xlfn.xlookup(BA967,A:A,N:N)</f>
        <v>#NAME?</v>
      </c>
    </row>
    <row r="968" customFormat="false" ht="14.25" hidden="false" customHeight="false" outlineLevel="0" collapsed="false">
      <c r="AK968" s="15" t="e">
        <v>#NAME?</v>
      </c>
      <c r="AL968" s="15" t="e">
        <f aca="false">_xlfn.xlookup(AK968,A:A,F:F)</f>
        <v>#NAME?</v>
      </c>
      <c r="AM968" s="15" t="e">
        <f aca="false">_xlfn.xlookup(AK968,A:A,J:J)</f>
        <v>#NAME?</v>
      </c>
      <c r="AN968" s="15" t="e">
        <f aca="false">_xlfn.xlookup(AK968,A:A,M:M)+_xlfn.xlookup(AK968,A:A,N:N)</f>
        <v>#NAME?</v>
      </c>
      <c r="AO968" s="223" t="e">
        <f aca="false">_xlfn.xlookup(AK968,A:A,AG:AG)</f>
        <v>#NAME?</v>
      </c>
      <c r="AP968" s="223" t="e">
        <f aca="false">_xlfn.xlookup(AK968,A:A,AD:AD)</f>
        <v>#NAME?</v>
      </c>
      <c r="AQ968" s="223" t="e">
        <f aca="false">_xlfn.xlookup(AK968,A:A,AE:AE)</f>
        <v>#NAME?</v>
      </c>
      <c r="BB968" s="15" t="e">
        <f aca="false">_xlfn.xlookup(BA968,A:A,E:E)</f>
        <v>#NAME?</v>
      </c>
      <c r="BC968" s="15" t="e">
        <f aca="false">_xlfn.xlookup(BA968,A:A,J:J)</f>
        <v>#NAME?</v>
      </c>
      <c r="BD968" s="75" t="e">
        <f aca="false">_xlfn.xlookup(BA968,A:A,M:M)+_xlfn.xlookup(BA968,A:A,N:N)</f>
        <v>#NAME?</v>
      </c>
    </row>
    <row r="969" customFormat="false" ht="14.25" hidden="false" customHeight="false" outlineLevel="0" collapsed="false">
      <c r="AK969" s="15" t="e">
        <v>#NAME?</v>
      </c>
      <c r="AL969" s="15" t="e">
        <f aca="false">_xlfn.xlookup(AK969,A:A,F:F)</f>
        <v>#NAME?</v>
      </c>
      <c r="AM969" s="15" t="e">
        <f aca="false">_xlfn.xlookup(AK969,A:A,J:J)</f>
        <v>#NAME?</v>
      </c>
      <c r="AN969" s="15" t="e">
        <f aca="false">_xlfn.xlookup(AK969,A:A,M:M)+_xlfn.xlookup(AK969,A:A,N:N)</f>
        <v>#NAME?</v>
      </c>
      <c r="AO969" s="223" t="e">
        <f aca="false">_xlfn.xlookup(AK969,A:A,AG:AG)</f>
        <v>#NAME?</v>
      </c>
      <c r="AP969" s="223" t="e">
        <f aca="false">_xlfn.xlookup(AK969,A:A,AD:AD)</f>
        <v>#NAME?</v>
      </c>
      <c r="AQ969" s="223" t="e">
        <f aca="false">_xlfn.xlookup(AK969,A:A,AE:AE)</f>
        <v>#NAME?</v>
      </c>
      <c r="BB969" s="15" t="e">
        <f aca="false">_xlfn.xlookup(BA969,A:A,E:E)</f>
        <v>#NAME?</v>
      </c>
      <c r="BC969" s="15" t="e">
        <f aca="false">_xlfn.xlookup(BA969,A:A,J:J)</f>
        <v>#NAME?</v>
      </c>
      <c r="BD969" s="75" t="e">
        <f aca="false">_xlfn.xlookup(BA969,A:A,M:M)+_xlfn.xlookup(BA969,A:A,N:N)</f>
        <v>#NAME?</v>
      </c>
    </row>
    <row r="970" customFormat="false" ht="14.25" hidden="false" customHeight="false" outlineLevel="0" collapsed="false">
      <c r="AK970" s="15" t="e">
        <v>#NAME?</v>
      </c>
      <c r="AL970" s="15" t="e">
        <f aca="false">_xlfn.xlookup(AK970,A:A,F:F)</f>
        <v>#NAME?</v>
      </c>
      <c r="AM970" s="15" t="e">
        <f aca="false">_xlfn.xlookup(AK970,A:A,J:J)</f>
        <v>#NAME?</v>
      </c>
      <c r="AN970" s="15" t="e">
        <f aca="false">_xlfn.xlookup(AK970,A:A,M:M)+_xlfn.xlookup(AK970,A:A,N:N)</f>
        <v>#NAME?</v>
      </c>
      <c r="AO970" s="223" t="e">
        <f aca="false">_xlfn.xlookup(AK970,A:A,AG:AG)</f>
        <v>#NAME?</v>
      </c>
      <c r="AP970" s="223" t="e">
        <f aca="false">_xlfn.xlookup(AK970,A:A,AD:AD)</f>
        <v>#NAME?</v>
      </c>
      <c r="AQ970" s="223" t="e">
        <f aca="false">_xlfn.xlookup(AK970,A:A,AE:AE)</f>
        <v>#NAME?</v>
      </c>
      <c r="BB970" s="15" t="e">
        <f aca="false">_xlfn.xlookup(BA970,A:A,E:E)</f>
        <v>#NAME?</v>
      </c>
      <c r="BC970" s="15" t="e">
        <f aca="false">_xlfn.xlookup(BA970,A:A,J:J)</f>
        <v>#NAME?</v>
      </c>
      <c r="BD970" s="75" t="e">
        <f aca="false">_xlfn.xlookup(BA970,A:A,M:M)+_xlfn.xlookup(BA970,A:A,N:N)</f>
        <v>#NAME?</v>
      </c>
    </row>
    <row r="971" customFormat="false" ht="14.25" hidden="false" customHeight="false" outlineLevel="0" collapsed="false">
      <c r="AK971" s="15" t="e">
        <v>#NAME?</v>
      </c>
      <c r="AL971" s="15" t="e">
        <f aca="false">_xlfn.xlookup(AK971,A:A,F:F)</f>
        <v>#NAME?</v>
      </c>
      <c r="AM971" s="15" t="e">
        <f aca="false">_xlfn.xlookup(AK971,A:A,J:J)</f>
        <v>#NAME?</v>
      </c>
      <c r="AN971" s="15" t="e">
        <f aca="false">_xlfn.xlookup(AK971,A:A,M:M)+_xlfn.xlookup(AK971,A:A,N:N)</f>
        <v>#NAME?</v>
      </c>
      <c r="AO971" s="223" t="e">
        <f aca="false">_xlfn.xlookup(AK971,A:A,AG:AG)</f>
        <v>#NAME?</v>
      </c>
      <c r="AP971" s="223" t="e">
        <f aca="false">_xlfn.xlookup(AK971,A:A,AD:AD)</f>
        <v>#NAME?</v>
      </c>
      <c r="AQ971" s="223" t="e">
        <f aca="false">_xlfn.xlookup(AK971,A:A,AE:AE)</f>
        <v>#NAME?</v>
      </c>
      <c r="BB971" s="15" t="e">
        <f aca="false">_xlfn.xlookup(BA971,A:A,E:E)</f>
        <v>#NAME?</v>
      </c>
      <c r="BC971" s="15" t="e">
        <f aca="false">_xlfn.xlookup(BA971,A:A,J:J)</f>
        <v>#NAME?</v>
      </c>
      <c r="BD971" s="75" t="e">
        <f aca="false">_xlfn.xlookup(BA971,A:A,M:M)+_xlfn.xlookup(BA971,A:A,N:N)</f>
        <v>#NAME?</v>
      </c>
    </row>
    <row r="972" customFormat="false" ht="14.25" hidden="false" customHeight="false" outlineLevel="0" collapsed="false">
      <c r="AK972" s="15" t="e">
        <v>#NAME?</v>
      </c>
      <c r="AL972" s="15" t="e">
        <f aca="false">_xlfn.xlookup(AK972,A:A,F:F)</f>
        <v>#NAME?</v>
      </c>
      <c r="AM972" s="15" t="e">
        <f aca="false">_xlfn.xlookup(AK972,A:A,J:J)</f>
        <v>#NAME?</v>
      </c>
      <c r="AN972" s="15" t="e">
        <f aca="false">_xlfn.xlookup(AK972,A:A,M:M)+_xlfn.xlookup(AK972,A:A,N:N)</f>
        <v>#NAME?</v>
      </c>
      <c r="AO972" s="223" t="e">
        <f aca="false">_xlfn.xlookup(AK972,A:A,AG:AG)</f>
        <v>#NAME?</v>
      </c>
      <c r="AP972" s="223" t="e">
        <f aca="false">_xlfn.xlookup(AK972,A:A,AD:AD)</f>
        <v>#NAME?</v>
      </c>
      <c r="AQ972" s="223" t="e">
        <f aca="false">_xlfn.xlookup(AK972,A:A,AE:AE)</f>
        <v>#NAME?</v>
      </c>
      <c r="BB972" s="15" t="e">
        <f aca="false">_xlfn.xlookup(BA972,A:A,E:E)</f>
        <v>#NAME?</v>
      </c>
      <c r="BC972" s="15" t="e">
        <f aca="false">_xlfn.xlookup(BA972,A:A,J:J)</f>
        <v>#NAME?</v>
      </c>
      <c r="BD972" s="75" t="e">
        <f aca="false">_xlfn.xlookup(BA972,A:A,M:M)+_xlfn.xlookup(BA972,A:A,N:N)</f>
        <v>#NAME?</v>
      </c>
    </row>
    <row r="973" customFormat="false" ht="14.25" hidden="false" customHeight="false" outlineLevel="0" collapsed="false">
      <c r="AK973" s="15" t="e">
        <v>#NAME?</v>
      </c>
      <c r="AL973" s="15" t="e">
        <f aca="false">_xlfn.xlookup(AK973,A:A,F:F)</f>
        <v>#NAME?</v>
      </c>
      <c r="AM973" s="15" t="e">
        <f aca="false">_xlfn.xlookup(AK973,A:A,J:J)</f>
        <v>#NAME?</v>
      </c>
      <c r="AN973" s="15" t="e">
        <f aca="false">_xlfn.xlookup(AK973,A:A,M:M)+_xlfn.xlookup(AK973,A:A,N:N)</f>
        <v>#NAME?</v>
      </c>
      <c r="AO973" s="223" t="e">
        <f aca="false">_xlfn.xlookup(AK973,A:A,AG:AG)</f>
        <v>#NAME?</v>
      </c>
      <c r="AP973" s="223" t="e">
        <f aca="false">_xlfn.xlookup(AK973,A:A,AD:AD)</f>
        <v>#NAME?</v>
      </c>
      <c r="AQ973" s="223" t="e">
        <f aca="false">_xlfn.xlookup(AK973,A:A,AE:AE)</f>
        <v>#NAME?</v>
      </c>
      <c r="BB973" s="15" t="e">
        <f aca="false">_xlfn.xlookup(BA973,A:A,E:E)</f>
        <v>#NAME?</v>
      </c>
      <c r="BC973" s="15" t="e">
        <f aca="false">_xlfn.xlookup(BA973,A:A,J:J)</f>
        <v>#NAME?</v>
      </c>
      <c r="BD973" s="75" t="e">
        <f aca="false">_xlfn.xlookup(BA973,A:A,M:M)+_xlfn.xlookup(BA973,A:A,N:N)</f>
        <v>#NAME?</v>
      </c>
    </row>
    <row r="974" customFormat="false" ht="14.25" hidden="false" customHeight="false" outlineLevel="0" collapsed="false">
      <c r="AK974" s="15" t="e">
        <v>#NAME?</v>
      </c>
      <c r="AL974" s="15" t="e">
        <f aca="false">_xlfn.xlookup(AK974,A:A,F:F)</f>
        <v>#NAME?</v>
      </c>
      <c r="AM974" s="15" t="e">
        <f aca="false">_xlfn.xlookup(AK974,A:A,J:J)</f>
        <v>#NAME?</v>
      </c>
      <c r="AN974" s="15" t="e">
        <f aca="false">_xlfn.xlookup(AK974,A:A,M:M)+_xlfn.xlookup(AK974,A:A,N:N)</f>
        <v>#NAME?</v>
      </c>
      <c r="AO974" s="223" t="e">
        <f aca="false">_xlfn.xlookup(AK974,A:A,AG:AG)</f>
        <v>#NAME?</v>
      </c>
      <c r="AP974" s="223" t="e">
        <f aca="false">_xlfn.xlookup(AK974,A:A,AD:AD)</f>
        <v>#NAME?</v>
      </c>
      <c r="AQ974" s="223" t="e">
        <f aca="false">_xlfn.xlookup(AK974,A:A,AE:AE)</f>
        <v>#NAME?</v>
      </c>
      <c r="BB974" s="15" t="e">
        <f aca="false">_xlfn.xlookup(BA974,A:A,E:E)</f>
        <v>#NAME?</v>
      </c>
      <c r="BC974" s="15" t="e">
        <f aca="false">_xlfn.xlookup(BA974,A:A,J:J)</f>
        <v>#NAME?</v>
      </c>
      <c r="BD974" s="75" t="e">
        <f aca="false">_xlfn.xlookup(BA974,A:A,M:M)+_xlfn.xlookup(BA974,A:A,N:N)</f>
        <v>#NAME?</v>
      </c>
    </row>
    <row r="975" customFormat="false" ht="14.25" hidden="false" customHeight="false" outlineLevel="0" collapsed="false">
      <c r="AK975" s="15" t="e">
        <v>#NAME?</v>
      </c>
      <c r="AL975" s="15" t="e">
        <f aca="false">_xlfn.xlookup(AK975,A:A,F:F)</f>
        <v>#NAME?</v>
      </c>
      <c r="AM975" s="15" t="e">
        <f aca="false">_xlfn.xlookup(AK975,A:A,J:J)</f>
        <v>#NAME?</v>
      </c>
      <c r="AN975" s="15" t="e">
        <f aca="false">_xlfn.xlookup(AK975,A:A,M:M)+_xlfn.xlookup(AK975,A:A,N:N)</f>
        <v>#NAME?</v>
      </c>
      <c r="AO975" s="223" t="e">
        <f aca="false">_xlfn.xlookup(AK975,A:A,AG:AG)</f>
        <v>#NAME?</v>
      </c>
      <c r="AP975" s="223" t="e">
        <f aca="false">_xlfn.xlookup(AK975,A:A,AD:AD)</f>
        <v>#NAME?</v>
      </c>
      <c r="AQ975" s="223" t="e">
        <f aca="false">_xlfn.xlookup(AK975,A:A,AE:AE)</f>
        <v>#NAME?</v>
      </c>
      <c r="BB975" s="15" t="e">
        <f aca="false">_xlfn.xlookup(BA975,A:A,E:E)</f>
        <v>#NAME?</v>
      </c>
      <c r="BC975" s="15" t="e">
        <f aca="false">_xlfn.xlookup(BA975,A:A,J:J)</f>
        <v>#NAME?</v>
      </c>
      <c r="BD975" s="75" t="e">
        <f aca="false">_xlfn.xlookup(BA975,A:A,M:M)+_xlfn.xlookup(BA975,A:A,N:N)</f>
        <v>#NAME?</v>
      </c>
    </row>
    <row r="976" customFormat="false" ht="14.25" hidden="false" customHeight="false" outlineLevel="0" collapsed="false">
      <c r="AK976" s="15" t="e">
        <v>#NAME?</v>
      </c>
      <c r="AL976" s="15" t="e">
        <f aca="false">_xlfn.xlookup(AK976,A:A,F:F)</f>
        <v>#NAME?</v>
      </c>
      <c r="AM976" s="15" t="e">
        <f aca="false">_xlfn.xlookup(AK976,A:A,J:J)</f>
        <v>#NAME?</v>
      </c>
      <c r="AN976" s="15" t="e">
        <f aca="false">_xlfn.xlookup(AK976,A:A,M:M)+_xlfn.xlookup(AK976,A:A,N:N)</f>
        <v>#NAME?</v>
      </c>
      <c r="AO976" s="223" t="e">
        <f aca="false">_xlfn.xlookup(AK976,A:A,AG:AG)</f>
        <v>#NAME?</v>
      </c>
      <c r="AP976" s="223" t="e">
        <f aca="false">_xlfn.xlookup(AK976,A:A,AD:AD)</f>
        <v>#NAME?</v>
      </c>
      <c r="AQ976" s="223" t="e">
        <f aca="false">_xlfn.xlookup(AK976,A:A,AE:AE)</f>
        <v>#NAME?</v>
      </c>
      <c r="BB976" s="15" t="e">
        <f aca="false">_xlfn.xlookup(BA976,A:A,E:E)</f>
        <v>#NAME?</v>
      </c>
      <c r="BC976" s="15" t="e">
        <f aca="false">_xlfn.xlookup(BA976,A:A,J:J)</f>
        <v>#NAME?</v>
      </c>
      <c r="BD976" s="75" t="e">
        <f aca="false">_xlfn.xlookup(BA976,A:A,M:M)+_xlfn.xlookup(BA976,A:A,N:N)</f>
        <v>#NAME?</v>
      </c>
    </row>
    <row r="977" customFormat="false" ht="14.25" hidden="false" customHeight="false" outlineLevel="0" collapsed="false">
      <c r="AK977" s="15" t="e">
        <v>#NAME?</v>
      </c>
      <c r="AL977" s="15" t="e">
        <f aca="false">_xlfn.xlookup(AK977,A:A,F:F)</f>
        <v>#NAME?</v>
      </c>
      <c r="AM977" s="15" t="e">
        <f aca="false">_xlfn.xlookup(AK977,A:A,J:J)</f>
        <v>#NAME?</v>
      </c>
      <c r="AN977" s="15" t="e">
        <f aca="false">_xlfn.xlookup(AK977,A:A,M:M)+_xlfn.xlookup(AK977,A:A,N:N)</f>
        <v>#NAME?</v>
      </c>
      <c r="AO977" s="223" t="e">
        <f aca="false">_xlfn.xlookup(AK977,A:A,AG:AG)</f>
        <v>#NAME?</v>
      </c>
      <c r="AP977" s="223" t="e">
        <f aca="false">_xlfn.xlookup(AK977,A:A,AD:AD)</f>
        <v>#NAME?</v>
      </c>
      <c r="AQ977" s="223" t="e">
        <f aca="false">_xlfn.xlookup(AK977,A:A,AE:AE)</f>
        <v>#NAME?</v>
      </c>
      <c r="BB977" s="15" t="e">
        <f aca="false">_xlfn.xlookup(BA977,A:A,E:E)</f>
        <v>#NAME?</v>
      </c>
      <c r="BC977" s="15" t="e">
        <f aca="false">_xlfn.xlookup(BA977,A:A,J:J)</f>
        <v>#NAME?</v>
      </c>
      <c r="BD977" s="75" t="e">
        <f aca="false">_xlfn.xlookup(BA977,A:A,M:M)+_xlfn.xlookup(BA977,A:A,N:N)</f>
        <v>#NAME?</v>
      </c>
    </row>
    <row r="978" customFormat="false" ht="14.25" hidden="false" customHeight="false" outlineLevel="0" collapsed="false">
      <c r="AK978" s="15" t="e">
        <v>#NAME?</v>
      </c>
      <c r="AL978" s="15" t="e">
        <f aca="false">_xlfn.xlookup(AK978,A:A,F:F)</f>
        <v>#NAME?</v>
      </c>
      <c r="AM978" s="15" t="e">
        <f aca="false">_xlfn.xlookup(AK978,A:A,J:J)</f>
        <v>#NAME?</v>
      </c>
      <c r="AN978" s="15" t="e">
        <f aca="false">_xlfn.xlookup(AK978,A:A,M:M)+_xlfn.xlookup(AK978,A:A,N:N)</f>
        <v>#NAME?</v>
      </c>
      <c r="AO978" s="223" t="e">
        <f aca="false">_xlfn.xlookup(AK978,A:A,AG:AG)</f>
        <v>#NAME?</v>
      </c>
      <c r="AP978" s="223" t="e">
        <f aca="false">_xlfn.xlookup(AK978,A:A,AD:AD)</f>
        <v>#NAME?</v>
      </c>
      <c r="AQ978" s="223" t="e">
        <f aca="false">_xlfn.xlookup(AK978,A:A,AE:AE)</f>
        <v>#NAME?</v>
      </c>
      <c r="BB978" s="15" t="e">
        <f aca="false">_xlfn.xlookup(BA978,A:A,E:E)</f>
        <v>#NAME?</v>
      </c>
      <c r="BC978" s="15" t="e">
        <f aca="false">_xlfn.xlookup(BA978,A:A,J:J)</f>
        <v>#NAME?</v>
      </c>
      <c r="BD978" s="75" t="e">
        <f aca="false">_xlfn.xlookup(BA978,A:A,M:M)+_xlfn.xlookup(BA978,A:A,N:N)</f>
        <v>#NAME?</v>
      </c>
    </row>
    <row r="979" customFormat="false" ht="14.25" hidden="false" customHeight="false" outlineLevel="0" collapsed="false">
      <c r="AK979" s="15" t="e">
        <v>#NAME?</v>
      </c>
      <c r="AL979" s="15" t="e">
        <f aca="false">_xlfn.xlookup(AK979,A:A,F:F)</f>
        <v>#NAME?</v>
      </c>
      <c r="AM979" s="15" t="e">
        <f aca="false">_xlfn.xlookup(AK979,A:A,J:J)</f>
        <v>#NAME?</v>
      </c>
      <c r="AN979" s="15" t="e">
        <f aca="false">_xlfn.xlookup(AK979,A:A,M:M)+_xlfn.xlookup(AK979,A:A,N:N)</f>
        <v>#NAME?</v>
      </c>
      <c r="AO979" s="223" t="e">
        <f aca="false">_xlfn.xlookup(AK979,A:A,AG:AG)</f>
        <v>#NAME?</v>
      </c>
      <c r="AP979" s="223" t="e">
        <f aca="false">_xlfn.xlookup(AK979,A:A,AD:AD)</f>
        <v>#NAME?</v>
      </c>
      <c r="AQ979" s="223" t="e">
        <f aca="false">_xlfn.xlookup(AK979,A:A,AE:AE)</f>
        <v>#NAME?</v>
      </c>
      <c r="BB979" s="15" t="e">
        <f aca="false">_xlfn.xlookup(BA979,A:A,E:E)</f>
        <v>#NAME?</v>
      </c>
      <c r="BC979" s="15" t="e">
        <f aca="false">_xlfn.xlookup(BA979,A:A,J:J)</f>
        <v>#NAME?</v>
      </c>
      <c r="BD979" s="75" t="e">
        <f aca="false">_xlfn.xlookup(BA979,A:A,M:M)+_xlfn.xlookup(BA979,A:A,N:N)</f>
        <v>#NAME?</v>
      </c>
    </row>
    <row r="980" customFormat="false" ht="14.25" hidden="false" customHeight="false" outlineLevel="0" collapsed="false">
      <c r="AK980" s="15" t="e">
        <v>#NAME?</v>
      </c>
      <c r="AL980" s="15" t="e">
        <f aca="false">_xlfn.xlookup(AK980,A:A,F:F)</f>
        <v>#NAME?</v>
      </c>
      <c r="AM980" s="15" t="e">
        <f aca="false">_xlfn.xlookup(AK980,A:A,J:J)</f>
        <v>#NAME?</v>
      </c>
      <c r="AN980" s="15" t="e">
        <f aca="false">_xlfn.xlookup(AK980,A:A,M:M)+_xlfn.xlookup(AK980,A:A,N:N)</f>
        <v>#NAME?</v>
      </c>
      <c r="AO980" s="223" t="e">
        <f aca="false">_xlfn.xlookup(AK980,A:A,AG:AG)</f>
        <v>#NAME?</v>
      </c>
      <c r="AP980" s="223" t="e">
        <f aca="false">_xlfn.xlookup(AK980,A:A,AD:AD)</f>
        <v>#NAME?</v>
      </c>
      <c r="AQ980" s="223" t="e">
        <f aca="false">_xlfn.xlookup(AK980,A:A,AE:AE)</f>
        <v>#NAME?</v>
      </c>
      <c r="BB980" s="15" t="e">
        <f aca="false">_xlfn.xlookup(BA980,A:A,E:E)</f>
        <v>#NAME?</v>
      </c>
      <c r="BC980" s="15" t="e">
        <f aca="false">_xlfn.xlookup(BA980,A:A,J:J)</f>
        <v>#NAME?</v>
      </c>
      <c r="BD980" s="75" t="e">
        <f aca="false">_xlfn.xlookup(BA980,A:A,M:M)+_xlfn.xlookup(BA980,A:A,N:N)</f>
        <v>#NAME?</v>
      </c>
    </row>
    <row r="981" customFormat="false" ht="14.25" hidden="false" customHeight="false" outlineLevel="0" collapsed="false">
      <c r="AK981" s="15" t="e">
        <v>#NAME?</v>
      </c>
      <c r="AL981" s="15" t="e">
        <f aca="false">_xlfn.xlookup(AK981,A:A,F:F)</f>
        <v>#NAME?</v>
      </c>
      <c r="AM981" s="15" t="e">
        <f aca="false">_xlfn.xlookup(AK981,A:A,J:J)</f>
        <v>#NAME?</v>
      </c>
      <c r="AN981" s="15" t="e">
        <f aca="false">_xlfn.xlookup(AK981,A:A,M:M)+_xlfn.xlookup(AK981,A:A,N:N)</f>
        <v>#NAME?</v>
      </c>
      <c r="AO981" s="223" t="e">
        <f aca="false">_xlfn.xlookup(AK981,A:A,AG:AG)</f>
        <v>#NAME?</v>
      </c>
      <c r="AP981" s="223" t="e">
        <f aca="false">_xlfn.xlookup(AK981,A:A,AD:AD)</f>
        <v>#NAME?</v>
      </c>
      <c r="AQ981" s="223" t="e">
        <f aca="false">_xlfn.xlookup(AK981,A:A,AE:AE)</f>
        <v>#NAME?</v>
      </c>
      <c r="BB981" s="15" t="e">
        <f aca="false">_xlfn.xlookup(BA981,A:A,E:E)</f>
        <v>#NAME?</v>
      </c>
      <c r="BC981" s="15" t="e">
        <f aca="false">_xlfn.xlookup(BA981,A:A,J:J)</f>
        <v>#NAME?</v>
      </c>
      <c r="BD981" s="75" t="e">
        <f aca="false">_xlfn.xlookup(BA981,A:A,M:M)+_xlfn.xlookup(BA981,A:A,N:N)</f>
        <v>#NAME?</v>
      </c>
    </row>
    <row r="982" customFormat="false" ht="14.25" hidden="false" customHeight="false" outlineLevel="0" collapsed="false">
      <c r="AK982" s="15" t="e">
        <v>#NAME?</v>
      </c>
      <c r="AL982" s="15" t="e">
        <f aca="false">_xlfn.xlookup(AK982,A:A,F:F)</f>
        <v>#NAME?</v>
      </c>
      <c r="AM982" s="15" t="e">
        <f aca="false">_xlfn.xlookup(AK982,A:A,J:J)</f>
        <v>#NAME?</v>
      </c>
      <c r="AN982" s="15" t="e">
        <f aca="false">_xlfn.xlookup(AK982,A:A,M:M)+_xlfn.xlookup(AK982,A:A,N:N)</f>
        <v>#NAME?</v>
      </c>
      <c r="AO982" s="223" t="e">
        <f aca="false">_xlfn.xlookup(AK982,A:A,AG:AG)</f>
        <v>#NAME?</v>
      </c>
      <c r="AP982" s="223" t="e">
        <f aca="false">_xlfn.xlookup(AK982,A:A,AD:AD)</f>
        <v>#NAME?</v>
      </c>
      <c r="AQ982" s="223" t="e">
        <f aca="false">_xlfn.xlookup(AK982,A:A,AE:AE)</f>
        <v>#NAME?</v>
      </c>
      <c r="BB982" s="15" t="e">
        <f aca="false">_xlfn.xlookup(BA982,A:A,E:E)</f>
        <v>#NAME?</v>
      </c>
      <c r="BC982" s="15" t="e">
        <f aca="false">_xlfn.xlookup(BA982,A:A,J:J)</f>
        <v>#NAME?</v>
      </c>
      <c r="BD982" s="75" t="e">
        <f aca="false">_xlfn.xlookup(BA982,A:A,M:M)+_xlfn.xlookup(BA982,A:A,N:N)</f>
        <v>#NAME?</v>
      </c>
    </row>
    <row r="983" customFormat="false" ht="14.25" hidden="false" customHeight="false" outlineLevel="0" collapsed="false">
      <c r="AK983" s="15" t="e">
        <v>#NAME?</v>
      </c>
      <c r="AL983" s="15" t="e">
        <f aca="false">_xlfn.xlookup(AK983,A:A,F:F)</f>
        <v>#NAME?</v>
      </c>
      <c r="AM983" s="15" t="e">
        <f aca="false">_xlfn.xlookup(AK983,A:A,J:J)</f>
        <v>#NAME?</v>
      </c>
      <c r="AN983" s="15" t="e">
        <f aca="false">_xlfn.xlookup(AK983,A:A,M:M)+_xlfn.xlookup(AK983,A:A,N:N)</f>
        <v>#NAME?</v>
      </c>
      <c r="AO983" s="223" t="e">
        <f aca="false">_xlfn.xlookup(AK983,A:A,AG:AG)</f>
        <v>#NAME?</v>
      </c>
      <c r="AP983" s="223" t="e">
        <f aca="false">_xlfn.xlookup(AK983,A:A,AD:AD)</f>
        <v>#NAME?</v>
      </c>
      <c r="AQ983" s="223" t="e">
        <f aca="false">_xlfn.xlookup(AK983,A:A,AE:AE)</f>
        <v>#NAME?</v>
      </c>
      <c r="BB983" s="15" t="e">
        <f aca="false">_xlfn.xlookup(BA983,A:A,E:E)</f>
        <v>#NAME?</v>
      </c>
      <c r="BC983" s="15" t="e">
        <f aca="false">_xlfn.xlookup(BA983,A:A,J:J)</f>
        <v>#NAME?</v>
      </c>
      <c r="BD983" s="75" t="e">
        <f aca="false">_xlfn.xlookup(BA983,A:A,M:M)+_xlfn.xlookup(BA983,A:A,N:N)</f>
        <v>#NAME?</v>
      </c>
    </row>
    <row r="984" customFormat="false" ht="14.25" hidden="false" customHeight="false" outlineLevel="0" collapsed="false">
      <c r="AK984" s="15" t="e">
        <v>#NAME?</v>
      </c>
      <c r="AL984" s="15" t="e">
        <f aca="false">_xlfn.xlookup(AK984,A:A,F:F)</f>
        <v>#NAME?</v>
      </c>
      <c r="AM984" s="15" t="e">
        <f aca="false">_xlfn.xlookup(AK984,A:A,J:J)</f>
        <v>#NAME?</v>
      </c>
      <c r="AN984" s="15" t="e">
        <f aca="false">_xlfn.xlookup(AK984,A:A,M:M)+_xlfn.xlookup(AK984,A:A,N:N)</f>
        <v>#NAME?</v>
      </c>
      <c r="AO984" s="223" t="e">
        <f aca="false">_xlfn.xlookup(AK984,A:A,AG:AG)</f>
        <v>#NAME?</v>
      </c>
      <c r="AP984" s="223" t="e">
        <f aca="false">_xlfn.xlookup(AK984,A:A,AD:AD)</f>
        <v>#NAME?</v>
      </c>
      <c r="AQ984" s="223" t="e">
        <f aca="false">_xlfn.xlookup(AK984,A:A,AE:AE)</f>
        <v>#NAME?</v>
      </c>
      <c r="BB984" s="15" t="e">
        <f aca="false">_xlfn.xlookup(BA984,A:A,E:E)</f>
        <v>#NAME?</v>
      </c>
      <c r="BC984" s="15" t="e">
        <f aca="false">_xlfn.xlookup(BA984,A:A,J:J)</f>
        <v>#NAME?</v>
      </c>
      <c r="BD984" s="75" t="e">
        <f aca="false">_xlfn.xlookup(BA984,A:A,M:M)+_xlfn.xlookup(BA984,A:A,N:N)</f>
        <v>#NAME?</v>
      </c>
    </row>
    <row r="985" customFormat="false" ht="14.25" hidden="false" customHeight="false" outlineLevel="0" collapsed="false">
      <c r="AK985" s="15" t="e">
        <v>#NAME?</v>
      </c>
      <c r="AL985" s="15" t="e">
        <f aca="false">_xlfn.xlookup(AK985,A:A,F:F)</f>
        <v>#NAME?</v>
      </c>
      <c r="AM985" s="15" t="e">
        <f aca="false">_xlfn.xlookup(AK985,A:A,J:J)</f>
        <v>#NAME?</v>
      </c>
      <c r="AN985" s="15" t="e">
        <f aca="false">_xlfn.xlookup(AK985,A:A,M:M)+_xlfn.xlookup(AK985,A:A,N:N)</f>
        <v>#NAME?</v>
      </c>
      <c r="AO985" s="223" t="e">
        <f aca="false">_xlfn.xlookup(AK985,A:A,AG:AG)</f>
        <v>#NAME?</v>
      </c>
      <c r="AP985" s="223" t="e">
        <f aca="false">_xlfn.xlookup(AK985,A:A,AD:AD)</f>
        <v>#NAME?</v>
      </c>
      <c r="AQ985" s="223" t="e">
        <f aca="false">_xlfn.xlookup(AK985,A:A,AE:AE)</f>
        <v>#NAME?</v>
      </c>
      <c r="BB985" s="15" t="e">
        <f aca="false">_xlfn.xlookup(BA985,A:A,E:E)</f>
        <v>#NAME?</v>
      </c>
      <c r="BC985" s="15" t="e">
        <f aca="false">_xlfn.xlookup(BA985,A:A,J:J)</f>
        <v>#NAME?</v>
      </c>
      <c r="BD985" s="75" t="e">
        <f aca="false">_xlfn.xlookup(BA985,A:A,M:M)+_xlfn.xlookup(BA985,A:A,N:N)</f>
        <v>#NAME?</v>
      </c>
    </row>
    <row r="986" customFormat="false" ht="14.25" hidden="false" customHeight="false" outlineLevel="0" collapsed="false">
      <c r="AK986" s="15" t="e">
        <v>#NAME?</v>
      </c>
      <c r="AL986" s="15" t="e">
        <f aca="false">_xlfn.xlookup(AK986,A:A,F:F)</f>
        <v>#NAME?</v>
      </c>
      <c r="AM986" s="15" t="e">
        <f aca="false">_xlfn.xlookup(AK986,A:A,J:J)</f>
        <v>#NAME?</v>
      </c>
      <c r="AN986" s="15" t="e">
        <f aca="false">_xlfn.xlookup(AK986,A:A,M:M)+_xlfn.xlookup(AK986,A:A,N:N)</f>
        <v>#NAME?</v>
      </c>
      <c r="AO986" s="223" t="e">
        <f aca="false">_xlfn.xlookup(AK986,A:A,AG:AG)</f>
        <v>#NAME?</v>
      </c>
      <c r="AP986" s="223" t="e">
        <f aca="false">_xlfn.xlookup(AK986,A:A,AD:AD)</f>
        <v>#NAME?</v>
      </c>
      <c r="AQ986" s="223" t="e">
        <f aca="false">_xlfn.xlookup(AK986,A:A,AE:AE)</f>
        <v>#NAME?</v>
      </c>
      <c r="BB986" s="15" t="e">
        <f aca="false">_xlfn.xlookup(BA986,A:A,E:E)</f>
        <v>#NAME?</v>
      </c>
      <c r="BC986" s="15" t="e">
        <f aca="false">_xlfn.xlookup(BA986,A:A,J:J)</f>
        <v>#NAME?</v>
      </c>
      <c r="BD986" s="75" t="e">
        <f aca="false">_xlfn.xlookup(BA986,A:A,M:M)+_xlfn.xlookup(BA986,A:A,N:N)</f>
        <v>#NAME?</v>
      </c>
    </row>
    <row r="987" customFormat="false" ht="14.25" hidden="false" customHeight="false" outlineLevel="0" collapsed="false">
      <c r="AK987" s="15" t="e">
        <v>#NAME?</v>
      </c>
      <c r="AL987" s="15" t="e">
        <f aca="false">_xlfn.xlookup(AK987,A:A,F:F)</f>
        <v>#NAME?</v>
      </c>
      <c r="AM987" s="15" t="e">
        <f aca="false">_xlfn.xlookup(AK987,A:A,J:J)</f>
        <v>#NAME?</v>
      </c>
      <c r="AN987" s="15" t="e">
        <f aca="false">_xlfn.xlookup(AK987,A:A,M:M)+_xlfn.xlookup(AK987,A:A,N:N)</f>
        <v>#NAME?</v>
      </c>
      <c r="AO987" s="223" t="e">
        <f aca="false">_xlfn.xlookup(AK987,A:A,AG:AG)</f>
        <v>#NAME?</v>
      </c>
      <c r="AP987" s="223" t="e">
        <f aca="false">_xlfn.xlookup(AK987,A:A,AD:AD)</f>
        <v>#NAME?</v>
      </c>
      <c r="AQ987" s="223" t="e">
        <f aca="false">_xlfn.xlookup(AK987,A:A,AE:AE)</f>
        <v>#NAME?</v>
      </c>
      <c r="BB987" s="15" t="e">
        <f aca="false">_xlfn.xlookup(BA987,A:A,E:E)</f>
        <v>#NAME?</v>
      </c>
      <c r="BC987" s="15" t="e">
        <f aca="false">_xlfn.xlookup(BA987,A:A,J:J)</f>
        <v>#NAME?</v>
      </c>
      <c r="BD987" s="75" t="e">
        <f aca="false">_xlfn.xlookup(BA987,A:A,M:M)+_xlfn.xlookup(BA987,A:A,N:N)</f>
        <v>#NAME?</v>
      </c>
    </row>
    <row r="988" customFormat="false" ht="14.25" hidden="false" customHeight="false" outlineLevel="0" collapsed="false">
      <c r="AK988" s="15" t="e">
        <v>#NAME?</v>
      </c>
      <c r="AL988" s="15" t="e">
        <f aca="false">_xlfn.xlookup(AK988,A:A,F:F)</f>
        <v>#NAME?</v>
      </c>
      <c r="AM988" s="15" t="e">
        <f aca="false">_xlfn.xlookup(AK988,A:A,J:J)</f>
        <v>#NAME?</v>
      </c>
      <c r="AN988" s="15" t="e">
        <f aca="false">_xlfn.xlookup(AK988,A:A,M:M)+_xlfn.xlookup(AK988,A:A,N:N)</f>
        <v>#NAME?</v>
      </c>
      <c r="AO988" s="223" t="e">
        <f aca="false">_xlfn.xlookup(AK988,A:A,AG:AG)</f>
        <v>#NAME?</v>
      </c>
      <c r="AP988" s="223" t="e">
        <f aca="false">_xlfn.xlookup(AK988,A:A,AD:AD)</f>
        <v>#NAME?</v>
      </c>
      <c r="AQ988" s="223" t="e">
        <f aca="false">_xlfn.xlookup(AK988,A:A,AE:AE)</f>
        <v>#NAME?</v>
      </c>
      <c r="BB988" s="15" t="e">
        <f aca="false">_xlfn.xlookup(BA988,A:A,E:E)</f>
        <v>#NAME?</v>
      </c>
      <c r="BC988" s="15" t="e">
        <f aca="false">_xlfn.xlookup(BA988,A:A,J:J)</f>
        <v>#NAME?</v>
      </c>
      <c r="BD988" s="75" t="e">
        <f aca="false">_xlfn.xlookup(BA988,A:A,M:M)+_xlfn.xlookup(BA988,A:A,N:N)</f>
        <v>#NAME?</v>
      </c>
    </row>
    <row r="989" customFormat="false" ht="14.25" hidden="false" customHeight="false" outlineLevel="0" collapsed="false">
      <c r="AK989" s="15" t="e">
        <v>#NAME?</v>
      </c>
      <c r="AL989" s="15" t="e">
        <f aca="false">_xlfn.xlookup(AK989,A:A,F:F)</f>
        <v>#NAME?</v>
      </c>
      <c r="AM989" s="15" t="e">
        <f aca="false">_xlfn.xlookup(AK989,A:A,J:J)</f>
        <v>#NAME?</v>
      </c>
      <c r="AN989" s="15" t="e">
        <f aca="false">_xlfn.xlookup(AK989,A:A,M:M)+_xlfn.xlookup(AK989,A:A,N:N)</f>
        <v>#NAME?</v>
      </c>
      <c r="AO989" s="223" t="e">
        <f aca="false">_xlfn.xlookup(AK989,A:A,AG:AG)</f>
        <v>#NAME?</v>
      </c>
      <c r="AP989" s="223" t="e">
        <f aca="false">_xlfn.xlookup(AK989,A:A,AD:AD)</f>
        <v>#NAME?</v>
      </c>
      <c r="AQ989" s="223" t="e">
        <f aca="false">_xlfn.xlookup(AK989,A:A,AE:AE)</f>
        <v>#NAME?</v>
      </c>
      <c r="BB989" s="15" t="e">
        <f aca="false">_xlfn.xlookup(BA989,A:A,E:E)</f>
        <v>#NAME?</v>
      </c>
      <c r="BC989" s="15" t="e">
        <f aca="false">_xlfn.xlookup(BA989,A:A,J:J)</f>
        <v>#NAME?</v>
      </c>
      <c r="BD989" s="75" t="e">
        <f aca="false">_xlfn.xlookup(BA989,A:A,M:M)+_xlfn.xlookup(BA989,A:A,N:N)</f>
        <v>#NAME?</v>
      </c>
    </row>
    <row r="990" customFormat="false" ht="14.25" hidden="false" customHeight="false" outlineLevel="0" collapsed="false">
      <c r="AK990" s="15" t="e">
        <v>#NAME?</v>
      </c>
      <c r="AL990" s="15" t="e">
        <f aca="false">_xlfn.xlookup(AK990,A:A,F:F)</f>
        <v>#NAME?</v>
      </c>
      <c r="AM990" s="15" t="e">
        <f aca="false">_xlfn.xlookup(AK990,A:A,J:J)</f>
        <v>#NAME?</v>
      </c>
      <c r="AN990" s="15" t="e">
        <f aca="false">_xlfn.xlookup(AK990,A:A,M:M)+_xlfn.xlookup(AK990,A:A,N:N)</f>
        <v>#NAME?</v>
      </c>
      <c r="AO990" s="223" t="e">
        <f aca="false">_xlfn.xlookup(AK990,A:A,AG:AG)</f>
        <v>#NAME?</v>
      </c>
      <c r="AP990" s="223" t="e">
        <f aca="false">_xlfn.xlookup(AK990,A:A,AD:AD)</f>
        <v>#NAME?</v>
      </c>
      <c r="AQ990" s="223" t="e">
        <f aca="false">_xlfn.xlookup(AK990,A:A,AE:AE)</f>
        <v>#NAME?</v>
      </c>
      <c r="BB990" s="15" t="e">
        <f aca="false">_xlfn.xlookup(BA990,A:A,E:E)</f>
        <v>#NAME?</v>
      </c>
      <c r="BC990" s="15" t="e">
        <f aca="false">_xlfn.xlookup(BA990,A:A,J:J)</f>
        <v>#NAME?</v>
      </c>
      <c r="BD990" s="75" t="e">
        <f aca="false">_xlfn.xlookup(BA990,A:A,M:M)+_xlfn.xlookup(BA990,A:A,N:N)</f>
        <v>#NAME?</v>
      </c>
    </row>
    <row r="991" customFormat="false" ht="14.25" hidden="false" customHeight="false" outlineLevel="0" collapsed="false">
      <c r="AK991" s="15" t="e">
        <v>#NAME?</v>
      </c>
      <c r="AL991" s="15" t="e">
        <f aca="false">_xlfn.xlookup(AK991,A:A,F:F)</f>
        <v>#NAME?</v>
      </c>
      <c r="AM991" s="15" t="e">
        <f aca="false">_xlfn.xlookup(AK991,A:A,J:J)</f>
        <v>#NAME?</v>
      </c>
      <c r="AN991" s="15" t="e">
        <f aca="false">_xlfn.xlookup(AK991,A:A,M:M)+_xlfn.xlookup(AK991,A:A,N:N)</f>
        <v>#NAME?</v>
      </c>
      <c r="AO991" s="223" t="e">
        <f aca="false">_xlfn.xlookup(AK991,A:A,AG:AG)</f>
        <v>#NAME?</v>
      </c>
      <c r="AP991" s="223" t="e">
        <f aca="false">_xlfn.xlookup(AK991,A:A,AD:AD)</f>
        <v>#NAME?</v>
      </c>
      <c r="AQ991" s="223" t="e">
        <f aca="false">_xlfn.xlookup(AK991,A:A,AE:AE)</f>
        <v>#NAME?</v>
      </c>
      <c r="BB991" s="15" t="e">
        <f aca="false">_xlfn.xlookup(BA991,A:A,E:E)</f>
        <v>#NAME?</v>
      </c>
      <c r="BC991" s="15" t="e">
        <f aca="false">_xlfn.xlookup(BA991,A:A,J:J)</f>
        <v>#NAME?</v>
      </c>
      <c r="BD991" s="75" t="e">
        <f aca="false">_xlfn.xlookup(BA991,A:A,M:M)+_xlfn.xlookup(BA991,A:A,N:N)</f>
        <v>#NAME?</v>
      </c>
    </row>
    <row r="992" customFormat="false" ht="14.25" hidden="false" customHeight="false" outlineLevel="0" collapsed="false">
      <c r="AK992" s="15" t="e">
        <v>#NAME?</v>
      </c>
      <c r="AL992" s="15" t="e">
        <f aca="false">_xlfn.xlookup(AK992,A:A,F:F)</f>
        <v>#NAME?</v>
      </c>
      <c r="AM992" s="15" t="e">
        <f aca="false">_xlfn.xlookup(AK992,A:A,J:J)</f>
        <v>#NAME?</v>
      </c>
      <c r="AN992" s="15" t="e">
        <f aca="false">_xlfn.xlookup(AK992,A:A,M:M)+_xlfn.xlookup(AK992,A:A,N:N)</f>
        <v>#NAME?</v>
      </c>
      <c r="AO992" s="223" t="e">
        <f aca="false">_xlfn.xlookup(AK992,A:A,AG:AG)</f>
        <v>#NAME?</v>
      </c>
      <c r="AP992" s="223" t="e">
        <f aca="false">_xlfn.xlookup(AK992,A:A,AD:AD)</f>
        <v>#NAME?</v>
      </c>
      <c r="AQ992" s="223" t="e">
        <f aca="false">_xlfn.xlookup(AK992,A:A,AE:AE)</f>
        <v>#NAME?</v>
      </c>
      <c r="BB992" s="15" t="e">
        <f aca="false">_xlfn.xlookup(BA992,A:A,E:E)</f>
        <v>#NAME?</v>
      </c>
      <c r="BC992" s="15" t="e">
        <f aca="false">_xlfn.xlookup(BA992,A:A,J:J)</f>
        <v>#NAME?</v>
      </c>
      <c r="BD992" s="75" t="e">
        <f aca="false">_xlfn.xlookup(BA992,A:A,M:M)+_xlfn.xlookup(BA992,A:A,N:N)</f>
        <v>#NAME?</v>
      </c>
    </row>
    <row r="993" customFormat="false" ht="14.25" hidden="false" customHeight="false" outlineLevel="0" collapsed="false">
      <c r="AK993" s="15" t="e">
        <v>#NAME?</v>
      </c>
      <c r="AL993" s="15" t="e">
        <f aca="false">_xlfn.xlookup(AK993,A:A,F:F)</f>
        <v>#NAME?</v>
      </c>
      <c r="AM993" s="15" t="e">
        <f aca="false">_xlfn.xlookup(AK993,A:A,J:J)</f>
        <v>#NAME?</v>
      </c>
      <c r="AN993" s="15" t="e">
        <f aca="false">_xlfn.xlookup(AK993,A:A,M:M)+_xlfn.xlookup(AK993,A:A,N:N)</f>
        <v>#NAME?</v>
      </c>
      <c r="AO993" s="223" t="e">
        <f aca="false">_xlfn.xlookup(AK993,A:A,AG:AG)</f>
        <v>#NAME?</v>
      </c>
      <c r="AP993" s="223" t="e">
        <f aca="false">_xlfn.xlookup(AK993,A:A,AD:AD)</f>
        <v>#NAME?</v>
      </c>
      <c r="AQ993" s="223" t="e">
        <f aca="false">_xlfn.xlookup(AK993,A:A,AE:AE)</f>
        <v>#NAME?</v>
      </c>
      <c r="BB993" s="15" t="e">
        <f aca="false">_xlfn.xlookup(BA993,A:A,E:E)</f>
        <v>#NAME?</v>
      </c>
      <c r="BC993" s="15" t="e">
        <f aca="false">_xlfn.xlookup(BA993,A:A,J:J)</f>
        <v>#NAME?</v>
      </c>
      <c r="BD993" s="75" t="e">
        <f aca="false">_xlfn.xlookup(BA993,A:A,M:M)+_xlfn.xlookup(BA993,A:A,N:N)</f>
        <v>#NAME?</v>
      </c>
    </row>
    <row r="994" customFormat="false" ht="14.25" hidden="false" customHeight="false" outlineLevel="0" collapsed="false">
      <c r="AK994" s="15" t="e">
        <v>#NAME?</v>
      </c>
      <c r="AL994" s="15" t="e">
        <f aca="false">_xlfn.xlookup(AK994,A:A,F:F)</f>
        <v>#NAME?</v>
      </c>
      <c r="AM994" s="15" t="e">
        <f aca="false">_xlfn.xlookup(AK994,A:A,J:J)</f>
        <v>#NAME?</v>
      </c>
      <c r="AN994" s="15" t="e">
        <f aca="false">_xlfn.xlookup(AK994,A:A,M:M)+_xlfn.xlookup(AK994,A:A,N:N)</f>
        <v>#NAME?</v>
      </c>
      <c r="AO994" s="223" t="e">
        <f aca="false">_xlfn.xlookup(AK994,A:A,AG:AG)</f>
        <v>#NAME?</v>
      </c>
      <c r="AP994" s="223" t="e">
        <f aca="false">_xlfn.xlookup(AK994,A:A,AD:AD)</f>
        <v>#NAME?</v>
      </c>
      <c r="AQ994" s="223" t="e">
        <f aca="false">_xlfn.xlookup(AK994,A:A,AE:AE)</f>
        <v>#NAME?</v>
      </c>
      <c r="BB994" s="15" t="e">
        <f aca="false">_xlfn.xlookup(BA994,A:A,E:E)</f>
        <v>#NAME?</v>
      </c>
      <c r="BC994" s="15" t="e">
        <f aca="false">_xlfn.xlookup(BA994,A:A,J:J)</f>
        <v>#NAME?</v>
      </c>
      <c r="BD994" s="75" t="e">
        <f aca="false">_xlfn.xlookup(BA994,A:A,M:M)+_xlfn.xlookup(BA994,A:A,N:N)</f>
        <v>#NAME?</v>
      </c>
    </row>
    <row r="995" customFormat="false" ht="14.25" hidden="false" customHeight="false" outlineLevel="0" collapsed="false">
      <c r="AK995" s="15" t="e">
        <v>#NAME?</v>
      </c>
      <c r="AL995" s="15" t="e">
        <f aca="false">_xlfn.xlookup(AK995,A:A,F:F)</f>
        <v>#NAME?</v>
      </c>
      <c r="AM995" s="15" t="e">
        <f aca="false">_xlfn.xlookup(AK995,A:A,J:J)</f>
        <v>#NAME?</v>
      </c>
      <c r="AN995" s="15" t="e">
        <f aca="false">_xlfn.xlookup(AK995,A:A,M:M)+_xlfn.xlookup(AK995,A:A,N:N)</f>
        <v>#NAME?</v>
      </c>
      <c r="AO995" s="223" t="e">
        <f aca="false">_xlfn.xlookup(AK995,A:A,AG:AG)</f>
        <v>#NAME?</v>
      </c>
      <c r="AP995" s="223" t="e">
        <f aca="false">_xlfn.xlookup(AK995,A:A,AD:AD)</f>
        <v>#NAME?</v>
      </c>
      <c r="AQ995" s="223" t="e">
        <f aca="false">_xlfn.xlookup(AK995,A:A,AE:AE)</f>
        <v>#NAME?</v>
      </c>
      <c r="BB995" s="15" t="e">
        <f aca="false">_xlfn.xlookup(BA995,A:A,E:E)</f>
        <v>#NAME?</v>
      </c>
      <c r="BC995" s="15" t="e">
        <f aca="false">_xlfn.xlookup(BA995,A:A,J:J)</f>
        <v>#NAME?</v>
      </c>
      <c r="BD995" s="75" t="e">
        <f aca="false">_xlfn.xlookup(BA995,A:A,M:M)+_xlfn.xlookup(BA995,A:A,N:N)</f>
        <v>#NAME?</v>
      </c>
    </row>
    <row r="996" customFormat="false" ht="14.25" hidden="false" customHeight="false" outlineLevel="0" collapsed="false">
      <c r="AK996" s="15" t="e">
        <v>#NAME?</v>
      </c>
      <c r="AL996" s="15" t="e">
        <f aca="false">_xlfn.xlookup(AK996,A:A,F:F)</f>
        <v>#NAME?</v>
      </c>
      <c r="AM996" s="15" t="e">
        <f aca="false">_xlfn.xlookup(AK996,A:A,J:J)</f>
        <v>#NAME?</v>
      </c>
      <c r="AN996" s="15" t="e">
        <f aca="false">_xlfn.xlookup(AK996,A:A,M:M)+_xlfn.xlookup(AK996,A:A,N:N)</f>
        <v>#NAME?</v>
      </c>
      <c r="AO996" s="223" t="e">
        <f aca="false">_xlfn.xlookup(AK996,A:A,AG:AG)</f>
        <v>#NAME?</v>
      </c>
      <c r="AP996" s="223" t="e">
        <f aca="false">_xlfn.xlookup(AK996,A:A,AD:AD)</f>
        <v>#NAME?</v>
      </c>
      <c r="AQ996" s="223" t="e">
        <f aca="false">_xlfn.xlookup(AK996,A:A,AE:AE)</f>
        <v>#NAME?</v>
      </c>
      <c r="BB996" s="15" t="e">
        <f aca="false">_xlfn.xlookup(BA996,A:A,E:E)</f>
        <v>#NAME?</v>
      </c>
      <c r="BC996" s="15" t="e">
        <f aca="false">_xlfn.xlookup(BA996,A:A,J:J)</f>
        <v>#NAME?</v>
      </c>
      <c r="BD996" s="75" t="e">
        <f aca="false">_xlfn.xlookup(BA996,A:A,M:M)+_xlfn.xlookup(BA996,A:A,N:N)</f>
        <v>#NAME?</v>
      </c>
    </row>
    <row r="997" customFormat="false" ht="14.25" hidden="false" customHeight="false" outlineLevel="0" collapsed="false">
      <c r="AK997" s="15" t="e">
        <v>#NAME?</v>
      </c>
      <c r="AL997" s="15" t="e">
        <f aca="false">_xlfn.xlookup(AK997,A:A,F:F)</f>
        <v>#NAME?</v>
      </c>
      <c r="AM997" s="15" t="e">
        <f aca="false">_xlfn.xlookup(AK997,A:A,J:J)</f>
        <v>#NAME?</v>
      </c>
      <c r="AN997" s="15" t="e">
        <f aca="false">_xlfn.xlookup(AK997,A:A,M:M)+_xlfn.xlookup(AK997,A:A,N:N)</f>
        <v>#NAME?</v>
      </c>
      <c r="AO997" s="223" t="e">
        <f aca="false">_xlfn.xlookup(AK997,A:A,AG:AG)</f>
        <v>#NAME?</v>
      </c>
      <c r="AP997" s="223" t="e">
        <f aca="false">_xlfn.xlookup(AK997,A:A,AD:AD)</f>
        <v>#NAME?</v>
      </c>
      <c r="AQ997" s="223" t="e">
        <f aca="false">_xlfn.xlookup(AK997,A:A,AE:AE)</f>
        <v>#NAME?</v>
      </c>
      <c r="BB997" s="15" t="e">
        <f aca="false">_xlfn.xlookup(BA997,A:A,E:E)</f>
        <v>#NAME?</v>
      </c>
      <c r="BC997" s="15" t="e">
        <f aca="false">_xlfn.xlookup(BA997,A:A,J:J)</f>
        <v>#NAME?</v>
      </c>
      <c r="BD997" s="75" t="e">
        <f aca="false">_xlfn.xlookup(BA997,A:A,M:M)+_xlfn.xlookup(BA997,A:A,N:N)</f>
        <v>#NAME?</v>
      </c>
    </row>
    <row r="998" customFormat="false" ht="14.25" hidden="false" customHeight="false" outlineLevel="0" collapsed="false">
      <c r="AK998" s="15" t="e">
        <v>#NAME?</v>
      </c>
      <c r="AL998" s="15" t="e">
        <f aca="false">_xlfn.xlookup(AK998,A:A,F:F)</f>
        <v>#NAME?</v>
      </c>
      <c r="AM998" s="15" t="e">
        <f aca="false">_xlfn.xlookup(AK998,A:A,J:J)</f>
        <v>#NAME?</v>
      </c>
      <c r="AN998" s="15" t="e">
        <f aca="false">_xlfn.xlookup(AK998,A:A,M:M)+_xlfn.xlookup(AK998,A:A,N:N)</f>
        <v>#NAME?</v>
      </c>
      <c r="AO998" s="223" t="e">
        <f aca="false">_xlfn.xlookup(AK998,A:A,AG:AG)</f>
        <v>#NAME?</v>
      </c>
      <c r="AP998" s="223" t="e">
        <f aca="false">_xlfn.xlookup(AK998,A:A,AD:AD)</f>
        <v>#NAME?</v>
      </c>
      <c r="AQ998" s="223" t="e">
        <f aca="false">_xlfn.xlookup(AK998,A:A,AE:AE)</f>
        <v>#NAME?</v>
      </c>
      <c r="BB998" s="15" t="e">
        <f aca="false">_xlfn.xlookup(BA998,A:A,E:E)</f>
        <v>#NAME?</v>
      </c>
      <c r="BC998" s="15" t="e">
        <f aca="false">_xlfn.xlookup(BA998,A:A,J:J)</f>
        <v>#NAME?</v>
      </c>
      <c r="BD998" s="75" t="e">
        <f aca="false">_xlfn.xlookup(BA998,A:A,M:M)+_xlfn.xlookup(BA998,A:A,N:N)</f>
        <v>#NAME?</v>
      </c>
    </row>
    <row r="999" customFormat="false" ht="14.25" hidden="false" customHeight="false" outlineLevel="0" collapsed="false">
      <c r="AK999" s="15" t="e">
        <v>#NAME?</v>
      </c>
      <c r="AL999" s="15" t="e">
        <f aca="false">_xlfn.xlookup(AK999,A:A,F:F)</f>
        <v>#NAME?</v>
      </c>
      <c r="AM999" s="15" t="e">
        <f aca="false">_xlfn.xlookup(AK999,A:A,J:J)</f>
        <v>#NAME?</v>
      </c>
      <c r="AN999" s="15" t="e">
        <f aca="false">_xlfn.xlookup(AK999,A:A,M:M)+_xlfn.xlookup(AK999,A:A,N:N)</f>
        <v>#NAME?</v>
      </c>
      <c r="AO999" s="223" t="e">
        <f aca="false">_xlfn.xlookup(AK999,A:A,AG:AG)</f>
        <v>#NAME?</v>
      </c>
      <c r="AP999" s="223" t="e">
        <f aca="false">_xlfn.xlookup(AK999,A:A,AD:AD)</f>
        <v>#NAME?</v>
      </c>
      <c r="AQ999" s="223" t="e">
        <f aca="false">_xlfn.xlookup(AK999,A:A,AE:AE)</f>
        <v>#NAME?</v>
      </c>
      <c r="BB999" s="15" t="e">
        <f aca="false">_xlfn.xlookup(BA999,A:A,E:E)</f>
        <v>#NAME?</v>
      </c>
      <c r="BC999" s="15" t="e">
        <f aca="false">_xlfn.xlookup(BA999,A:A,J:J)</f>
        <v>#NAME?</v>
      </c>
      <c r="BD999" s="75" t="e">
        <f aca="false">_xlfn.xlookup(BA999,A:A,M:M)+_xlfn.xlookup(BA999,A:A,N:N)</f>
        <v>#NAME?</v>
      </c>
    </row>
    <row r="1000" customFormat="false" ht="14.25" hidden="false" customHeight="false" outlineLevel="0" collapsed="false">
      <c r="AK1000" s="15" t="e">
        <v>#NAME?</v>
      </c>
      <c r="AL1000" s="15" t="e">
        <f aca="false">_xlfn.xlookup(AK1000,A:A,F:F)</f>
        <v>#NAME?</v>
      </c>
      <c r="AM1000" s="15" t="e">
        <f aca="false">_xlfn.xlookup(AK1000,A:A,J:J)</f>
        <v>#NAME?</v>
      </c>
      <c r="AN1000" s="15" t="e">
        <f aca="false">_xlfn.xlookup(AK1000,A:A,M:M)+_xlfn.xlookup(AK1000,A:A,N:N)</f>
        <v>#NAME?</v>
      </c>
      <c r="AO1000" s="223" t="e">
        <f aca="false">_xlfn.xlookup(AK1000,A:A,AG:AG)</f>
        <v>#NAME?</v>
      </c>
      <c r="AP1000" s="223" t="e">
        <f aca="false">_xlfn.xlookup(AK1000,A:A,AD:AD)</f>
        <v>#NAME?</v>
      </c>
      <c r="AQ1000" s="223" t="e">
        <f aca="false">_xlfn.xlookup(AK1000,A:A,AE:AE)</f>
        <v>#NAME?</v>
      </c>
      <c r="BB1000" s="15" t="e">
        <f aca="false">_xlfn.xlookup(BA1000,A:A,E:E)</f>
        <v>#NAME?</v>
      </c>
      <c r="BC1000" s="15" t="e">
        <f aca="false">_xlfn.xlookup(BA1000,A:A,J:J)</f>
        <v>#NAME?</v>
      </c>
      <c r="BD1000" s="75" t="e">
        <f aca="false">_xlfn.xlookup(BA1000,A:A,M:M)+_xlfn.xlookup(BA1000,A:A,N:N)</f>
        <v>#NAME?</v>
      </c>
    </row>
    <row r="1001" customFormat="false" ht="14.25" hidden="false" customHeight="false" outlineLevel="0" collapsed="false">
      <c r="AK1001" s="15" t="e">
        <v>#NAME?</v>
      </c>
      <c r="AL1001" s="15" t="e">
        <f aca="false">_xlfn.xlookup(AK1001,A:A,F:F)</f>
        <v>#NAME?</v>
      </c>
      <c r="AM1001" s="15" t="e">
        <f aca="false">_xlfn.xlookup(AK1001,A:A,J:J)</f>
        <v>#NAME?</v>
      </c>
      <c r="AN1001" s="15" t="e">
        <f aca="false">_xlfn.xlookup(AK1001,A:A,M:M)+_xlfn.xlookup(AK1001,A:A,N:N)</f>
        <v>#NAME?</v>
      </c>
      <c r="AO1001" s="223" t="e">
        <f aca="false">_xlfn.xlookup(AK1001,A:A,AG:AG)</f>
        <v>#NAME?</v>
      </c>
      <c r="AP1001" s="223" t="e">
        <f aca="false">_xlfn.xlookup(AK1001,A:A,AD:AD)</f>
        <v>#NAME?</v>
      </c>
      <c r="AQ1001" s="223" t="e">
        <f aca="false">_xlfn.xlookup(AK1001,A:A,AE:AE)</f>
        <v>#NAME?</v>
      </c>
      <c r="BB1001" s="15" t="e">
        <f aca="false">_xlfn.xlookup(BA1001,A:A,E:E)</f>
        <v>#NAME?</v>
      </c>
      <c r="BC1001" s="15" t="e">
        <f aca="false">_xlfn.xlookup(BA1001,A:A,J:J)</f>
        <v>#NAME?</v>
      </c>
      <c r="BD1001" s="75" t="e">
        <f aca="false">_xlfn.xlookup(BA1001,A:A,M:M)+_xlfn.xlookup(BA1001,A:A,N:N)</f>
        <v>#NAME?</v>
      </c>
    </row>
    <row r="1002" customFormat="false" ht="14.25" hidden="false" customHeight="false" outlineLevel="0" collapsed="false">
      <c r="AK1002" s="15" t="e">
        <v>#NAME?</v>
      </c>
      <c r="AL1002" s="15" t="e">
        <f aca="false">_xlfn.xlookup(AK1002,A:A,F:F)</f>
        <v>#NAME?</v>
      </c>
      <c r="AM1002" s="15" t="e">
        <f aca="false">_xlfn.xlookup(AK1002,A:A,J:J)</f>
        <v>#NAME?</v>
      </c>
      <c r="AN1002" s="15" t="e">
        <f aca="false">_xlfn.xlookup(AK1002,A:A,M:M)+_xlfn.xlookup(AK1002,A:A,N:N)</f>
        <v>#NAME?</v>
      </c>
      <c r="AO1002" s="223" t="e">
        <f aca="false">_xlfn.xlookup(AK1002,A:A,AG:AG)</f>
        <v>#NAME?</v>
      </c>
      <c r="AP1002" s="223" t="e">
        <f aca="false">_xlfn.xlookup(AK1002,A:A,AD:AD)</f>
        <v>#NAME?</v>
      </c>
      <c r="AQ1002" s="223" t="e">
        <f aca="false">_xlfn.xlookup(AK1002,A:A,AE:AE)</f>
        <v>#NAME?</v>
      </c>
      <c r="BB1002" s="15" t="e">
        <f aca="false">_xlfn.xlookup(BA1002,A:A,E:E)</f>
        <v>#NAME?</v>
      </c>
      <c r="BC1002" s="15" t="e">
        <f aca="false">_xlfn.xlookup(BA1002,A:A,J:J)</f>
        <v>#NAME?</v>
      </c>
      <c r="BD1002" s="75" t="e">
        <f aca="false">_xlfn.xlookup(BA1002,A:A,M:M)+_xlfn.xlookup(BA1002,A:A,N:N)</f>
        <v>#NAME?</v>
      </c>
    </row>
    <row r="1003" customFormat="false" ht="14.25" hidden="false" customHeight="false" outlineLevel="0" collapsed="false">
      <c r="AK1003" s="15" t="e">
        <v>#NAME?</v>
      </c>
      <c r="AL1003" s="15" t="e">
        <f aca="false">_xlfn.xlookup(AK1003,A:A,F:F)</f>
        <v>#NAME?</v>
      </c>
      <c r="AM1003" s="15" t="e">
        <f aca="false">_xlfn.xlookup(AK1003,A:A,J:J)</f>
        <v>#NAME?</v>
      </c>
      <c r="AN1003" s="15" t="e">
        <f aca="false">_xlfn.xlookup(AK1003,A:A,M:M)+_xlfn.xlookup(AK1003,A:A,N:N)</f>
        <v>#NAME?</v>
      </c>
      <c r="AO1003" s="223" t="e">
        <f aca="false">_xlfn.xlookup(AK1003,A:A,AG:AG)</f>
        <v>#NAME?</v>
      </c>
      <c r="AP1003" s="223" t="e">
        <f aca="false">_xlfn.xlookup(AK1003,A:A,AD:AD)</f>
        <v>#NAME?</v>
      </c>
      <c r="AQ1003" s="223" t="e">
        <f aca="false">_xlfn.xlookup(AK1003,A:A,AE:AE)</f>
        <v>#NAME?</v>
      </c>
      <c r="BB1003" s="15" t="e">
        <f aca="false">_xlfn.xlookup(BA1003,A:A,E:E)</f>
        <v>#NAME?</v>
      </c>
      <c r="BC1003" s="15" t="e">
        <f aca="false">_xlfn.xlookup(BA1003,A:A,J:J)</f>
        <v>#NAME?</v>
      </c>
      <c r="BD1003" s="75" t="e">
        <f aca="false">_xlfn.xlookup(BA1003,A:A,M:M)+_xlfn.xlookup(BA1003,A:A,N:N)</f>
        <v>#NAME?</v>
      </c>
    </row>
    <row r="1004" customFormat="false" ht="14.25" hidden="false" customHeight="false" outlineLevel="0" collapsed="false">
      <c r="AK1004" s="15" t="e">
        <v>#NAME?</v>
      </c>
      <c r="AL1004" s="15" t="e">
        <f aca="false">_xlfn.xlookup(AK1004,A:A,F:F)</f>
        <v>#NAME?</v>
      </c>
      <c r="AM1004" s="15" t="e">
        <f aca="false">_xlfn.xlookup(AK1004,A:A,J:J)</f>
        <v>#NAME?</v>
      </c>
      <c r="AN1004" s="15" t="e">
        <f aca="false">_xlfn.xlookup(AK1004,A:A,M:M)+_xlfn.xlookup(AK1004,A:A,N:N)</f>
        <v>#NAME?</v>
      </c>
      <c r="AO1004" s="223" t="e">
        <f aca="false">_xlfn.xlookup(AK1004,A:A,AG:AG)</f>
        <v>#NAME?</v>
      </c>
      <c r="AP1004" s="223" t="e">
        <f aca="false">_xlfn.xlookup(AK1004,A:A,AD:AD)</f>
        <v>#NAME?</v>
      </c>
      <c r="AQ1004" s="223" t="e">
        <f aca="false">_xlfn.xlookup(AK1004,A:A,AE:AE)</f>
        <v>#NAME?</v>
      </c>
      <c r="BB1004" s="15" t="e">
        <f aca="false">_xlfn.xlookup(BA1004,A:A,E:E)</f>
        <v>#NAME?</v>
      </c>
      <c r="BC1004" s="15" t="e">
        <f aca="false">_xlfn.xlookup(BA1004,A:A,J:J)</f>
        <v>#NAME?</v>
      </c>
      <c r="BD1004" s="75" t="e">
        <f aca="false">_xlfn.xlookup(BA1004,A:A,M:M)+_xlfn.xlookup(BA1004,A:A,N:N)</f>
        <v>#NAME?</v>
      </c>
    </row>
    <row r="1005" customFormat="false" ht="14.25" hidden="false" customHeight="false" outlineLevel="0" collapsed="false">
      <c r="AK1005" s="15" t="e">
        <v>#NAME?</v>
      </c>
      <c r="AL1005" s="15" t="e">
        <f aca="false">_xlfn.xlookup(AK1005,A:A,F:F)</f>
        <v>#NAME?</v>
      </c>
      <c r="AM1005" s="15" t="e">
        <f aca="false">_xlfn.xlookup(AK1005,A:A,J:J)</f>
        <v>#NAME?</v>
      </c>
      <c r="AN1005" s="15" t="e">
        <f aca="false">_xlfn.xlookup(AK1005,A:A,M:M)+_xlfn.xlookup(AK1005,A:A,N:N)</f>
        <v>#NAME?</v>
      </c>
      <c r="AO1005" s="223" t="e">
        <f aca="false">_xlfn.xlookup(AK1005,A:A,AG:AG)</f>
        <v>#NAME?</v>
      </c>
      <c r="AP1005" s="223" t="e">
        <f aca="false">_xlfn.xlookup(AK1005,A:A,AD:AD)</f>
        <v>#NAME?</v>
      </c>
      <c r="AQ1005" s="223" t="e">
        <f aca="false">_xlfn.xlookup(AK1005,A:A,AE:AE)</f>
        <v>#NAME?</v>
      </c>
      <c r="BB1005" s="15" t="e">
        <f aca="false">_xlfn.xlookup(BA1005,A:A,E:E)</f>
        <v>#NAME?</v>
      </c>
      <c r="BC1005" s="15" t="e">
        <f aca="false">_xlfn.xlookup(BA1005,A:A,J:J)</f>
        <v>#NAME?</v>
      </c>
      <c r="BD1005" s="75" t="e">
        <f aca="false">_xlfn.xlookup(BA1005,A:A,M:M)+_xlfn.xlookup(BA1005,A:A,N:N)</f>
        <v>#NAME?</v>
      </c>
    </row>
    <row r="1006" customFormat="false" ht="14.25" hidden="false" customHeight="false" outlineLevel="0" collapsed="false">
      <c r="AK1006" s="15" t="e">
        <v>#NAME?</v>
      </c>
      <c r="AL1006" s="15" t="e">
        <f aca="false">_xlfn.xlookup(AK1006,A:A,F:F)</f>
        <v>#NAME?</v>
      </c>
      <c r="AM1006" s="15" t="e">
        <f aca="false">_xlfn.xlookup(AK1006,A:A,J:J)</f>
        <v>#NAME?</v>
      </c>
      <c r="AN1006" s="15" t="e">
        <f aca="false">_xlfn.xlookup(AK1006,A:A,M:M)+_xlfn.xlookup(AK1006,A:A,N:N)</f>
        <v>#NAME?</v>
      </c>
      <c r="AO1006" s="223" t="e">
        <f aca="false">_xlfn.xlookup(AK1006,A:A,AG:AG)</f>
        <v>#NAME?</v>
      </c>
      <c r="AP1006" s="223" t="e">
        <f aca="false">_xlfn.xlookup(AK1006,A:A,AD:AD)</f>
        <v>#NAME?</v>
      </c>
      <c r="AQ1006" s="223" t="e">
        <f aca="false">_xlfn.xlookup(AK1006,A:A,AE:AE)</f>
        <v>#NAME?</v>
      </c>
      <c r="BB1006" s="15" t="e">
        <f aca="false">_xlfn.xlookup(BA1006,A:A,E:E)</f>
        <v>#NAME?</v>
      </c>
      <c r="BC1006" s="15" t="e">
        <f aca="false">_xlfn.xlookup(BA1006,A:A,J:J)</f>
        <v>#NAME?</v>
      </c>
      <c r="BD1006" s="75" t="e">
        <f aca="false">_xlfn.xlookup(BA1006,A:A,M:M)+_xlfn.xlookup(BA1006,A:A,N:N)</f>
        <v>#NAME?</v>
      </c>
    </row>
    <row r="1007" customFormat="false" ht="14.25" hidden="false" customHeight="false" outlineLevel="0" collapsed="false">
      <c r="AK1007" s="15" t="e">
        <v>#NAME?</v>
      </c>
      <c r="AL1007" s="15" t="e">
        <f aca="false">_xlfn.xlookup(AK1007,A:A,F:F)</f>
        <v>#NAME?</v>
      </c>
      <c r="AM1007" s="15" t="e">
        <f aca="false">_xlfn.xlookup(AK1007,A:A,J:J)</f>
        <v>#NAME?</v>
      </c>
      <c r="AN1007" s="15" t="e">
        <f aca="false">_xlfn.xlookup(AK1007,A:A,M:M)+_xlfn.xlookup(AK1007,A:A,N:N)</f>
        <v>#NAME?</v>
      </c>
      <c r="AO1007" s="223" t="e">
        <f aca="false">_xlfn.xlookup(AK1007,A:A,AG:AG)</f>
        <v>#NAME?</v>
      </c>
      <c r="AP1007" s="223" t="e">
        <f aca="false">_xlfn.xlookup(AK1007,A:A,AD:AD)</f>
        <v>#NAME?</v>
      </c>
      <c r="AQ1007" s="223" t="e">
        <f aca="false">_xlfn.xlookup(AK1007,A:A,AE:AE)</f>
        <v>#NAME?</v>
      </c>
      <c r="BB1007" s="15" t="e">
        <f aca="false">_xlfn.xlookup(BA1007,A:A,E:E)</f>
        <v>#NAME?</v>
      </c>
      <c r="BC1007" s="15" t="e">
        <f aca="false">_xlfn.xlookup(BA1007,A:A,J:J)</f>
        <v>#NAME?</v>
      </c>
      <c r="BD1007" s="75" t="e">
        <f aca="false">_xlfn.xlookup(BA1007,A:A,M:M)+_xlfn.xlookup(BA1007,A:A,N:N)</f>
        <v>#NAME?</v>
      </c>
    </row>
    <row r="1008" customFormat="false" ht="14.25" hidden="false" customHeight="false" outlineLevel="0" collapsed="false">
      <c r="AK1008" s="15" t="e">
        <v>#NAME?</v>
      </c>
      <c r="AL1008" s="15" t="e">
        <f aca="false">_xlfn.xlookup(AK1008,A:A,F:F)</f>
        <v>#NAME?</v>
      </c>
      <c r="AM1008" s="15" t="e">
        <f aca="false">_xlfn.xlookup(AK1008,A:A,J:J)</f>
        <v>#NAME?</v>
      </c>
      <c r="AN1008" s="15" t="e">
        <f aca="false">_xlfn.xlookup(AK1008,A:A,M:M)+_xlfn.xlookup(AK1008,A:A,N:N)</f>
        <v>#NAME?</v>
      </c>
      <c r="AO1008" s="223" t="e">
        <f aca="false">_xlfn.xlookup(AK1008,A:A,AG:AG)</f>
        <v>#NAME?</v>
      </c>
      <c r="AP1008" s="223" t="e">
        <f aca="false">_xlfn.xlookup(AK1008,A:A,AD:AD)</f>
        <v>#NAME?</v>
      </c>
      <c r="AQ1008" s="223" t="e">
        <f aca="false">_xlfn.xlookup(AK1008,A:A,AE:AE)</f>
        <v>#NAME?</v>
      </c>
      <c r="BB1008" s="15" t="e">
        <f aca="false">_xlfn.xlookup(BA1008,A:A,E:E)</f>
        <v>#NAME?</v>
      </c>
      <c r="BC1008" s="15" t="e">
        <f aca="false">_xlfn.xlookup(BA1008,A:A,J:J)</f>
        <v>#NAME?</v>
      </c>
      <c r="BD1008" s="75" t="e">
        <f aca="false">_xlfn.xlookup(BA1008,A:A,M:M)+_xlfn.xlookup(BA1008,A:A,N:N)</f>
        <v>#NAME?</v>
      </c>
    </row>
    <row r="1009" customFormat="false" ht="14.25" hidden="false" customHeight="false" outlineLevel="0" collapsed="false">
      <c r="AK1009" s="15" t="e">
        <v>#NAME?</v>
      </c>
      <c r="AL1009" s="15" t="e">
        <f aca="false">_xlfn.xlookup(AK1009,A:A,F:F)</f>
        <v>#NAME?</v>
      </c>
      <c r="AM1009" s="15" t="e">
        <f aca="false">_xlfn.xlookup(AK1009,A:A,J:J)</f>
        <v>#NAME?</v>
      </c>
      <c r="AN1009" s="15" t="e">
        <f aca="false">_xlfn.xlookup(AK1009,A:A,M:M)+_xlfn.xlookup(AK1009,A:A,N:N)</f>
        <v>#NAME?</v>
      </c>
      <c r="AO1009" s="223" t="e">
        <f aca="false">_xlfn.xlookup(AK1009,A:A,AG:AG)</f>
        <v>#NAME?</v>
      </c>
      <c r="AP1009" s="223" t="e">
        <f aca="false">_xlfn.xlookup(AK1009,A:A,AD:AD)</f>
        <v>#NAME?</v>
      </c>
      <c r="AQ1009" s="223" t="e">
        <f aca="false">_xlfn.xlookup(AK1009,A:A,AE:AE)</f>
        <v>#NAME?</v>
      </c>
      <c r="BB1009" s="15" t="e">
        <f aca="false">_xlfn.xlookup(BA1009,A:A,E:E)</f>
        <v>#NAME?</v>
      </c>
      <c r="BC1009" s="15" t="e">
        <f aca="false">_xlfn.xlookup(BA1009,A:A,J:J)</f>
        <v>#NAME?</v>
      </c>
      <c r="BD1009" s="75" t="e">
        <f aca="false">_xlfn.xlookup(BA1009,A:A,M:M)+_xlfn.xlookup(BA1009,A:A,N:N)</f>
        <v>#NAME?</v>
      </c>
    </row>
    <row r="1010" customFormat="false" ht="14.25" hidden="false" customHeight="false" outlineLevel="0" collapsed="false">
      <c r="AK1010" s="15" t="e">
        <v>#NAME?</v>
      </c>
      <c r="AL1010" s="15" t="e">
        <f aca="false">_xlfn.xlookup(AK1010,A:A,F:F)</f>
        <v>#NAME?</v>
      </c>
      <c r="AM1010" s="15" t="e">
        <f aca="false">_xlfn.xlookup(AK1010,A:A,J:J)</f>
        <v>#NAME?</v>
      </c>
      <c r="AN1010" s="15" t="e">
        <f aca="false">_xlfn.xlookup(AK1010,A:A,M:M)+_xlfn.xlookup(AK1010,A:A,N:N)</f>
        <v>#NAME?</v>
      </c>
      <c r="AO1010" s="223" t="e">
        <f aca="false">_xlfn.xlookup(AK1010,A:A,AG:AG)</f>
        <v>#NAME?</v>
      </c>
      <c r="AP1010" s="223" t="e">
        <f aca="false">_xlfn.xlookup(AK1010,A:A,AD:AD)</f>
        <v>#NAME?</v>
      </c>
      <c r="AQ1010" s="223" t="e">
        <f aca="false">_xlfn.xlookup(AK1010,A:A,AE:AE)</f>
        <v>#NAME?</v>
      </c>
      <c r="BB1010" s="15" t="e">
        <f aca="false">_xlfn.xlookup(BA1010,A:A,E:E)</f>
        <v>#NAME?</v>
      </c>
      <c r="BC1010" s="15" t="e">
        <f aca="false">_xlfn.xlookup(BA1010,A:A,J:J)</f>
        <v>#NAME?</v>
      </c>
      <c r="BD1010" s="75" t="e">
        <f aca="false">_xlfn.xlookup(BA1010,A:A,M:M)+_xlfn.xlookup(BA1010,A:A,N:N)</f>
        <v>#NAME?</v>
      </c>
    </row>
    <row r="1011" customFormat="false" ht="14.25" hidden="false" customHeight="false" outlineLevel="0" collapsed="false">
      <c r="AK1011" s="15" t="e">
        <v>#NAME?</v>
      </c>
      <c r="AL1011" s="15" t="e">
        <f aca="false">_xlfn.xlookup(AK1011,A:A,F:F)</f>
        <v>#NAME?</v>
      </c>
      <c r="AM1011" s="15" t="e">
        <f aca="false">_xlfn.xlookup(AK1011,A:A,J:J)</f>
        <v>#NAME?</v>
      </c>
      <c r="AN1011" s="15" t="e">
        <f aca="false">_xlfn.xlookup(AK1011,A:A,M:M)+_xlfn.xlookup(AK1011,A:A,N:N)</f>
        <v>#NAME?</v>
      </c>
      <c r="AO1011" s="223" t="e">
        <f aca="false">_xlfn.xlookup(AK1011,A:A,AG:AG)</f>
        <v>#NAME?</v>
      </c>
      <c r="AP1011" s="223" t="e">
        <f aca="false">_xlfn.xlookup(AK1011,A:A,AD:AD)</f>
        <v>#NAME?</v>
      </c>
      <c r="AQ1011" s="223" t="e">
        <f aca="false">_xlfn.xlookup(AK1011,A:A,AE:AE)</f>
        <v>#NAME?</v>
      </c>
      <c r="BB1011" s="15" t="e">
        <f aca="false">_xlfn.xlookup(BA1011,A:A,E:E)</f>
        <v>#NAME?</v>
      </c>
      <c r="BC1011" s="15" t="e">
        <f aca="false">_xlfn.xlookup(BA1011,A:A,J:J)</f>
        <v>#NAME?</v>
      </c>
      <c r="BD1011" s="75" t="e">
        <f aca="false">_xlfn.xlookup(BA1011,A:A,M:M)+_xlfn.xlookup(BA1011,A:A,N:N)</f>
        <v>#NAME?</v>
      </c>
    </row>
    <row r="1012" customFormat="false" ht="14.25" hidden="false" customHeight="false" outlineLevel="0" collapsed="false">
      <c r="AK1012" s="15" t="e">
        <v>#NAME?</v>
      </c>
      <c r="AL1012" s="15" t="e">
        <f aca="false">_xlfn.xlookup(AK1012,A:A,F:F)</f>
        <v>#NAME?</v>
      </c>
      <c r="AM1012" s="15" t="e">
        <f aca="false">_xlfn.xlookup(AK1012,A:A,J:J)</f>
        <v>#NAME?</v>
      </c>
      <c r="AN1012" s="15" t="e">
        <f aca="false">_xlfn.xlookup(AK1012,A:A,M:M)+_xlfn.xlookup(AK1012,A:A,N:N)</f>
        <v>#NAME?</v>
      </c>
      <c r="AO1012" s="223" t="e">
        <f aca="false">_xlfn.xlookup(AK1012,A:A,AG:AG)</f>
        <v>#NAME?</v>
      </c>
      <c r="AP1012" s="223" t="e">
        <f aca="false">_xlfn.xlookup(AK1012,A:A,AD:AD)</f>
        <v>#NAME?</v>
      </c>
      <c r="AQ1012" s="223" t="e">
        <f aca="false">_xlfn.xlookup(AK1012,A:A,AE:AE)</f>
        <v>#NAME?</v>
      </c>
      <c r="BB1012" s="15" t="e">
        <f aca="false">_xlfn.xlookup(BA1012,A:A,E:E)</f>
        <v>#NAME?</v>
      </c>
      <c r="BC1012" s="15" t="e">
        <f aca="false">_xlfn.xlookup(BA1012,A:A,J:J)</f>
        <v>#NAME?</v>
      </c>
      <c r="BD1012" s="75" t="e">
        <f aca="false">_xlfn.xlookup(BA1012,A:A,M:M)+_xlfn.xlookup(BA1012,A:A,N:N)</f>
        <v>#NAME?</v>
      </c>
    </row>
    <row r="1013" customFormat="false" ht="14.25" hidden="false" customHeight="false" outlineLevel="0" collapsed="false">
      <c r="AK1013" s="15" t="e">
        <v>#NAME?</v>
      </c>
      <c r="AL1013" s="15" t="e">
        <f aca="false">_xlfn.xlookup(AK1013,A:A,F:F)</f>
        <v>#NAME?</v>
      </c>
      <c r="AM1013" s="15" t="e">
        <f aca="false">_xlfn.xlookup(AK1013,A:A,J:J)</f>
        <v>#NAME?</v>
      </c>
      <c r="AN1013" s="15" t="e">
        <f aca="false">_xlfn.xlookup(AK1013,A:A,M:M)+_xlfn.xlookup(AK1013,A:A,N:N)</f>
        <v>#NAME?</v>
      </c>
      <c r="AO1013" s="223" t="e">
        <f aca="false">_xlfn.xlookup(AK1013,A:A,AG:AG)</f>
        <v>#NAME?</v>
      </c>
      <c r="AP1013" s="223" t="e">
        <f aca="false">_xlfn.xlookup(AK1013,A:A,AD:AD)</f>
        <v>#NAME?</v>
      </c>
      <c r="AQ1013" s="223" t="e">
        <f aca="false">_xlfn.xlookup(AK1013,A:A,AE:AE)</f>
        <v>#NAME?</v>
      </c>
      <c r="BB1013" s="15" t="e">
        <f aca="false">_xlfn.xlookup(BA1013,A:A,E:E)</f>
        <v>#NAME?</v>
      </c>
      <c r="BC1013" s="15" t="e">
        <f aca="false">_xlfn.xlookup(BA1013,A:A,J:J)</f>
        <v>#NAME?</v>
      </c>
      <c r="BD1013" s="75" t="e">
        <f aca="false">_xlfn.xlookup(BA1013,A:A,M:M)+_xlfn.xlookup(BA1013,A:A,N:N)</f>
        <v>#NAME?</v>
      </c>
    </row>
    <row r="1014" customFormat="false" ht="14.25" hidden="false" customHeight="false" outlineLevel="0" collapsed="false">
      <c r="AK1014" s="15" t="e">
        <v>#NAME?</v>
      </c>
      <c r="AL1014" s="15" t="e">
        <f aca="false">_xlfn.xlookup(AK1014,A:A,F:F)</f>
        <v>#NAME?</v>
      </c>
      <c r="AM1014" s="15" t="e">
        <f aca="false">_xlfn.xlookup(AK1014,A:A,J:J)</f>
        <v>#NAME?</v>
      </c>
      <c r="AN1014" s="15" t="e">
        <f aca="false">_xlfn.xlookup(AK1014,A:A,M:M)+_xlfn.xlookup(AK1014,A:A,N:N)</f>
        <v>#NAME?</v>
      </c>
      <c r="AO1014" s="223" t="e">
        <f aca="false">_xlfn.xlookup(AK1014,A:A,AG:AG)</f>
        <v>#NAME?</v>
      </c>
      <c r="AP1014" s="223" t="e">
        <f aca="false">_xlfn.xlookup(AK1014,A:A,AD:AD)</f>
        <v>#NAME?</v>
      </c>
      <c r="AQ1014" s="223" t="e">
        <f aca="false">_xlfn.xlookup(AK1014,A:A,AE:AE)</f>
        <v>#NAME?</v>
      </c>
      <c r="BB1014" s="15" t="e">
        <f aca="false">_xlfn.xlookup(BA1014,A:A,E:E)</f>
        <v>#NAME?</v>
      </c>
      <c r="BC1014" s="15" t="e">
        <f aca="false">_xlfn.xlookup(BA1014,A:A,J:J)</f>
        <v>#NAME?</v>
      </c>
      <c r="BD1014" s="75" t="e">
        <f aca="false">_xlfn.xlookup(BA1014,A:A,M:M)+_xlfn.xlookup(BA1014,A:A,N:N)</f>
        <v>#NAME?</v>
      </c>
    </row>
    <row r="1015" customFormat="false" ht="14.25" hidden="false" customHeight="false" outlineLevel="0" collapsed="false">
      <c r="AK1015" s="15" t="e">
        <v>#NAME?</v>
      </c>
      <c r="AL1015" s="15" t="e">
        <f aca="false">_xlfn.xlookup(AK1015,A:A,F:F)</f>
        <v>#NAME?</v>
      </c>
      <c r="AM1015" s="15" t="e">
        <f aca="false">_xlfn.xlookup(AK1015,A:A,J:J)</f>
        <v>#NAME?</v>
      </c>
      <c r="AN1015" s="15" t="e">
        <f aca="false">_xlfn.xlookup(AK1015,A:A,M:M)+_xlfn.xlookup(AK1015,A:A,N:N)</f>
        <v>#NAME?</v>
      </c>
      <c r="AO1015" s="223" t="e">
        <f aca="false">_xlfn.xlookup(AK1015,A:A,AG:AG)</f>
        <v>#NAME?</v>
      </c>
      <c r="AP1015" s="223" t="e">
        <f aca="false">_xlfn.xlookup(AK1015,A:A,AD:AD)</f>
        <v>#NAME?</v>
      </c>
      <c r="AQ1015" s="223" t="e">
        <f aca="false">_xlfn.xlookup(AK1015,A:A,AE:AE)</f>
        <v>#NAME?</v>
      </c>
      <c r="BB1015" s="15" t="e">
        <f aca="false">_xlfn.xlookup(BA1015,A:A,E:E)</f>
        <v>#NAME?</v>
      </c>
      <c r="BC1015" s="15" t="e">
        <f aca="false">_xlfn.xlookup(BA1015,A:A,J:J)</f>
        <v>#NAME?</v>
      </c>
      <c r="BD1015" s="75" t="e">
        <f aca="false">_xlfn.xlookup(BA1015,A:A,M:M)+_xlfn.xlookup(BA1015,A:A,N:N)</f>
        <v>#NAME?</v>
      </c>
    </row>
    <row r="1016" customFormat="false" ht="14.25" hidden="false" customHeight="false" outlineLevel="0" collapsed="false">
      <c r="AK1016" s="15" t="e">
        <v>#NAME?</v>
      </c>
      <c r="AL1016" s="15" t="e">
        <f aca="false">_xlfn.xlookup(AK1016,A:A,F:F)</f>
        <v>#NAME?</v>
      </c>
      <c r="AM1016" s="15" t="e">
        <f aca="false">_xlfn.xlookup(AK1016,A:A,J:J)</f>
        <v>#NAME?</v>
      </c>
      <c r="AN1016" s="15" t="e">
        <f aca="false">_xlfn.xlookup(AK1016,A:A,M:M)+_xlfn.xlookup(AK1016,A:A,N:N)</f>
        <v>#NAME?</v>
      </c>
      <c r="AO1016" s="223" t="e">
        <f aca="false">_xlfn.xlookup(AK1016,A:A,AG:AG)</f>
        <v>#NAME?</v>
      </c>
      <c r="AP1016" s="223" t="e">
        <f aca="false">_xlfn.xlookup(AK1016,A:A,AD:AD)</f>
        <v>#NAME?</v>
      </c>
      <c r="AQ1016" s="223" t="e">
        <f aca="false">_xlfn.xlookup(AK1016,A:A,AE:AE)</f>
        <v>#NAME?</v>
      </c>
      <c r="BB1016" s="15" t="e">
        <f aca="false">_xlfn.xlookup(BA1016,A:A,E:E)</f>
        <v>#NAME?</v>
      </c>
      <c r="BC1016" s="15" t="e">
        <f aca="false">_xlfn.xlookup(BA1016,A:A,J:J)</f>
        <v>#NAME?</v>
      </c>
      <c r="BD1016" s="75" t="e">
        <f aca="false">_xlfn.xlookup(BA1016,A:A,M:M)+_xlfn.xlookup(BA1016,A:A,N:N)</f>
        <v>#NAME?</v>
      </c>
    </row>
    <row r="1017" customFormat="false" ht="14.25" hidden="false" customHeight="false" outlineLevel="0" collapsed="false">
      <c r="AK1017" s="15" t="e">
        <v>#NAME?</v>
      </c>
      <c r="AL1017" s="15" t="e">
        <f aca="false">_xlfn.xlookup(AK1017,A:A,F:F)</f>
        <v>#NAME?</v>
      </c>
      <c r="AM1017" s="15" t="e">
        <f aca="false">_xlfn.xlookup(AK1017,A:A,J:J)</f>
        <v>#NAME?</v>
      </c>
      <c r="AN1017" s="15" t="e">
        <f aca="false">_xlfn.xlookup(AK1017,A:A,M:M)+_xlfn.xlookup(AK1017,A:A,N:N)</f>
        <v>#NAME?</v>
      </c>
      <c r="AO1017" s="223" t="e">
        <f aca="false">_xlfn.xlookup(AK1017,A:A,AG:AG)</f>
        <v>#NAME?</v>
      </c>
      <c r="AP1017" s="223" t="e">
        <f aca="false">_xlfn.xlookup(AK1017,A:A,AD:AD)</f>
        <v>#NAME?</v>
      </c>
      <c r="AQ1017" s="223" t="e">
        <f aca="false">_xlfn.xlookup(AK1017,A:A,AE:AE)</f>
        <v>#NAME?</v>
      </c>
      <c r="BB1017" s="15" t="e">
        <f aca="false">_xlfn.xlookup(BA1017,A:A,E:E)</f>
        <v>#NAME?</v>
      </c>
      <c r="BC1017" s="15" t="e">
        <f aca="false">_xlfn.xlookup(BA1017,A:A,J:J)</f>
        <v>#NAME?</v>
      </c>
      <c r="BD1017" s="75" t="e">
        <f aca="false">_xlfn.xlookup(BA1017,A:A,M:M)+_xlfn.xlookup(BA1017,A:A,N:N)</f>
        <v>#NAME?</v>
      </c>
    </row>
    <row r="1018" customFormat="false" ht="14.25" hidden="false" customHeight="false" outlineLevel="0" collapsed="false">
      <c r="AK1018" s="15" t="e">
        <v>#NAME?</v>
      </c>
      <c r="AL1018" s="15" t="e">
        <f aca="false">_xlfn.xlookup(AK1018,A:A,F:F)</f>
        <v>#NAME?</v>
      </c>
      <c r="AM1018" s="15" t="e">
        <f aca="false">_xlfn.xlookup(AK1018,A:A,J:J)</f>
        <v>#NAME?</v>
      </c>
      <c r="AN1018" s="15" t="e">
        <f aca="false">_xlfn.xlookup(AK1018,A:A,M:M)+_xlfn.xlookup(AK1018,A:A,N:N)</f>
        <v>#NAME?</v>
      </c>
      <c r="AO1018" s="223" t="e">
        <f aca="false">_xlfn.xlookup(AK1018,A:A,AG:AG)</f>
        <v>#NAME?</v>
      </c>
      <c r="AP1018" s="223" t="e">
        <f aca="false">_xlfn.xlookup(AK1018,A:A,AD:AD)</f>
        <v>#NAME?</v>
      </c>
      <c r="AQ1018" s="223" t="e">
        <f aca="false">_xlfn.xlookup(AK1018,A:A,AE:AE)</f>
        <v>#NAME?</v>
      </c>
      <c r="BB1018" s="15" t="e">
        <f aca="false">_xlfn.xlookup(BA1018,A:A,E:E)</f>
        <v>#NAME?</v>
      </c>
      <c r="BC1018" s="15" t="e">
        <f aca="false">_xlfn.xlookup(BA1018,A:A,J:J)</f>
        <v>#NAME?</v>
      </c>
      <c r="BD1018" s="75" t="e">
        <f aca="false">_xlfn.xlookup(BA1018,A:A,M:M)+_xlfn.xlookup(BA1018,A:A,N:N)</f>
        <v>#NAME?</v>
      </c>
    </row>
    <row r="1019" customFormat="false" ht="14.25" hidden="false" customHeight="false" outlineLevel="0" collapsed="false">
      <c r="AK1019" s="15" t="e">
        <v>#NAME?</v>
      </c>
      <c r="AL1019" s="15" t="e">
        <f aca="false">_xlfn.xlookup(AK1019,A:A,F:F)</f>
        <v>#NAME?</v>
      </c>
      <c r="AM1019" s="15" t="e">
        <f aca="false">_xlfn.xlookup(AK1019,A:A,J:J)</f>
        <v>#NAME?</v>
      </c>
      <c r="AN1019" s="15" t="e">
        <f aca="false">_xlfn.xlookup(AK1019,A:A,M:M)+_xlfn.xlookup(AK1019,A:A,N:N)</f>
        <v>#NAME?</v>
      </c>
      <c r="AO1019" s="223" t="e">
        <f aca="false">_xlfn.xlookup(AK1019,A:A,AG:AG)</f>
        <v>#NAME?</v>
      </c>
      <c r="AP1019" s="223" t="e">
        <f aca="false">_xlfn.xlookup(AK1019,A:A,AD:AD)</f>
        <v>#NAME?</v>
      </c>
      <c r="AQ1019" s="223" t="e">
        <f aca="false">_xlfn.xlookup(AK1019,A:A,AE:AE)</f>
        <v>#NAME?</v>
      </c>
      <c r="BB1019" s="15" t="e">
        <f aca="false">_xlfn.xlookup(BA1019,A:A,E:E)</f>
        <v>#NAME?</v>
      </c>
      <c r="BC1019" s="15" t="e">
        <f aca="false">_xlfn.xlookup(BA1019,A:A,J:J)</f>
        <v>#NAME?</v>
      </c>
      <c r="BD1019" s="75" t="e">
        <f aca="false">_xlfn.xlookup(BA1019,A:A,M:M)+_xlfn.xlookup(BA1019,A:A,N:N)</f>
        <v>#NAME?</v>
      </c>
    </row>
    <row r="1020" customFormat="false" ht="14.25" hidden="false" customHeight="false" outlineLevel="0" collapsed="false">
      <c r="AK1020" s="15" t="e">
        <v>#NAME?</v>
      </c>
      <c r="AL1020" s="15" t="e">
        <f aca="false">_xlfn.xlookup(AK1020,A:A,F:F)</f>
        <v>#NAME?</v>
      </c>
      <c r="AM1020" s="15" t="e">
        <f aca="false">_xlfn.xlookup(AK1020,A:A,J:J)</f>
        <v>#NAME?</v>
      </c>
      <c r="AN1020" s="15" t="e">
        <f aca="false">_xlfn.xlookup(AK1020,A:A,M:M)+_xlfn.xlookup(AK1020,A:A,N:N)</f>
        <v>#NAME?</v>
      </c>
      <c r="AO1020" s="223" t="e">
        <f aca="false">_xlfn.xlookup(AK1020,A:A,AG:AG)</f>
        <v>#NAME?</v>
      </c>
      <c r="AP1020" s="223" t="e">
        <f aca="false">_xlfn.xlookup(AK1020,A:A,AD:AD)</f>
        <v>#NAME?</v>
      </c>
      <c r="AQ1020" s="223" t="e">
        <f aca="false">_xlfn.xlookup(AK1020,A:A,AE:AE)</f>
        <v>#NAME?</v>
      </c>
      <c r="BB1020" s="15" t="e">
        <f aca="false">_xlfn.xlookup(BA1020,A:A,E:E)</f>
        <v>#NAME?</v>
      </c>
      <c r="BC1020" s="15" t="e">
        <f aca="false">_xlfn.xlookup(BA1020,A:A,J:J)</f>
        <v>#NAME?</v>
      </c>
      <c r="BD1020" s="75" t="e">
        <f aca="false">_xlfn.xlookup(BA1020,A:A,M:M)+_xlfn.xlookup(BA1020,A:A,N:N)</f>
        <v>#NAME?</v>
      </c>
    </row>
    <row r="1021" customFormat="false" ht="14.25" hidden="false" customHeight="false" outlineLevel="0" collapsed="false">
      <c r="AK1021" s="15" t="e">
        <v>#NAME?</v>
      </c>
      <c r="AL1021" s="15" t="e">
        <f aca="false">_xlfn.xlookup(AK1021,A:A,F:F)</f>
        <v>#NAME?</v>
      </c>
      <c r="AM1021" s="15" t="e">
        <f aca="false">_xlfn.xlookup(AK1021,A:A,J:J)</f>
        <v>#NAME?</v>
      </c>
      <c r="AN1021" s="15" t="e">
        <f aca="false">_xlfn.xlookup(AK1021,A:A,M:M)+_xlfn.xlookup(AK1021,A:A,N:N)</f>
        <v>#NAME?</v>
      </c>
      <c r="AO1021" s="223" t="e">
        <f aca="false">_xlfn.xlookup(AK1021,A:A,AG:AG)</f>
        <v>#NAME?</v>
      </c>
      <c r="AP1021" s="223" t="e">
        <f aca="false">_xlfn.xlookup(AK1021,A:A,AD:AD)</f>
        <v>#NAME?</v>
      </c>
      <c r="AQ1021" s="223" t="e">
        <f aca="false">_xlfn.xlookup(AK1021,A:A,AE:AE)</f>
        <v>#NAME?</v>
      </c>
      <c r="BB1021" s="15" t="e">
        <f aca="false">_xlfn.xlookup(BA1021,A:A,E:E)</f>
        <v>#NAME?</v>
      </c>
      <c r="BC1021" s="15" t="e">
        <f aca="false">_xlfn.xlookup(BA1021,A:A,J:J)</f>
        <v>#NAME?</v>
      </c>
      <c r="BD1021" s="75" t="e">
        <f aca="false">_xlfn.xlookup(BA1021,A:A,M:M)+_xlfn.xlookup(BA1021,A:A,N:N)</f>
        <v>#NAME?</v>
      </c>
    </row>
    <row r="1022" customFormat="false" ht="14.25" hidden="false" customHeight="false" outlineLevel="0" collapsed="false">
      <c r="AK1022" s="15" t="e">
        <v>#NAME?</v>
      </c>
      <c r="AL1022" s="15" t="e">
        <f aca="false">_xlfn.xlookup(AK1022,A:A,F:F)</f>
        <v>#NAME?</v>
      </c>
      <c r="AM1022" s="15" t="e">
        <f aca="false">_xlfn.xlookup(AK1022,A:A,J:J)</f>
        <v>#NAME?</v>
      </c>
      <c r="AN1022" s="15" t="e">
        <f aca="false">_xlfn.xlookup(AK1022,A:A,M:M)+_xlfn.xlookup(AK1022,A:A,N:N)</f>
        <v>#NAME?</v>
      </c>
      <c r="AO1022" s="223" t="e">
        <f aca="false">_xlfn.xlookup(AK1022,A:A,AG:AG)</f>
        <v>#NAME?</v>
      </c>
      <c r="AP1022" s="223" t="e">
        <f aca="false">_xlfn.xlookup(AK1022,A:A,AD:AD)</f>
        <v>#NAME?</v>
      </c>
      <c r="AQ1022" s="223" t="e">
        <f aca="false">_xlfn.xlookup(AK1022,A:A,AE:AE)</f>
        <v>#NAME?</v>
      </c>
      <c r="BB1022" s="15" t="e">
        <f aca="false">_xlfn.xlookup(BA1022,A:A,E:E)</f>
        <v>#NAME?</v>
      </c>
      <c r="BC1022" s="15" t="e">
        <f aca="false">_xlfn.xlookup(BA1022,A:A,J:J)</f>
        <v>#NAME?</v>
      </c>
      <c r="BD1022" s="75" t="e">
        <f aca="false">_xlfn.xlookup(BA1022,A:A,M:M)+_xlfn.xlookup(BA1022,A:A,N:N)</f>
        <v>#NAME?</v>
      </c>
    </row>
    <row r="1023" customFormat="false" ht="14.25" hidden="false" customHeight="false" outlineLevel="0" collapsed="false">
      <c r="AK1023" s="15" t="e">
        <v>#NAME?</v>
      </c>
      <c r="AL1023" s="15" t="e">
        <f aca="false">_xlfn.xlookup(AK1023,A:A,F:F)</f>
        <v>#NAME?</v>
      </c>
      <c r="AM1023" s="15" t="e">
        <f aca="false">_xlfn.xlookup(AK1023,A:A,J:J)</f>
        <v>#NAME?</v>
      </c>
      <c r="AN1023" s="15" t="e">
        <f aca="false">_xlfn.xlookup(AK1023,A:A,M:M)+_xlfn.xlookup(AK1023,A:A,N:N)</f>
        <v>#NAME?</v>
      </c>
      <c r="AO1023" s="223" t="e">
        <f aca="false">_xlfn.xlookup(AK1023,A:A,AG:AG)</f>
        <v>#NAME?</v>
      </c>
      <c r="AP1023" s="223" t="e">
        <f aca="false">_xlfn.xlookup(AK1023,A:A,AD:AD)</f>
        <v>#NAME?</v>
      </c>
      <c r="AQ1023" s="223" t="e">
        <f aca="false">_xlfn.xlookup(AK1023,A:A,AE:AE)</f>
        <v>#NAME?</v>
      </c>
      <c r="BB1023" s="15" t="e">
        <f aca="false">_xlfn.xlookup(BA1023,A:A,E:E)</f>
        <v>#NAME?</v>
      </c>
      <c r="BC1023" s="15" t="e">
        <f aca="false">_xlfn.xlookup(BA1023,A:A,J:J)</f>
        <v>#NAME?</v>
      </c>
      <c r="BD1023" s="75" t="e">
        <f aca="false">_xlfn.xlookup(BA1023,A:A,M:M)+_xlfn.xlookup(BA1023,A:A,N:N)</f>
        <v>#NAME?</v>
      </c>
    </row>
    <row r="1024" customFormat="false" ht="14.25" hidden="false" customHeight="false" outlineLevel="0" collapsed="false">
      <c r="AK1024" s="15" t="e">
        <v>#NAME?</v>
      </c>
      <c r="AL1024" s="15" t="e">
        <f aca="false">_xlfn.xlookup(AK1024,A:A,F:F)</f>
        <v>#NAME?</v>
      </c>
      <c r="AM1024" s="15" t="e">
        <f aca="false">_xlfn.xlookup(AK1024,A:A,J:J)</f>
        <v>#NAME?</v>
      </c>
      <c r="AN1024" s="15" t="e">
        <f aca="false">_xlfn.xlookup(AK1024,A:A,M:M)+_xlfn.xlookup(AK1024,A:A,N:N)</f>
        <v>#NAME?</v>
      </c>
      <c r="AO1024" s="223" t="e">
        <f aca="false">_xlfn.xlookup(AK1024,A:A,AG:AG)</f>
        <v>#NAME?</v>
      </c>
      <c r="AP1024" s="223" t="e">
        <f aca="false">_xlfn.xlookup(AK1024,A:A,AD:AD)</f>
        <v>#NAME?</v>
      </c>
      <c r="AQ1024" s="223" t="e">
        <f aca="false">_xlfn.xlookup(AK1024,A:A,AE:AE)</f>
        <v>#NAME?</v>
      </c>
      <c r="BB1024" s="15" t="e">
        <f aca="false">_xlfn.xlookup(BA1024,A:A,E:E)</f>
        <v>#NAME?</v>
      </c>
      <c r="BC1024" s="15" t="e">
        <f aca="false">_xlfn.xlookup(BA1024,A:A,J:J)</f>
        <v>#NAME?</v>
      </c>
      <c r="BD1024" s="75" t="e">
        <f aca="false">_xlfn.xlookup(BA1024,A:A,M:M)+_xlfn.xlookup(BA1024,A:A,N:N)</f>
        <v>#NAME?</v>
      </c>
    </row>
    <row r="1025" customFormat="false" ht="14.25" hidden="false" customHeight="false" outlineLevel="0" collapsed="false">
      <c r="AK1025" s="15" t="e">
        <v>#NAME?</v>
      </c>
      <c r="AL1025" s="15" t="e">
        <f aca="false">_xlfn.xlookup(AK1025,A:A,F:F)</f>
        <v>#NAME?</v>
      </c>
      <c r="AM1025" s="15" t="e">
        <f aca="false">_xlfn.xlookup(AK1025,A:A,J:J)</f>
        <v>#NAME?</v>
      </c>
      <c r="AN1025" s="15" t="e">
        <f aca="false">_xlfn.xlookup(AK1025,A:A,M:M)+_xlfn.xlookup(AK1025,A:A,N:N)</f>
        <v>#NAME?</v>
      </c>
      <c r="AO1025" s="223" t="e">
        <f aca="false">_xlfn.xlookup(AK1025,A:A,AG:AG)</f>
        <v>#NAME?</v>
      </c>
      <c r="AP1025" s="223" t="e">
        <f aca="false">_xlfn.xlookup(AK1025,A:A,AD:AD)</f>
        <v>#NAME?</v>
      </c>
      <c r="AQ1025" s="223" t="e">
        <f aca="false">_xlfn.xlookup(AK1025,A:A,AE:AE)</f>
        <v>#NAME?</v>
      </c>
      <c r="BB1025" s="15" t="e">
        <f aca="false">_xlfn.xlookup(BA1025,A:A,E:E)</f>
        <v>#NAME?</v>
      </c>
      <c r="BC1025" s="15" t="e">
        <f aca="false">_xlfn.xlookup(BA1025,A:A,J:J)</f>
        <v>#NAME?</v>
      </c>
      <c r="BD1025" s="75" t="e">
        <f aca="false">_xlfn.xlookup(BA1025,A:A,M:M)+_xlfn.xlookup(BA1025,A:A,N:N)</f>
        <v>#NAME?</v>
      </c>
    </row>
    <row r="1026" customFormat="false" ht="14.25" hidden="false" customHeight="false" outlineLevel="0" collapsed="false">
      <c r="AK1026" s="15" t="e">
        <v>#NAME?</v>
      </c>
      <c r="AL1026" s="15" t="e">
        <f aca="false">_xlfn.xlookup(AK1026,A:A,F:F)</f>
        <v>#NAME?</v>
      </c>
      <c r="AM1026" s="15" t="e">
        <f aca="false">_xlfn.xlookup(AK1026,A:A,J:J)</f>
        <v>#NAME?</v>
      </c>
      <c r="AN1026" s="15" t="e">
        <f aca="false">_xlfn.xlookup(AK1026,A:A,M:M)+_xlfn.xlookup(AK1026,A:A,N:N)</f>
        <v>#NAME?</v>
      </c>
      <c r="AO1026" s="223" t="e">
        <f aca="false">_xlfn.xlookup(AK1026,A:A,AG:AG)</f>
        <v>#NAME?</v>
      </c>
      <c r="AP1026" s="223" t="e">
        <f aca="false">_xlfn.xlookup(AK1026,A:A,AD:AD)</f>
        <v>#NAME?</v>
      </c>
      <c r="AQ1026" s="223" t="e">
        <f aca="false">_xlfn.xlookup(AK1026,A:A,AE:AE)</f>
        <v>#NAME?</v>
      </c>
      <c r="BB1026" s="15" t="e">
        <f aca="false">_xlfn.xlookup(BA1026,A:A,E:E)</f>
        <v>#NAME?</v>
      </c>
      <c r="BC1026" s="15" t="e">
        <f aca="false">_xlfn.xlookup(BA1026,A:A,J:J)</f>
        <v>#NAME?</v>
      </c>
      <c r="BD1026" s="75" t="e">
        <f aca="false">_xlfn.xlookup(BA1026,A:A,M:M)+_xlfn.xlookup(BA1026,A:A,N:N)</f>
        <v>#NAME?</v>
      </c>
    </row>
    <row r="1027" customFormat="false" ht="14.25" hidden="false" customHeight="false" outlineLevel="0" collapsed="false">
      <c r="AK1027" s="15" t="e">
        <v>#NAME?</v>
      </c>
      <c r="AL1027" s="15" t="e">
        <f aca="false">_xlfn.xlookup(AK1027,A:A,F:F)</f>
        <v>#NAME?</v>
      </c>
      <c r="AM1027" s="15" t="e">
        <f aca="false">_xlfn.xlookup(AK1027,A:A,J:J)</f>
        <v>#NAME?</v>
      </c>
      <c r="AN1027" s="15" t="e">
        <f aca="false">_xlfn.xlookup(AK1027,A:A,M:M)+_xlfn.xlookup(AK1027,A:A,N:N)</f>
        <v>#NAME?</v>
      </c>
      <c r="AO1027" s="223" t="e">
        <f aca="false">_xlfn.xlookup(AK1027,A:A,AG:AG)</f>
        <v>#NAME?</v>
      </c>
      <c r="AP1027" s="223" t="e">
        <f aca="false">_xlfn.xlookup(AK1027,A:A,AD:AD)</f>
        <v>#NAME?</v>
      </c>
      <c r="AQ1027" s="223" t="e">
        <f aca="false">_xlfn.xlookup(AK1027,A:A,AE:AE)</f>
        <v>#NAME?</v>
      </c>
      <c r="BB1027" s="15" t="e">
        <f aca="false">_xlfn.xlookup(BA1027,A:A,E:E)</f>
        <v>#NAME?</v>
      </c>
      <c r="BC1027" s="15" t="e">
        <f aca="false">_xlfn.xlookup(BA1027,A:A,J:J)</f>
        <v>#NAME?</v>
      </c>
      <c r="BD1027" s="75" t="e">
        <f aca="false">_xlfn.xlookup(BA1027,A:A,M:M)+_xlfn.xlookup(BA1027,A:A,N:N)</f>
        <v>#NAME?</v>
      </c>
    </row>
    <row r="1028" customFormat="false" ht="14.25" hidden="false" customHeight="false" outlineLevel="0" collapsed="false">
      <c r="AK1028" s="15" t="e">
        <v>#NAME?</v>
      </c>
      <c r="AL1028" s="15" t="e">
        <f aca="false">_xlfn.xlookup(AK1028,A:A,F:F)</f>
        <v>#NAME?</v>
      </c>
      <c r="AM1028" s="15" t="e">
        <f aca="false">_xlfn.xlookup(AK1028,A:A,J:J)</f>
        <v>#NAME?</v>
      </c>
      <c r="AN1028" s="15" t="e">
        <f aca="false">_xlfn.xlookup(AK1028,A:A,M:M)+_xlfn.xlookup(AK1028,A:A,N:N)</f>
        <v>#NAME?</v>
      </c>
      <c r="AO1028" s="223" t="e">
        <f aca="false">_xlfn.xlookup(AK1028,A:A,AG:AG)</f>
        <v>#NAME?</v>
      </c>
      <c r="AP1028" s="223" t="e">
        <f aca="false">_xlfn.xlookup(AK1028,A:A,AD:AD)</f>
        <v>#NAME?</v>
      </c>
      <c r="AQ1028" s="223" t="e">
        <f aca="false">_xlfn.xlookup(AK1028,A:A,AE:AE)</f>
        <v>#NAME?</v>
      </c>
      <c r="BB1028" s="15" t="e">
        <f aca="false">_xlfn.xlookup(BA1028,A:A,E:E)</f>
        <v>#NAME?</v>
      </c>
      <c r="BC1028" s="15" t="e">
        <f aca="false">_xlfn.xlookup(BA1028,A:A,J:J)</f>
        <v>#NAME?</v>
      </c>
      <c r="BD1028" s="75" t="e">
        <f aca="false">_xlfn.xlookup(BA1028,A:A,M:M)+_xlfn.xlookup(BA1028,A:A,N:N)</f>
        <v>#NAME?</v>
      </c>
    </row>
    <row r="1029" customFormat="false" ht="14.25" hidden="false" customHeight="false" outlineLevel="0" collapsed="false">
      <c r="AK1029" s="15" t="e">
        <v>#NAME?</v>
      </c>
      <c r="AL1029" s="15" t="e">
        <f aca="false">_xlfn.xlookup(AK1029,A:A,F:F)</f>
        <v>#NAME?</v>
      </c>
      <c r="AM1029" s="15" t="e">
        <f aca="false">_xlfn.xlookup(AK1029,A:A,J:J)</f>
        <v>#NAME?</v>
      </c>
      <c r="AN1029" s="15" t="e">
        <f aca="false">_xlfn.xlookup(AK1029,A:A,M:M)+_xlfn.xlookup(AK1029,A:A,N:N)</f>
        <v>#NAME?</v>
      </c>
      <c r="AO1029" s="223" t="e">
        <f aca="false">_xlfn.xlookup(AK1029,A:A,AG:AG)</f>
        <v>#NAME?</v>
      </c>
      <c r="AP1029" s="223" t="e">
        <f aca="false">_xlfn.xlookup(AK1029,A:A,AD:AD)</f>
        <v>#NAME?</v>
      </c>
      <c r="AQ1029" s="223" t="e">
        <f aca="false">_xlfn.xlookup(AK1029,A:A,AE:AE)</f>
        <v>#NAME?</v>
      </c>
      <c r="BB1029" s="15" t="e">
        <f aca="false">_xlfn.xlookup(BA1029,A:A,E:E)</f>
        <v>#NAME?</v>
      </c>
      <c r="BC1029" s="15" t="e">
        <f aca="false">_xlfn.xlookup(BA1029,A:A,J:J)</f>
        <v>#NAME?</v>
      </c>
      <c r="BD1029" s="75" t="e">
        <f aca="false">_xlfn.xlookup(BA1029,A:A,M:M)+_xlfn.xlookup(BA1029,A:A,N:N)</f>
        <v>#NAME?</v>
      </c>
    </row>
    <row r="1030" customFormat="false" ht="14.25" hidden="false" customHeight="false" outlineLevel="0" collapsed="false">
      <c r="AK1030" s="15" t="e">
        <v>#NAME?</v>
      </c>
      <c r="AL1030" s="15" t="e">
        <f aca="false">_xlfn.xlookup(AK1030,A:A,F:F)</f>
        <v>#NAME?</v>
      </c>
      <c r="AM1030" s="15" t="e">
        <f aca="false">_xlfn.xlookup(AK1030,A:A,J:J)</f>
        <v>#NAME?</v>
      </c>
      <c r="AN1030" s="15" t="e">
        <f aca="false">_xlfn.xlookup(AK1030,A:A,M:M)+_xlfn.xlookup(AK1030,A:A,N:N)</f>
        <v>#NAME?</v>
      </c>
      <c r="AO1030" s="223" t="e">
        <f aca="false">_xlfn.xlookup(AK1030,A:A,AG:AG)</f>
        <v>#NAME?</v>
      </c>
      <c r="AP1030" s="223" t="e">
        <f aca="false">_xlfn.xlookup(AK1030,A:A,AD:AD)</f>
        <v>#NAME?</v>
      </c>
      <c r="AQ1030" s="223" t="e">
        <f aca="false">_xlfn.xlookup(AK1030,A:A,AE:AE)</f>
        <v>#NAME?</v>
      </c>
      <c r="BB1030" s="15" t="e">
        <f aca="false">_xlfn.xlookup(BA1030,A:A,E:E)</f>
        <v>#NAME?</v>
      </c>
      <c r="BC1030" s="15" t="e">
        <f aca="false">_xlfn.xlookup(BA1030,A:A,J:J)</f>
        <v>#NAME?</v>
      </c>
      <c r="BD1030" s="75" t="e">
        <f aca="false">_xlfn.xlookup(BA1030,A:A,M:M)+_xlfn.xlookup(BA1030,A:A,N:N)</f>
        <v>#NAME?</v>
      </c>
    </row>
    <row r="1031" customFormat="false" ht="14.25" hidden="false" customHeight="false" outlineLevel="0" collapsed="false">
      <c r="AK1031" s="15" t="e">
        <v>#NAME?</v>
      </c>
      <c r="AL1031" s="15" t="e">
        <f aca="false">_xlfn.xlookup(AK1031,A:A,F:F)</f>
        <v>#NAME?</v>
      </c>
      <c r="AM1031" s="15" t="e">
        <f aca="false">_xlfn.xlookup(AK1031,A:A,J:J)</f>
        <v>#NAME?</v>
      </c>
      <c r="AN1031" s="15" t="e">
        <f aca="false">_xlfn.xlookup(AK1031,A:A,M:M)+_xlfn.xlookup(AK1031,A:A,N:N)</f>
        <v>#NAME?</v>
      </c>
      <c r="AO1031" s="223" t="e">
        <f aca="false">_xlfn.xlookup(AK1031,A:A,AG:AG)</f>
        <v>#NAME?</v>
      </c>
      <c r="AP1031" s="223" t="e">
        <f aca="false">_xlfn.xlookup(AK1031,A:A,AD:AD)</f>
        <v>#NAME?</v>
      </c>
      <c r="AQ1031" s="223" t="e">
        <f aca="false">_xlfn.xlookup(AK1031,A:A,AE:AE)</f>
        <v>#NAME?</v>
      </c>
      <c r="BB1031" s="15" t="e">
        <f aca="false">_xlfn.xlookup(BA1031,A:A,E:E)</f>
        <v>#NAME?</v>
      </c>
      <c r="BC1031" s="15" t="e">
        <f aca="false">_xlfn.xlookup(BA1031,A:A,J:J)</f>
        <v>#NAME?</v>
      </c>
      <c r="BD1031" s="75" t="e">
        <f aca="false">_xlfn.xlookup(BA1031,A:A,M:M)+_xlfn.xlookup(BA1031,A:A,N:N)</f>
        <v>#NAME?</v>
      </c>
    </row>
    <row r="1032" customFormat="false" ht="14.25" hidden="false" customHeight="false" outlineLevel="0" collapsed="false">
      <c r="AK1032" s="15" t="e">
        <v>#NAME?</v>
      </c>
      <c r="AL1032" s="15" t="e">
        <f aca="false">_xlfn.xlookup(AK1032,A:A,F:F)</f>
        <v>#NAME?</v>
      </c>
      <c r="AM1032" s="15" t="e">
        <f aca="false">_xlfn.xlookup(AK1032,A:A,J:J)</f>
        <v>#NAME?</v>
      </c>
      <c r="AN1032" s="15" t="e">
        <f aca="false">_xlfn.xlookup(AK1032,A:A,M:M)+_xlfn.xlookup(AK1032,A:A,N:N)</f>
        <v>#NAME?</v>
      </c>
      <c r="AO1032" s="223" t="e">
        <f aca="false">_xlfn.xlookup(AK1032,A:A,AG:AG)</f>
        <v>#NAME?</v>
      </c>
      <c r="AP1032" s="223" t="e">
        <f aca="false">_xlfn.xlookup(AK1032,A:A,AD:AD)</f>
        <v>#NAME?</v>
      </c>
      <c r="AQ1032" s="223" t="e">
        <f aca="false">_xlfn.xlookup(AK1032,A:A,AE:AE)</f>
        <v>#NAME?</v>
      </c>
      <c r="BB1032" s="15" t="e">
        <f aca="false">_xlfn.xlookup(BA1032,A:A,E:E)</f>
        <v>#NAME?</v>
      </c>
      <c r="BC1032" s="15" t="e">
        <f aca="false">_xlfn.xlookup(BA1032,A:A,J:J)</f>
        <v>#NAME?</v>
      </c>
      <c r="BD1032" s="75" t="e">
        <f aca="false">_xlfn.xlookup(BA1032,A:A,M:M)+_xlfn.xlookup(BA1032,A:A,N:N)</f>
        <v>#NAME?</v>
      </c>
    </row>
    <row r="1033" customFormat="false" ht="14.25" hidden="false" customHeight="false" outlineLevel="0" collapsed="false">
      <c r="AK1033" s="15" t="e">
        <v>#NAME?</v>
      </c>
      <c r="AL1033" s="15" t="e">
        <f aca="false">_xlfn.xlookup(AK1033,A:A,F:F)</f>
        <v>#NAME?</v>
      </c>
      <c r="AM1033" s="15" t="e">
        <f aca="false">_xlfn.xlookup(AK1033,A:A,J:J)</f>
        <v>#NAME?</v>
      </c>
      <c r="AN1033" s="15" t="e">
        <f aca="false">_xlfn.xlookup(AK1033,A:A,M:M)+_xlfn.xlookup(AK1033,A:A,N:N)</f>
        <v>#NAME?</v>
      </c>
      <c r="AO1033" s="223" t="e">
        <f aca="false">_xlfn.xlookup(AK1033,A:A,AG:AG)</f>
        <v>#NAME?</v>
      </c>
      <c r="AP1033" s="223" t="e">
        <f aca="false">_xlfn.xlookup(AK1033,A:A,AD:AD)</f>
        <v>#NAME?</v>
      </c>
      <c r="AQ1033" s="223" t="e">
        <f aca="false">_xlfn.xlookup(AK1033,A:A,AE:AE)</f>
        <v>#NAME?</v>
      </c>
      <c r="BB1033" s="15" t="e">
        <f aca="false">_xlfn.xlookup(BA1033,A:A,E:E)</f>
        <v>#NAME?</v>
      </c>
      <c r="BC1033" s="15" t="e">
        <f aca="false">_xlfn.xlookup(BA1033,A:A,J:J)</f>
        <v>#NAME?</v>
      </c>
      <c r="BD1033" s="75" t="e">
        <f aca="false">_xlfn.xlookup(BA1033,A:A,M:M)+_xlfn.xlookup(BA1033,A:A,N:N)</f>
        <v>#NAME?</v>
      </c>
    </row>
    <row r="1034" customFormat="false" ht="14.25" hidden="false" customHeight="false" outlineLevel="0" collapsed="false">
      <c r="AK1034" s="15" t="e">
        <v>#NAME?</v>
      </c>
      <c r="AL1034" s="15" t="e">
        <f aca="false">_xlfn.xlookup(AK1034,A:A,F:F)</f>
        <v>#NAME?</v>
      </c>
      <c r="AM1034" s="15" t="e">
        <f aca="false">_xlfn.xlookup(AK1034,A:A,J:J)</f>
        <v>#NAME?</v>
      </c>
      <c r="AN1034" s="15" t="e">
        <f aca="false">_xlfn.xlookup(AK1034,A:A,M:M)+_xlfn.xlookup(AK1034,A:A,N:N)</f>
        <v>#NAME?</v>
      </c>
      <c r="AO1034" s="223" t="e">
        <f aca="false">_xlfn.xlookup(AK1034,A:A,AG:AG)</f>
        <v>#NAME?</v>
      </c>
      <c r="AP1034" s="223" t="e">
        <f aca="false">_xlfn.xlookup(AK1034,A:A,AD:AD)</f>
        <v>#NAME?</v>
      </c>
      <c r="AQ1034" s="223" t="e">
        <f aca="false">_xlfn.xlookup(AK1034,A:A,AE:AE)</f>
        <v>#NAME?</v>
      </c>
      <c r="BB1034" s="15" t="e">
        <f aca="false">_xlfn.xlookup(BA1034,A:A,E:E)</f>
        <v>#NAME?</v>
      </c>
      <c r="BC1034" s="15" t="e">
        <f aca="false">_xlfn.xlookup(BA1034,A:A,J:J)</f>
        <v>#NAME?</v>
      </c>
      <c r="BD1034" s="75" t="e">
        <f aca="false">_xlfn.xlookup(BA1034,A:A,M:M)+_xlfn.xlookup(BA1034,A:A,N:N)</f>
        <v>#NAME?</v>
      </c>
    </row>
    <row r="1035" customFormat="false" ht="14.25" hidden="false" customHeight="false" outlineLevel="0" collapsed="false">
      <c r="AK1035" s="15" t="e">
        <v>#NAME?</v>
      </c>
      <c r="AL1035" s="15" t="e">
        <f aca="false">_xlfn.xlookup(AK1035,A:A,F:F)</f>
        <v>#NAME?</v>
      </c>
      <c r="AM1035" s="15" t="e">
        <f aca="false">_xlfn.xlookup(AK1035,A:A,J:J)</f>
        <v>#NAME?</v>
      </c>
      <c r="AN1035" s="15" t="e">
        <f aca="false">_xlfn.xlookup(AK1035,A:A,M:M)+_xlfn.xlookup(AK1035,A:A,N:N)</f>
        <v>#NAME?</v>
      </c>
      <c r="AO1035" s="223" t="e">
        <f aca="false">_xlfn.xlookup(AK1035,A:A,AG:AG)</f>
        <v>#NAME?</v>
      </c>
      <c r="AP1035" s="223" t="e">
        <f aca="false">_xlfn.xlookup(AK1035,A:A,AD:AD)</f>
        <v>#NAME?</v>
      </c>
      <c r="AQ1035" s="223" t="e">
        <f aca="false">_xlfn.xlookup(AK1035,A:A,AE:AE)</f>
        <v>#NAME?</v>
      </c>
      <c r="BB1035" s="15" t="e">
        <f aca="false">_xlfn.xlookup(BA1035,A:A,E:E)</f>
        <v>#NAME?</v>
      </c>
      <c r="BC1035" s="15" t="e">
        <f aca="false">_xlfn.xlookup(BA1035,A:A,J:J)</f>
        <v>#NAME?</v>
      </c>
      <c r="BD1035" s="75" t="e">
        <f aca="false">_xlfn.xlookup(BA1035,A:A,M:M)+_xlfn.xlookup(BA1035,A:A,N:N)</f>
        <v>#NAME?</v>
      </c>
    </row>
    <row r="1036" customFormat="false" ht="14.25" hidden="false" customHeight="false" outlineLevel="0" collapsed="false">
      <c r="AK1036" s="15" t="e">
        <v>#NAME?</v>
      </c>
      <c r="AL1036" s="15" t="e">
        <f aca="false">_xlfn.xlookup(AK1036,A:A,F:F)</f>
        <v>#NAME?</v>
      </c>
      <c r="AM1036" s="15" t="e">
        <f aca="false">_xlfn.xlookup(AK1036,A:A,J:J)</f>
        <v>#NAME?</v>
      </c>
      <c r="AN1036" s="15" t="e">
        <f aca="false">_xlfn.xlookup(AK1036,A:A,M:M)+_xlfn.xlookup(AK1036,A:A,N:N)</f>
        <v>#NAME?</v>
      </c>
      <c r="AO1036" s="223" t="e">
        <f aca="false">_xlfn.xlookup(AK1036,A:A,AG:AG)</f>
        <v>#NAME?</v>
      </c>
      <c r="AP1036" s="223" t="e">
        <f aca="false">_xlfn.xlookup(AK1036,A:A,AD:AD)</f>
        <v>#NAME?</v>
      </c>
      <c r="AQ1036" s="223" t="e">
        <f aca="false">_xlfn.xlookup(AK1036,A:A,AE:AE)</f>
        <v>#NAME?</v>
      </c>
      <c r="BB1036" s="15" t="e">
        <f aca="false">_xlfn.xlookup(BA1036,A:A,E:E)</f>
        <v>#NAME?</v>
      </c>
      <c r="BC1036" s="15" t="e">
        <f aca="false">_xlfn.xlookup(BA1036,A:A,J:J)</f>
        <v>#NAME?</v>
      </c>
      <c r="BD1036" s="75" t="e">
        <f aca="false">_xlfn.xlookup(BA1036,A:A,M:M)+_xlfn.xlookup(BA1036,A:A,N:N)</f>
        <v>#NAME?</v>
      </c>
    </row>
    <row r="1037" customFormat="false" ht="14.25" hidden="false" customHeight="false" outlineLevel="0" collapsed="false">
      <c r="AK1037" s="15" t="e">
        <v>#NAME?</v>
      </c>
      <c r="AL1037" s="15" t="e">
        <f aca="false">_xlfn.xlookup(AK1037,A:A,F:F)</f>
        <v>#NAME?</v>
      </c>
      <c r="AM1037" s="15" t="e">
        <f aca="false">_xlfn.xlookup(AK1037,A:A,J:J)</f>
        <v>#NAME?</v>
      </c>
      <c r="AN1037" s="15" t="e">
        <f aca="false">_xlfn.xlookup(AK1037,A:A,M:M)+_xlfn.xlookup(AK1037,A:A,N:N)</f>
        <v>#NAME?</v>
      </c>
      <c r="AO1037" s="223" t="e">
        <f aca="false">_xlfn.xlookup(AK1037,A:A,AG:AG)</f>
        <v>#NAME?</v>
      </c>
      <c r="AP1037" s="223" t="e">
        <f aca="false">_xlfn.xlookup(AK1037,A:A,AD:AD)</f>
        <v>#NAME?</v>
      </c>
      <c r="AQ1037" s="223" t="e">
        <f aca="false">_xlfn.xlookup(AK1037,A:A,AE:AE)</f>
        <v>#NAME?</v>
      </c>
      <c r="BB1037" s="15" t="e">
        <f aca="false">_xlfn.xlookup(BA1037,A:A,E:E)</f>
        <v>#NAME?</v>
      </c>
      <c r="BC1037" s="15" t="e">
        <f aca="false">_xlfn.xlookup(BA1037,A:A,J:J)</f>
        <v>#NAME?</v>
      </c>
      <c r="BD1037" s="75" t="e">
        <f aca="false">_xlfn.xlookup(BA1037,A:A,M:M)+_xlfn.xlookup(BA1037,A:A,N:N)</f>
        <v>#NAME?</v>
      </c>
    </row>
    <row r="1038" customFormat="false" ht="14.25" hidden="false" customHeight="false" outlineLevel="0" collapsed="false">
      <c r="AK1038" s="15" t="e">
        <v>#NAME?</v>
      </c>
      <c r="AL1038" s="15" t="e">
        <f aca="false">_xlfn.xlookup(AK1038,A:A,F:F)</f>
        <v>#NAME?</v>
      </c>
      <c r="AM1038" s="15" t="e">
        <f aca="false">_xlfn.xlookup(AK1038,A:A,J:J)</f>
        <v>#NAME?</v>
      </c>
      <c r="AN1038" s="15" t="e">
        <f aca="false">_xlfn.xlookup(AK1038,A:A,M:M)+_xlfn.xlookup(AK1038,A:A,N:N)</f>
        <v>#NAME?</v>
      </c>
      <c r="AO1038" s="223" t="e">
        <f aca="false">_xlfn.xlookup(AK1038,A:A,AG:AG)</f>
        <v>#NAME?</v>
      </c>
      <c r="AP1038" s="223" t="e">
        <f aca="false">_xlfn.xlookup(AK1038,A:A,AD:AD)</f>
        <v>#NAME?</v>
      </c>
      <c r="AQ1038" s="223" t="e">
        <f aca="false">_xlfn.xlookup(AK1038,A:A,AE:AE)</f>
        <v>#NAME?</v>
      </c>
      <c r="BB1038" s="15" t="e">
        <f aca="false">_xlfn.xlookup(BA1038,A:A,E:E)</f>
        <v>#NAME?</v>
      </c>
      <c r="BC1038" s="15" t="e">
        <f aca="false">_xlfn.xlookup(BA1038,A:A,J:J)</f>
        <v>#NAME?</v>
      </c>
      <c r="BD1038" s="75" t="e">
        <f aca="false">_xlfn.xlookup(BA1038,A:A,M:M)+_xlfn.xlookup(BA1038,A:A,N:N)</f>
        <v>#NAME?</v>
      </c>
    </row>
    <row r="1039" customFormat="false" ht="14.25" hidden="false" customHeight="false" outlineLevel="0" collapsed="false">
      <c r="AK1039" s="15" t="e">
        <v>#NAME?</v>
      </c>
      <c r="AL1039" s="15" t="e">
        <f aca="false">_xlfn.xlookup(AK1039,A:A,F:F)</f>
        <v>#NAME?</v>
      </c>
      <c r="AM1039" s="15" t="e">
        <f aca="false">_xlfn.xlookup(AK1039,A:A,J:J)</f>
        <v>#NAME?</v>
      </c>
      <c r="AN1039" s="15" t="e">
        <f aca="false">_xlfn.xlookup(AK1039,A:A,M:M)+_xlfn.xlookup(AK1039,A:A,N:N)</f>
        <v>#NAME?</v>
      </c>
      <c r="AO1039" s="223" t="e">
        <f aca="false">_xlfn.xlookup(AK1039,A:A,AG:AG)</f>
        <v>#NAME?</v>
      </c>
      <c r="AP1039" s="223" t="e">
        <f aca="false">_xlfn.xlookup(AK1039,A:A,AD:AD)</f>
        <v>#NAME?</v>
      </c>
      <c r="AQ1039" s="223" t="e">
        <f aca="false">_xlfn.xlookup(AK1039,A:A,AE:AE)</f>
        <v>#NAME?</v>
      </c>
      <c r="BB1039" s="15" t="e">
        <f aca="false">_xlfn.xlookup(BA1039,A:A,E:E)</f>
        <v>#NAME?</v>
      </c>
      <c r="BC1039" s="15" t="e">
        <f aca="false">_xlfn.xlookup(BA1039,A:A,J:J)</f>
        <v>#NAME?</v>
      </c>
      <c r="BD1039" s="75" t="e">
        <f aca="false">_xlfn.xlookup(BA1039,A:A,M:M)+_xlfn.xlookup(BA1039,A:A,N:N)</f>
        <v>#NAME?</v>
      </c>
    </row>
    <row r="1040" customFormat="false" ht="14.25" hidden="false" customHeight="false" outlineLevel="0" collapsed="false">
      <c r="AK1040" s="15" t="e">
        <v>#NAME?</v>
      </c>
      <c r="AL1040" s="15" t="e">
        <f aca="false">_xlfn.xlookup(AK1040,A:A,F:F)</f>
        <v>#NAME?</v>
      </c>
      <c r="AM1040" s="15" t="e">
        <f aca="false">_xlfn.xlookup(AK1040,A:A,J:J)</f>
        <v>#NAME?</v>
      </c>
      <c r="AN1040" s="15" t="e">
        <f aca="false">_xlfn.xlookup(AK1040,A:A,M:M)+_xlfn.xlookup(AK1040,A:A,N:N)</f>
        <v>#NAME?</v>
      </c>
      <c r="AO1040" s="223" t="e">
        <f aca="false">_xlfn.xlookup(AK1040,A:A,AG:AG)</f>
        <v>#NAME?</v>
      </c>
      <c r="AP1040" s="223" t="e">
        <f aca="false">_xlfn.xlookup(AK1040,A:A,AD:AD)</f>
        <v>#NAME?</v>
      </c>
      <c r="AQ1040" s="223" t="e">
        <f aca="false">_xlfn.xlookup(AK1040,A:A,AE:AE)</f>
        <v>#NAME?</v>
      </c>
      <c r="BB1040" s="15" t="e">
        <f aca="false">_xlfn.xlookup(BA1040,A:A,E:E)</f>
        <v>#NAME?</v>
      </c>
      <c r="BC1040" s="15" t="e">
        <f aca="false">_xlfn.xlookup(BA1040,A:A,J:J)</f>
        <v>#NAME?</v>
      </c>
      <c r="BD1040" s="75" t="e">
        <f aca="false">_xlfn.xlookup(BA1040,A:A,M:M)+_xlfn.xlookup(BA1040,A:A,N:N)</f>
        <v>#NAME?</v>
      </c>
    </row>
    <row r="1041" customFormat="false" ht="14.25" hidden="false" customHeight="false" outlineLevel="0" collapsed="false">
      <c r="AK1041" s="15" t="e">
        <v>#NAME?</v>
      </c>
      <c r="AL1041" s="15" t="e">
        <f aca="false">_xlfn.xlookup(AK1041,A:A,F:F)</f>
        <v>#NAME?</v>
      </c>
      <c r="AM1041" s="15" t="e">
        <f aca="false">_xlfn.xlookup(AK1041,A:A,J:J)</f>
        <v>#NAME?</v>
      </c>
      <c r="AN1041" s="15" t="e">
        <f aca="false">_xlfn.xlookup(AK1041,A:A,M:M)+_xlfn.xlookup(AK1041,A:A,N:N)</f>
        <v>#NAME?</v>
      </c>
      <c r="AO1041" s="223" t="e">
        <f aca="false">_xlfn.xlookup(AK1041,A:A,AG:AG)</f>
        <v>#NAME?</v>
      </c>
      <c r="AP1041" s="223" t="e">
        <f aca="false">_xlfn.xlookup(AK1041,A:A,AD:AD)</f>
        <v>#NAME?</v>
      </c>
      <c r="AQ1041" s="223" t="e">
        <f aca="false">_xlfn.xlookup(AK1041,A:A,AE:AE)</f>
        <v>#NAME?</v>
      </c>
      <c r="BB1041" s="15" t="e">
        <f aca="false">_xlfn.xlookup(BA1041,A:A,E:E)</f>
        <v>#NAME?</v>
      </c>
      <c r="BC1041" s="15" t="e">
        <f aca="false">_xlfn.xlookup(BA1041,A:A,J:J)</f>
        <v>#NAME?</v>
      </c>
      <c r="BD1041" s="75" t="e">
        <f aca="false">_xlfn.xlookup(BA1041,A:A,M:M)+_xlfn.xlookup(BA1041,A:A,N:N)</f>
        <v>#NAME?</v>
      </c>
    </row>
    <row r="1042" customFormat="false" ht="14.25" hidden="false" customHeight="false" outlineLevel="0" collapsed="false">
      <c r="AK1042" s="15" t="e">
        <v>#NAME?</v>
      </c>
      <c r="AL1042" s="15" t="e">
        <f aca="false">_xlfn.xlookup(AK1042,A:A,F:F)</f>
        <v>#NAME?</v>
      </c>
      <c r="AM1042" s="15" t="e">
        <f aca="false">_xlfn.xlookup(AK1042,A:A,J:J)</f>
        <v>#NAME?</v>
      </c>
      <c r="AN1042" s="15" t="e">
        <f aca="false">_xlfn.xlookup(AK1042,A:A,M:M)+_xlfn.xlookup(AK1042,A:A,N:N)</f>
        <v>#NAME?</v>
      </c>
      <c r="AO1042" s="223" t="e">
        <f aca="false">_xlfn.xlookup(AK1042,A:A,AG:AG)</f>
        <v>#NAME?</v>
      </c>
      <c r="AP1042" s="223" t="e">
        <f aca="false">_xlfn.xlookup(AK1042,A:A,AD:AD)</f>
        <v>#NAME?</v>
      </c>
      <c r="AQ1042" s="223" t="e">
        <f aca="false">_xlfn.xlookup(AK1042,A:A,AE:AE)</f>
        <v>#NAME?</v>
      </c>
      <c r="BB1042" s="15" t="e">
        <f aca="false">_xlfn.xlookup(BA1042,A:A,E:E)</f>
        <v>#NAME?</v>
      </c>
      <c r="BC1042" s="15" t="e">
        <f aca="false">_xlfn.xlookup(BA1042,A:A,J:J)</f>
        <v>#NAME?</v>
      </c>
      <c r="BD1042" s="75" t="e">
        <f aca="false">_xlfn.xlookup(BA1042,A:A,M:M)+_xlfn.xlookup(BA1042,A:A,N:N)</f>
        <v>#NAME?</v>
      </c>
    </row>
    <row r="1043" customFormat="false" ht="14.25" hidden="false" customHeight="false" outlineLevel="0" collapsed="false">
      <c r="AK1043" s="15" t="e">
        <v>#NAME?</v>
      </c>
      <c r="AL1043" s="15" t="e">
        <f aca="false">_xlfn.xlookup(AK1043,A:A,F:F)</f>
        <v>#NAME?</v>
      </c>
      <c r="AM1043" s="15" t="e">
        <f aca="false">_xlfn.xlookup(AK1043,A:A,J:J)</f>
        <v>#NAME?</v>
      </c>
      <c r="AN1043" s="15" t="e">
        <f aca="false">_xlfn.xlookup(AK1043,A:A,M:M)+_xlfn.xlookup(AK1043,A:A,N:N)</f>
        <v>#NAME?</v>
      </c>
      <c r="AO1043" s="223" t="e">
        <f aca="false">_xlfn.xlookup(AK1043,A:A,AG:AG)</f>
        <v>#NAME?</v>
      </c>
      <c r="AP1043" s="223" t="e">
        <f aca="false">_xlfn.xlookup(AK1043,A:A,AD:AD)</f>
        <v>#NAME?</v>
      </c>
      <c r="AQ1043" s="223" t="e">
        <f aca="false">_xlfn.xlookup(AK1043,A:A,AE:AE)</f>
        <v>#NAME?</v>
      </c>
      <c r="BB1043" s="15" t="e">
        <f aca="false">_xlfn.xlookup(BA1043,A:A,E:E)</f>
        <v>#NAME?</v>
      </c>
      <c r="BC1043" s="15" t="e">
        <f aca="false">_xlfn.xlookup(BA1043,A:A,J:J)</f>
        <v>#NAME?</v>
      </c>
      <c r="BD1043" s="75" t="e">
        <f aca="false">_xlfn.xlookup(BA1043,A:A,M:M)+_xlfn.xlookup(BA1043,A:A,N:N)</f>
        <v>#NAME?</v>
      </c>
    </row>
    <row r="1044" customFormat="false" ht="14.25" hidden="false" customHeight="false" outlineLevel="0" collapsed="false">
      <c r="AK1044" s="15" t="e">
        <v>#NAME?</v>
      </c>
      <c r="AL1044" s="15" t="e">
        <f aca="false">_xlfn.xlookup(AK1044,A:A,F:F)</f>
        <v>#NAME?</v>
      </c>
      <c r="AM1044" s="15" t="e">
        <f aca="false">_xlfn.xlookup(AK1044,A:A,J:J)</f>
        <v>#NAME?</v>
      </c>
      <c r="AN1044" s="15" t="e">
        <f aca="false">_xlfn.xlookup(AK1044,A:A,M:M)+_xlfn.xlookup(AK1044,A:A,N:N)</f>
        <v>#NAME?</v>
      </c>
      <c r="AO1044" s="223" t="e">
        <f aca="false">_xlfn.xlookup(AK1044,A:A,AG:AG)</f>
        <v>#NAME?</v>
      </c>
      <c r="AP1044" s="223" t="e">
        <f aca="false">_xlfn.xlookup(AK1044,A:A,AD:AD)</f>
        <v>#NAME?</v>
      </c>
      <c r="AQ1044" s="223" t="e">
        <f aca="false">_xlfn.xlookup(AK1044,A:A,AE:AE)</f>
        <v>#NAME?</v>
      </c>
      <c r="BB1044" s="15" t="e">
        <f aca="false">_xlfn.xlookup(BA1044,A:A,E:E)</f>
        <v>#NAME?</v>
      </c>
      <c r="BC1044" s="15" t="e">
        <f aca="false">_xlfn.xlookup(BA1044,A:A,J:J)</f>
        <v>#NAME?</v>
      </c>
      <c r="BD1044" s="75" t="e">
        <f aca="false">_xlfn.xlookup(BA1044,A:A,M:M)+_xlfn.xlookup(BA1044,A:A,N:N)</f>
        <v>#NAME?</v>
      </c>
    </row>
    <row r="1045" customFormat="false" ht="14.25" hidden="false" customHeight="false" outlineLevel="0" collapsed="false">
      <c r="AK1045" s="15" t="e">
        <v>#NAME?</v>
      </c>
      <c r="AL1045" s="15" t="e">
        <f aca="false">_xlfn.xlookup(AK1045,A:A,F:F)</f>
        <v>#NAME?</v>
      </c>
      <c r="AM1045" s="15" t="e">
        <f aca="false">_xlfn.xlookup(AK1045,A:A,J:J)</f>
        <v>#NAME?</v>
      </c>
      <c r="AN1045" s="15" t="e">
        <f aca="false">_xlfn.xlookup(AK1045,A:A,M:M)+_xlfn.xlookup(AK1045,A:A,N:N)</f>
        <v>#NAME?</v>
      </c>
      <c r="AO1045" s="223" t="e">
        <f aca="false">_xlfn.xlookup(AK1045,A:A,AG:AG)</f>
        <v>#NAME?</v>
      </c>
      <c r="AP1045" s="223" t="e">
        <f aca="false">_xlfn.xlookup(AK1045,A:A,AD:AD)</f>
        <v>#NAME?</v>
      </c>
      <c r="AQ1045" s="223" t="e">
        <f aca="false">_xlfn.xlookup(AK1045,A:A,AE:AE)</f>
        <v>#NAME?</v>
      </c>
      <c r="BB1045" s="15" t="e">
        <f aca="false">_xlfn.xlookup(BA1045,A:A,E:E)</f>
        <v>#NAME?</v>
      </c>
      <c r="BC1045" s="15" t="e">
        <f aca="false">_xlfn.xlookup(BA1045,A:A,J:J)</f>
        <v>#NAME?</v>
      </c>
      <c r="BD1045" s="75" t="e">
        <f aca="false">_xlfn.xlookup(BA1045,A:A,M:M)+_xlfn.xlookup(BA1045,A:A,N:N)</f>
        <v>#NAME?</v>
      </c>
    </row>
    <row r="1046" customFormat="false" ht="14.25" hidden="false" customHeight="false" outlineLevel="0" collapsed="false">
      <c r="AK1046" s="15" t="e">
        <v>#NAME?</v>
      </c>
      <c r="AL1046" s="15" t="e">
        <f aca="false">_xlfn.xlookup(AK1046,A:A,F:F)</f>
        <v>#NAME?</v>
      </c>
      <c r="AM1046" s="15" t="e">
        <f aca="false">_xlfn.xlookup(AK1046,A:A,J:J)</f>
        <v>#NAME?</v>
      </c>
      <c r="AN1046" s="15" t="e">
        <f aca="false">_xlfn.xlookup(AK1046,A:A,M:M)+_xlfn.xlookup(AK1046,A:A,N:N)</f>
        <v>#NAME?</v>
      </c>
      <c r="AO1046" s="223" t="e">
        <f aca="false">_xlfn.xlookup(AK1046,A:A,AG:AG)</f>
        <v>#NAME?</v>
      </c>
      <c r="AP1046" s="223" t="e">
        <f aca="false">_xlfn.xlookup(AK1046,A:A,AD:AD)</f>
        <v>#NAME?</v>
      </c>
      <c r="AQ1046" s="223" t="e">
        <f aca="false">_xlfn.xlookup(AK1046,A:A,AE:AE)</f>
        <v>#NAME?</v>
      </c>
      <c r="BB1046" s="15" t="e">
        <f aca="false">_xlfn.xlookup(BA1046,A:A,E:E)</f>
        <v>#NAME?</v>
      </c>
      <c r="BC1046" s="15" t="e">
        <f aca="false">_xlfn.xlookup(BA1046,A:A,J:J)</f>
        <v>#NAME?</v>
      </c>
      <c r="BD1046" s="75" t="e">
        <f aca="false">_xlfn.xlookup(BA1046,A:A,M:M)+_xlfn.xlookup(BA1046,A:A,N:N)</f>
        <v>#NAME?</v>
      </c>
    </row>
    <row r="1047" customFormat="false" ht="14.25" hidden="false" customHeight="false" outlineLevel="0" collapsed="false">
      <c r="AK1047" s="15" t="e">
        <v>#NAME?</v>
      </c>
      <c r="AL1047" s="15" t="e">
        <f aca="false">_xlfn.xlookup(AK1047,A:A,F:F)</f>
        <v>#NAME?</v>
      </c>
      <c r="AM1047" s="15" t="e">
        <f aca="false">_xlfn.xlookup(AK1047,A:A,J:J)</f>
        <v>#NAME?</v>
      </c>
      <c r="AN1047" s="15" t="e">
        <f aca="false">_xlfn.xlookup(AK1047,A:A,M:M)+_xlfn.xlookup(AK1047,A:A,N:N)</f>
        <v>#NAME?</v>
      </c>
      <c r="AO1047" s="223" t="e">
        <f aca="false">_xlfn.xlookup(AK1047,A:A,AG:AG)</f>
        <v>#NAME?</v>
      </c>
      <c r="AP1047" s="223" t="e">
        <f aca="false">_xlfn.xlookup(AK1047,A:A,AD:AD)</f>
        <v>#NAME?</v>
      </c>
      <c r="AQ1047" s="223" t="e">
        <f aca="false">_xlfn.xlookup(AK1047,A:A,AE:AE)</f>
        <v>#NAME?</v>
      </c>
      <c r="BB1047" s="15" t="e">
        <f aca="false">_xlfn.xlookup(BA1047,A:A,E:E)</f>
        <v>#NAME?</v>
      </c>
      <c r="BC1047" s="15" t="e">
        <f aca="false">_xlfn.xlookup(BA1047,A:A,J:J)</f>
        <v>#NAME?</v>
      </c>
      <c r="BD1047" s="75" t="e">
        <f aca="false">_xlfn.xlookup(BA1047,A:A,M:M)+_xlfn.xlookup(BA1047,A:A,N:N)</f>
        <v>#NAME?</v>
      </c>
    </row>
    <row r="1048" customFormat="false" ht="14.25" hidden="false" customHeight="false" outlineLevel="0" collapsed="false">
      <c r="AK1048" s="15" t="e">
        <v>#NAME?</v>
      </c>
      <c r="AL1048" s="15" t="e">
        <f aca="false">_xlfn.xlookup(AK1048,A:A,F:F)</f>
        <v>#NAME?</v>
      </c>
      <c r="AM1048" s="15" t="e">
        <f aca="false">_xlfn.xlookup(AK1048,A:A,J:J)</f>
        <v>#NAME?</v>
      </c>
      <c r="AN1048" s="15" t="e">
        <f aca="false">_xlfn.xlookup(AK1048,A:A,M:M)+_xlfn.xlookup(AK1048,A:A,N:N)</f>
        <v>#NAME?</v>
      </c>
      <c r="AO1048" s="223" t="e">
        <f aca="false">_xlfn.xlookup(AK1048,A:A,AG:AG)</f>
        <v>#NAME?</v>
      </c>
      <c r="AP1048" s="223" t="e">
        <f aca="false">_xlfn.xlookup(AK1048,A:A,AD:AD)</f>
        <v>#NAME?</v>
      </c>
      <c r="AQ1048" s="223" t="e">
        <f aca="false">_xlfn.xlookup(AK1048,A:A,AE:AE)</f>
        <v>#NAME?</v>
      </c>
      <c r="BB1048" s="15" t="e">
        <f aca="false">_xlfn.xlookup(BA1048,A:A,E:E)</f>
        <v>#NAME?</v>
      </c>
      <c r="BC1048" s="15" t="e">
        <f aca="false">_xlfn.xlookup(BA1048,A:A,J:J)</f>
        <v>#NAME?</v>
      </c>
      <c r="BD1048" s="75" t="e">
        <f aca="false">_xlfn.xlookup(BA1048,A:A,M:M)+_xlfn.xlookup(BA1048,A:A,N:N)</f>
        <v>#NAME?</v>
      </c>
    </row>
    <row r="1049" customFormat="false" ht="14.25" hidden="false" customHeight="false" outlineLevel="0" collapsed="false">
      <c r="AK1049" s="15" t="e">
        <v>#NAME?</v>
      </c>
      <c r="AL1049" s="15" t="e">
        <f aca="false">_xlfn.xlookup(AK1049,A:A,F:F)</f>
        <v>#NAME?</v>
      </c>
      <c r="AM1049" s="15" t="e">
        <f aca="false">_xlfn.xlookup(AK1049,A:A,J:J)</f>
        <v>#NAME?</v>
      </c>
      <c r="AN1049" s="15" t="e">
        <f aca="false">_xlfn.xlookup(AK1049,A:A,M:M)+_xlfn.xlookup(AK1049,A:A,N:N)</f>
        <v>#NAME?</v>
      </c>
      <c r="AO1049" s="223" t="e">
        <f aca="false">_xlfn.xlookup(AK1049,A:A,AG:AG)</f>
        <v>#NAME?</v>
      </c>
      <c r="AP1049" s="223" t="e">
        <f aca="false">_xlfn.xlookup(AK1049,A:A,AD:AD)</f>
        <v>#NAME?</v>
      </c>
      <c r="AQ1049" s="223" t="e">
        <f aca="false">_xlfn.xlookup(AK1049,A:A,AE:AE)</f>
        <v>#NAME?</v>
      </c>
      <c r="BB1049" s="15" t="e">
        <f aca="false">_xlfn.xlookup(BA1049,A:A,E:E)</f>
        <v>#NAME?</v>
      </c>
      <c r="BC1049" s="15" t="e">
        <f aca="false">_xlfn.xlookup(BA1049,A:A,J:J)</f>
        <v>#NAME?</v>
      </c>
      <c r="BD1049" s="75" t="e">
        <f aca="false">_xlfn.xlookup(BA1049,A:A,M:M)+_xlfn.xlookup(BA1049,A:A,N:N)</f>
        <v>#NAME?</v>
      </c>
    </row>
    <row r="1050" customFormat="false" ht="14.25" hidden="false" customHeight="false" outlineLevel="0" collapsed="false">
      <c r="AK1050" s="15" t="e">
        <v>#NAME?</v>
      </c>
      <c r="AL1050" s="15" t="e">
        <f aca="false">_xlfn.xlookup(AK1050,A:A,F:F)</f>
        <v>#NAME?</v>
      </c>
      <c r="AM1050" s="15" t="e">
        <f aca="false">_xlfn.xlookup(AK1050,A:A,J:J)</f>
        <v>#NAME?</v>
      </c>
      <c r="AN1050" s="15" t="e">
        <f aca="false">_xlfn.xlookup(AK1050,A:A,M:M)+_xlfn.xlookup(AK1050,A:A,N:N)</f>
        <v>#NAME?</v>
      </c>
      <c r="AO1050" s="223" t="e">
        <f aca="false">_xlfn.xlookup(AK1050,A:A,AG:AG)</f>
        <v>#NAME?</v>
      </c>
      <c r="AP1050" s="223" t="e">
        <f aca="false">_xlfn.xlookup(AK1050,A:A,AD:AD)</f>
        <v>#NAME?</v>
      </c>
      <c r="AQ1050" s="223" t="e">
        <f aca="false">_xlfn.xlookup(AK1050,A:A,AE:AE)</f>
        <v>#NAME?</v>
      </c>
      <c r="BB1050" s="15" t="e">
        <f aca="false">_xlfn.xlookup(BA1050,A:A,E:E)</f>
        <v>#NAME?</v>
      </c>
      <c r="BC1050" s="15" t="e">
        <f aca="false">_xlfn.xlookup(BA1050,A:A,J:J)</f>
        <v>#NAME?</v>
      </c>
      <c r="BD1050" s="75" t="e">
        <f aca="false">_xlfn.xlookup(BA1050,A:A,M:M)+_xlfn.xlookup(BA1050,A:A,N:N)</f>
        <v>#NAME?</v>
      </c>
    </row>
    <row r="1051" customFormat="false" ht="14.25" hidden="false" customHeight="false" outlineLevel="0" collapsed="false">
      <c r="AK1051" s="15" t="e">
        <v>#NAME?</v>
      </c>
      <c r="AL1051" s="15" t="e">
        <f aca="false">_xlfn.xlookup(AK1051,A:A,F:F)</f>
        <v>#NAME?</v>
      </c>
      <c r="AM1051" s="15" t="e">
        <f aca="false">_xlfn.xlookup(AK1051,A:A,J:J)</f>
        <v>#NAME?</v>
      </c>
      <c r="AN1051" s="15" t="e">
        <f aca="false">_xlfn.xlookup(AK1051,A:A,M:M)+_xlfn.xlookup(AK1051,A:A,N:N)</f>
        <v>#NAME?</v>
      </c>
      <c r="AO1051" s="223" t="e">
        <f aca="false">_xlfn.xlookup(AK1051,A:A,AG:AG)</f>
        <v>#NAME?</v>
      </c>
      <c r="AP1051" s="223" t="e">
        <f aca="false">_xlfn.xlookup(AK1051,A:A,AD:AD)</f>
        <v>#NAME?</v>
      </c>
      <c r="AQ1051" s="223" t="e">
        <f aca="false">_xlfn.xlookup(AK1051,A:A,AE:AE)</f>
        <v>#NAME?</v>
      </c>
      <c r="BB1051" s="15" t="e">
        <f aca="false">_xlfn.xlookup(BA1051,A:A,E:E)</f>
        <v>#NAME?</v>
      </c>
      <c r="BC1051" s="15" t="e">
        <f aca="false">_xlfn.xlookup(BA1051,A:A,J:J)</f>
        <v>#NAME?</v>
      </c>
      <c r="BD1051" s="75" t="e">
        <f aca="false">_xlfn.xlookup(BA1051,A:A,M:M)+_xlfn.xlookup(BA1051,A:A,N:N)</f>
        <v>#NAME?</v>
      </c>
    </row>
    <row r="1052" customFormat="false" ht="14.25" hidden="false" customHeight="false" outlineLevel="0" collapsed="false">
      <c r="AK1052" s="15" t="e">
        <v>#NAME?</v>
      </c>
      <c r="AL1052" s="15" t="e">
        <f aca="false">_xlfn.xlookup(AK1052,A:A,F:F)</f>
        <v>#NAME?</v>
      </c>
      <c r="AM1052" s="15" t="e">
        <f aca="false">_xlfn.xlookup(AK1052,A:A,J:J)</f>
        <v>#NAME?</v>
      </c>
      <c r="AN1052" s="15" t="e">
        <f aca="false">_xlfn.xlookup(AK1052,A:A,M:M)+_xlfn.xlookup(AK1052,A:A,N:N)</f>
        <v>#NAME?</v>
      </c>
      <c r="AO1052" s="223" t="e">
        <f aca="false">_xlfn.xlookup(AK1052,A:A,AG:AG)</f>
        <v>#NAME?</v>
      </c>
      <c r="AP1052" s="223" t="e">
        <f aca="false">_xlfn.xlookup(AK1052,A:A,AD:AD)</f>
        <v>#NAME?</v>
      </c>
      <c r="AQ1052" s="223" t="e">
        <f aca="false">_xlfn.xlookup(AK1052,A:A,AE:AE)</f>
        <v>#NAME?</v>
      </c>
      <c r="BB1052" s="15" t="e">
        <f aca="false">_xlfn.xlookup(BA1052,A:A,E:E)</f>
        <v>#NAME?</v>
      </c>
      <c r="BC1052" s="15" t="e">
        <f aca="false">_xlfn.xlookup(BA1052,A:A,J:J)</f>
        <v>#NAME?</v>
      </c>
      <c r="BD1052" s="75" t="e">
        <f aca="false">_xlfn.xlookup(BA1052,A:A,M:M)+_xlfn.xlookup(BA1052,A:A,N:N)</f>
        <v>#NAME?</v>
      </c>
    </row>
    <row r="1053" customFormat="false" ht="14.25" hidden="false" customHeight="false" outlineLevel="0" collapsed="false">
      <c r="AK1053" s="15" t="e">
        <v>#NAME?</v>
      </c>
      <c r="AL1053" s="15" t="e">
        <f aca="false">_xlfn.xlookup(AK1053,A:A,F:F)</f>
        <v>#NAME?</v>
      </c>
      <c r="AM1053" s="15" t="e">
        <f aca="false">_xlfn.xlookup(AK1053,A:A,J:J)</f>
        <v>#NAME?</v>
      </c>
      <c r="AN1053" s="15" t="e">
        <f aca="false">_xlfn.xlookup(AK1053,A:A,M:M)+_xlfn.xlookup(AK1053,A:A,N:N)</f>
        <v>#NAME?</v>
      </c>
      <c r="AO1053" s="223" t="e">
        <f aca="false">_xlfn.xlookup(AK1053,A:A,AG:AG)</f>
        <v>#NAME?</v>
      </c>
      <c r="AP1053" s="223" t="e">
        <f aca="false">_xlfn.xlookup(AK1053,A:A,AD:AD)</f>
        <v>#NAME?</v>
      </c>
      <c r="AQ1053" s="223" t="e">
        <f aca="false">_xlfn.xlookup(AK1053,A:A,AE:AE)</f>
        <v>#NAME?</v>
      </c>
      <c r="BB1053" s="15" t="e">
        <f aca="false">_xlfn.xlookup(BA1053,A:A,E:E)</f>
        <v>#NAME?</v>
      </c>
      <c r="BC1053" s="15" t="e">
        <f aca="false">_xlfn.xlookup(BA1053,A:A,J:J)</f>
        <v>#NAME?</v>
      </c>
      <c r="BD1053" s="75" t="e">
        <f aca="false">_xlfn.xlookup(BA1053,A:A,M:M)+_xlfn.xlookup(BA1053,A:A,N:N)</f>
        <v>#NAME?</v>
      </c>
    </row>
    <row r="1054" customFormat="false" ht="14.25" hidden="false" customHeight="false" outlineLevel="0" collapsed="false">
      <c r="AK1054" s="15" t="e">
        <v>#NAME?</v>
      </c>
      <c r="AL1054" s="15" t="e">
        <f aca="false">_xlfn.xlookup(AK1054,A:A,F:F)</f>
        <v>#NAME?</v>
      </c>
      <c r="AM1054" s="15" t="e">
        <f aca="false">_xlfn.xlookup(AK1054,A:A,J:J)</f>
        <v>#NAME?</v>
      </c>
      <c r="AN1054" s="15" t="e">
        <f aca="false">_xlfn.xlookup(AK1054,A:A,M:M)+_xlfn.xlookup(AK1054,A:A,N:N)</f>
        <v>#NAME?</v>
      </c>
      <c r="AO1054" s="223" t="e">
        <f aca="false">_xlfn.xlookup(AK1054,A:A,AG:AG)</f>
        <v>#NAME?</v>
      </c>
      <c r="AP1054" s="223" t="e">
        <f aca="false">_xlfn.xlookup(AK1054,A:A,AD:AD)</f>
        <v>#NAME?</v>
      </c>
      <c r="AQ1054" s="223" t="e">
        <f aca="false">_xlfn.xlookup(AK1054,A:A,AE:AE)</f>
        <v>#NAME?</v>
      </c>
      <c r="BB1054" s="15" t="e">
        <f aca="false">_xlfn.xlookup(BA1054,A:A,E:E)</f>
        <v>#NAME?</v>
      </c>
      <c r="BC1054" s="15" t="e">
        <f aca="false">_xlfn.xlookup(BA1054,A:A,J:J)</f>
        <v>#NAME?</v>
      </c>
      <c r="BD1054" s="75" t="e">
        <f aca="false">_xlfn.xlookup(BA1054,A:A,M:M)+_xlfn.xlookup(BA1054,A:A,N:N)</f>
        <v>#NAME?</v>
      </c>
    </row>
    <row r="1055" customFormat="false" ht="14.25" hidden="false" customHeight="false" outlineLevel="0" collapsed="false">
      <c r="AK1055" s="15" t="e">
        <v>#NAME?</v>
      </c>
      <c r="AL1055" s="15" t="e">
        <f aca="false">_xlfn.xlookup(AK1055,A:A,F:F)</f>
        <v>#NAME?</v>
      </c>
      <c r="AM1055" s="15" t="e">
        <f aca="false">_xlfn.xlookup(AK1055,A:A,J:J)</f>
        <v>#NAME?</v>
      </c>
      <c r="AN1055" s="15" t="e">
        <f aca="false">_xlfn.xlookup(AK1055,A:A,M:M)+_xlfn.xlookup(AK1055,A:A,N:N)</f>
        <v>#NAME?</v>
      </c>
      <c r="AO1055" s="223" t="e">
        <f aca="false">_xlfn.xlookup(AK1055,A:A,AG:AG)</f>
        <v>#NAME?</v>
      </c>
      <c r="AP1055" s="223" t="e">
        <f aca="false">_xlfn.xlookup(AK1055,A:A,AD:AD)</f>
        <v>#NAME?</v>
      </c>
      <c r="AQ1055" s="223" t="e">
        <f aca="false">_xlfn.xlookup(AK1055,A:A,AE:AE)</f>
        <v>#NAME?</v>
      </c>
      <c r="BB1055" s="15" t="e">
        <f aca="false">_xlfn.xlookup(BA1055,A:A,E:E)</f>
        <v>#NAME?</v>
      </c>
      <c r="BC1055" s="15" t="e">
        <f aca="false">_xlfn.xlookup(BA1055,A:A,J:J)</f>
        <v>#NAME?</v>
      </c>
      <c r="BD1055" s="75" t="e">
        <f aca="false">_xlfn.xlookup(BA1055,A:A,M:M)+_xlfn.xlookup(BA1055,A:A,N:N)</f>
        <v>#NAME?</v>
      </c>
    </row>
    <row r="1056" customFormat="false" ht="14.25" hidden="false" customHeight="false" outlineLevel="0" collapsed="false">
      <c r="AK1056" s="15" t="e">
        <v>#NAME?</v>
      </c>
      <c r="AL1056" s="15" t="e">
        <f aca="false">_xlfn.xlookup(AK1056,A:A,F:F)</f>
        <v>#NAME?</v>
      </c>
      <c r="AM1056" s="15" t="e">
        <f aca="false">_xlfn.xlookup(AK1056,A:A,J:J)</f>
        <v>#NAME?</v>
      </c>
      <c r="AN1056" s="15" t="e">
        <f aca="false">_xlfn.xlookup(AK1056,A:A,M:M)+_xlfn.xlookup(AK1056,A:A,N:N)</f>
        <v>#NAME?</v>
      </c>
      <c r="AO1056" s="223" t="e">
        <f aca="false">_xlfn.xlookup(AK1056,A:A,AG:AG)</f>
        <v>#NAME?</v>
      </c>
      <c r="AP1056" s="223" t="e">
        <f aca="false">_xlfn.xlookup(AK1056,A:A,AD:AD)</f>
        <v>#NAME?</v>
      </c>
      <c r="AQ1056" s="223" t="e">
        <f aca="false">_xlfn.xlookup(AK1056,A:A,AE:AE)</f>
        <v>#NAME?</v>
      </c>
      <c r="BB1056" s="15" t="e">
        <f aca="false">_xlfn.xlookup(BA1056,A:A,E:E)</f>
        <v>#NAME?</v>
      </c>
      <c r="BC1056" s="15" t="e">
        <f aca="false">_xlfn.xlookup(BA1056,A:A,J:J)</f>
        <v>#NAME?</v>
      </c>
      <c r="BD1056" s="75" t="e">
        <f aca="false">_xlfn.xlookup(BA1056,A:A,M:M)+_xlfn.xlookup(BA1056,A:A,N:N)</f>
        <v>#NAME?</v>
      </c>
    </row>
    <row r="1057" customFormat="false" ht="14.25" hidden="false" customHeight="false" outlineLevel="0" collapsed="false">
      <c r="AK1057" s="15" t="e">
        <v>#NAME?</v>
      </c>
      <c r="AL1057" s="15" t="e">
        <f aca="false">_xlfn.xlookup(AK1057,A:A,F:F)</f>
        <v>#NAME?</v>
      </c>
      <c r="AM1057" s="15" t="e">
        <f aca="false">_xlfn.xlookup(AK1057,A:A,J:J)</f>
        <v>#NAME?</v>
      </c>
      <c r="AN1057" s="15" t="e">
        <f aca="false">_xlfn.xlookup(AK1057,A:A,M:M)+_xlfn.xlookup(AK1057,A:A,N:N)</f>
        <v>#NAME?</v>
      </c>
      <c r="AO1057" s="223" t="e">
        <f aca="false">_xlfn.xlookup(AK1057,A:A,AG:AG)</f>
        <v>#NAME?</v>
      </c>
      <c r="AP1057" s="223" t="e">
        <f aca="false">_xlfn.xlookup(AK1057,A:A,AD:AD)</f>
        <v>#NAME?</v>
      </c>
      <c r="AQ1057" s="223" t="e">
        <f aca="false">_xlfn.xlookup(AK1057,A:A,AE:AE)</f>
        <v>#NAME?</v>
      </c>
      <c r="BB1057" s="15" t="e">
        <f aca="false">_xlfn.xlookup(BA1057,A:A,E:E)</f>
        <v>#NAME?</v>
      </c>
      <c r="BC1057" s="15" t="e">
        <f aca="false">_xlfn.xlookup(BA1057,A:A,J:J)</f>
        <v>#NAME?</v>
      </c>
      <c r="BD1057" s="75" t="e">
        <f aca="false">_xlfn.xlookup(BA1057,A:A,M:M)+_xlfn.xlookup(BA1057,A:A,N:N)</f>
        <v>#NAME?</v>
      </c>
    </row>
    <row r="1058" customFormat="false" ht="14.25" hidden="false" customHeight="false" outlineLevel="0" collapsed="false">
      <c r="AK1058" s="15" t="e">
        <v>#NAME?</v>
      </c>
      <c r="AL1058" s="15" t="e">
        <f aca="false">_xlfn.xlookup(AK1058,A:A,F:F)</f>
        <v>#NAME?</v>
      </c>
      <c r="AM1058" s="15" t="e">
        <f aca="false">_xlfn.xlookup(AK1058,A:A,J:J)</f>
        <v>#NAME?</v>
      </c>
      <c r="AN1058" s="15" t="e">
        <f aca="false">_xlfn.xlookup(AK1058,A:A,M:M)+_xlfn.xlookup(AK1058,A:A,N:N)</f>
        <v>#NAME?</v>
      </c>
      <c r="AO1058" s="223" t="e">
        <f aca="false">_xlfn.xlookup(AK1058,A:A,AG:AG)</f>
        <v>#NAME?</v>
      </c>
      <c r="AP1058" s="223" t="e">
        <f aca="false">_xlfn.xlookup(AK1058,A:A,AD:AD)</f>
        <v>#NAME?</v>
      </c>
      <c r="AQ1058" s="223" t="e">
        <f aca="false">_xlfn.xlookup(AK1058,A:A,AE:AE)</f>
        <v>#NAME?</v>
      </c>
      <c r="BB1058" s="15" t="e">
        <f aca="false">_xlfn.xlookup(BA1058,A:A,E:E)</f>
        <v>#NAME?</v>
      </c>
      <c r="BC1058" s="15" t="e">
        <f aca="false">_xlfn.xlookup(BA1058,A:A,J:J)</f>
        <v>#NAME?</v>
      </c>
      <c r="BD1058" s="75" t="e">
        <f aca="false">_xlfn.xlookup(BA1058,A:A,M:M)+_xlfn.xlookup(BA1058,A:A,N:N)</f>
        <v>#NAME?</v>
      </c>
    </row>
    <row r="1059" customFormat="false" ht="14.25" hidden="false" customHeight="false" outlineLevel="0" collapsed="false">
      <c r="AK1059" s="15" t="e">
        <v>#NAME?</v>
      </c>
      <c r="AL1059" s="15" t="e">
        <f aca="false">_xlfn.xlookup(AK1059,A:A,F:F)</f>
        <v>#NAME?</v>
      </c>
      <c r="AM1059" s="15" t="e">
        <f aca="false">_xlfn.xlookup(AK1059,A:A,J:J)</f>
        <v>#NAME?</v>
      </c>
      <c r="AN1059" s="15" t="e">
        <f aca="false">_xlfn.xlookup(AK1059,A:A,M:M)+_xlfn.xlookup(AK1059,A:A,N:N)</f>
        <v>#NAME?</v>
      </c>
      <c r="AO1059" s="223" t="e">
        <f aca="false">_xlfn.xlookup(AK1059,A:A,AG:AG)</f>
        <v>#NAME?</v>
      </c>
      <c r="AP1059" s="223" t="e">
        <f aca="false">_xlfn.xlookup(AK1059,A:A,AD:AD)</f>
        <v>#NAME?</v>
      </c>
      <c r="AQ1059" s="223" t="e">
        <f aca="false">_xlfn.xlookup(AK1059,A:A,AE:AE)</f>
        <v>#NAME?</v>
      </c>
      <c r="BB1059" s="15" t="e">
        <f aca="false">_xlfn.xlookup(BA1059,A:A,E:E)</f>
        <v>#NAME?</v>
      </c>
      <c r="BC1059" s="15" t="e">
        <f aca="false">_xlfn.xlookup(BA1059,A:A,J:J)</f>
        <v>#NAME?</v>
      </c>
      <c r="BD1059" s="75" t="e">
        <f aca="false">_xlfn.xlookup(BA1059,A:A,M:M)+_xlfn.xlookup(BA1059,A:A,N:N)</f>
        <v>#NAME?</v>
      </c>
    </row>
    <row r="1060" customFormat="false" ht="14.25" hidden="false" customHeight="false" outlineLevel="0" collapsed="false">
      <c r="AK1060" s="15" t="e">
        <v>#NAME?</v>
      </c>
      <c r="AL1060" s="15" t="e">
        <f aca="false">_xlfn.xlookup(AK1060,A:A,F:F)</f>
        <v>#NAME?</v>
      </c>
      <c r="AM1060" s="15" t="e">
        <f aca="false">_xlfn.xlookup(AK1060,A:A,J:J)</f>
        <v>#NAME?</v>
      </c>
      <c r="AN1060" s="15" t="e">
        <f aca="false">_xlfn.xlookup(AK1060,A:A,M:M)+_xlfn.xlookup(AK1060,A:A,N:N)</f>
        <v>#NAME?</v>
      </c>
      <c r="AO1060" s="223" t="e">
        <f aca="false">_xlfn.xlookup(AK1060,A:A,AG:AG)</f>
        <v>#NAME?</v>
      </c>
      <c r="AP1060" s="223" t="e">
        <f aca="false">_xlfn.xlookup(AK1060,A:A,AD:AD)</f>
        <v>#NAME?</v>
      </c>
      <c r="AQ1060" s="223" t="e">
        <f aca="false">_xlfn.xlookup(AK1060,A:A,AE:AE)</f>
        <v>#NAME?</v>
      </c>
      <c r="BB1060" s="15" t="e">
        <f aca="false">_xlfn.xlookup(BA1060,A:A,E:E)</f>
        <v>#NAME?</v>
      </c>
      <c r="BC1060" s="15" t="e">
        <f aca="false">_xlfn.xlookup(BA1060,A:A,J:J)</f>
        <v>#NAME?</v>
      </c>
      <c r="BD1060" s="75" t="e">
        <f aca="false">_xlfn.xlookup(BA1060,A:A,M:M)+_xlfn.xlookup(BA1060,A:A,N:N)</f>
        <v>#NAME?</v>
      </c>
    </row>
    <row r="1061" customFormat="false" ht="14.25" hidden="false" customHeight="false" outlineLevel="0" collapsed="false">
      <c r="AK1061" s="15" t="e">
        <v>#NAME?</v>
      </c>
      <c r="AL1061" s="15" t="e">
        <f aca="false">_xlfn.xlookup(AK1061,A:A,F:F)</f>
        <v>#NAME?</v>
      </c>
      <c r="AM1061" s="15" t="e">
        <f aca="false">_xlfn.xlookup(AK1061,A:A,J:J)</f>
        <v>#NAME?</v>
      </c>
      <c r="AN1061" s="15" t="e">
        <f aca="false">_xlfn.xlookup(AK1061,A:A,M:M)+_xlfn.xlookup(AK1061,A:A,N:N)</f>
        <v>#NAME?</v>
      </c>
      <c r="AO1061" s="223" t="e">
        <f aca="false">_xlfn.xlookup(AK1061,A:A,AG:AG)</f>
        <v>#NAME?</v>
      </c>
      <c r="AP1061" s="223" t="e">
        <f aca="false">_xlfn.xlookup(AK1061,A:A,AD:AD)</f>
        <v>#NAME?</v>
      </c>
      <c r="AQ1061" s="223" t="e">
        <f aca="false">_xlfn.xlookup(AK1061,A:A,AE:AE)</f>
        <v>#NAME?</v>
      </c>
      <c r="BB1061" s="15" t="e">
        <f aca="false">_xlfn.xlookup(BA1061,A:A,E:E)</f>
        <v>#NAME?</v>
      </c>
      <c r="BC1061" s="15" t="e">
        <f aca="false">_xlfn.xlookup(BA1061,A:A,J:J)</f>
        <v>#NAME?</v>
      </c>
      <c r="BD1061" s="75" t="e">
        <f aca="false">_xlfn.xlookup(BA1061,A:A,M:M)+_xlfn.xlookup(BA1061,A:A,N:N)</f>
        <v>#NAME?</v>
      </c>
    </row>
    <row r="1062" customFormat="false" ht="14.25" hidden="false" customHeight="false" outlineLevel="0" collapsed="false">
      <c r="AK1062" s="15" t="e">
        <v>#NAME?</v>
      </c>
      <c r="AL1062" s="15" t="e">
        <f aca="false">_xlfn.xlookup(AK1062,A:A,F:F)</f>
        <v>#NAME?</v>
      </c>
      <c r="AM1062" s="15" t="e">
        <f aca="false">_xlfn.xlookup(AK1062,A:A,J:J)</f>
        <v>#NAME?</v>
      </c>
      <c r="AN1062" s="15" t="e">
        <f aca="false">_xlfn.xlookup(AK1062,A:A,M:M)+_xlfn.xlookup(AK1062,A:A,N:N)</f>
        <v>#NAME?</v>
      </c>
      <c r="AO1062" s="223" t="e">
        <f aca="false">_xlfn.xlookup(AK1062,A:A,AG:AG)</f>
        <v>#NAME?</v>
      </c>
      <c r="AP1062" s="223" t="e">
        <f aca="false">_xlfn.xlookup(AK1062,A:A,AD:AD)</f>
        <v>#NAME?</v>
      </c>
      <c r="AQ1062" s="223" t="e">
        <f aca="false">_xlfn.xlookup(AK1062,A:A,AE:AE)</f>
        <v>#NAME?</v>
      </c>
      <c r="BB1062" s="15" t="e">
        <f aca="false">_xlfn.xlookup(BA1062,A:A,E:E)</f>
        <v>#NAME?</v>
      </c>
      <c r="BC1062" s="15" t="e">
        <f aca="false">_xlfn.xlookup(BA1062,A:A,J:J)</f>
        <v>#NAME?</v>
      </c>
      <c r="BD1062" s="75" t="e">
        <f aca="false">_xlfn.xlookup(BA1062,A:A,M:M)+_xlfn.xlookup(BA1062,A:A,N:N)</f>
        <v>#NAME?</v>
      </c>
    </row>
    <row r="1063" customFormat="false" ht="14.25" hidden="false" customHeight="false" outlineLevel="0" collapsed="false">
      <c r="AK1063" s="15" t="e">
        <v>#NAME?</v>
      </c>
      <c r="AL1063" s="15" t="e">
        <f aca="false">_xlfn.xlookup(AK1063,A:A,F:F)</f>
        <v>#NAME?</v>
      </c>
      <c r="AM1063" s="15" t="e">
        <f aca="false">_xlfn.xlookup(AK1063,A:A,J:J)</f>
        <v>#NAME?</v>
      </c>
      <c r="AN1063" s="15" t="e">
        <f aca="false">_xlfn.xlookup(AK1063,A:A,M:M)+_xlfn.xlookup(AK1063,A:A,N:N)</f>
        <v>#NAME?</v>
      </c>
      <c r="AO1063" s="223" t="e">
        <f aca="false">_xlfn.xlookup(AK1063,A:A,AG:AG)</f>
        <v>#NAME?</v>
      </c>
      <c r="AP1063" s="223" t="e">
        <f aca="false">_xlfn.xlookup(AK1063,A:A,AD:AD)</f>
        <v>#NAME?</v>
      </c>
      <c r="AQ1063" s="223" t="e">
        <f aca="false">_xlfn.xlookup(AK1063,A:A,AE:AE)</f>
        <v>#NAME?</v>
      </c>
      <c r="BB1063" s="15" t="e">
        <f aca="false">_xlfn.xlookup(BA1063,A:A,E:E)</f>
        <v>#NAME?</v>
      </c>
      <c r="BC1063" s="15" t="e">
        <f aca="false">_xlfn.xlookup(BA1063,A:A,J:J)</f>
        <v>#NAME?</v>
      </c>
      <c r="BD1063" s="75" t="e">
        <f aca="false">_xlfn.xlookup(BA1063,A:A,M:M)+_xlfn.xlookup(BA1063,A:A,N:N)</f>
        <v>#NAME?</v>
      </c>
    </row>
    <row r="1064" customFormat="false" ht="14.25" hidden="false" customHeight="false" outlineLevel="0" collapsed="false">
      <c r="AK1064" s="15" t="e">
        <v>#NAME?</v>
      </c>
      <c r="AL1064" s="15" t="e">
        <f aca="false">_xlfn.xlookup(AK1064,A:A,F:F)</f>
        <v>#NAME?</v>
      </c>
      <c r="AM1064" s="15" t="e">
        <f aca="false">_xlfn.xlookup(AK1064,A:A,J:J)</f>
        <v>#NAME?</v>
      </c>
      <c r="AN1064" s="15" t="e">
        <f aca="false">_xlfn.xlookup(AK1064,A:A,M:M)+_xlfn.xlookup(AK1064,A:A,N:N)</f>
        <v>#NAME?</v>
      </c>
      <c r="AO1064" s="223" t="e">
        <f aca="false">_xlfn.xlookup(AK1064,A:A,AG:AG)</f>
        <v>#NAME?</v>
      </c>
      <c r="AP1064" s="223" t="e">
        <f aca="false">_xlfn.xlookup(AK1064,A:A,AD:AD)</f>
        <v>#NAME?</v>
      </c>
      <c r="AQ1064" s="223" t="e">
        <f aca="false">_xlfn.xlookup(AK1064,A:A,AE:AE)</f>
        <v>#NAME?</v>
      </c>
      <c r="BB1064" s="15" t="e">
        <f aca="false">_xlfn.xlookup(BA1064,A:A,E:E)</f>
        <v>#NAME?</v>
      </c>
      <c r="BC1064" s="15" t="e">
        <f aca="false">_xlfn.xlookup(BA1064,A:A,J:J)</f>
        <v>#NAME?</v>
      </c>
      <c r="BD1064" s="75" t="e">
        <f aca="false">_xlfn.xlookup(BA1064,A:A,M:M)+_xlfn.xlookup(BA1064,A:A,N:N)</f>
        <v>#NAME?</v>
      </c>
    </row>
    <row r="1065" customFormat="false" ht="14.25" hidden="false" customHeight="false" outlineLevel="0" collapsed="false">
      <c r="AK1065" s="15" t="e">
        <v>#NAME?</v>
      </c>
      <c r="AL1065" s="15" t="e">
        <f aca="false">_xlfn.xlookup(AK1065,A:A,F:F)</f>
        <v>#NAME?</v>
      </c>
      <c r="AM1065" s="15" t="e">
        <f aca="false">_xlfn.xlookup(AK1065,A:A,J:J)</f>
        <v>#NAME?</v>
      </c>
      <c r="AN1065" s="15" t="e">
        <f aca="false">_xlfn.xlookup(AK1065,A:A,M:M)+_xlfn.xlookup(AK1065,A:A,N:N)</f>
        <v>#NAME?</v>
      </c>
      <c r="AO1065" s="223" t="e">
        <f aca="false">_xlfn.xlookup(AK1065,A:A,AG:AG)</f>
        <v>#NAME?</v>
      </c>
      <c r="AP1065" s="223" t="e">
        <f aca="false">_xlfn.xlookup(AK1065,A:A,AD:AD)</f>
        <v>#NAME?</v>
      </c>
      <c r="AQ1065" s="223" t="e">
        <f aca="false">_xlfn.xlookup(AK1065,A:A,AE:AE)</f>
        <v>#NAME?</v>
      </c>
      <c r="BB1065" s="15" t="e">
        <f aca="false">_xlfn.xlookup(BA1065,A:A,E:E)</f>
        <v>#NAME?</v>
      </c>
      <c r="BC1065" s="15" t="e">
        <f aca="false">_xlfn.xlookup(BA1065,A:A,J:J)</f>
        <v>#NAME?</v>
      </c>
      <c r="BD1065" s="75" t="e">
        <f aca="false">_xlfn.xlookup(BA1065,A:A,M:M)+_xlfn.xlookup(BA1065,A:A,N:N)</f>
        <v>#NAME?</v>
      </c>
    </row>
    <row r="1066" customFormat="false" ht="14.25" hidden="false" customHeight="false" outlineLevel="0" collapsed="false">
      <c r="AK1066" s="15" t="e">
        <v>#NAME?</v>
      </c>
      <c r="AL1066" s="15" t="e">
        <f aca="false">_xlfn.xlookup(AK1066,A:A,F:F)</f>
        <v>#NAME?</v>
      </c>
      <c r="AM1066" s="15" t="e">
        <f aca="false">_xlfn.xlookup(AK1066,A:A,J:J)</f>
        <v>#NAME?</v>
      </c>
      <c r="AN1066" s="15" t="e">
        <f aca="false">_xlfn.xlookup(AK1066,A:A,M:M)+_xlfn.xlookup(AK1066,A:A,N:N)</f>
        <v>#NAME?</v>
      </c>
      <c r="AO1066" s="223" t="e">
        <f aca="false">_xlfn.xlookup(AK1066,A:A,AG:AG)</f>
        <v>#NAME?</v>
      </c>
      <c r="AP1066" s="223" t="e">
        <f aca="false">_xlfn.xlookup(AK1066,A:A,AD:AD)</f>
        <v>#NAME?</v>
      </c>
      <c r="AQ1066" s="223" t="e">
        <f aca="false">_xlfn.xlookup(AK1066,A:A,AE:AE)</f>
        <v>#NAME?</v>
      </c>
      <c r="BB1066" s="15" t="e">
        <f aca="false">_xlfn.xlookup(BA1066,A:A,E:E)</f>
        <v>#NAME?</v>
      </c>
      <c r="BC1066" s="15" t="e">
        <f aca="false">_xlfn.xlookup(BA1066,A:A,J:J)</f>
        <v>#NAME?</v>
      </c>
      <c r="BD1066" s="75" t="e">
        <f aca="false">_xlfn.xlookup(BA1066,A:A,M:M)+_xlfn.xlookup(BA1066,A:A,N:N)</f>
        <v>#NAME?</v>
      </c>
    </row>
    <row r="1067" customFormat="false" ht="14.25" hidden="false" customHeight="false" outlineLevel="0" collapsed="false">
      <c r="AK1067" s="15" t="e">
        <v>#NAME?</v>
      </c>
      <c r="AL1067" s="15" t="e">
        <f aca="false">_xlfn.xlookup(AK1067,A:A,F:F)</f>
        <v>#NAME?</v>
      </c>
      <c r="AM1067" s="15" t="e">
        <f aca="false">_xlfn.xlookup(AK1067,A:A,J:J)</f>
        <v>#NAME?</v>
      </c>
      <c r="AN1067" s="15" t="e">
        <f aca="false">_xlfn.xlookup(AK1067,A:A,M:M)+_xlfn.xlookup(AK1067,A:A,N:N)</f>
        <v>#NAME?</v>
      </c>
      <c r="AO1067" s="223" t="e">
        <f aca="false">_xlfn.xlookup(AK1067,A:A,AG:AG)</f>
        <v>#NAME?</v>
      </c>
      <c r="AP1067" s="223" t="e">
        <f aca="false">_xlfn.xlookup(AK1067,A:A,AD:AD)</f>
        <v>#NAME?</v>
      </c>
      <c r="AQ1067" s="223" t="e">
        <f aca="false">_xlfn.xlookup(AK1067,A:A,AE:AE)</f>
        <v>#NAME?</v>
      </c>
      <c r="BB1067" s="15" t="e">
        <f aca="false">_xlfn.xlookup(BA1067,A:A,E:E)</f>
        <v>#NAME?</v>
      </c>
      <c r="BC1067" s="15" t="e">
        <f aca="false">_xlfn.xlookup(BA1067,A:A,J:J)</f>
        <v>#NAME?</v>
      </c>
      <c r="BD1067" s="75" t="e">
        <f aca="false">_xlfn.xlookup(BA1067,A:A,M:M)+_xlfn.xlookup(BA1067,A:A,N:N)</f>
        <v>#NAME?</v>
      </c>
    </row>
    <row r="1068" customFormat="false" ht="14.25" hidden="false" customHeight="false" outlineLevel="0" collapsed="false">
      <c r="AK1068" s="15" t="e">
        <v>#NAME?</v>
      </c>
      <c r="AL1068" s="15" t="e">
        <f aca="false">_xlfn.xlookup(AK1068,A:A,F:F)</f>
        <v>#NAME?</v>
      </c>
      <c r="AM1068" s="15" t="e">
        <f aca="false">_xlfn.xlookup(AK1068,A:A,J:J)</f>
        <v>#NAME?</v>
      </c>
      <c r="AN1068" s="15" t="e">
        <f aca="false">_xlfn.xlookup(AK1068,A:A,M:M)+_xlfn.xlookup(AK1068,A:A,N:N)</f>
        <v>#NAME?</v>
      </c>
      <c r="AO1068" s="223" t="e">
        <f aca="false">_xlfn.xlookup(AK1068,A:A,AG:AG)</f>
        <v>#NAME?</v>
      </c>
      <c r="AP1068" s="223" t="e">
        <f aca="false">_xlfn.xlookup(AK1068,A:A,AD:AD)</f>
        <v>#NAME?</v>
      </c>
      <c r="AQ1068" s="223" t="e">
        <f aca="false">_xlfn.xlookup(AK1068,A:A,AE:AE)</f>
        <v>#NAME?</v>
      </c>
      <c r="BB1068" s="15" t="e">
        <f aca="false">_xlfn.xlookup(BA1068,A:A,E:E)</f>
        <v>#NAME?</v>
      </c>
      <c r="BC1068" s="15" t="e">
        <f aca="false">_xlfn.xlookup(BA1068,A:A,J:J)</f>
        <v>#NAME?</v>
      </c>
      <c r="BD1068" s="75" t="e">
        <f aca="false">_xlfn.xlookup(BA1068,A:A,M:M)+_xlfn.xlookup(BA1068,A:A,N:N)</f>
        <v>#NAME?</v>
      </c>
    </row>
    <row r="1069" customFormat="false" ht="14.25" hidden="false" customHeight="false" outlineLevel="0" collapsed="false">
      <c r="AK1069" s="15" t="e">
        <v>#NAME?</v>
      </c>
      <c r="AL1069" s="15" t="e">
        <f aca="false">_xlfn.xlookup(AK1069,A:A,F:F)</f>
        <v>#NAME?</v>
      </c>
      <c r="AM1069" s="15" t="e">
        <f aca="false">_xlfn.xlookup(AK1069,A:A,J:J)</f>
        <v>#NAME?</v>
      </c>
      <c r="AN1069" s="15" t="e">
        <f aca="false">_xlfn.xlookup(AK1069,A:A,M:M)+_xlfn.xlookup(AK1069,A:A,N:N)</f>
        <v>#NAME?</v>
      </c>
      <c r="AO1069" s="223" t="e">
        <f aca="false">_xlfn.xlookup(AK1069,A:A,AG:AG)</f>
        <v>#NAME?</v>
      </c>
      <c r="AP1069" s="223" t="e">
        <f aca="false">_xlfn.xlookup(AK1069,A:A,AD:AD)</f>
        <v>#NAME?</v>
      </c>
      <c r="AQ1069" s="223" t="e">
        <f aca="false">_xlfn.xlookup(AK1069,A:A,AE:AE)</f>
        <v>#NAME?</v>
      </c>
      <c r="BB1069" s="15" t="e">
        <f aca="false">_xlfn.xlookup(BA1069,A:A,E:E)</f>
        <v>#NAME?</v>
      </c>
      <c r="BC1069" s="15" t="e">
        <f aca="false">_xlfn.xlookup(BA1069,A:A,J:J)</f>
        <v>#NAME?</v>
      </c>
      <c r="BD1069" s="75" t="e">
        <f aca="false">_xlfn.xlookup(BA1069,A:A,M:M)+_xlfn.xlookup(BA1069,A:A,N:N)</f>
        <v>#NAME?</v>
      </c>
    </row>
    <row r="1070" customFormat="false" ht="14.25" hidden="false" customHeight="false" outlineLevel="0" collapsed="false">
      <c r="AK1070" s="15" t="e">
        <v>#NAME?</v>
      </c>
      <c r="AL1070" s="15" t="e">
        <f aca="false">_xlfn.xlookup(AK1070,A:A,F:F)</f>
        <v>#NAME?</v>
      </c>
      <c r="AM1070" s="15" t="e">
        <f aca="false">_xlfn.xlookup(AK1070,A:A,J:J)</f>
        <v>#NAME?</v>
      </c>
      <c r="AN1070" s="15" t="e">
        <f aca="false">_xlfn.xlookup(AK1070,A:A,M:M)+_xlfn.xlookup(AK1070,A:A,N:N)</f>
        <v>#NAME?</v>
      </c>
      <c r="AO1070" s="223" t="e">
        <f aca="false">_xlfn.xlookup(AK1070,A:A,AG:AG)</f>
        <v>#NAME?</v>
      </c>
      <c r="AP1070" s="223" t="e">
        <f aca="false">_xlfn.xlookup(AK1070,A:A,AD:AD)</f>
        <v>#NAME?</v>
      </c>
      <c r="AQ1070" s="223" t="e">
        <f aca="false">_xlfn.xlookup(AK1070,A:A,AE:AE)</f>
        <v>#NAME?</v>
      </c>
      <c r="BB1070" s="15" t="e">
        <f aca="false">_xlfn.xlookup(BA1070,A:A,E:E)</f>
        <v>#NAME?</v>
      </c>
      <c r="BC1070" s="15" t="e">
        <f aca="false">_xlfn.xlookup(BA1070,A:A,J:J)</f>
        <v>#NAME?</v>
      </c>
      <c r="BD1070" s="75" t="e">
        <f aca="false">_xlfn.xlookup(BA1070,A:A,M:M)+_xlfn.xlookup(BA1070,A:A,N:N)</f>
        <v>#NAME?</v>
      </c>
    </row>
    <row r="1071" customFormat="false" ht="14.25" hidden="false" customHeight="false" outlineLevel="0" collapsed="false">
      <c r="AK1071" s="15" t="e">
        <v>#NAME?</v>
      </c>
      <c r="AL1071" s="15" t="e">
        <f aca="false">_xlfn.xlookup(AK1071,A:A,F:F)</f>
        <v>#NAME?</v>
      </c>
      <c r="AM1071" s="15" t="e">
        <f aca="false">_xlfn.xlookup(AK1071,A:A,J:J)</f>
        <v>#NAME?</v>
      </c>
      <c r="AN1071" s="15" t="e">
        <f aca="false">_xlfn.xlookup(AK1071,A:A,M:M)+_xlfn.xlookup(AK1071,A:A,N:N)</f>
        <v>#NAME?</v>
      </c>
      <c r="AO1071" s="223" t="e">
        <f aca="false">_xlfn.xlookup(AK1071,A:A,AG:AG)</f>
        <v>#NAME?</v>
      </c>
      <c r="AP1071" s="223" t="e">
        <f aca="false">_xlfn.xlookup(AK1071,A:A,AD:AD)</f>
        <v>#NAME?</v>
      </c>
      <c r="AQ1071" s="223" t="e">
        <f aca="false">_xlfn.xlookup(AK1071,A:A,AE:AE)</f>
        <v>#NAME?</v>
      </c>
      <c r="BB1071" s="15" t="e">
        <f aca="false">_xlfn.xlookup(BA1071,A:A,E:E)</f>
        <v>#NAME?</v>
      </c>
      <c r="BC1071" s="15" t="e">
        <f aca="false">_xlfn.xlookup(BA1071,A:A,J:J)</f>
        <v>#NAME?</v>
      </c>
      <c r="BD1071" s="75" t="e">
        <f aca="false">_xlfn.xlookup(BA1071,A:A,M:M)+_xlfn.xlookup(BA1071,A:A,N:N)</f>
        <v>#NAME?</v>
      </c>
    </row>
    <row r="1072" customFormat="false" ht="14.25" hidden="false" customHeight="false" outlineLevel="0" collapsed="false">
      <c r="AK1072" s="15" t="e">
        <v>#NAME?</v>
      </c>
      <c r="AL1072" s="15" t="e">
        <f aca="false">_xlfn.xlookup(AK1072,A:A,F:F)</f>
        <v>#NAME?</v>
      </c>
      <c r="AM1072" s="15" t="e">
        <f aca="false">_xlfn.xlookup(AK1072,A:A,J:J)</f>
        <v>#NAME?</v>
      </c>
      <c r="AN1072" s="15" t="e">
        <f aca="false">_xlfn.xlookup(AK1072,A:A,M:M)+_xlfn.xlookup(AK1072,A:A,N:N)</f>
        <v>#NAME?</v>
      </c>
      <c r="AO1072" s="223" t="e">
        <f aca="false">_xlfn.xlookup(AK1072,A:A,AG:AG)</f>
        <v>#NAME?</v>
      </c>
      <c r="AP1072" s="223" t="e">
        <f aca="false">_xlfn.xlookup(AK1072,A:A,AD:AD)</f>
        <v>#NAME?</v>
      </c>
      <c r="AQ1072" s="223" t="e">
        <f aca="false">_xlfn.xlookup(AK1072,A:A,AE:AE)</f>
        <v>#NAME?</v>
      </c>
      <c r="BB1072" s="15" t="e">
        <f aca="false">_xlfn.xlookup(BA1072,A:A,E:E)</f>
        <v>#NAME?</v>
      </c>
      <c r="BC1072" s="15" t="e">
        <f aca="false">_xlfn.xlookup(BA1072,A:A,J:J)</f>
        <v>#NAME?</v>
      </c>
      <c r="BD1072" s="75" t="e">
        <f aca="false">_xlfn.xlookup(BA1072,A:A,M:M)+_xlfn.xlookup(BA1072,A:A,N:N)</f>
        <v>#NAME?</v>
      </c>
    </row>
    <row r="1073" customFormat="false" ht="14.25" hidden="false" customHeight="false" outlineLevel="0" collapsed="false">
      <c r="AK1073" s="15" t="e">
        <v>#NAME?</v>
      </c>
      <c r="AL1073" s="15" t="e">
        <f aca="false">_xlfn.xlookup(AK1073,A:A,F:F)</f>
        <v>#NAME?</v>
      </c>
      <c r="AM1073" s="15" t="e">
        <f aca="false">_xlfn.xlookup(AK1073,A:A,J:J)</f>
        <v>#NAME?</v>
      </c>
      <c r="AN1073" s="15" t="e">
        <f aca="false">_xlfn.xlookup(AK1073,A:A,M:M)+_xlfn.xlookup(AK1073,A:A,N:N)</f>
        <v>#NAME?</v>
      </c>
      <c r="AO1073" s="223" t="e">
        <f aca="false">_xlfn.xlookup(AK1073,A:A,AG:AG)</f>
        <v>#NAME?</v>
      </c>
      <c r="AP1073" s="223" t="e">
        <f aca="false">_xlfn.xlookup(AK1073,A:A,AD:AD)</f>
        <v>#NAME?</v>
      </c>
      <c r="AQ1073" s="223" t="e">
        <f aca="false">_xlfn.xlookup(AK1073,A:A,AE:AE)</f>
        <v>#NAME?</v>
      </c>
      <c r="BB1073" s="15" t="e">
        <f aca="false">_xlfn.xlookup(BA1073,A:A,E:E)</f>
        <v>#NAME?</v>
      </c>
      <c r="BC1073" s="15" t="e">
        <f aca="false">_xlfn.xlookup(BA1073,A:A,J:J)</f>
        <v>#NAME?</v>
      </c>
      <c r="BD1073" s="75" t="e">
        <f aca="false">_xlfn.xlookup(BA1073,A:A,M:M)+_xlfn.xlookup(BA1073,A:A,N:N)</f>
        <v>#NAME?</v>
      </c>
    </row>
    <row r="1074" customFormat="false" ht="14.25" hidden="false" customHeight="false" outlineLevel="0" collapsed="false">
      <c r="AK1074" s="15" t="e">
        <v>#NAME?</v>
      </c>
      <c r="AL1074" s="15" t="e">
        <f aca="false">_xlfn.xlookup(AK1074,A:A,F:F)</f>
        <v>#NAME?</v>
      </c>
      <c r="AM1074" s="15" t="e">
        <f aca="false">_xlfn.xlookup(AK1074,A:A,J:J)</f>
        <v>#NAME?</v>
      </c>
      <c r="AN1074" s="15" t="e">
        <f aca="false">_xlfn.xlookup(AK1074,A:A,M:M)+_xlfn.xlookup(AK1074,A:A,N:N)</f>
        <v>#NAME?</v>
      </c>
      <c r="AO1074" s="223" t="e">
        <f aca="false">_xlfn.xlookup(AK1074,A:A,AG:AG)</f>
        <v>#NAME?</v>
      </c>
      <c r="AP1074" s="223" t="e">
        <f aca="false">_xlfn.xlookup(AK1074,A:A,AD:AD)</f>
        <v>#NAME?</v>
      </c>
      <c r="AQ1074" s="223" t="e">
        <f aca="false">_xlfn.xlookup(AK1074,A:A,AE:AE)</f>
        <v>#NAME?</v>
      </c>
      <c r="BB1074" s="15" t="e">
        <f aca="false">_xlfn.xlookup(BA1074,A:A,E:E)</f>
        <v>#NAME?</v>
      </c>
      <c r="BC1074" s="15" t="e">
        <f aca="false">_xlfn.xlookup(BA1074,A:A,J:J)</f>
        <v>#NAME?</v>
      </c>
      <c r="BD1074" s="75" t="e">
        <f aca="false">_xlfn.xlookup(BA1074,A:A,M:M)+_xlfn.xlookup(BA1074,A:A,N:N)</f>
        <v>#NAME?</v>
      </c>
    </row>
    <row r="1075" customFormat="false" ht="14.25" hidden="false" customHeight="false" outlineLevel="0" collapsed="false">
      <c r="AK1075" s="15" t="e">
        <v>#NAME?</v>
      </c>
      <c r="AL1075" s="15" t="e">
        <f aca="false">_xlfn.xlookup(AK1075,A:A,F:F)</f>
        <v>#NAME?</v>
      </c>
      <c r="AM1075" s="15" t="e">
        <f aca="false">_xlfn.xlookup(AK1075,A:A,J:J)</f>
        <v>#NAME?</v>
      </c>
      <c r="AN1075" s="15" t="e">
        <f aca="false">_xlfn.xlookup(AK1075,A:A,M:M)+_xlfn.xlookup(AK1075,A:A,N:N)</f>
        <v>#NAME?</v>
      </c>
      <c r="AO1075" s="223" t="e">
        <f aca="false">_xlfn.xlookup(AK1075,A:A,AG:AG)</f>
        <v>#NAME?</v>
      </c>
      <c r="AP1075" s="223" t="e">
        <f aca="false">_xlfn.xlookup(AK1075,A:A,AD:AD)</f>
        <v>#NAME?</v>
      </c>
      <c r="AQ1075" s="223" t="e">
        <f aca="false">_xlfn.xlookup(AK1075,A:A,AE:AE)</f>
        <v>#NAME?</v>
      </c>
      <c r="BB1075" s="15" t="e">
        <f aca="false">_xlfn.xlookup(BA1075,A:A,E:E)</f>
        <v>#NAME?</v>
      </c>
      <c r="BC1075" s="15" t="e">
        <f aca="false">_xlfn.xlookup(BA1075,A:A,J:J)</f>
        <v>#NAME?</v>
      </c>
      <c r="BD1075" s="75" t="e">
        <f aca="false">_xlfn.xlookup(BA1075,A:A,M:M)+_xlfn.xlookup(BA1075,A:A,N:N)</f>
        <v>#NAME?</v>
      </c>
    </row>
    <row r="1076" customFormat="false" ht="14.25" hidden="false" customHeight="false" outlineLevel="0" collapsed="false">
      <c r="AK1076" s="15" t="e">
        <v>#NAME?</v>
      </c>
      <c r="AL1076" s="15" t="e">
        <f aca="false">_xlfn.xlookup(AK1076,A:A,F:F)</f>
        <v>#NAME?</v>
      </c>
      <c r="AM1076" s="15" t="e">
        <f aca="false">_xlfn.xlookup(AK1076,A:A,J:J)</f>
        <v>#NAME?</v>
      </c>
      <c r="AN1076" s="15" t="e">
        <f aca="false">_xlfn.xlookup(AK1076,A:A,M:M)+_xlfn.xlookup(AK1076,A:A,N:N)</f>
        <v>#NAME?</v>
      </c>
      <c r="AO1076" s="223" t="e">
        <f aca="false">_xlfn.xlookup(AK1076,A:A,AG:AG)</f>
        <v>#NAME?</v>
      </c>
      <c r="AP1076" s="223" t="e">
        <f aca="false">_xlfn.xlookup(AK1076,A:A,AD:AD)</f>
        <v>#NAME?</v>
      </c>
      <c r="AQ1076" s="223" t="e">
        <f aca="false">_xlfn.xlookup(AK1076,A:A,AE:AE)</f>
        <v>#NAME?</v>
      </c>
      <c r="BB1076" s="15" t="e">
        <f aca="false">_xlfn.xlookup(BA1076,A:A,E:E)</f>
        <v>#NAME?</v>
      </c>
      <c r="BC1076" s="15" t="e">
        <f aca="false">_xlfn.xlookup(BA1076,A:A,J:J)</f>
        <v>#NAME?</v>
      </c>
      <c r="BD1076" s="75" t="e">
        <f aca="false">_xlfn.xlookup(BA1076,A:A,M:M)+_xlfn.xlookup(BA1076,A:A,N:N)</f>
        <v>#NAME?</v>
      </c>
    </row>
    <row r="1077" customFormat="false" ht="14.25" hidden="false" customHeight="false" outlineLevel="0" collapsed="false">
      <c r="AK1077" s="15" t="e">
        <v>#NAME?</v>
      </c>
      <c r="AL1077" s="15" t="e">
        <f aca="false">_xlfn.xlookup(AK1077,A:A,F:F)</f>
        <v>#NAME?</v>
      </c>
      <c r="AM1077" s="15" t="e">
        <f aca="false">_xlfn.xlookup(AK1077,A:A,J:J)</f>
        <v>#NAME?</v>
      </c>
      <c r="AN1077" s="15" t="e">
        <f aca="false">_xlfn.xlookup(AK1077,A:A,M:M)+_xlfn.xlookup(AK1077,A:A,N:N)</f>
        <v>#NAME?</v>
      </c>
      <c r="AO1077" s="223" t="e">
        <f aca="false">_xlfn.xlookup(AK1077,A:A,AG:AG)</f>
        <v>#NAME?</v>
      </c>
      <c r="AP1077" s="223" t="e">
        <f aca="false">_xlfn.xlookup(AK1077,A:A,AD:AD)</f>
        <v>#NAME?</v>
      </c>
      <c r="AQ1077" s="223" t="e">
        <f aca="false">_xlfn.xlookup(AK1077,A:A,AE:AE)</f>
        <v>#NAME?</v>
      </c>
      <c r="BB1077" s="15" t="e">
        <f aca="false">_xlfn.xlookup(BA1077,A:A,E:E)</f>
        <v>#NAME?</v>
      </c>
      <c r="BC1077" s="15" t="e">
        <f aca="false">_xlfn.xlookup(BA1077,A:A,J:J)</f>
        <v>#NAME?</v>
      </c>
      <c r="BD1077" s="75" t="e">
        <f aca="false">_xlfn.xlookup(BA1077,A:A,M:M)+_xlfn.xlookup(BA1077,A:A,N:N)</f>
        <v>#NAME?</v>
      </c>
    </row>
    <row r="1078" customFormat="false" ht="14.25" hidden="false" customHeight="false" outlineLevel="0" collapsed="false">
      <c r="AK1078" s="15" t="e">
        <v>#NAME?</v>
      </c>
      <c r="AL1078" s="15" t="e">
        <f aca="false">_xlfn.xlookup(AK1078,A:A,F:F)</f>
        <v>#NAME?</v>
      </c>
      <c r="AM1078" s="15" t="e">
        <f aca="false">_xlfn.xlookup(AK1078,A:A,J:J)</f>
        <v>#NAME?</v>
      </c>
      <c r="AN1078" s="15" t="e">
        <f aca="false">_xlfn.xlookup(AK1078,A:A,M:M)+_xlfn.xlookup(AK1078,A:A,N:N)</f>
        <v>#NAME?</v>
      </c>
      <c r="AO1078" s="223" t="e">
        <f aca="false">_xlfn.xlookup(AK1078,A:A,AG:AG)</f>
        <v>#NAME?</v>
      </c>
      <c r="AP1078" s="223" t="e">
        <f aca="false">_xlfn.xlookup(AK1078,A:A,AD:AD)</f>
        <v>#NAME?</v>
      </c>
      <c r="AQ1078" s="223" t="e">
        <f aca="false">_xlfn.xlookup(AK1078,A:A,AE:AE)</f>
        <v>#NAME?</v>
      </c>
      <c r="BB1078" s="15" t="e">
        <f aca="false">_xlfn.xlookup(BA1078,A:A,E:E)</f>
        <v>#NAME?</v>
      </c>
      <c r="BC1078" s="15" t="e">
        <f aca="false">_xlfn.xlookup(BA1078,A:A,J:J)</f>
        <v>#NAME?</v>
      </c>
      <c r="BD1078" s="75" t="e">
        <f aca="false">_xlfn.xlookup(BA1078,A:A,M:M)+_xlfn.xlookup(BA1078,A:A,N:N)</f>
        <v>#NAME?</v>
      </c>
    </row>
    <row r="1079" customFormat="false" ht="14.25" hidden="false" customHeight="false" outlineLevel="0" collapsed="false">
      <c r="AK1079" s="15" t="e">
        <v>#NAME?</v>
      </c>
      <c r="AL1079" s="15" t="e">
        <f aca="false">_xlfn.xlookup(AK1079,A:A,F:F)</f>
        <v>#NAME?</v>
      </c>
      <c r="AM1079" s="15" t="e">
        <f aca="false">_xlfn.xlookup(AK1079,A:A,J:J)</f>
        <v>#NAME?</v>
      </c>
      <c r="AN1079" s="15" t="e">
        <f aca="false">_xlfn.xlookup(AK1079,A:A,M:M)+_xlfn.xlookup(AK1079,A:A,N:N)</f>
        <v>#NAME?</v>
      </c>
      <c r="AO1079" s="223" t="e">
        <f aca="false">_xlfn.xlookup(AK1079,A:A,AG:AG)</f>
        <v>#NAME?</v>
      </c>
      <c r="AP1079" s="223" t="e">
        <f aca="false">_xlfn.xlookup(AK1079,A:A,AD:AD)</f>
        <v>#NAME?</v>
      </c>
      <c r="AQ1079" s="223" t="e">
        <f aca="false">_xlfn.xlookup(AK1079,A:A,AE:AE)</f>
        <v>#NAME?</v>
      </c>
      <c r="BB1079" s="15" t="e">
        <f aca="false">_xlfn.xlookup(BA1079,A:A,E:E)</f>
        <v>#NAME?</v>
      </c>
      <c r="BC1079" s="15" t="e">
        <f aca="false">_xlfn.xlookup(BA1079,A:A,J:J)</f>
        <v>#NAME?</v>
      </c>
      <c r="BD1079" s="75" t="e">
        <f aca="false">_xlfn.xlookup(BA1079,A:A,M:M)+_xlfn.xlookup(BA1079,A:A,N:N)</f>
        <v>#NAME?</v>
      </c>
    </row>
    <row r="1080" customFormat="false" ht="14.25" hidden="false" customHeight="false" outlineLevel="0" collapsed="false">
      <c r="AK1080" s="15" t="e">
        <v>#NAME?</v>
      </c>
      <c r="AL1080" s="15" t="e">
        <f aca="false">_xlfn.xlookup(AK1080,A:A,F:F)</f>
        <v>#NAME?</v>
      </c>
      <c r="AM1080" s="15" t="e">
        <f aca="false">_xlfn.xlookup(AK1080,A:A,J:J)</f>
        <v>#NAME?</v>
      </c>
      <c r="AN1080" s="15" t="e">
        <f aca="false">_xlfn.xlookup(AK1080,A:A,M:M)+_xlfn.xlookup(AK1080,A:A,N:N)</f>
        <v>#NAME?</v>
      </c>
      <c r="AO1080" s="223" t="e">
        <f aca="false">_xlfn.xlookup(AK1080,A:A,AG:AG)</f>
        <v>#NAME?</v>
      </c>
      <c r="AP1080" s="223" t="e">
        <f aca="false">_xlfn.xlookup(AK1080,A:A,AD:AD)</f>
        <v>#NAME?</v>
      </c>
      <c r="AQ1080" s="223" t="e">
        <f aca="false">_xlfn.xlookup(AK1080,A:A,AE:AE)</f>
        <v>#NAME?</v>
      </c>
      <c r="BB1080" s="15" t="e">
        <f aca="false">_xlfn.xlookup(BA1080,A:A,E:E)</f>
        <v>#NAME?</v>
      </c>
      <c r="BC1080" s="15" t="e">
        <f aca="false">_xlfn.xlookup(BA1080,A:A,J:J)</f>
        <v>#NAME?</v>
      </c>
      <c r="BD1080" s="75" t="e">
        <f aca="false">_xlfn.xlookup(BA1080,A:A,M:M)+_xlfn.xlookup(BA1080,A:A,N:N)</f>
        <v>#NAME?</v>
      </c>
    </row>
    <row r="1081" customFormat="false" ht="14.25" hidden="false" customHeight="false" outlineLevel="0" collapsed="false">
      <c r="AK1081" s="15" t="e">
        <v>#NAME?</v>
      </c>
      <c r="AL1081" s="15" t="e">
        <f aca="false">_xlfn.xlookup(AK1081,A:A,F:F)</f>
        <v>#NAME?</v>
      </c>
      <c r="AM1081" s="15" t="e">
        <f aca="false">_xlfn.xlookup(AK1081,A:A,J:J)</f>
        <v>#NAME?</v>
      </c>
      <c r="AN1081" s="15" t="e">
        <f aca="false">_xlfn.xlookup(AK1081,A:A,M:M)+_xlfn.xlookup(AK1081,A:A,N:N)</f>
        <v>#NAME?</v>
      </c>
      <c r="AO1081" s="223" t="e">
        <f aca="false">_xlfn.xlookup(AK1081,A:A,AG:AG)</f>
        <v>#NAME?</v>
      </c>
      <c r="AP1081" s="223" t="e">
        <f aca="false">_xlfn.xlookup(AK1081,A:A,AD:AD)</f>
        <v>#NAME?</v>
      </c>
      <c r="AQ1081" s="223" t="e">
        <f aca="false">_xlfn.xlookup(AK1081,A:A,AE:AE)</f>
        <v>#NAME?</v>
      </c>
      <c r="BB1081" s="15" t="e">
        <f aca="false">_xlfn.xlookup(BA1081,A:A,E:E)</f>
        <v>#NAME?</v>
      </c>
      <c r="BC1081" s="15" t="e">
        <f aca="false">_xlfn.xlookup(BA1081,A:A,J:J)</f>
        <v>#NAME?</v>
      </c>
      <c r="BD1081" s="75" t="e">
        <f aca="false">_xlfn.xlookup(BA1081,A:A,M:M)+_xlfn.xlookup(BA1081,A:A,N:N)</f>
        <v>#NAME?</v>
      </c>
    </row>
    <row r="1082" customFormat="false" ht="14.25" hidden="false" customHeight="false" outlineLevel="0" collapsed="false">
      <c r="AK1082" s="15" t="e">
        <v>#NAME?</v>
      </c>
      <c r="AL1082" s="15" t="e">
        <f aca="false">_xlfn.xlookup(AK1082,A:A,F:F)</f>
        <v>#NAME?</v>
      </c>
      <c r="AM1082" s="15" t="e">
        <f aca="false">_xlfn.xlookup(AK1082,A:A,J:J)</f>
        <v>#NAME?</v>
      </c>
      <c r="AN1082" s="15" t="e">
        <f aca="false">_xlfn.xlookup(AK1082,A:A,M:M)+_xlfn.xlookup(AK1082,A:A,N:N)</f>
        <v>#NAME?</v>
      </c>
      <c r="AO1082" s="223" t="e">
        <f aca="false">_xlfn.xlookup(AK1082,A:A,AG:AG)</f>
        <v>#NAME?</v>
      </c>
      <c r="AP1082" s="223" t="e">
        <f aca="false">_xlfn.xlookup(AK1082,A:A,AD:AD)</f>
        <v>#NAME?</v>
      </c>
      <c r="AQ1082" s="223" t="e">
        <f aca="false">_xlfn.xlookup(AK1082,A:A,AE:AE)</f>
        <v>#NAME?</v>
      </c>
      <c r="BB1082" s="15" t="e">
        <f aca="false">_xlfn.xlookup(BA1082,A:A,E:E)</f>
        <v>#NAME?</v>
      </c>
      <c r="BC1082" s="15" t="e">
        <f aca="false">_xlfn.xlookup(BA1082,A:A,J:J)</f>
        <v>#NAME?</v>
      </c>
      <c r="BD1082" s="75" t="e">
        <f aca="false">_xlfn.xlookup(BA1082,A:A,M:M)+_xlfn.xlookup(BA1082,A:A,N:N)</f>
        <v>#NAME?</v>
      </c>
    </row>
    <row r="1083" customFormat="false" ht="14.25" hidden="false" customHeight="false" outlineLevel="0" collapsed="false">
      <c r="AK1083" s="15" t="e">
        <v>#NAME?</v>
      </c>
      <c r="AL1083" s="15" t="e">
        <f aca="false">_xlfn.xlookup(AK1083,A:A,F:F)</f>
        <v>#NAME?</v>
      </c>
      <c r="AM1083" s="15" t="e">
        <f aca="false">_xlfn.xlookup(AK1083,A:A,J:J)</f>
        <v>#NAME?</v>
      </c>
      <c r="AN1083" s="15" t="e">
        <f aca="false">_xlfn.xlookup(AK1083,A:A,M:M)+_xlfn.xlookup(AK1083,A:A,N:N)</f>
        <v>#NAME?</v>
      </c>
      <c r="AO1083" s="223" t="e">
        <f aca="false">_xlfn.xlookup(AK1083,A:A,AG:AG)</f>
        <v>#NAME?</v>
      </c>
      <c r="AP1083" s="223" t="e">
        <f aca="false">_xlfn.xlookup(AK1083,A:A,AD:AD)</f>
        <v>#NAME?</v>
      </c>
      <c r="AQ1083" s="223" t="e">
        <f aca="false">_xlfn.xlookup(AK1083,A:A,AE:AE)</f>
        <v>#NAME?</v>
      </c>
      <c r="BB1083" s="15" t="e">
        <f aca="false">_xlfn.xlookup(BA1083,A:A,E:E)</f>
        <v>#NAME?</v>
      </c>
      <c r="BC1083" s="15" t="e">
        <f aca="false">_xlfn.xlookup(BA1083,A:A,J:J)</f>
        <v>#NAME?</v>
      </c>
      <c r="BD1083" s="75" t="e">
        <f aca="false">_xlfn.xlookup(BA1083,A:A,M:M)+_xlfn.xlookup(BA1083,A:A,N:N)</f>
        <v>#NAME?</v>
      </c>
    </row>
    <row r="1084" customFormat="false" ht="14.25" hidden="false" customHeight="false" outlineLevel="0" collapsed="false">
      <c r="AK1084" s="15" t="e">
        <v>#NAME?</v>
      </c>
      <c r="AL1084" s="15" t="e">
        <f aca="false">_xlfn.xlookup(AK1084,A:A,F:F)</f>
        <v>#NAME?</v>
      </c>
      <c r="AM1084" s="15" t="e">
        <f aca="false">_xlfn.xlookup(AK1084,A:A,J:J)</f>
        <v>#NAME?</v>
      </c>
      <c r="AN1084" s="15" t="e">
        <f aca="false">_xlfn.xlookup(AK1084,A:A,M:M)+_xlfn.xlookup(AK1084,A:A,N:N)</f>
        <v>#NAME?</v>
      </c>
      <c r="AO1084" s="223" t="e">
        <f aca="false">_xlfn.xlookup(AK1084,A:A,AG:AG)</f>
        <v>#NAME?</v>
      </c>
      <c r="AP1084" s="223" t="e">
        <f aca="false">_xlfn.xlookup(AK1084,A:A,AD:AD)</f>
        <v>#NAME?</v>
      </c>
      <c r="AQ1084" s="223" t="e">
        <f aca="false">_xlfn.xlookup(AK1084,A:A,AE:AE)</f>
        <v>#NAME?</v>
      </c>
      <c r="BB1084" s="15" t="e">
        <f aca="false">_xlfn.xlookup(BA1084,A:A,E:E)</f>
        <v>#NAME?</v>
      </c>
      <c r="BC1084" s="15" t="e">
        <f aca="false">_xlfn.xlookup(BA1084,A:A,J:J)</f>
        <v>#NAME?</v>
      </c>
      <c r="BD1084" s="75" t="e">
        <f aca="false">_xlfn.xlookup(BA1084,A:A,M:M)+_xlfn.xlookup(BA1084,A:A,N:N)</f>
        <v>#NAME?</v>
      </c>
    </row>
    <row r="1085" customFormat="false" ht="14.25" hidden="false" customHeight="false" outlineLevel="0" collapsed="false">
      <c r="AK1085" s="15" t="e">
        <v>#NAME?</v>
      </c>
      <c r="AL1085" s="15" t="e">
        <f aca="false">_xlfn.xlookup(AK1085,A:A,F:F)</f>
        <v>#NAME?</v>
      </c>
      <c r="AM1085" s="15" t="e">
        <f aca="false">_xlfn.xlookup(AK1085,A:A,J:J)</f>
        <v>#NAME?</v>
      </c>
      <c r="AN1085" s="15" t="e">
        <f aca="false">_xlfn.xlookup(AK1085,A:A,M:M)+_xlfn.xlookup(AK1085,A:A,N:N)</f>
        <v>#NAME?</v>
      </c>
      <c r="AO1085" s="223" t="e">
        <f aca="false">_xlfn.xlookup(AK1085,A:A,AG:AG)</f>
        <v>#NAME?</v>
      </c>
      <c r="AP1085" s="223" t="e">
        <f aca="false">_xlfn.xlookup(AK1085,A:A,AD:AD)</f>
        <v>#NAME?</v>
      </c>
      <c r="AQ1085" s="223" t="e">
        <f aca="false">_xlfn.xlookup(AK1085,A:A,AE:AE)</f>
        <v>#NAME?</v>
      </c>
      <c r="BB1085" s="15" t="e">
        <f aca="false">_xlfn.xlookup(BA1085,A:A,E:E)</f>
        <v>#NAME?</v>
      </c>
      <c r="BC1085" s="15" t="e">
        <f aca="false">_xlfn.xlookup(BA1085,A:A,J:J)</f>
        <v>#NAME?</v>
      </c>
      <c r="BD1085" s="75" t="e">
        <f aca="false">_xlfn.xlookup(BA1085,A:A,M:M)+_xlfn.xlookup(BA1085,A:A,N:N)</f>
        <v>#NAME?</v>
      </c>
    </row>
    <row r="1086" customFormat="false" ht="14.25" hidden="false" customHeight="false" outlineLevel="0" collapsed="false">
      <c r="AK1086" s="15" t="e">
        <v>#NAME?</v>
      </c>
      <c r="AL1086" s="15" t="e">
        <f aca="false">_xlfn.xlookup(AK1086,A:A,F:F)</f>
        <v>#NAME?</v>
      </c>
      <c r="AM1086" s="15" t="e">
        <f aca="false">_xlfn.xlookup(AK1086,A:A,J:J)</f>
        <v>#NAME?</v>
      </c>
      <c r="AN1086" s="15" t="e">
        <f aca="false">_xlfn.xlookup(AK1086,A:A,M:M)+_xlfn.xlookup(AK1086,A:A,N:N)</f>
        <v>#NAME?</v>
      </c>
      <c r="AO1086" s="223" t="e">
        <f aca="false">_xlfn.xlookup(AK1086,A:A,AG:AG)</f>
        <v>#NAME?</v>
      </c>
      <c r="AP1086" s="223" t="e">
        <f aca="false">_xlfn.xlookup(AK1086,A:A,AD:AD)</f>
        <v>#NAME?</v>
      </c>
      <c r="AQ1086" s="223" t="e">
        <f aca="false">_xlfn.xlookup(AK1086,A:A,AE:AE)</f>
        <v>#NAME?</v>
      </c>
      <c r="BB1086" s="15" t="e">
        <f aca="false">_xlfn.xlookup(BA1086,A:A,E:E)</f>
        <v>#NAME?</v>
      </c>
      <c r="BC1086" s="15" t="e">
        <f aca="false">_xlfn.xlookup(BA1086,A:A,J:J)</f>
        <v>#NAME?</v>
      </c>
      <c r="BD1086" s="75" t="e">
        <f aca="false">_xlfn.xlookup(BA1086,A:A,M:M)+_xlfn.xlookup(BA1086,A:A,N:N)</f>
        <v>#NAME?</v>
      </c>
    </row>
    <row r="1087" customFormat="false" ht="14.25" hidden="false" customHeight="false" outlineLevel="0" collapsed="false">
      <c r="AK1087" s="15" t="e">
        <v>#NAME?</v>
      </c>
      <c r="AL1087" s="15" t="e">
        <f aca="false">_xlfn.xlookup(AK1087,A:A,F:F)</f>
        <v>#NAME?</v>
      </c>
      <c r="AM1087" s="15" t="e">
        <f aca="false">_xlfn.xlookup(AK1087,A:A,J:J)</f>
        <v>#NAME?</v>
      </c>
      <c r="AN1087" s="15" t="e">
        <f aca="false">_xlfn.xlookup(AK1087,A:A,M:M)+_xlfn.xlookup(AK1087,A:A,N:N)</f>
        <v>#NAME?</v>
      </c>
      <c r="AO1087" s="223" t="e">
        <f aca="false">_xlfn.xlookup(AK1087,A:A,AG:AG)</f>
        <v>#NAME?</v>
      </c>
      <c r="AP1087" s="223" t="e">
        <f aca="false">_xlfn.xlookup(AK1087,A:A,AD:AD)</f>
        <v>#NAME?</v>
      </c>
      <c r="AQ1087" s="223" t="e">
        <f aca="false">_xlfn.xlookup(AK1087,A:A,AE:AE)</f>
        <v>#NAME?</v>
      </c>
      <c r="BB1087" s="15" t="e">
        <f aca="false">_xlfn.xlookup(BA1087,A:A,E:E)</f>
        <v>#NAME?</v>
      </c>
      <c r="BC1087" s="15" t="e">
        <f aca="false">_xlfn.xlookup(BA1087,A:A,J:J)</f>
        <v>#NAME?</v>
      </c>
      <c r="BD1087" s="75" t="e">
        <f aca="false">_xlfn.xlookup(BA1087,A:A,M:M)+_xlfn.xlookup(BA1087,A:A,N:N)</f>
        <v>#NAME?</v>
      </c>
    </row>
    <row r="1088" customFormat="false" ht="14.25" hidden="false" customHeight="false" outlineLevel="0" collapsed="false">
      <c r="AK1088" s="15" t="e">
        <v>#NAME?</v>
      </c>
      <c r="AL1088" s="15" t="e">
        <f aca="false">_xlfn.xlookup(AK1088,A:A,F:F)</f>
        <v>#NAME?</v>
      </c>
      <c r="AM1088" s="15" t="e">
        <f aca="false">_xlfn.xlookup(AK1088,A:A,J:J)</f>
        <v>#NAME?</v>
      </c>
      <c r="AN1088" s="15" t="e">
        <f aca="false">_xlfn.xlookup(AK1088,A:A,M:M)+_xlfn.xlookup(AK1088,A:A,N:N)</f>
        <v>#NAME?</v>
      </c>
      <c r="AO1088" s="223" t="e">
        <f aca="false">_xlfn.xlookup(AK1088,A:A,AG:AG)</f>
        <v>#NAME?</v>
      </c>
      <c r="AP1088" s="223" t="e">
        <f aca="false">_xlfn.xlookup(AK1088,A:A,AD:AD)</f>
        <v>#NAME?</v>
      </c>
      <c r="AQ1088" s="223" t="e">
        <f aca="false">_xlfn.xlookup(AK1088,A:A,AE:AE)</f>
        <v>#NAME?</v>
      </c>
      <c r="BB1088" s="15" t="e">
        <f aca="false">_xlfn.xlookup(BA1088,A:A,E:E)</f>
        <v>#NAME?</v>
      </c>
      <c r="BC1088" s="15" t="e">
        <f aca="false">_xlfn.xlookup(BA1088,A:A,J:J)</f>
        <v>#NAME?</v>
      </c>
      <c r="BD1088" s="75" t="e">
        <f aca="false">_xlfn.xlookup(BA1088,A:A,M:M)+_xlfn.xlookup(BA1088,A:A,N:N)</f>
        <v>#NAME?</v>
      </c>
    </row>
    <row r="1089" customFormat="false" ht="14.25" hidden="false" customHeight="false" outlineLevel="0" collapsed="false">
      <c r="AK1089" s="15" t="e">
        <v>#NAME?</v>
      </c>
      <c r="AL1089" s="15" t="e">
        <f aca="false">_xlfn.xlookup(AK1089,A:A,F:F)</f>
        <v>#NAME?</v>
      </c>
      <c r="AM1089" s="15" t="e">
        <f aca="false">_xlfn.xlookup(AK1089,A:A,J:J)</f>
        <v>#NAME?</v>
      </c>
      <c r="AN1089" s="15" t="e">
        <f aca="false">_xlfn.xlookup(AK1089,A:A,M:M)+_xlfn.xlookup(AK1089,A:A,N:N)</f>
        <v>#NAME?</v>
      </c>
      <c r="AO1089" s="223" t="e">
        <f aca="false">_xlfn.xlookup(AK1089,A:A,AG:AG)</f>
        <v>#NAME?</v>
      </c>
      <c r="AP1089" s="223" t="e">
        <f aca="false">_xlfn.xlookup(AK1089,A:A,AD:AD)</f>
        <v>#NAME?</v>
      </c>
      <c r="AQ1089" s="223" t="e">
        <f aca="false">_xlfn.xlookup(AK1089,A:A,AE:AE)</f>
        <v>#NAME?</v>
      </c>
      <c r="BB1089" s="15" t="e">
        <f aca="false">_xlfn.xlookup(BA1089,A:A,E:E)</f>
        <v>#NAME?</v>
      </c>
      <c r="BC1089" s="15" t="e">
        <f aca="false">_xlfn.xlookup(BA1089,A:A,J:J)</f>
        <v>#NAME?</v>
      </c>
      <c r="BD1089" s="75" t="e">
        <f aca="false">_xlfn.xlookup(BA1089,A:A,M:M)+_xlfn.xlookup(BA1089,A:A,N:N)</f>
        <v>#NAME?</v>
      </c>
    </row>
    <row r="1090" customFormat="false" ht="14.25" hidden="false" customHeight="false" outlineLevel="0" collapsed="false">
      <c r="AK1090" s="15" t="e">
        <v>#NAME?</v>
      </c>
      <c r="AL1090" s="15" t="e">
        <f aca="false">_xlfn.xlookup(AK1090,A:A,F:F)</f>
        <v>#NAME?</v>
      </c>
      <c r="AM1090" s="15" t="e">
        <f aca="false">_xlfn.xlookup(AK1090,A:A,J:J)</f>
        <v>#NAME?</v>
      </c>
      <c r="AN1090" s="15" t="e">
        <f aca="false">_xlfn.xlookup(AK1090,A:A,M:M)+_xlfn.xlookup(AK1090,A:A,N:N)</f>
        <v>#NAME?</v>
      </c>
      <c r="AO1090" s="223" t="e">
        <f aca="false">_xlfn.xlookup(AK1090,A:A,AG:AG)</f>
        <v>#NAME?</v>
      </c>
      <c r="AP1090" s="223" t="e">
        <f aca="false">_xlfn.xlookup(AK1090,A:A,AD:AD)</f>
        <v>#NAME?</v>
      </c>
      <c r="AQ1090" s="223" t="e">
        <f aca="false">_xlfn.xlookup(AK1090,A:A,AE:AE)</f>
        <v>#NAME?</v>
      </c>
      <c r="BB1090" s="15" t="e">
        <f aca="false">_xlfn.xlookup(BA1090,A:A,E:E)</f>
        <v>#NAME?</v>
      </c>
      <c r="BC1090" s="15" t="e">
        <f aca="false">_xlfn.xlookup(BA1090,A:A,J:J)</f>
        <v>#NAME?</v>
      </c>
      <c r="BD1090" s="75" t="e">
        <f aca="false">_xlfn.xlookup(BA1090,A:A,M:M)+_xlfn.xlookup(BA1090,A:A,N:N)</f>
        <v>#NAME?</v>
      </c>
    </row>
    <row r="1091" customFormat="false" ht="14.25" hidden="false" customHeight="false" outlineLevel="0" collapsed="false">
      <c r="AK1091" s="15" t="e">
        <v>#NAME?</v>
      </c>
      <c r="AL1091" s="15" t="e">
        <f aca="false">_xlfn.xlookup(AK1091,A:A,F:F)</f>
        <v>#NAME?</v>
      </c>
      <c r="AM1091" s="15" t="e">
        <f aca="false">_xlfn.xlookup(AK1091,A:A,J:J)</f>
        <v>#NAME?</v>
      </c>
      <c r="AN1091" s="15" t="e">
        <f aca="false">_xlfn.xlookup(AK1091,A:A,M:M)+_xlfn.xlookup(AK1091,A:A,N:N)</f>
        <v>#NAME?</v>
      </c>
      <c r="AO1091" s="223" t="e">
        <f aca="false">_xlfn.xlookup(AK1091,A:A,AG:AG)</f>
        <v>#NAME?</v>
      </c>
      <c r="AP1091" s="223" t="e">
        <f aca="false">_xlfn.xlookup(AK1091,A:A,AD:AD)</f>
        <v>#NAME?</v>
      </c>
      <c r="AQ1091" s="223" t="e">
        <f aca="false">_xlfn.xlookup(AK1091,A:A,AE:AE)</f>
        <v>#NAME?</v>
      </c>
      <c r="BB1091" s="15" t="e">
        <f aca="false">_xlfn.xlookup(BA1091,A:A,E:E)</f>
        <v>#NAME?</v>
      </c>
      <c r="BC1091" s="15" t="e">
        <f aca="false">_xlfn.xlookup(BA1091,A:A,J:J)</f>
        <v>#NAME?</v>
      </c>
      <c r="BD1091" s="75" t="e">
        <f aca="false">_xlfn.xlookup(BA1091,A:A,M:M)+_xlfn.xlookup(BA1091,A:A,N:N)</f>
        <v>#NAME?</v>
      </c>
    </row>
    <row r="1092" customFormat="false" ht="14.25" hidden="false" customHeight="false" outlineLevel="0" collapsed="false">
      <c r="AK1092" s="15" t="e">
        <v>#NAME?</v>
      </c>
      <c r="AL1092" s="15" t="e">
        <f aca="false">_xlfn.xlookup(AK1092,A:A,F:F)</f>
        <v>#NAME?</v>
      </c>
      <c r="AM1092" s="15" t="e">
        <f aca="false">_xlfn.xlookup(AK1092,A:A,J:J)</f>
        <v>#NAME?</v>
      </c>
      <c r="AN1092" s="15" t="e">
        <f aca="false">_xlfn.xlookup(AK1092,A:A,M:M)+_xlfn.xlookup(AK1092,A:A,N:N)</f>
        <v>#NAME?</v>
      </c>
      <c r="AO1092" s="223" t="e">
        <f aca="false">_xlfn.xlookup(AK1092,A:A,AG:AG)</f>
        <v>#NAME?</v>
      </c>
      <c r="AP1092" s="223" t="e">
        <f aca="false">_xlfn.xlookup(AK1092,A:A,AD:AD)</f>
        <v>#NAME?</v>
      </c>
      <c r="AQ1092" s="223" t="e">
        <f aca="false">_xlfn.xlookup(AK1092,A:A,AE:AE)</f>
        <v>#NAME?</v>
      </c>
      <c r="BB1092" s="15" t="e">
        <f aca="false">_xlfn.xlookup(BA1092,A:A,E:E)</f>
        <v>#NAME?</v>
      </c>
      <c r="BC1092" s="15" t="e">
        <f aca="false">_xlfn.xlookup(BA1092,A:A,J:J)</f>
        <v>#NAME?</v>
      </c>
      <c r="BD1092" s="75" t="e">
        <f aca="false">_xlfn.xlookup(BA1092,A:A,M:M)+_xlfn.xlookup(BA1092,A:A,N:N)</f>
        <v>#NAME?</v>
      </c>
    </row>
    <row r="1093" customFormat="false" ht="14.25" hidden="false" customHeight="false" outlineLevel="0" collapsed="false">
      <c r="AK1093" s="15" t="e">
        <v>#NAME?</v>
      </c>
      <c r="AL1093" s="15" t="e">
        <f aca="false">_xlfn.xlookup(AK1093,A:A,F:F)</f>
        <v>#NAME?</v>
      </c>
      <c r="AM1093" s="15" t="e">
        <f aca="false">_xlfn.xlookup(AK1093,A:A,J:J)</f>
        <v>#NAME?</v>
      </c>
      <c r="AN1093" s="15" t="e">
        <f aca="false">_xlfn.xlookup(AK1093,A:A,M:M)+_xlfn.xlookup(AK1093,A:A,N:N)</f>
        <v>#NAME?</v>
      </c>
      <c r="AO1093" s="223" t="e">
        <f aca="false">_xlfn.xlookup(AK1093,A:A,AG:AG)</f>
        <v>#NAME?</v>
      </c>
      <c r="AP1093" s="223" t="e">
        <f aca="false">_xlfn.xlookup(AK1093,A:A,AD:AD)</f>
        <v>#NAME?</v>
      </c>
      <c r="AQ1093" s="223" t="e">
        <f aca="false">_xlfn.xlookup(AK1093,A:A,AE:AE)</f>
        <v>#NAME?</v>
      </c>
      <c r="BB1093" s="15" t="e">
        <f aca="false">_xlfn.xlookup(BA1093,A:A,E:E)</f>
        <v>#NAME?</v>
      </c>
      <c r="BC1093" s="15" t="e">
        <f aca="false">_xlfn.xlookup(BA1093,A:A,J:J)</f>
        <v>#NAME?</v>
      </c>
      <c r="BD1093" s="75" t="e">
        <f aca="false">_xlfn.xlookup(BA1093,A:A,M:M)+_xlfn.xlookup(BA1093,A:A,N:N)</f>
        <v>#NAME?</v>
      </c>
    </row>
    <row r="1094" customFormat="false" ht="14.25" hidden="false" customHeight="false" outlineLevel="0" collapsed="false">
      <c r="AK1094" s="15" t="e">
        <v>#NAME?</v>
      </c>
      <c r="AL1094" s="15" t="e">
        <f aca="false">_xlfn.xlookup(AK1094,A:A,F:F)</f>
        <v>#NAME?</v>
      </c>
      <c r="AM1094" s="15" t="e">
        <f aca="false">_xlfn.xlookup(AK1094,A:A,J:J)</f>
        <v>#NAME?</v>
      </c>
      <c r="AN1094" s="15" t="e">
        <f aca="false">_xlfn.xlookup(AK1094,A:A,M:M)+_xlfn.xlookup(AK1094,A:A,N:N)</f>
        <v>#NAME?</v>
      </c>
      <c r="AO1094" s="223" t="e">
        <f aca="false">_xlfn.xlookup(AK1094,A:A,AG:AG)</f>
        <v>#NAME?</v>
      </c>
      <c r="AP1094" s="223" t="e">
        <f aca="false">_xlfn.xlookup(AK1094,A:A,AD:AD)</f>
        <v>#NAME?</v>
      </c>
      <c r="AQ1094" s="223" t="e">
        <f aca="false">_xlfn.xlookup(AK1094,A:A,AE:AE)</f>
        <v>#NAME?</v>
      </c>
      <c r="BB1094" s="15" t="e">
        <f aca="false">_xlfn.xlookup(BA1094,A:A,E:E)</f>
        <v>#NAME?</v>
      </c>
      <c r="BC1094" s="15" t="e">
        <f aca="false">_xlfn.xlookup(BA1094,A:A,J:J)</f>
        <v>#NAME?</v>
      </c>
      <c r="BD1094" s="75" t="e">
        <f aca="false">_xlfn.xlookup(BA1094,A:A,M:M)+_xlfn.xlookup(BA1094,A:A,N:N)</f>
        <v>#NAME?</v>
      </c>
    </row>
    <row r="1095" customFormat="false" ht="14.25" hidden="false" customHeight="false" outlineLevel="0" collapsed="false">
      <c r="AK1095" s="15" t="e">
        <v>#NAME?</v>
      </c>
      <c r="AL1095" s="15" t="e">
        <f aca="false">_xlfn.xlookup(AK1095,A:A,F:F)</f>
        <v>#NAME?</v>
      </c>
      <c r="AM1095" s="15" t="e">
        <f aca="false">_xlfn.xlookup(AK1095,A:A,J:J)</f>
        <v>#NAME?</v>
      </c>
      <c r="AN1095" s="15" t="e">
        <f aca="false">_xlfn.xlookup(AK1095,A:A,M:M)+_xlfn.xlookup(AK1095,A:A,N:N)</f>
        <v>#NAME?</v>
      </c>
      <c r="AO1095" s="223" t="e">
        <f aca="false">_xlfn.xlookup(AK1095,A:A,AG:AG)</f>
        <v>#NAME?</v>
      </c>
      <c r="AP1095" s="223" t="e">
        <f aca="false">_xlfn.xlookup(AK1095,A:A,AD:AD)</f>
        <v>#NAME?</v>
      </c>
      <c r="AQ1095" s="223" t="e">
        <f aca="false">_xlfn.xlookup(AK1095,A:A,AE:AE)</f>
        <v>#NAME?</v>
      </c>
      <c r="BB1095" s="15" t="e">
        <f aca="false">_xlfn.xlookup(BA1095,A:A,E:E)</f>
        <v>#NAME?</v>
      </c>
      <c r="BC1095" s="15" t="e">
        <f aca="false">_xlfn.xlookup(BA1095,A:A,J:J)</f>
        <v>#NAME?</v>
      </c>
      <c r="BD1095" s="75" t="e">
        <f aca="false">_xlfn.xlookup(BA1095,A:A,M:M)+_xlfn.xlookup(BA1095,A:A,N:N)</f>
        <v>#NAME?</v>
      </c>
    </row>
    <row r="1096" customFormat="false" ht="14.25" hidden="false" customHeight="false" outlineLevel="0" collapsed="false">
      <c r="AK1096" s="15" t="e">
        <v>#NAME?</v>
      </c>
      <c r="AL1096" s="15" t="e">
        <f aca="false">_xlfn.xlookup(AK1096,A:A,F:F)</f>
        <v>#NAME?</v>
      </c>
      <c r="AM1096" s="15" t="e">
        <f aca="false">_xlfn.xlookup(AK1096,A:A,J:J)</f>
        <v>#NAME?</v>
      </c>
      <c r="AN1096" s="15" t="e">
        <f aca="false">_xlfn.xlookup(AK1096,A:A,M:M)+_xlfn.xlookup(AK1096,A:A,N:N)</f>
        <v>#NAME?</v>
      </c>
      <c r="AO1096" s="223" t="e">
        <f aca="false">_xlfn.xlookup(AK1096,A:A,AG:AG)</f>
        <v>#NAME?</v>
      </c>
      <c r="AP1096" s="223" t="e">
        <f aca="false">_xlfn.xlookup(AK1096,A:A,AD:AD)</f>
        <v>#NAME?</v>
      </c>
      <c r="AQ1096" s="223" t="e">
        <f aca="false">_xlfn.xlookup(AK1096,A:A,AE:AE)</f>
        <v>#NAME?</v>
      </c>
      <c r="BB1096" s="15" t="e">
        <f aca="false">_xlfn.xlookup(BA1096,A:A,E:E)</f>
        <v>#NAME?</v>
      </c>
      <c r="BC1096" s="15" t="e">
        <f aca="false">_xlfn.xlookup(BA1096,A:A,J:J)</f>
        <v>#NAME?</v>
      </c>
      <c r="BD1096" s="75" t="e">
        <f aca="false">_xlfn.xlookup(BA1096,A:A,M:M)+_xlfn.xlookup(BA1096,A:A,N:N)</f>
        <v>#NAME?</v>
      </c>
    </row>
    <row r="1097" customFormat="false" ht="14.25" hidden="false" customHeight="false" outlineLevel="0" collapsed="false">
      <c r="AK1097" s="15" t="e">
        <v>#NAME?</v>
      </c>
      <c r="AL1097" s="15" t="e">
        <f aca="false">_xlfn.xlookup(AK1097,A:A,F:F)</f>
        <v>#NAME?</v>
      </c>
      <c r="AM1097" s="15" t="e">
        <f aca="false">_xlfn.xlookup(AK1097,A:A,J:J)</f>
        <v>#NAME?</v>
      </c>
      <c r="AN1097" s="15" t="e">
        <f aca="false">_xlfn.xlookup(AK1097,A:A,M:M)+_xlfn.xlookup(AK1097,A:A,N:N)</f>
        <v>#NAME?</v>
      </c>
      <c r="AO1097" s="223" t="e">
        <f aca="false">_xlfn.xlookup(AK1097,A:A,AG:AG)</f>
        <v>#NAME?</v>
      </c>
      <c r="AP1097" s="223" t="e">
        <f aca="false">_xlfn.xlookup(AK1097,A:A,AD:AD)</f>
        <v>#NAME?</v>
      </c>
      <c r="AQ1097" s="223" t="e">
        <f aca="false">_xlfn.xlookup(AK1097,A:A,AE:AE)</f>
        <v>#NAME?</v>
      </c>
      <c r="BB1097" s="15" t="e">
        <f aca="false">_xlfn.xlookup(BA1097,A:A,E:E)</f>
        <v>#NAME?</v>
      </c>
      <c r="BC1097" s="15" t="e">
        <f aca="false">_xlfn.xlookup(BA1097,A:A,J:J)</f>
        <v>#NAME?</v>
      </c>
      <c r="BD1097" s="75" t="e">
        <f aca="false">_xlfn.xlookup(BA1097,A:A,M:M)+_xlfn.xlookup(BA1097,A:A,N:N)</f>
        <v>#NAME?</v>
      </c>
    </row>
    <row r="1098" customFormat="false" ht="14.25" hidden="false" customHeight="false" outlineLevel="0" collapsed="false">
      <c r="AK1098" s="15" t="e">
        <v>#NAME?</v>
      </c>
      <c r="AL1098" s="15" t="e">
        <f aca="false">_xlfn.xlookup(AK1098,A:A,F:F)</f>
        <v>#NAME?</v>
      </c>
      <c r="AM1098" s="15" t="e">
        <f aca="false">_xlfn.xlookup(AK1098,A:A,J:J)</f>
        <v>#NAME?</v>
      </c>
      <c r="AN1098" s="15" t="e">
        <f aca="false">_xlfn.xlookup(AK1098,A:A,M:M)+_xlfn.xlookup(AK1098,A:A,N:N)</f>
        <v>#NAME?</v>
      </c>
      <c r="AO1098" s="223" t="e">
        <f aca="false">_xlfn.xlookup(AK1098,A:A,AG:AG)</f>
        <v>#NAME?</v>
      </c>
      <c r="AP1098" s="223" t="e">
        <f aca="false">_xlfn.xlookup(AK1098,A:A,AD:AD)</f>
        <v>#NAME?</v>
      </c>
      <c r="AQ1098" s="223" t="e">
        <f aca="false">_xlfn.xlookup(AK1098,A:A,AE:AE)</f>
        <v>#NAME?</v>
      </c>
      <c r="BB1098" s="15" t="e">
        <f aca="false">_xlfn.xlookup(BA1098,A:A,E:E)</f>
        <v>#NAME?</v>
      </c>
      <c r="BC1098" s="15" t="e">
        <f aca="false">_xlfn.xlookup(BA1098,A:A,J:J)</f>
        <v>#NAME?</v>
      </c>
      <c r="BD1098" s="75" t="e">
        <f aca="false">_xlfn.xlookup(BA1098,A:A,M:M)+_xlfn.xlookup(BA1098,A:A,N:N)</f>
        <v>#NAME?</v>
      </c>
    </row>
    <row r="1099" customFormat="false" ht="14.25" hidden="false" customHeight="false" outlineLevel="0" collapsed="false">
      <c r="AK1099" s="15" t="e">
        <v>#NAME?</v>
      </c>
      <c r="AL1099" s="15" t="e">
        <f aca="false">_xlfn.xlookup(AK1099,A:A,F:F)</f>
        <v>#NAME?</v>
      </c>
      <c r="AM1099" s="15" t="e">
        <f aca="false">_xlfn.xlookup(AK1099,A:A,J:J)</f>
        <v>#NAME?</v>
      </c>
      <c r="AN1099" s="15" t="e">
        <f aca="false">_xlfn.xlookup(AK1099,A:A,M:M)+_xlfn.xlookup(AK1099,A:A,N:N)</f>
        <v>#NAME?</v>
      </c>
      <c r="AO1099" s="223" t="e">
        <f aca="false">_xlfn.xlookup(AK1099,A:A,AG:AG)</f>
        <v>#NAME?</v>
      </c>
      <c r="AP1099" s="223" t="e">
        <f aca="false">_xlfn.xlookup(AK1099,A:A,AD:AD)</f>
        <v>#NAME?</v>
      </c>
      <c r="AQ1099" s="223" t="e">
        <f aca="false">_xlfn.xlookup(AK1099,A:A,AE:AE)</f>
        <v>#NAME?</v>
      </c>
      <c r="BB1099" s="15" t="e">
        <f aca="false">_xlfn.xlookup(BA1099,A:A,E:E)</f>
        <v>#NAME?</v>
      </c>
      <c r="BC1099" s="15" t="e">
        <f aca="false">_xlfn.xlookup(BA1099,A:A,J:J)</f>
        <v>#NAME?</v>
      </c>
      <c r="BD1099" s="75" t="e">
        <f aca="false">_xlfn.xlookup(BA1099,A:A,M:M)+_xlfn.xlookup(BA1099,A:A,N:N)</f>
        <v>#NAME?</v>
      </c>
    </row>
    <row r="1100" customFormat="false" ht="14.25" hidden="false" customHeight="false" outlineLevel="0" collapsed="false">
      <c r="AK1100" s="15" t="e">
        <v>#NAME?</v>
      </c>
      <c r="AL1100" s="15" t="e">
        <f aca="false">_xlfn.xlookup(AK1100,A:A,F:F)</f>
        <v>#NAME?</v>
      </c>
      <c r="AM1100" s="15" t="e">
        <f aca="false">_xlfn.xlookup(AK1100,A:A,J:J)</f>
        <v>#NAME?</v>
      </c>
      <c r="AN1100" s="15" t="e">
        <f aca="false">_xlfn.xlookup(AK1100,A:A,M:M)+_xlfn.xlookup(AK1100,A:A,N:N)</f>
        <v>#NAME?</v>
      </c>
      <c r="AO1100" s="223" t="e">
        <f aca="false">_xlfn.xlookup(AK1100,A:A,AG:AG)</f>
        <v>#NAME?</v>
      </c>
      <c r="AP1100" s="223" t="e">
        <f aca="false">_xlfn.xlookup(AK1100,A:A,AD:AD)</f>
        <v>#NAME?</v>
      </c>
      <c r="AQ1100" s="223" t="e">
        <f aca="false">_xlfn.xlookup(AK1100,A:A,AE:AE)</f>
        <v>#NAME?</v>
      </c>
      <c r="BB1100" s="15" t="e">
        <f aca="false">_xlfn.xlookup(BA1100,A:A,E:E)</f>
        <v>#NAME?</v>
      </c>
      <c r="BC1100" s="15" t="e">
        <f aca="false">_xlfn.xlookup(BA1100,A:A,J:J)</f>
        <v>#NAME?</v>
      </c>
      <c r="BD1100" s="75" t="e">
        <f aca="false">_xlfn.xlookup(BA1100,A:A,M:M)+_xlfn.xlookup(BA1100,A:A,N:N)</f>
        <v>#NAME?</v>
      </c>
    </row>
    <row r="1101" customFormat="false" ht="14.25" hidden="false" customHeight="false" outlineLevel="0" collapsed="false">
      <c r="AK1101" s="15" t="e">
        <v>#NAME?</v>
      </c>
      <c r="AL1101" s="15" t="e">
        <f aca="false">_xlfn.xlookup(AK1101,A:A,F:F)</f>
        <v>#NAME?</v>
      </c>
      <c r="AM1101" s="15" t="e">
        <f aca="false">_xlfn.xlookup(AK1101,A:A,J:J)</f>
        <v>#NAME?</v>
      </c>
      <c r="AN1101" s="15" t="e">
        <f aca="false">_xlfn.xlookup(AK1101,A:A,M:M)+_xlfn.xlookup(AK1101,A:A,N:N)</f>
        <v>#NAME?</v>
      </c>
      <c r="AO1101" s="223" t="e">
        <f aca="false">_xlfn.xlookup(AK1101,A:A,AG:AG)</f>
        <v>#NAME?</v>
      </c>
      <c r="AP1101" s="223" t="e">
        <f aca="false">_xlfn.xlookup(AK1101,A:A,AD:AD)</f>
        <v>#NAME?</v>
      </c>
      <c r="AQ1101" s="223" t="e">
        <f aca="false">_xlfn.xlookup(AK1101,A:A,AE:AE)</f>
        <v>#NAME?</v>
      </c>
      <c r="BB1101" s="15" t="e">
        <f aca="false">_xlfn.xlookup(BA1101,A:A,E:E)</f>
        <v>#NAME?</v>
      </c>
      <c r="BC1101" s="15" t="e">
        <f aca="false">_xlfn.xlookup(BA1101,A:A,J:J)</f>
        <v>#NAME?</v>
      </c>
      <c r="BD1101" s="75" t="e">
        <f aca="false">_xlfn.xlookup(BA1101,A:A,M:M)+_xlfn.xlookup(BA1101,A:A,N:N)</f>
        <v>#NAME?</v>
      </c>
    </row>
    <row r="1102" customFormat="false" ht="14.25" hidden="false" customHeight="false" outlineLevel="0" collapsed="false">
      <c r="AK1102" s="15" t="e">
        <v>#NAME?</v>
      </c>
      <c r="AL1102" s="15" t="e">
        <f aca="false">_xlfn.xlookup(AK1102,A:A,F:F)</f>
        <v>#NAME?</v>
      </c>
      <c r="AM1102" s="15" t="e">
        <f aca="false">_xlfn.xlookup(AK1102,A:A,J:J)</f>
        <v>#NAME?</v>
      </c>
      <c r="AN1102" s="15" t="e">
        <f aca="false">_xlfn.xlookup(AK1102,A:A,M:M)+_xlfn.xlookup(AK1102,A:A,N:N)</f>
        <v>#NAME?</v>
      </c>
      <c r="AO1102" s="223" t="e">
        <f aca="false">_xlfn.xlookup(AK1102,A:A,AG:AG)</f>
        <v>#NAME?</v>
      </c>
      <c r="AP1102" s="223" t="e">
        <f aca="false">_xlfn.xlookup(AK1102,A:A,AD:AD)</f>
        <v>#NAME?</v>
      </c>
      <c r="AQ1102" s="223" t="e">
        <f aca="false">_xlfn.xlookup(AK1102,A:A,AE:AE)</f>
        <v>#NAME?</v>
      </c>
      <c r="BB1102" s="15" t="e">
        <f aca="false">_xlfn.xlookup(BA1102,A:A,E:E)</f>
        <v>#NAME?</v>
      </c>
      <c r="BC1102" s="15" t="e">
        <f aca="false">_xlfn.xlookup(BA1102,A:A,J:J)</f>
        <v>#NAME?</v>
      </c>
      <c r="BD1102" s="75" t="e">
        <f aca="false">_xlfn.xlookup(BA1102,A:A,M:M)+_xlfn.xlookup(BA1102,A:A,N:N)</f>
        <v>#NAME?</v>
      </c>
    </row>
    <row r="1103" customFormat="false" ht="14.25" hidden="false" customHeight="false" outlineLevel="0" collapsed="false">
      <c r="AK1103" s="15" t="e">
        <v>#NAME?</v>
      </c>
      <c r="AL1103" s="15" t="e">
        <f aca="false">_xlfn.xlookup(AK1103,A:A,F:F)</f>
        <v>#NAME?</v>
      </c>
      <c r="AM1103" s="15" t="e">
        <f aca="false">_xlfn.xlookup(AK1103,A:A,J:J)</f>
        <v>#NAME?</v>
      </c>
      <c r="AN1103" s="15" t="e">
        <f aca="false">_xlfn.xlookup(AK1103,A:A,M:M)+_xlfn.xlookup(AK1103,A:A,N:N)</f>
        <v>#NAME?</v>
      </c>
      <c r="AO1103" s="223" t="e">
        <f aca="false">_xlfn.xlookup(AK1103,A:A,AG:AG)</f>
        <v>#NAME?</v>
      </c>
      <c r="AP1103" s="223" t="e">
        <f aca="false">_xlfn.xlookup(AK1103,A:A,AD:AD)</f>
        <v>#NAME?</v>
      </c>
      <c r="AQ1103" s="223" t="e">
        <f aca="false">_xlfn.xlookup(AK1103,A:A,AE:AE)</f>
        <v>#NAME?</v>
      </c>
      <c r="BB1103" s="15" t="e">
        <f aca="false">_xlfn.xlookup(BA1103,A:A,E:E)</f>
        <v>#NAME?</v>
      </c>
      <c r="BC1103" s="15" t="e">
        <f aca="false">_xlfn.xlookup(BA1103,A:A,J:J)</f>
        <v>#NAME?</v>
      </c>
      <c r="BD1103" s="75" t="e">
        <f aca="false">_xlfn.xlookup(BA1103,A:A,M:M)+_xlfn.xlookup(BA1103,A:A,N:N)</f>
        <v>#NAME?</v>
      </c>
    </row>
    <row r="1104" customFormat="false" ht="14.25" hidden="false" customHeight="false" outlineLevel="0" collapsed="false">
      <c r="AK1104" s="15" t="e">
        <v>#NAME?</v>
      </c>
      <c r="AL1104" s="15" t="e">
        <f aca="false">_xlfn.xlookup(AK1104,A:A,F:F)</f>
        <v>#NAME?</v>
      </c>
      <c r="AM1104" s="15" t="e">
        <f aca="false">_xlfn.xlookup(AK1104,A:A,J:J)</f>
        <v>#NAME?</v>
      </c>
      <c r="AN1104" s="15" t="e">
        <f aca="false">_xlfn.xlookup(AK1104,A:A,M:M)+_xlfn.xlookup(AK1104,A:A,N:N)</f>
        <v>#NAME?</v>
      </c>
      <c r="AO1104" s="223" t="e">
        <f aca="false">_xlfn.xlookup(AK1104,A:A,AG:AG)</f>
        <v>#NAME?</v>
      </c>
      <c r="AP1104" s="223" t="e">
        <f aca="false">_xlfn.xlookup(AK1104,A:A,AD:AD)</f>
        <v>#NAME?</v>
      </c>
      <c r="AQ1104" s="223" t="e">
        <f aca="false">_xlfn.xlookup(AK1104,A:A,AE:AE)</f>
        <v>#NAME?</v>
      </c>
      <c r="BB1104" s="15" t="e">
        <f aca="false">_xlfn.xlookup(BA1104,A:A,E:E)</f>
        <v>#NAME?</v>
      </c>
      <c r="BC1104" s="15" t="e">
        <f aca="false">_xlfn.xlookup(BA1104,A:A,J:J)</f>
        <v>#NAME?</v>
      </c>
      <c r="BD1104" s="75" t="e">
        <f aca="false">_xlfn.xlookup(BA1104,A:A,M:M)+_xlfn.xlookup(BA1104,A:A,N:N)</f>
        <v>#NAME?</v>
      </c>
    </row>
    <row r="1105" customFormat="false" ht="14.25" hidden="false" customHeight="false" outlineLevel="0" collapsed="false">
      <c r="AK1105" s="15" t="e">
        <v>#NAME?</v>
      </c>
      <c r="AL1105" s="15" t="e">
        <f aca="false">_xlfn.xlookup(AK1105,A:A,F:F)</f>
        <v>#NAME?</v>
      </c>
      <c r="AM1105" s="15" t="e">
        <f aca="false">_xlfn.xlookup(AK1105,A:A,J:J)</f>
        <v>#NAME?</v>
      </c>
      <c r="AN1105" s="15" t="e">
        <f aca="false">_xlfn.xlookup(AK1105,A:A,M:M)+_xlfn.xlookup(AK1105,A:A,N:N)</f>
        <v>#NAME?</v>
      </c>
      <c r="AO1105" s="223" t="e">
        <f aca="false">_xlfn.xlookup(AK1105,A:A,AG:AG)</f>
        <v>#NAME?</v>
      </c>
      <c r="AP1105" s="223" t="e">
        <f aca="false">_xlfn.xlookup(AK1105,A:A,AD:AD)</f>
        <v>#NAME?</v>
      </c>
      <c r="AQ1105" s="223" t="e">
        <f aca="false">_xlfn.xlookup(AK1105,A:A,AE:AE)</f>
        <v>#NAME?</v>
      </c>
      <c r="BB1105" s="15" t="e">
        <f aca="false">_xlfn.xlookup(BA1105,A:A,E:E)</f>
        <v>#NAME?</v>
      </c>
      <c r="BC1105" s="15" t="e">
        <f aca="false">_xlfn.xlookup(BA1105,A:A,J:J)</f>
        <v>#NAME?</v>
      </c>
      <c r="BD1105" s="75" t="e">
        <f aca="false">_xlfn.xlookup(BA1105,A:A,M:M)+_xlfn.xlookup(BA1105,A:A,N:N)</f>
        <v>#NAME?</v>
      </c>
    </row>
    <row r="1106" customFormat="false" ht="14.25" hidden="false" customHeight="false" outlineLevel="0" collapsed="false">
      <c r="AK1106" s="15" t="e">
        <v>#NAME?</v>
      </c>
      <c r="AL1106" s="15" t="e">
        <f aca="false">_xlfn.xlookup(AK1106,A:A,F:F)</f>
        <v>#NAME?</v>
      </c>
      <c r="AM1106" s="15" t="e">
        <f aca="false">_xlfn.xlookup(AK1106,A:A,J:J)</f>
        <v>#NAME?</v>
      </c>
      <c r="AN1106" s="15" t="e">
        <f aca="false">_xlfn.xlookup(AK1106,A:A,M:M)+_xlfn.xlookup(AK1106,A:A,N:N)</f>
        <v>#NAME?</v>
      </c>
      <c r="AO1106" s="223" t="e">
        <f aca="false">_xlfn.xlookup(AK1106,A:A,AG:AG)</f>
        <v>#NAME?</v>
      </c>
      <c r="AP1106" s="223" t="e">
        <f aca="false">_xlfn.xlookup(AK1106,A:A,AD:AD)</f>
        <v>#NAME?</v>
      </c>
      <c r="AQ1106" s="223" t="e">
        <f aca="false">_xlfn.xlookup(AK1106,A:A,AE:AE)</f>
        <v>#NAME?</v>
      </c>
      <c r="BB1106" s="15" t="e">
        <f aca="false">_xlfn.xlookup(BA1106,A:A,E:E)</f>
        <v>#NAME?</v>
      </c>
      <c r="BC1106" s="15" t="e">
        <f aca="false">_xlfn.xlookup(BA1106,A:A,J:J)</f>
        <v>#NAME?</v>
      </c>
      <c r="BD1106" s="75" t="e">
        <f aca="false">_xlfn.xlookup(BA1106,A:A,M:M)+_xlfn.xlookup(BA1106,A:A,N:N)</f>
        <v>#NAME?</v>
      </c>
    </row>
    <row r="1107" customFormat="false" ht="14.25" hidden="false" customHeight="false" outlineLevel="0" collapsed="false">
      <c r="AK1107" s="15" t="e">
        <v>#NAME?</v>
      </c>
      <c r="AL1107" s="15" t="e">
        <f aca="false">_xlfn.xlookup(AK1107,A:A,F:F)</f>
        <v>#NAME?</v>
      </c>
      <c r="AM1107" s="15" t="e">
        <f aca="false">_xlfn.xlookup(AK1107,A:A,J:J)</f>
        <v>#NAME?</v>
      </c>
      <c r="AN1107" s="15" t="e">
        <f aca="false">_xlfn.xlookup(AK1107,A:A,M:M)+_xlfn.xlookup(AK1107,A:A,N:N)</f>
        <v>#NAME?</v>
      </c>
      <c r="AO1107" s="223" t="e">
        <f aca="false">_xlfn.xlookup(AK1107,A:A,AG:AG)</f>
        <v>#NAME?</v>
      </c>
      <c r="AP1107" s="223" t="e">
        <f aca="false">_xlfn.xlookup(AK1107,A:A,AD:AD)</f>
        <v>#NAME?</v>
      </c>
      <c r="AQ1107" s="223" t="e">
        <f aca="false">_xlfn.xlookup(AK1107,A:A,AE:AE)</f>
        <v>#NAME?</v>
      </c>
      <c r="BB1107" s="15" t="e">
        <f aca="false">_xlfn.xlookup(BA1107,A:A,E:E)</f>
        <v>#NAME?</v>
      </c>
      <c r="BC1107" s="15" t="e">
        <f aca="false">_xlfn.xlookup(BA1107,A:A,J:J)</f>
        <v>#NAME?</v>
      </c>
      <c r="BD1107" s="75" t="e">
        <f aca="false">_xlfn.xlookup(BA1107,A:A,M:M)+_xlfn.xlookup(BA1107,A:A,N:N)</f>
        <v>#NAME?</v>
      </c>
    </row>
    <row r="1108" customFormat="false" ht="14.25" hidden="false" customHeight="false" outlineLevel="0" collapsed="false">
      <c r="AK1108" s="15" t="e">
        <v>#NAME?</v>
      </c>
      <c r="AL1108" s="15" t="e">
        <f aca="false">_xlfn.xlookup(AK1108,A:A,F:F)</f>
        <v>#NAME?</v>
      </c>
      <c r="AM1108" s="15" t="e">
        <f aca="false">_xlfn.xlookup(AK1108,A:A,J:J)</f>
        <v>#NAME?</v>
      </c>
      <c r="AN1108" s="15" t="e">
        <f aca="false">_xlfn.xlookup(AK1108,A:A,M:M)+_xlfn.xlookup(AK1108,A:A,N:N)</f>
        <v>#NAME?</v>
      </c>
      <c r="AO1108" s="223" t="e">
        <f aca="false">_xlfn.xlookup(AK1108,A:A,AG:AG)</f>
        <v>#NAME?</v>
      </c>
      <c r="AP1108" s="223" t="e">
        <f aca="false">_xlfn.xlookup(AK1108,A:A,AD:AD)</f>
        <v>#NAME?</v>
      </c>
      <c r="AQ1108" s="223" t="e">
        <f aca="false">_xlfn.xlookup(AK1108,A:A,AE:AE)</f>
        <v>#NAME?</v>
      </c>
      <c r="BB1108" s="15" t="e">
        <f aca="false">_xlfn.xlookup(BA1108,A:A,E:E)</f>
        <v>#NAME?</v>
      </c>
      <c r="BC1108" s="15" t="e">
        <f aca="false">_xlfn.xlookup(BA1108,A:A,J:J)</f>
        <v>#NAME?</v>
      </c>
      <c r="BD1108" s="75" t="e">
        <f aca="false">_xlfn.xlookup(BA1108,A:A,M:M)+_xlfn.xlookup(BA1108,A:A,N:N)</f>
        <v>#NAME?</v>
      </c>
    </row>
    <row r="1109" customFormat="false" ht="14.25" hidden="false" customHeight="false" outlineLevel="0" collapsed="false">
      <c r="AK1109" s="15" t="e">
        <v>#NAME?</v>
      </c>
      <c r="AL1109" s="15" t="e">
        <f aca="false">_xlfn.xlookup(AK1109,A:A,F:F)</f>
        <v>#NAME?</v>
      </c>
      <c r="AM1109" s="15" t="e">
        <f aca="false">_xlfn.xlookup(AK1109,A:A,J:J)</f>
        <v>#NAME?</v>
      </c>
      <c r="AN1109" s="15" t="e">
        <f aca="false">_xlfn.xlookup(AK1109,A:A,M:M)+_xlfn.xlookup(AK1109,A:A,N:N)</f>
        <v>#NAME?</v>
      </c>
      <c r="AO1109" s="223" t="e">
        <f aca="false">_xlfn.xlookup(AK1109,A:A,AG:AG)</f>
        <v>#NAME?</v>
      </c>
      <c r="AP1109" s="223" t="e">
        <f aca="false">_xlfn.xlookup(AK1109,A:A,AD:AD)</f>
        <v>#NAME?</v>
      </c>
      <c r="AQ1109" s="223" t="e">
        <f aca="false">_xlfn.xlookup(AK1109,A:A,AE:AE)</f>
        <v>#NAME?</v>
      </c>
      <c r="BB1109" s="15" t="e">
        <f aca="false">_xlfn.xlookup(BA1109,A:A,E:E)</f>
        <v>#NAME?</v>
      </c>
      <c r="BC1109" s="15" t="e">
        <f aca="false">_xlfn.xlookup(BA1109,A:A,J:J)</f>
        <v>#NAME?</v>
      </c>
      <c r="BD1109" s="75" t="e">
        <f aca="false">_xlfn.xlookup(BA1109,A:A,M:M)+_xlfn.xlookup(BA1109,A:A,N:N)</f>
        <v>#NAME?</v>
      </c>
    </row>
    <row r="1110" customFormat="false" ht="14.25" hidden="false" customHeight="false" outlineLevel="0" collapsed="false">
      <c r="AK1110" s="15" t="e">
        <v>#NAME?</v>
      </c>
      <c r="AL1110" s="15" t="e">
        <f aca="false">_xlfn.xlookup(AK1110,A:A,F:F)</f>
        <v>#NAME?</v>
      </c>
      <c r="AM1110" s="15" t="e">
        <f aca="false">_xlfn.xlookup(AK1110,A:A,J:J)</f>
        <v>#NAME?</v>
      </c>
      <c r="AN1110" s="15" t="e">
        <f aca="false">_xlfn.xlookup(AK1110,A:A,M:M)+_xlfn.xlookup(AK1110,A:A,N:N)</f>
        <v>#NAME?</v>
      </c>
      <c r="AO1110" s="223" t="e">
        <f aca="false">_xlfn.xlookup(AK1110,A:A,AG:AG)</f>
        <v>#NAME?</v>
      </c>
      <c r="AP1110" s="223" t="e">
        <f aca="false">_xlfn.xlookup(AK1110,A:A,AD:AD)</f>
        <v>#NAME?</v>
      </c>
      <c r="AQ1110" s="223" t="e">
        <f aca="false">_xlfn.xlookup(AK1110,A:A,AE:AE)</f>
        <v>#NAME?</v>
      </c>
      <c r="BB1110" s="15" t="e">
        <f aca="false">_xlfn.xlookup(BA1110,A:A,E:E)</f>
        <v>#NAME?</v>
      </c>
      <c r="BC1110" s="15" t="e">
        <f aca="false">_xlfn.xlookup(BA1110,A:A,J:J)</f>
        <v>#NAME?</v>
      </c>
      <c r="BD1110" s="75" t="e">
        <f aca="false">_xlfn.xlookup(BA1110,A:A,M:M)+_xlfn.xlookup(BA1110,A:A,N:N)</f>
        <v>#NAME?</v>
      </c>
    </row>
    <row r="1111" customFormat="false" ht="14.25" hidden="false" customHeight="false" outlineLevel="0" collapsed="false">
      <c r="AK1111" s="15" t="e">
        <v>#NAME?</v>
      </c>
      <c r="AL1111" s="15" t="e">
        <f aca="false">_xlfn.xlookup(AK1111,A:A,F:F)</f>
        <v>#NAME?</v>
      </c>
      <c r="AM1111" s="15" t="e">
        <f aca="false">_xlfn.xlookup(AK1111,A:A,J:J)</f>
        <v>#NAME?</v>
      </c>
      <c r="AN1111" s="15" t="e">
        <f aca="false">_xlfn.xlookup(AK1111,A:A,M:M)+_xlfn.xlookup(AK1111,A:A,N:N)</f>
        <v>#NAME?</v>
      </c>
      <c r="AO1111" s="223" t="e">
        <f aca="false">_xlfn.xlookup(AK1111,A:A,AG:AG)</f>
        <v>#NAME?</v>
      </c>
      <c r="AP1111" s="223" t="e">
        <f aca="false">_xlfn.xlookup(AK1111,A:A,AD:AD)</f>
        <v>#NAME?</v>
      </c>
      <c r="AQ1111" s="223" t="e">
        <f aca="false">_xlfn.xlookup(AK1111,A:A,AE:AE)</f>
        <v>#NAME?</v>
      </c>
      <c r="BB1111" s="15" t="e">
        <f aca="false">_xlfn.xlookup(BA1111,A:A,E:E)</f>
        <v>#NAME?</v>
      </c>
      <c r="BC1111" s="15" t="e">
        <f aca="false">_xlfn.xlookup(BA1111,A:A,J:J)</f>
        <v>#NAME?</v>
      </c>
      <c r="BD1111" s="75" t="e">
        <f aca="false">_xlfn.xlookup(BA1111,A:A,M:M)+_xlfn.xlookup(BA1111,A:A,N:N)</f>
        <v>#NAME?</v>
      </c>
    </row>
    <row r="1112" customFormat="false" ht="14.25" hidden="false" customHeight="false" outlineLevel="0" collapsed="false">
      <c r="AK1112" s="15" t="e">
        <v>#NAME?</v>
      </c>
      <c r="AL1112" s="15" t="e">
        <f aca="false">_xlfn.xlookup(AK1112,A:A,F:F)</f>
        <v>#NAME?</v>
      </c>
      <c r="AM1112" s="15" t="e">
        <f aca="false">_xlfn.xlookup(AK1112,A:A,J:J)</f>
        <v>#NAME?</v>
      </c>
      <c r="AN1112" s="15" t="e">
        <f aca="false">_xlfn.xlookup(AK1112,A:A,M:M)+_xlfn.xlookup(AK1112,A:A,N:N)</f>
        <v>#NAME?</v>
      </c>
      <c r="AO1112" s="223" t="e">
        <f aca="false">_xlfn.xlookup(AK1112,A:A,AG:AG)</f>
        <v>#NAME?</v>
      </c>
      <c r="AP1112" s="223" t="e">
        <f aca="false">_xlfn.xlookup(AK1112,A:A,AD:AD)</f>
        <v>#NAME?</v>
      </c>
      <c r="AQ1112" s="223" t="e">
        <f aca="false">_xlfn.xlookup(AK1112,A:A,AE:AE)</f>
        <v>#NAME?</v>
      </c>
      <c r="BB1112" s="15" t="e">
        <f aca="false">_xlfn.xlookup(BA1112,A:A,E:E)</f>
        <v>#NAME?</v>
      </c>
      <c r="BC1112" s="15" t="e">
        <f aca="false">_xlfn.xlookup(BA1112,A:A,J:J)</f>
        <v>#NAME?</v>
      </c>
      <c r="BD1112" s="75" t="e">
        <f aca="false">_xlfn.xlookup(BA1112,A:A,M:M)+_xlfn.xlookup(BA1112,A:A,N:N)</f>
        <v>#NAME?</v>
      </c>
    </row>
    <row r="1113" customFormat="false" ht="14.25" hidden="false" customHeight="false" outlineLevel="0" collapsed="false">
      <c r="AK1113" s="15" t="e">
        <v>#NAME?</v>
      </c>
      <c r="AL1113" s="15" t="e">
        <f aca="false">_xlfn.xlookup(AK1113,A:A,F:F)</f>
        <v>#NAME?</v>
      </c>
      <c r="AM1113" s="15" t="e">
        <f aca="false">_xlfn.xlookup(AK1113,A:A,J:J)</f>
        <v>#NAME?</v>
      </c>
      <c r="AN1113" s="15" t="e">
        <f aca="false">_xlfn.xlookup(AK1113,A:A,M:M)+_xlfn.xlookup(AK1113,A:A,N:N)</f>
        <v>#NAME?</v>
      </c>
      <c r="AO1113" s="223" t="e">
        <f aca="false">_xlfn.xlookup(AK1113,A:A,AG:AG)</f>
        <v>#NAME?</v>
      </c>
      <c r="AP1113" s="223" t="e">
        <f aca="false">_xlfn.xlookup(AK1113,A:A,AD:AD)</f>
        <v>#NAME?</v>
      </c>
      <c r="AQ1113" s="223" t="e">
        <f aca="false">_xlfn.xlookup(AK1113,A:A,AE:AE)</f>
        <v>#NAME?</v>
      </c>
      <c r="BB1113" s="15" t="e">
        <f aca="false">_xlfn.xlookup(BA1113,A:A,E:E)</f>
        <v>#NAME?</v>
      </c>
      <c r="BC1113" s="15" t="e">
        <f aca="false">_xlfn.xlookup(BA1113,A:A,J:J)</f>
        <v>#NAME?</v>
      </c>
      <c r="BD1113" s="75" t="e">
        <f aca="false">_xlfn.xlookup(BA1113,A:A,M:M)+_xlfn.xlookup(BA1113,A:A,N:N)</f>
        <v>#NAME?</v>
      </c>
    </row>
    <row r="1114" customFormat="false" ht="14.25" hidden="false" customHeight="false" outlineLevel="0" collapsed="false">
      <c r="AK1114" s="15" t="e">
        <v>#NAME?</v>
      </c>
      <c r="AL1114" s="15" t="e">
        <f aca="false">_xlfn.xlookup(AK1114,A:A,F:F)</f>
        <v>#NAME?</v>
      </c>
      <c r="AM1114" s="15" t="e">
        <f aca="false">_xlfn.xlookup(AK1114,A:A,J:J)</f>
        <v>#NAME?</v>
      </c>
      <c r="AN1114" s="15" t="e">
        <f aca="false">_xlfn.xlookup(AK1114,A:A,M:M)+_xlfn.xlookup(AK1114,A:A,N:N)</f>
        <v>#NAME?</v>
      </c>
      <c r="AO1114" s="223" t="e">
        <f aca="false">_xlfn.xlookup(AK1114,A:A,AG:AG)</f>
        <v>#NAME?</v>
      </c>
      <c r="AP1114" s="223" t="e">
        <f aca="false">_xlfn.xlookup(AK1114,A:A,AD:AD)</f>
        <v>#NAME?</v>
      </c>
      <c r="AQ1114" s="223" t="e">
        <f aca="false">_xlfn.xlookup(AK1114,A:A,AE:AE)</f>
        <v>#NAME?</v>
      </c>
      <c r="BB1114" s="15" t="e">
        <f aca="false">_xlfn.xlookup(BA1114,A:A,E:E)</f>
        <v>#NAME?</v>
      </c>
      <c r="BC1114" s="15" t="e">
        <f aca="false">_xlfn.xlookup(BA1114,A:A,J:J)</f>
        <v>#NAME?</v>
      </c>
      <c r="BD1114" s="75" t="e">
        <f aca="false">_xlfn.xlookup(BA1114,A:A,M:M)+_xlfn.xlookup(BA1114,A:A,N:N)</f>
        <v>#NAME?</v>
      </c>
    </row>
    <row r="1115" customFormat="false" ht="14.25" hidden="false" customHeight="false" outlineLevel="0" collapsed="false">
      <c r="AK1115" s="15" t="e">
        <v>#NAME?</v>
      </c>
      <c r="AL1115" s="15" t="e">
        <f aca="false">_xlfn.xlookup(AK1115,A:A,F:F)</f>
        <v>#NAME?</v>
      </c>
      <c r="AM1115" s="15" t="e">
        <f aca="false">_xlfn.xlookup(AK1115,A:A,J:J)</f>
        <v>#NAME?</v>
      </c>
      <c r="AN1115" s="15" t="e">
        <f aca="false">_xlfn.xlookup(AK1115,A:A,M:M)+_xlfn.xlookup(AK1115,A:A,N:N)</f>
        <v>#NAME?</v>
      </c>
      <c r="AO1115" s="223" t="e">
        <f aca="false">_xlfn.xlookup(AK1115,A:A,AG:AG)</f>
        <v>#NAME?</v>
      </c>
      <c r="AP1115" s="223" t="e">
        <f aca="false">_xlfn.xlookup(AK1115,A:A,AD:AD)</f>
        <v>#NAME?</v>
      </c>
      <c r="AQ1115" s="223" t="e">
        <f aca="false">_xlfn.xlookup(AK1115,A:A,AE:AE)</f>
        <v>#NAME?</v>
      </c>
      <c r="BB1115" s="15" t="e">
        <f aca="false">_xlfn.xlookup(BA1115,A:A,E:E)</f>
        <v>#NAME?</v>
      </c>
      <c r="BC1115" s="15" t="e">
        <f aca="false">_xlfn.xlookup(BA1115,A:A,J:J)</f>
        <v>#NAME?</v>
      </c>
      <c r="BD1115" s="75" t="e">
        <f aca="false">_xlfn.xlookup(BA1115,A:A,M:M)+_xlfn.xlookup(BA1115,A:A,N:N)</f>
        <v>#NAME?</v>
      </c>
    </row>
    <row r="1116" customFormat="false" ht="14.25" hidden="false" customHeight="false" outlineLevel="0" collapsed="false">
      <c r="AK1116" s="15" t="e">
        <v>#NAME?</v>
      </c>
      <c r="AL1116" s="15" t="e">
        <f aca="false">_xlfn.xlookup(AK1116,A:A,F:F)</f>
        <v>#NAME?</v>
      </c>
      <c r="AM1116" s="15" t="e">
        <f aca="false">_xlfn.xlookup(AK1116,A:A,J:J)</f>
        <v>#NAME?</v>
      </c>
      <c r="AN1116" s="15" t="e">
        <f aca="false">_xlfn.xlookup(AK1116,A:A,M:M)+_xlfn.xlookup(AK1116,A:A,N:N)</f>
        <v>#NAME?</v>
      </c>
      <c r="AO1116" s="223" t="e">
        <f aca="false">_xlfn.xlookup(AK1116,A:A,AG:AG)</f>
        <v>#NAME?</v>
      </c>
      <c r="AP1116" s="223" t="e">
        <f aca="false">_xlfn.xlookup(AK1116,A:A,AD:AD)</f>
        <v>#NAME?</v>
      </c>
      <c r="AQ1116" s="223" t="e">
        <f aca="false">_xlfn.xlookup(AK1116,A:A,AE:AE)</f>
        <v>#NAME?</v>
      </c>
      <c r="BB1116" s="15" t="e">
        <f aca="false">_xlfn.xlookup(BA1116,A:A,E:E)</f>
        <v>#NAME?</v>
      </c>
      <c r="BC1116" s="15" t="e">
        <f aca="false">_xlfn.xlookup(BA1116,A:A,J:J)</f>
        <v>#NAME?</v>
      </c>
      <c r="BD1116" s="75" t="e">
        <f aca="false">_xlfn.xlookup(BA1116,A:A,M:M)+_xlfn.xlookup(BA1116,A:A,N:N)</f>
        <v>#NAME?</v>
      </c>
    </row>
    <row r="1117" customFormat="false" ht="14.25" hidden="false" customHeight="false" outlineLevel="0" collapsed="false">
      <c r="AK1117" s="15" t="e">
        <v>#NAME?</v>
      </c>
      <c r="AL1117" s="15" t="e">
        <f aca="false">_xlfn.xlookup(AK1117,A:A,F:F)</f>
        <v>#NAME?</v>
      </c>
      <c r="AM1117" s="15" t="e">
        <f aca="false">_xlfn.xlookup(AK1117,A:A,J:J)</f>
        <v>#NAME?</v>
      </c>
      <c r="AN1117" s="15" t="e">
        <f aca="false">_xlfn.xlookup(AK1117,A:A,M:M)+_xlfn.xlookup(AK1117,A:A,N:N)</f>
        <v>#NAME?</v>
      </c>
      <c r="AO1117" s="223" t="e">
        <f aca="false">_xlfn.xlookup(AK1117,A:A,AG:AG)</f>
        <v>#NAME?</v>
      </c>
      <c r="AP1117" s="223" t="e">
        <f aca="false">_xlfn.xlookup(AK1117,A:A,AD:AD)</f>
        <v>#NAME?</v>
      </c>
      <c r="AQ1117" s="223" t="e">
        <f aca="false">_xlfn.xlookup(AK1117,A:A,AE:AE)</f>
        <v>#NAME?</v>
      </c>
      <c r="BB1117" s="15" t="e">
        <f aca="false">_xlfn.xlookup(BA1117,A:A,E:E)</f>
        <v>#NAME?</v>
      </c>
      <c r="BC1117" s="15" t="e">
        <f aca="false">_xlfn.xlookup(BA1117,A:A,J:J)</f>
        <v>#NAME?</v>
      </c>
      <c r="BD1117" s="75" t="e">
        <f aca="false">_xlfn.xlookup(BA1117,A:A,M:M)+_xlfn.xlookup(BA1117,A:A,N:N)</f>
        <v>#NAME?</v>
      </c>
    </row>
    <row r="1118" customFormat="false" ht="14.25" hidden="false" customHeight="false" outlineLevel="0" collapsed="false">
      <c r="AK1118" s="15" t="e">
        <v>#NAME?</v>
      </c>
      <c r="AL1118" s="15" t="e">
        <f aca="false">_xlfn.xlookup(AK1118,A:A,F:F)</f>
        <v>#NAME?</v>
      </c>
      <c r="AM1118" s="15" t="e">
        <f aca="false">_xlfn.xlookup(AK1118,A:A,J:J)</f>
        <v>#NAME?</v>
      </c>
      <c r="AN1118" s="15" t="e">
        <f aca="false">_xlfn.xlookup(AK1118,A:A,M:M)+_xlfn.xlookup(AK1118,A:A,N:N)</f>
        <v>#NAME?</v>
      </c>
      <c r="AO1118" s="223" t="e">
        <f aca="false">_xlfn.xlookup(AK1118,A:A,AG:AG)</f>
        <v>#NAME?</v>
      </c>
      <c r="AP1118" s="223" t="e">
        <f aca="false">_xlfn.xlookup(AK1118,A:A,AD:AD)</f>
        <v>#NAME?</v>
      </c>
      <c r="AQ1118" s="223" t="e">
        <f aca="false">_xlfn.xlookup(AK1118,A:A,AE:AE)</f>
        <v>#NAME?</v>
      </c>
      <c r="BB1118" s="15" t="e">
        <f aca="false">_xlfn.xlookup(BA1118,A:A,E:E)</f>
        <v>#NAME?</v>
      </c>
      <c r="BC1118" s="15" t="e">
        <f aca="false">_xlfn.xlookup(BA1118,A:A,J:J)</f>
        <v>#NAME?</v>
      </c>
      <c r="BD1118" s="75" t="e">
        <f aca="false">_xlfn.xlookup(BA1118,A:A,M:M)+_xlfn.xlookup(BA1118,A:A,N:N)</f>
        <v>#NAME?</v>
      </c>
    </row>
    <row r="1119" customFormat="false" ht="14.25" hidden="false" customHeight="false" outlineLevel="0" collapsed="false">
      <c r="AK1119" s="15" t="e">
        <v>#NAME?</v>
      </c>
      <c r="AL1119" s="15" t="e">
        <f aca="false">_xlfn.xlookup(AK1119,A:A,F:F)</f>
        <v>#NAME?</v>
      </c>
      <c r="AM1119" s="15" t="e">
        <f aca="false">_xlfn.xlookup(AK1119,A:A,J:J)</f>
        <v>#NAME?</v>
      </c>
      <c r="AN1119" s="15" t="e">
        <f aca="false">_xlfn.xlookup(AK1119,A:A,M:M)+_xlfn.xlookup(AK1119,A:A,N:N)</f>
        <v>#NAME?</v>
      </c>
      <c r="AO1119" s="223" t="e">
        <f aca="false">_xlfn.xlookup(AK1119,A:A,AG:AG)</f>
        <v>#NAME?</v>
      </c>
      <c r="AP1119" s="223" t="e">
        <f aca="false">_xlfn.xlookup(AK1119,A:A,AD:AD)</f>
        <v>#NAME?</v>
      </c>
      <c r="AQ1119" s="223" t="e">
        <f aca="false">_xlfn.xlookup(AK1119,A:A,AE:AE)</f>
        <v>#NAME?</v>
      </c>
      <c r="BB1119" s="15" t="e">
        <f aca="false">_xlfn.xlookup(BA1119,A:A,E:E)</f>
        <v>#NAME?</v>
      </c>
      <c r="BC1119" s="15" t="e">
        <f aca="false">_xlfn.xlookup(BA1119,A:A,J:J)</f>
        <v>#NAME?</v>
      </c>
      <c r="BD1119" s="75" t="e">
        <f aca="false">_xlfn.xlookup(BA1119,A:A,M:M)+_xlfn.xlookup(BA1119,A:A,N:N)</f>
        <v>#NAME?</v>
      </c>
    </row>
    <row r="1120" customFormat="false" ht="14.25" hidden="false" customHeight="false" outlineLevel="0" collapsed="false">
      <c r="AK1120" s="15" t="e">
        <v>#NAME?</v>
      </c>
      <c r="AL1120" s="15" t="e">
        <f aca="false">_xlfn.xlookup(AK1120,A:A,F:F)</f>
        <v>#NAME?</v>
      </c>
      <c r="AM1120" s="15" t="e">
        <f aca="false">_xlfn.xlookup(AK1120,A:A,J:J)</f>
        <v>#NAME?</v>
      </c>
      <c r="AN1120" s="15" t="e">
        <f aca="false">_xlfn.xlookup(AK1120,A:A,M:M)+_xlfn.xlookup(AK1120,A:A,N:N)</f>
        <v>#NAME?</v>
      </c>
      <c r="AO1120" s="223" t="e">
        <f aca="false">_xlfn.xlookup(AK1120,A:A,AG:AG)</f>
        <v>#NAME?</v>
      </c>
      <c r="AP1120" s="223" t="e">
        <f aca="false">_xlfn.xlookup(AK1120,A:A,AD:AD)</f>
        <v>#NAME?</v>
      </c>
      <c r="AQ1120" s="223" t="e">
        <f aca="false">_xlfn.xlookup(AK1120,A:A,AE:AE)</f>
        <v>#NAME?</v>
      </c>
      <c r="BB1120" s="15" t="e">
        <f aca="false">_xlfn.xlookup(BA1120,A:A,E:E)</f>
        <v>#NAME?</v>
      </c>
      <c r="BC1120" s="15" t="e">
        <f aca="false">_xlfn.xlookup(BA1120,A:A,J:J)</f>
        <v>#NAME?</v>
      </c>
      <c r="BD1120" s="75" t="e">
        <f aca="false">_xlfn.xlookup(BA1120,A:A,M:M)+_xlfn.xlookup(BA1120,A:A,N:N)</f>
        <v>#NAME?</v>
      </c>
    </row>
    <row r="1121" customFormat="false" ht="14.25" hidden="false" customHeight="false" outlineLevel="0" collapsed="false">
      <c r="AK1121" s="15" t="e">
        <v>#NAME?</v>
      </c>
      <c r="AL1121" s="15" t="e">
        <f aca="false">_xlfn.xlookup(AK1121,A:A,F:F)</f>
        <v>#NAME?</v>
      </c>
      <c r="AM1121" s="15" t="e">
        <f aca="false">_xlfn.xlookup(AK1121,A:A,J:J)</f>
        <v>#NAME?</v>
      </c>
      <c r="AN1121" s="15" t="e">
        <f aca="false">_xlfn.xlookup(AK1121,A:A,M:M)+_xlfn.xlookup(AK1121,A:A,N:N)</f>
        <v>#NAME?</v>
      </c>
      <c r="AO1121" s="223" t="e">
        <f aca="false">_xlfn.xlookup(AK1121,A:A,AG:AG)</f>
        <v>#NAME?</v>
      </c>
      <c r="AP1121" s="223" t="e">
        <f aca="false">_xlfn.xlookup(AK1121,A:A,AD:AD)</f>
        <v>#NAME?</v>
      </c>
      <c r="AQ1121" s="223" t="e">
        <f aca="false">_xlfn.xlookup(AK1121,A:A,AE:AE)</f>
        <v>#NAME?</v>
      </c>
      <c r="BB1121" s="15" t="e">
        <f aca="false">_xlfn.xlookup(BA1121,A:A,E:E)</f>
        <v>#NAME?</v>
      </c>
      <c r="BC1121" s="15" t="e">
        <f aca="false">_xlfn.xlookup(BA1121,A:A,J:J)</f>
        <v>#NAME?</v>
      </c>
      <c r="BD1121" s="75" t="e">
        <f aca="false">_xlfn.xlookup(BA1121,A:A,M:M)+_xlfn.xlookup(BA1121,A:A,N:N)</f>
        <v>#NAME?</v>
      </c>
    </row>
    <row r="1122" customFormat="false" ht="14.25" hidden="false" customHeight="false" outlineLevel="0" collapsed="false">
      <c r="AK1122" s="15" t="e">
        <v>#NAME?</v>
      </c>
      <c r="AL1122" s="15" t="e">
        <f aca="false">_xlfn.xlookup(AK1122,A:A,F:F)</f>
        <v>#NAME?</v>
      </c>
      <c r="AM1122" s="15" t="e">
        <f aca="false">_xlfn.xlookup(AK1122,A:A,J:J)</f>
        <v>#NAME?</v>
      </c>
      <c r="AN1122" s="15" t="e">
        <f aca="false">_xlfn.xlookup(AK1122,A:A,M:M)+_xlfn.xlookup(AK1122,A:A,N:N)</f>
        <v>#NAME?</v>
      </c>
      <c r="AO1122" s="223" t="e">
        <f aca="false">_xlfn.xlookup(AK1122,A:A,AG:AG)</f>
        <v>#NAME?</v>
      </c>
      <c r="AP1122" s="223" t="e">
        <f aca="false">_xlfn.xlookup(AK1122,A:A,AD:AD)</f>
        <v>#NAME?</v>
      </c>
      <c r="AQ1122" s="223" t="e">
        <f aca="false">_xlfn.xlookup(AK1122,A:A,AE:AE)</f>
        <v>#NAME?</v>
      </c>
      <c r="BB1122" s="15" t="e">
        <f aca="false">_xlfn.xlookup(BA1122,A:A,E:E)</f>
        <v>#NAME?</v>
      </c>
      <c r="BC1122" s="15" t="e">
        <f aca="false">_xlfn.xlookup(BA1122,A:A,J:J)</f>
        <v>#NAME?</v>
      </c>
      <c r="BD1122" s="75" t="e">
        <f aca="false">_xlfn.xlookup(BA1122,A:A,M:M)+_xlfn.xlookup(BA1122,A:A,N:N)</f>
        <v>#NAME?</v>
      </c>
    </row>
    <row r="1123" customFormat="false" ht="14.25" hidden="false" customHeight="false" outlineLevel="0" collapsed="false">
      <c r="AK1123" s="15" t="e">
        <v>#NAME?</v>
      </c>
      <c r="AL1123" s="15" t="e">
        <f aca="false">_xlfn.xlookup(AK1123,A:A,F:F)</f>
        <v>#NAME?</v>
      </c>
      <c r="AM1123" s="15" t="e">
        <f aca="false">_xlfn.xlookup(AK1123,A:A,J:J)</f>
        <v>#NAME?</v>
      </c>
      <c r="AN1123" s="15" t="e">
        <f aca="false">_xlfn.xlookup(AK1123,A:A,M:M)+_xlfn.xlookup(AK1123,A:A,N:N)</f>
        <v>#NAME?</v>
      </c>
      <c r="AO1123" s="223" t="e">
        <f aca="false">_xlfn.xlookup(AK1123,A:A,AG:AG)</f>
        <v>#NAME?</v>
      </c>
      <c r="AP1123" s="223" t="e">
        <f aca="false">_xlfn.xlookup(AK1123,A:A,AD:AD)</f>
        <v>#NAME?</v>
      </c>
      <c r="AQ1123" s="223" t="e">
        <f aca="false">_xlfn.xlookup(AK1123,A:A,AE:AE)</f>
        <v>#NAME?</v>
      </c>
      <c r="BB1123" s="15" t="e">
        <f aca="false">_xlfn.xlookup(BA1123,A:A,E:E)</f>
        <v>#NAME?</v>
      </c>
      <c r="BC1123" s="15" t="e">
        <f aca="false">_xlfn.xlookup(BA1123,A:A,J:J)</f>
        <v>#NAME?</v>
      </c>
      <c r="BD1123" s="75" t="e">
        <f aca="false">_xlfn.xlookup(BA1123,A:A,M:M)+_xlfn.xlookup(BA1123,A:A,N:N)</f>
        <v>#NAME?</v>
      </c>
    </row>
    <row r="1124" customFormat="false" ht="14.25" hidden="false" customHeight="false" outlineLevel="0" collapsed="false">
      <c r="AK1124" s="15" t="e">
        <v>#NAME?</v>
      </c>
      <c r="AL1124" s="15" t="e">
        <f aca="false">_xlfn.xlookup(AK1124,A:A,F:F)</f>
        <v>#NAME?</v>
      </c>
      <c r="AM1124" s="15" t="e">
        <f aca="false">_xlfn.xlookup(AK1124,A:A,J:J)</f>
        <v>#NAME?</v>
      </c>
      <c r="AN1124" s="15" t="e">
        <f aca="false">_xlfn.xlookup(AK1124,A:A,M:M)+_xlfn.xlookup(AK1124,A:A,N:N)</f>
        <v>#NAME?</v>
      </c>
      <c r="AO1124" s="223" t="e">
        <f aca="false">_xlfn.xlookup(AK1124,A:A,AG:AG)</f>
        <v>#NAME?</v>
      </c>
      <c r="AP1124" s="223" t="e">
        <f aca="false">_xlfn.xlookup(AK1124,A:A,AD:AD)</f>
        <v>#NAME?</v>
      </c>
      <c r="AQ1124" s="223" t="e">
        <f aca="false">_xlfn.xlookup(AK1124,A:A,AE:AE)</f>
        <v>#NAME?</v>
      </c>
      <c r="BB1124" s="15" t="e">
        <f aca="false">_xlfn.xlookup(BA1124,A:A,E:E)</f>
        <v>#NAME?</v>
      </c>
      <c r="BC1124" s="15" t="e">
        <f aca="false">_xlfn.xlookup(BA1124,A:A,J:J)</f>
        <v>#NAME?</v>
      </c>
      <c r="BD1124" s="75" t="e">
        <f aca="false">_xlfn.xlookup(BA1124,A:A,M:M)+_xlfn.xlookup(BA1124,A:A,N:N)</f>
        <v>#NAME?</v>
      </c>
    </row>
    <row r="1125" customFormat="false" ht="14.25" hidden="false" customHeight="false" outlineLevel="0" collapsed="false">
      <c r="AK1125" s="15" t="e">
        <v>#NAME?</v>
      </c>
      <c r="AL1125" s="15" t="e">
        <f aca="false">_xlfn.xlookup(AK1125,A:A,F:F)</f>
        <v>#NAME?</v>
      </c>
      <c r="AM1125" s="15" t="e">
        <f aca="false">_xlfn.xlookup(AK1125,A:A,J:J)</f>
        <v>#NAME?</v>
      </c>
      <c r="AN1125" s="15" t="e">
        <f aca="false">_xlfn.xlookup(AK1125,A:A,M:M)+_xlfn.xlookup(AK1125,A:A,N:N)</f>
        <v>#NAME?</v>
      </c>
      <c r="AO1125" s="223" t="e">
        <f aca="false">_xlfn.xlookup(AK1125,A:A,AG:AG)</f>
        <v>#NAME?</v>
      </c>
      <c r="AP1125" s="223" t="e">
        <f aca="false">_xlfn.xlookup(AK1125,A:A,AD:AD)</f>
        <v>#NAME?</v>
      </c>
      <c r="AQ1125" s="223" t="e">
        <f aca="false">_xlfn.xlookup(AK1125,A:A,AE:AE)</f>
        <v>#NAME?</v>
      </c>
      <c r="BB1125" s="15" t="e">
        <f aca="false">_xlfn.xlookup(BA1125,A:A,E:E)</f>
        <v>#NAME?</v>
      </c>
      <c r="BC1125" s="15" t="e">
        <f aca="false">_xlfn.xlookup(BA1125,A:A,J:J)</f>
        <v>#NAME?</v>
      </c>
      <c r="BD1125" s="75" t="e">
        <f aca="false">_xlfn.xlookup(BA1125,A:A,M:M)+_xlfn.xlookup(BA1125,A:A,N:N)</f>
        <v>#NAME?</v>
      </c>
    </row>
    <row r="1126" customFormat="false" ht="14.25" hidden="false" customHeight="false" outlineLevel="0" collapsed="false">
      <c r="AK1126" s="15" t="e">
        <v>#NAME?</v>
      </c>
      <c r="AL1126" s="15" t="e">
        <f aca="false">_xlfn.xlookup(AK1126,A:A,F:F)</f>
        <v>#NAME?</v>
      </c>
      <c r="AM1126" s="15" t="e">
        <f aca="false">_xlfn.xlookup(AK1126,A:A,J:J)</f>
        <v>#NAME?</v>
      </c>
      <c r="AN1126" s="15" t="e">
        <f aca="false">_xlfn.xlookup(AK1126,A:A,M:M)+_xlfn.xlookup(AK1126,A:A,N:N)</f>
        <v>#NAME?</v>
      </c>
      <c r="AO1126" s="223" t="e">
        <f aca="false">_xlfn.xlookup(AK1126,A:A,AG:AG)</f>
        <v>#NAME?</v>
      </c>
      <c r="AP1126" s="223" t="e">
        <f aca="false">_xlfn.xlookup(AK1126,A:A,AD:AD)</f>
        <v>#NAME?</v>
      </c>
      <c r="AQ1126" s="223" t="e">
        <f aca="false">_xlfn.xlookup(AK1126,A:A,AE:AE)</f>
        <v>#NAME?</v>
      </c>
      <c r="BB1126" s="15" t="e">
        <f aca="false">_xlfn.xlookup(BA1126,A:A,E:E)</f>
        <v>#NAME?</v>
      </c>
      <c r="BC1126" s="15" t="e">
        <f aca="false">_xlfn.xlookup(BA1126,A:A,J:J)</f>
        <v>#NAME?</v>
      </c>
      <c r="BD1126" s="75" t="e">
        <f aca="false">_xlfn.xlookup(BA1126,A:A,M:M)+_xlfn.xlookup(BA1126,A:A,N:N)</f>
        <v>#NAME?</v>
      </c>
    </row>
    <row r="1127" customFormat="false" ht="14.25" hidden="false" customHeight="false" outlineLevel="0" collapsed="false">
      <c r="AK1127" s="15" t="e">
        <v>#NAME?</v>
      </c>
      <c r="AL1127" s="15" t="e">
        <f aca="false">_xlfn.xlookup(AK1127,A:A,F:F)</f>
        <v>#NAME?</v>
      </c>
      <c r="AM1127" s="15" t="e">
        <f aca="false">_xlfn.xlookup(AK1127,A:A,J:J)</f>
        <v>#NAME?</v>
      </c>
      <c r="AN1127" s="15" t="e">
        <f aca="false">_xlfn.xlookup(AK1127,A:A,M:M)+_xlfn.xlookup(AK1127,A:A,N:N)</f>
        <v>#NAME?</v>
      </c>
      <c r="AO1127" s="223" t="e">
        <f aca="false">_xlfn.xlookup(AK1127,A:A,AG:AG)</f>
        <v>#NAME?</v>
      </c>
      <c r="AP1127" s="223" t="e">
        <f aca="false">_xlfn.xlookup(AK1127,A:A,AD:AD)</f>
        <v>#NAME?</v>
      </c>
      <c r="AQ1127" s="223" t="e">
        <f aca="false">_xlfn.xlookup(AK1127,A:A,AE:AE)</f>
        <v>#NAME?</v>
      </c>
      <c r="BB1127" s="15" t="e">
        <f aca="false">_xlfn.xlookup(BA1127,A:A,E:E)</f>
        <v>#NAME?</v>
      </c>
      <c r="BC1127" s="15" t="e">
        <f aca="false">_xlfn.xlookup(BA1127,A:A,J:J)</f>
        <v>#NAME?</v>
      </c>
      <c r="BD1127" s="75" t="e">
        <f aca="false">_xlfn.xlookup(BA1127,A:A,M:M)+_xlfn.xlookup(BA1127,A:A,N:N)</f>
        <v>#NAME?</v>
      </c>
    </row>
    <row r="1128" customFormat="false" ht="14.25" hidden="false" customHeight="false" outlineLevel="0" collapsed="false">
      <c r="AK1128" s="15" t="e">
        <v>#NAME?</v>
      </c>
      <c r="AL1128" s="15" t="e">
        <f aca="false">_xlfn.xlookup(AK1128,A:A,F:F)</f>
        <v>#NAME?</v>
      </c>
      <c r="AM1128" s="15" t="e">
        <f aca="false">_xlfn.xlookup(AK1128,A:A,J:J)</f>
        <v>#NAME?</v>
      </c>
      <c r="AN1128" s="15" t="e">
        <f aca="false">_xlfn.xlookup(AK1128,A:A,M:M)+_xlfn.xlookup(AK1128,A:A,N:N)</f>
        <v>#NAME?</v>
      </c>
      <c r="AO1128" s="223" t="e">
        <f aca="false">_xlfn.xlookup(AK1128,A:A,AG:AG)</f>
        <v>#NAME?</v>
      </c>
      <c r="AP1128" s="223" t="e">
        <f aca="false">_xlfn.xlookup(AK1128,A:A,AD:AD)</f>
        <v>#NAME?</v>
      </c>
      <c r="AQ1128" s="223" t="e">
        <f aca="false">_xlfn.xlookup(AK1128,A:A,AE:AE)</f>
        <v>#NAME?</v>
      </c>
      <c r="BB1128" s="15" t="e">
        <f aca="false">_xlfn.xlookup(BA1128,A:A,E:E)</f>
        <v>#NAME?</v>
      </c>
      <c r="BC1128" s="15" t="e">
        <f aca="false">_xlfn.xlookup(BA1128,A:A,J:J)</f>
        <v>#NAME?</v>
      </c>
      <c r="BD1128" s="75" t="e">
        <f aca="false">_xlfn.xlookup(BA1128,A:A,M:M)+_xlfn.xlookup(BA1128,A:A,N:N)</f>
        <v>#NAME?</v>
      </c>
    </row>
    <row r="1129" customFormat="false" ht="14.25" hidden="false" customHeight="false" outlineLevel="0" collapsed="false">
      <c r="AK1129" s="15" t="e">
        <v>#NAME?</v>
      </c>
      <c r="AL1129" s="15" t="e">
        <f aca="false">_xlfn.xlookup(AK1129,A:A,F:F)</f>
        <v>#NAME?</v>
      </c>
      <c r="AM1129" s="15" t="e">
        <f aca="false">_xlfn.xlookup(AK1129,A:A,J:J)</f>
        <v>#NAME?</v>
      </c>
      <c r="AN1129" s="15" t="e">
        <f aca="false">_xlfn.xlookup(AK1129,A:A,M:M)+_xlfn.xlookup(AK1129,A:A,N:N)</f>
        <v>#NAME?</v>
      </c>
      <c r="AO1129" s="223" t="e">
        <f aca="false">_xlfn.xlookup(AK1129,A:A,AG:AG)</f>
        <v>#NAME?</v>
      </c>
      <c r="AP1129" s="223" t="e">
        <f aca="false">_xlfn.xlookup(AK1129,A:A,AD:AD)</f>
        <v>#NAME?</v>
      </c>
      <c r="AQ1129" s="223" t="e">
        <f aca="false">_xlfn.xlookup(AK1129,A:A,AE:AE)</f>
        <v>#NAME?</v>
      </c>
      <c r="BB1129" s="15" t="e">
        <f aca="false">_xlfn.xlookup(BA1129,A:A,E:E)</f>
        <v>#NAME?</v>
      </c>
      <c r="BC1129" s="15" t="e">
        <f aca="false">_xlfn.xlookup(BA1129,A:A,J:J)</f>
        <v>#NAME?</v>
      </c>
      <c r="BD1129" s="75" t="e">
        <f aca="false">_xlfn.xlookup(BA1129,A:A,M:M)+_xlfn.xlookup(BA1129,A:A,N:N)</f>
        <v>#NAME?</v>
      </c>
    </row>
    <row r="1130" customFormat="false" ht="14.25" hidden="false" customHeight="false" outlineLevel="0" collapsed="false">
      <c r="AK1130" s="15" t="e">
        <v>#NAME?</v>
      </c>
      <c r="AL1130" s="15" t="e">
        <f aca="false">_xlfn.xlookup(AK1130,A:A,F:F)</f>
        <v>#NAME?</v>
      </c>
      <c r="AM1130" s="15" t="e">
        <f aca="false">_xlfn.xlookup(AK1130,A:A,J:J)</f>
        <v>#NAME?</v>
      </c>
      <c r="AN1130" s="15" t="e">
        <f aca="false">_xlfn.xlookup(AK1130,A:A,M:M)+_xlfn.xlookup(AK1130,A:A,N:N)</f>
        <v>#NAME?</v>
      </c>
      <c r="AO1130" s="223" t="e">
        <f aca="false">_xlfn.xlookup(AK1130,A:A,AG:AG)</f>
        <v>#NAME?</v>
      </c>
      <c r="AP1130" s="223" t="e">
        <f aca="false">_xlfn.xlookup(AK1130,A:A,AD:AD)</f>
        <v>#NAME?</v>
      </c>
      <c r="AQ1130" s="223" t="e">
        <f aca="false">_xlfn.xlookup(AK1130,A:A,AE:AE)</f>
        <v>#NAME?</v>
      </c>
      <c r="BB1130" s="15" t="e">
        <f aca="false">_xlfn.xlookup(BA1130,A:A,E:E)</f>
        <v>#NAME?</v>
      </c>
      <c r="BC1130" s="15" t="e">
        <f aca="false">_xlfn.xlookup(BA1130,A:A,J:J)</f>
        <v>#NAME?</v>
      </c>
      <c r="BD1130" s="75" t="e">
        <f aca="false">_xlfn.xlookup(BA1130,A:A,M:M)+_xlfn.xlookup(BA1130,A:A,N:N)</f>
        <v>#NAME?</v>
      </c>
    </row>
    <row r="1131" customFormat="false" ht="14.25" hidden="false" customHeight="false" outlineLevel="0" collapsed="false">
      <c r="AK1131" s="15" t="e">
        <v>#NAME?</v>
      </c>
      <c r="AL1131" s="15" t="e">
        <f aca="false">_xlfn.xlookup(AK1131,A:A,F:F)</f>
        <v>#NAME?</v>
      </c>
      <c r="AM1131" s="15" t="e">
        <f aca="false">_xlfn.xlookup(AK1131,A:A,J:J)</f>
        <v>#NAME?</v>
      </c>
      <c r="AN1131" s="15" t="e">
        <f aca="false">_xlfn.xlookup(AK1131,A:A,M:M)+_xlfn.xlookup(AK1131,A:A,N:N)</f>
        <v>#NAME?</v>
      </c>
      <c r="AO1131" s="223" t="e">
        <f aca="false">_xlfn.xlookup(AK1131,A:A,AG:AG)</f>
        <v>#NAME?</v>
      </c>
      <c r="AP1131" s="223" t="e">
        <f aca="false">_xlfn.xlookup(AK1131,A:A,AD:AD)</f>
        <v>#NAME?</v>
      </c>
      <c r="AQ1131" s="223" t="e">
        <f aca="false">_xlfn.xlookup(AK1131,A:A,AE:AE)</f>
        <v>#NAME?</v>
      </c>
      <c r="BB1131" s="15" t="e">
        <f aca="false">_xlfn.xlookup(BA1131,A:A,E:E)</f>
        <v>#NAME?</v>
      </c>
      <c r="BC1131" s="15" t="e">
        <f aca="false">_xlfn.xlookup(BA1131,A:A,J:J)</f>
        <v>#NAME?</v>
      </c>
      <c r="BD1131" s="75" t="e">
        <f aca="false">_xlfn.xlookup(BA1131,A:A,M:M)+_xlfn.xlookup(BA1131,A:A,N:N)</f>
        <v>#NAME?</v>
      </c>
    </row>
    <row r="1132" customFormat="false" ht="14.25" hidden="false" customHeight="false" outlineLevel="0" collapsed="false">
      <c r="AK1132" s="15" t="e">
        <v>#NAME?</v>
      </c>
      <c r="AL1132" s="15" t="e">
        <f aca="false">_xlfn.xlookup(AK1132,A:A,F:F)</f>
        <v>#NAME?</v>
      </c>
      <c r="AM1132" s="15" t="e">
        <f aca="false">_xlfn.xlookup(AK1132,A:A,J:J)</f>
        <v>#NAME?</v>
      </c>
      <c r="AN1132" s="15" t="e">
        <f aca="false">_xlfn.xlookup(AK1132,A:A,M:M)+_xlfn.xlookup(AK1132,A:A,N:N)</f>
        <v>#NAME?</v>
      </c>
      <c r="AO1132" s="223" t="e">
        <f aca="false">_xlfn.xlookup(AK1132,A:A,AG:AG)</f>
        <v>#NAME?</v>
      </c>
      <c r="AP1132" s="223" t="e">
        <f aca="false">_xlfn.xlookup(AK1132,A:A,AD:AD)</f>
        <v>#NAME?</v>
      </c>
      <c r="AQ1132" s="223" t="e">
        <f aca="false">_xlfn.xlookup(AK1132,A:A,AE:AE)</f>
        <v>#NAME?</v>
      </c>
      <c r="BB1132" s="15" t="e">
        <f aca="false">_xlfn.xlookup(BA1132,A:A,E:E)</f>
        <v>#NAME?</v>
      </c>
      <c r="BC1132" s="15" t="e">
        <f aca="false">_xlfn.xlookup(BA1132,A:A,J:J)</f>
        <v>#NAME?</v>
      </c>
      <c r="BD1132" s="75" t="e">
        <f aca="false">_xlfn.xlookup(BA1132,A:A,M:M)+_xlfn.xlookup(BA1132,A:A,N:N)</f>
        <v>#NAME?</v>
      </c>
    </row>
    <row r="1133" customFormat="false" ht="14.25" hidden="false" customHeight="false" outlineLevel="0" collapsed="false">
      <c r="AK1133" s="15" t="e">
        <v>#NAME?</v>
      </c>
      <c r="AL1133" s="15" t="e">
        <f aca="false">_xlfn.xlookup(AK1133,A:A,F:F)</f>
        <v>#NAME?</v>
      </c>
      <c r="AM1133" s="15" t="e">
        <f aca="false">_xlfn.xlookup(AK1133,A:A,J:J)</f>
        <v>#NAME?</v>
      </c>
      <c r="AN1133" s="15" t="e">
        <f aca="false">_xlfn.xlookup(AK1133,A:A,M:M)+_xlfn.xlookup(AK1133,A:A,N:N)</f>
        <v>#NAME?</v>
      </c>
      <c r="AO1133" s="223" t="e">
        <f aca="false">_xlfn.xlookup(AK1133,A:A,AG:AG)</f>
        <v>#NAME?</v>
      </c>
      <c r="AP1133" s="223" t="e">
        <f aca="false">_xlfn.xlookup(AK1133,A:A,AD:AD)</f>
        <v>#NAME?</v>
      </c>
      <c r="AQ1133" s="223" t="e">
        <f aca="false">_xlfn.xlookup(AK1133,A:A,AE:AE)</f>
        <v>#NAME?</v>
      </c>
      <c r="BB1133" s="15" t="e">
        <f aca="false">_xlfn.xlookup(BA1133,A:A,E:E)</f>
        <v>#NAME?</v>
      </c>
      <c r="BC1133" s="15" t="e">
        <f aca="false">_xlfn.xlookup(BA1133,A:A,J:J)</f>
        <v>#NAME?</v>
      </c>
      <c r="BD1133" s="75" t="e">
        <f aca="false">_xlfn.xlookup(BA1133,A:A,M:M)+_xlfn.xlookup(BA1133,A:A,N:N)</f>
        <v>#NAME?</v>
      </c>
    </row>
    <row r="1134" customFormat="false" ht="14.25" hidden="false" customHeight="false" outlineLevel="0" collapsed="false">
      <c r="AK1134" s="15" t="e">
        <v>#NAME?</v>
      </c>
      <c r="AL1134" s="15" t="e">
        <f aca="false">_xlfn.xlookup(AK1134,A:A,F:F)</f>
        <v>#NAME?</v>
      </c>
      <c r="AM1134" s="15" t="e">
        <f aca="false">_xlfn.xlookup(AK1134,A:A,J:J)</f>
        <v>#NAME?</v>
      </c>
      <c r="AN1134" s="15" t="e">
        <f aca="false">_xlfn.xlookup(AK1134,A:A,M:M)+_xlfn.xlookup(AK1134,A:A,N:N)</f>
        <v>#NAME?</v>
      </c>
      <c r="AO1134" s="223" t="e">
        <f aca="false">_xlfn.xlookup(AK1134,A:A,AG:AG)</f>
        <v>#NAME?</v>
      </c>
      <c r="AP1134" s="223" t="e">
        <f aca="false">_xlfn.xlookup(AK1134,A:A,AD:AD)</f>
        <v>#NAME?</v>
      </c>
      <c r="AQ1134" s="223" t="e">
        <f aca="false">_xlfn.xlookup(AK1134,A:A,AE:AE)</f>
        <v>#NAME?</v>
      </c>
      <c r="BB1134" s="15" t="e">
        <f aca="false">_xlfn.xlookup(BA1134,A:A,E:E)</f>
        <v>#NAME?</v>
      </c>
      <c r="BC1134" s="15" t="e">
        <f aca="false">_xlfn.xlookup(BA1134,A:A,J:J)</f>
        <v>#NAME?</v>
      </c>
      <c r="BD1134" s="75" t="e">
        <f aca="false">_xlfn.xlookup(BA1134,A:A,M:M)+_xlfn.xlookup(BA1134,A:A,N:N)</f>
        <v>#NAME?</v>
      </c>
    </row>
    <row r="1135" customFormat="false" ht="14.25" hidden="false" customHeight="false" outlineLevel="0" collapsed="false">
      <c r="AK1135" s="15" t="e">
        <v>#NAME?</v>
      </c>
      <c r="AL1135" s="15" t="e">
        <f aca="false">_xlfn.xlookup(AK1135,A:A,F:F)</f>
        <v>#NAME?</v>
      </c>
      <c r="AM1135" s="15" t="e">
        <f aca="false">_xlfn.xlookup(AK1135,A:A,J:J)</f>
        <v>#NAME?</v>
      </c>
      <c r="AN1135" s="15" t="e">
        <f aca="false">_xlfn.xlookup(AK1135,A:A,M:M)+_xlfn.xlookup(AK1135,A:A,N:N)</f>
        <v>#NAME?</v>
      </c>
      <c r="AO1135" s="223" t="e">
        <f aca="false">_xlfn.xlookup(AK1135,A:A,AG:AG)</f>
        <v>#NAME?</v>
      </c>
      <c r="AP1135" s="223" t="e">
        <f aca="false">_xlfn.xlookup(AK1135,A:A,AD:AD)</f>
        <v>#NAME?</v>
      </c>
      <c r="AQ1135" s="223" t="e">
        <f aca="false">_xlfn.xlookup(AK1135,A:A,AE:AE)</f>
        <v>#NAME?</v>
      </c>
      <c r="BB1135" s="15" t="e">
        <f aca="false">_xlfn.xlookup(BA1135,A:A,E:E)</f>
        <v>#NAME?</v>
      </c>
      <c r="BC1135" s="15" t="e">
        <f aca="false">_xlfn.xlookup(BA1135,A:A,J:J)</f>
        <v>#NAME?</v>
      </c>
      <c r="BD1135" s="75" t="e">
        <f aca="false">_xlfn.xlookup(BA1135,A:A,M:M)+_xlfn.xlookup(BA1135,A:A,N:N)</f>
        <v>#NAME?</v>
      </c>
    </row>
    <row r="1136" customFormat="false" ht="14.25" hidden="false" customHeight="false" outlineLevel="0" collapsed="false">
      <c r="AK1136" s="15" t="e">
        <v>#NAME?</v>
      </c>
      <c r="AL1136" s="15" t="e">
        <f aca="false">_xlfn.xlookup(AK1136,A:A,F:F)</f>
        <v>#NAME?</v>
      </c>
      <c r="AM1136" s="15" t="e">
        <f aca="false">_xlfn.xlookup(AK1136,A:A,J:J)</f>
        <v>#NAME?</v>
      </c>
      <c r="AN1136" s="15" t="e">
        <f aca="false">_xlfn.xlookup(AK1136,A:A,M:M)+_xlfn.xlookup(AK1136,A:A,N:N)</f>
        <v>#NAME?</v>
      </c>
      <c r="AO1136" s="223" t="e">
        <f aca="false">_xlfn.xlookup(AK1136,A:A,AG:AG)</f>
        <v>#NAME?</v>
      </c>
      <c r="AP1136" s="223" t="e">
        <f aca="false">_xlfn.xlookup(AK1136,A:A,AD:AD)</f>
        <v>#NAME?</v>
      </c>
      <c r="AQ1136" s="223" t="e">
        <f aca="false">_xlfn.xlookup(AK1136,A:A,AE:AE)</f>
        <v>#NAME?</v>
      </c>
      <c r="BB1136" s="15" t="e">
        <f aca="false">_xlfn.xlookup(BA1136,A:A,E:E)</f>
        <v>#NAME?</v>
      </c>
      <c r="BC1136" s="15" t="e">
        <f aca="false">_xlfn.xlookup(BA1136,A:A,J:J)</f>
        <v>#NAME?</v>
      </c>
      <c r="BD1136" s="75" t="e">
        <f aca="false">_xlfn.xlookup(BA1136,A:A,M:M)+_xlfn.xlookup(BA1136,A:A,N:N)</f>
        <v>#NAME?</v>
      </c>
    </row>
    <row r="1137" customFormat="false" ht="14.25" hidden="false" customHeight="false" outlineLevel="0" collapsed="false">
      <c r="AK1137" s="15" t="e">
        <v>#NAME?</v>
      </c>
      <c r="AL1137" s="15" t="e">
        <f aca="false">_xlfn.xlookup(AK1137,A:A,F:F)</f>
        <v>#NAME?</v>
      </c>
      <c r="AM1137" s="15" t="e">
        <f aca="false">_xlfn.xlookup(AK1137,A:A,J:J)</f>
        <v>#NAME?</v>
      </c>
      <c r="AN1137" s="15" t="e">
        <f aca="false">_xlfn.xlookup(AK1137,A:A,M:M)+_xlfn.xlookup(AK1137,A:A,N:N)</f>
        <v>#NAME?</v>
      </c>
      <c r="AO1137" s="223" t="e">
        <f aca="false">_xlfn.xlookup(AK1137,A:A,AG:AG)</f>
        <v>#NAME?</v>
      </c>
      <c r="AP1137" s="223" t="e">
        <f aca="false">_xlfn.xlookup(AK1137,A:A,AD:AD)</f>
        <v>#NAME?</v>
      </c>
      <c r="AQ1137" s="223" t="e">
        <f aca="false">_xlfn.xlookup(AK1137,A:A,AE:AE)</f>
        <v>#NAME?</v>
      </c>
      <c r="BB1137" s="15" t="e">
        <f aca="false">_xlfn.xlookup(BA1137,A:A,E:E)</f>
        <v>#NAME?</v>
      </c>
      <c r="BC1137" s="15" t="e">
        <f aca="false">_xlfn.xlookup(BA1137,A:A,J:J)</f>
        <v>#NAME?</v>
      </c>
      <c r="BD1137" s="75" t="e">
        <f aca="false">_xlfn.xlookup(BA1137,A:A,M:M)+_xlfn.xlookup(BA1137,A:A,N:N)</f>
        <v>#NAME?</v>
      </c>
    </row>
    <row r="1138" customFormat="false" ht="14.25" hidden="false" customHeight="false" outlineLevel="0" collapsed="false">
      <c r="AK1138" s="15" t="e">
        <v>#NAME?</v>
      </c>
      <c r="AL1138" s="15" t="e">
        <f aca="false">_xlfn.xlookup(AK1138,A:A,F:F)</f>
        <v>#NAME?</v>
      </c>
      <c r="AM1138" s="15" t="e">
        <f aca="false">_xlfn.xlookup(AK1138,A:A,J:J)</f>
        <v>#NAME?</v>
      </c>
      <c r="AN1138" s="15" t="e">
        <f aca="false">_xlfn.xlookup(AK1138,A:A,M:M)+_xlfn.xlookup(AK1138,A:A,N:N)</f>
        <v>#NAME?</v>
      </c>
      <c r="AO1138" s="223" t="e">
        <f aca="false">_xlfn.xlookup(AK1138,A:A,AG:AG)</f>
        <v>#NAME?</v>
      </c>
      <c r="AP1138" s="223" t="e">
        <f aca="false">_xlfn.xlookup(AK1138,A:A,AD:AD)</f>
        <v>#NAME?</v>
      </c>
      <c r="AQ1138" s="223" t="e">
        <f aca="false">_xlfn.xlookup(AK1138,A:A,AE:AE)</f>
        <v>#NAME?</v>
      </c>
      <c r="BB1138" s="15" t="e">
        <f aca="false">_xlfn.xlookup(BA1138,A:A,E:E)</f>
        <v>#NAME?</v>
      </c>
      <c r="BC1138" s="15" t="e">
        <f aca="false">_xlfn.xlookup(BA1138,A:A,J:J)</f>
        <v>#NAME?</v>
      </c>
      <c r="BD1138" s="75" t="e">
        <f aca="false">_xlfn.xlookup(BA1138,A:A,M:M)+_xlfn.xlookup(BA1138,A:A,N:N)</f>
        <v>#NAME?</v>
      </c>
    </row>
    <row r="1139" customFormat="false" ht="14.25" hidden="false" customHeight="false" outlineLevel="0" collapsed="false">
      <c r="AK1139" s="15" t="e">
        <v>#NAME?</v>
      </c>
      <c r="AL1139" s="15" t="e">
        <f aca="false">_xlfn.xlookup(AK1139,A:A,F:F)</f>
        <v>#NAME?</v>
      </c>
      <c r="AM1139" s="15" t="e">
        <f aca="false">_xlfn.xlookup(AK1139,A:A,J:J)</f>
        <v>#NAME?</v>
      </c>
      <c r="AN1139" s="15" t="e">
        <f aca="false">_xlfn.xlookup(AK1139,A:A,M:M)+_xlfn.xlookup(AK1139,A:A,N:N)</f>
        <v>#NAME?</v>
      </c>
      <c r="AO1139" s="223" t="e">
        <f aca="false">_xlfn.xlookup(AK1139,A:A,AG:AG)</f>
        <v>#NAME?</v>
      </c>
      <c r="AP1139" s="223" t="e">
        <f aca="false">_xlfn.xlookup(AK1139,A:A,AD:AD)</f>
        <v>#NAME?</v>
      </c>
      <c r="AQ1139" s="223" t="e">
        <f aca="false">_xlfn.xlookup(AK1139,A:A,AE:AE)</f>
        <v>#NAME?</v>
      </c>
      <c r="BB1139" s="15" t="e">
        <f aca="false">_xlfn.xlookup(BA1139,A:A,E:E)</f>
        <v>#NAME?</v>
      </c>
      <c r="BC1139" s="15" t="e">
        <f aca="false">_xlfn.xlookup(BA1139,A:A,J:J)</f>
        <v>#NAME?</v>
      </c>
      <c r="BD1139" s="75" t="e">
        <f aca="false">_xlfn.xlookup(BA1139,A:A,M:M)+_xlfn.xlookup(BA1139,A:A,N:N)</f>
        <v>#NAME?</v>
      </c>
    </row>
    <row r="1140" customFormat="false" ht="14.25" hidden="false" customHeight="false" outlineLevel="0" collapsed="false">
      <c r="AK1140" s="15" t="e">
        <v>#NAME?</v>
      </c>
      <c r="AL1140" s="15" t="e">
        <f aca="false">_xlfn.xlookup(AK1140,A:A,F:F)</f>
        <v>#NAME?</v>
      </c>
      <c r="AM1140" s="15" t="e">
        <f aca="false">_xlfn.xlookup(AK1140,A:A,J:J)</f>
        <v>#NAME?</v>
      </c>
      <c r="AN1140" s="15" t="e">
        <f aca="false">_xlfn.xlookup(AK1140,A:A,M:M)+_xlfn.xlookup(AK1140,A:A,N:N)</f>
        <v>#NAME?</v>
      </c>
      <c r="AO1140" s="223" t="e">
        <f aca="false">_xlfn.xlookup(AK1140,A:A,AG:AG)</f>
        <v>#NAME?</v>
      </c>
      <c r="AP1140" s="223" t="e">
        <f aca="false">_xlfn.xlookup(AK1140,A:A,AD:AD)</f>
        <v>#NAME?</v>
      </c>
      <c r="AQ1140" s="223" t="e">
        <f aca="false">_xlfn.xlookup(AK1140,A:A,AE:AE)</f>
        <v>#NAME?</v>
      </c>
      <c r="BB1140" s="15" t="e">
        <f aca="false">_xlfn.xlookup(BA1140,A:A,E:E)</f>
        <v>#NAME?</v>
      </c>
      <c r="BC1140" s="15" t="e">
        <f aca="false">_xlfn.xlookup(BA1140,A:A,J:J)</f>
        <v>#NAME?</v>
      </c>
      <c r="BD1140" s="75" t="e">
        <f aca="false">_xlfn.xlookup(BA1140,A:A,M:M)+_xlfn.xlookup(BA1140,A:A,N:N)</f>
        <v>#NAME?</v>
      </c>
    </row>
    <row r="1141" customFormat="false" ht="14.25" hidden="false" customHeight="false" outlineLevel="0" collapsed="false">
      <c r="AK1141" s="15" t="e">
        <v>#NAME?</v>
      </c>
      <c r="AL1141" s="15" t="e">
        <f aca="false">_xlfn.xlookup(AK1141,A:A,F:F)</f>
        <v>#NAME?</v>
      </c>
      <c r="AM1141" s="15" t="e">
        <f aca="false">_xlfn.xlookup(AK1141,A:A,J:J)</f>
        <v>#NAME?</v>
      </c>
      <c r="AN1141" s="15" t="e">
        <f aca="false">_xlfn.xlookup(AK1141,A:A,M:M)+_xlfn.xlookup(AK1141,A:A,N:N)</f>
        <v>#NAME?</v>
      </c>
      <c r="AO1141" s="223" t="e">
        <f aca="false">_xlfn.xlookup(AK1141,A:A,AG:AG)</f>
        <v>#NAME?</v>
      </c>
      <c r="AP1141" s="223" t="e">
        <f aca="false">_xlfn.xlookup(AK1141,A:A,AD:AD)</f>
        <v>#NAME?</v>
      </c>
      <c r="AQ1141" s="223" t="e">
        <f aca="false">_xlfn.xlookup(AK1141,A:A,AE:AE)</f>
        <v>#NAME?</v>
      </c>
      <c r="BB1141" s="15" t="e">
        <f aca="false">_xlfn.xlookup(BA1141,A:A,E:E)</f>
        <v>#NAME?</v>
      </c>
      <c r="BC1141" s="15" t="e">
        <f aca="false">_xlfn.xlookup(BA1141,A:A,J:J)</f>
        <v>#NAME?</v>
      </c>
      <c r="BD1141" s="75" t="e">
        <f aca="false">_xlfn.xlookup(BA1141,A:A,M:M)+_xlfn.xlookup(BA1141,A:A,N:N)</f>
        <v>#NAME?</v>
      </c>
    </row>
    <row r="1142" customFormat="false" ht="14.25" hidden="false" customHeight="false" outlineLevel="0" collapsed="false">
      <c r="AK1142" s="15" t="e">
        <v>#NAME?</v>
      </c>
      <c r="AL1142" s="15" t="e">
        <f aca="false">_xlfn.xlookup(AK1142,A:A,F:F)</f>
        <v>#NAME?</v>
      </c>
      <c r="AM1142" s="15" t="e">
        <f aca="false">_xlfn.xlookup(AK1142,A:A,J:J)</f>
        <v>#NAME?</v>
      </c>
      <c r="AN1142" s="15" t="e">
        <f aca="false">_xlfn.xlookup(AK1142,A:A,M:M)+_xlfn.xlookup(AK1142,A:A,N:N)</f>
        <v>#NAME?</v>
      </c>
      <c r="AO1142" s="223" t="e">
        <f aca="false">_xlfn.xlookup(AK1142,A:A,AG:AG)</f>
        <v>#NAME?</v>
      </c>
      <c r="AP1142" s="223" t="e">
        <f aca="false">_xlfn.xlookup(AK1142,A:A,AD:AD)</f>
        <v>#NAME?</v>
      </c>
      <c r="AQ1142" s="223" t="e">
        <f aca="false">_xlfn.xlookup(AK1142,A:A,AE:AE)</f>
        <v>#NAME?</v>
      </c>
      <c r="BB1142" s="15" t="e">
        <f aca="false">_xlfn.xlookup(BA1142,A:A,E:E)</f>
        <v>#NAME?</v>
      </c>
      <c r="BC1142" s="15" t="e">
        <f aca="false">_xlfn.xlookup(BA1142,A:A,J:J)</f>
        <v>#NAME?</v>
      </c>
      <c r="BD1142" s="75" t="e">
        <f aca="false">_xlfn.xlookup(BA1142,A:A,M:M)+_xlfn.xlookup(BA1142,A:A,N:N)</f>
        <v>#NAME?</v>
      </c>
    </row>
    <row r="1143" customFormat="false" ht="14.25" hidden="false" customHeight="false" outlineLevel="0" collapsed="false">
      <c r="AK1143" s="15" t="e">
        <v>#NAME?</v>
      </c>
      <c r="AL1143" s="15" t="e">
        <f aca="false">_xlfn.xlookup(AK1143,A:A,F:F)</f>
        <v>#NAME?</v>
      </c>
      <c r="AM1143" s="15" t="e">
        <f aca="false">_xlfn.xlookup(AK1143,A:A,J:J)</f>
        <v>#NAME?</v>
      </c>
      <c r="AN1143" s="15" t="e">
        <f aca="false">_xlfn.xlookup(AK1143,A:A,M:M)+_xlfn.xlookup(AK1143,A:A,N:N)</f>
        <v>#NAME?</v>
      </c>
      <c r="AO1143" s="223" t="e">
        <f aca="false">_xlfn.xlookup(AK1143,A:A,AG:AG)</f>
        <v>#NAME?</v>
      </c>
      <c r="AP1143" s="223" t="e">
        <f aca="false">_xlfn.xlookup(AK1143,A:A,AD:AD)</f>
        <v>#NAME?</v>
      </c>
      <c r="AQ1143" s="223" t="e">
        <f aca="false">_xlfn.xlookup(AK1143,A:A,AE:AE)</f>
        <v>#NAME?</v>
      </c>
      <c r="BB1143" s="15" t="e">
        <f aca="false">_xlfn.xlookup(BA1143,A:A,E:E)</f>
        <v>#NAME?</v>
      </c>
      <c r="BC1143" s="15" t="e">
        <f aca="false">_xlfn.xlookup(BA1143,A:A,J:J)</f>
        <v>#NAME?</v>
      </c>
      <c r="BD1143" s="75" t="e">
        <f aca="false">_xlfn.xlookup(BA1143,A:A,M:M)+_xlfn.xlookup(BA1143,A:A,N:N)</f>
        <v>#NAME?</v>
      </c>
    </row>
    <row r="1144" customFormat="false" ht="14.25" hidden="false" customHeight="false" outlineLevel="0" collapsed="false">
      <c r="AK1144" s="15" t="e">
        <v>#NAME?</v>
      </c>
      <c r="AL1144" s="15" t="e">
        <f aca="false">_xlfn.xlookup(AK1144,A:A,F:F)</f>
        <v>#NAME?</v>
      </c>
      <c r="AM1144" s="15" t="e">
        <f aca="false">_xlfn.xlookup(AK1144,A:A,J:J)</f>
        <v>#NAME?</v>
      </c>
      <c r="AN1144" s="15" t="e">
        <f aca="false">_xlfn.xlookup(AK1144,A:A,M:M)+_xlfn.xlookup(AK1144,A:A,N:N)</f>
        <v>#NAME?</v>
      </c>
      <c r="AO1144" s="223" t="e">
        <f aca="false">_xlfn.xlookup(AK1144,A:A,AG:AG)</f>
        <v>#NAME?</v>
      </c>
      <c r="AP1144" s="223" t="e">
        <f aca="false">_xlfn.xlookup(AK1144,A:A,AD:AD)</f>
        <v>#NAME?</v>
      </c>
      <c r="AQ1144" s="223" t="e">
        <f aca="false">_xlfn.xlookup(AK1144,A:A,AE:AE)</f>
        <v>#NAME?</v>
      </c>
      <c r="BB1144" s="15" t="e">
        <f aca="false">_xlfn.xlookup(BA1144,A:A,E:E)</f>
        <v>#NAME?</v>
      </c>
      <c r="BC1144" s="15" t="e">
        <f aca="false">_xlfn.xlookup(BA1144,A:A,J:J)</f>
        <v>#NAME?</v>
      </c>
      <c r="BD1144" s="75" t="e">
        <f aca="false">_xlfn.xlookup(BA1144,A:A,M:M)+_xlfn.xlookup(BA1144,A:A,N:N)</f>
        <v>#NAME?</v>
      </c>
    </row>
    <row r="1145" customFormat="false" ht="14.25" hidden="false" customHeight="false" outlineLevel="0" collapsed="false">
      <c r="AK1145" s="15" t="e">
        <v>#NAME?</v>
      </c>
      <c r="AL1145" s="15" t="e">
        <f aca="false">_xlfn.xlookup(AK1145,A:A,F:F)</f>
        <v>#NAME?</v>
      </c>
      <c r="AM1145" s="15" t="e">
        <f aca="false">_xlfn.xlookup(AK1145,A:A,J:J)</f>
        <v>#NAME?</v>
      </c>
      <c r="AN1145" s="15" t="e">
        <f aca="false">_xlfn.xlookup(AK1145,A:A,M:M)+_xlfn.xlookup(AK1145,A:A,N:N)</f>
        <v>#NAME?</v>
      </c>
      <c r="AO1145" s="223" t="e">
        <f aca="false">_xlfn.xlookup(AK1145,A:A,AG:AG)</f>
        <v>#NAME?</v>
      </c>
      <c r="AP1145" s="223" t="e">
        <f aca="false">_xlfn.xlookup(AK1145,A:A,AD:AD)</f>
        <v>#NAME?</v>
      </c>
      <c r="AQ1145" s="223" t="e">
        <f aca="false">_xlfn.xlookup(AK1145,A:A,AE:AE)</f>
        <v>#NAME?</v>
      </c>
      <c r="BB1145" s="15" t="e">
        <f aca="false">_xlfn.xlookup(BA1145,A:A,E:E)</f>
        <v>#NAME?</v>
      </c>
      <c r="BC1145" s="15" t="e">
        <f aca="false">_xlfn.xlookup(BA1145,A:A,J:J)</f>
        <v>#NAME?</v>
      </c>
      <c r="BD1145" s="75" t="e">
        <f aca="false">_xlfn.xlookup(BA1145,A:A,M:M)+_xlfn.xlookup(BA1145,A:A,N:N)</f>
        <v>#NAME?</v>
      </c>
    </row>
    <row r="1146" customFormat="false" ht="14.25" hidden="false" customHeight="false" outlineLevel="0" collapsed="false">
      <c r="AK1146" s="15" t="e">
        <v>#NAME?</v>
      </c>
      <c r="AL1146" s="15" t="e">
        <f aca="false">_xlfn.xlookup(AK1146,A:A,F:F)</f>
        <v>#NAME?</v>
      </c>
      <c r="AM1146" s="15" t="e">
        <f aca="false">_xlfn.xlookup(AK1146,A:A,J:J)</f>
        <v>#NAME?</v>
      </c>
      <c r="AN1146" s="15" t="e">
        <f aca="false">_xlfn.xlookup(AK1146,A:A,M:M)+_xlfn.xlookup(AK1146,A:A,N:N)</f>
        <v>#NAME?</v>
      </c>
      <c r="AO1146" s="223" t="e">
        <f aca="false">_xlfn.xlookup(AK1146,A:A,AG:AG)</f>
        <v>#NAME?</v>
      </c>
      <c r="AP1146" s="223" t="e">
        <f aca="false">_xlfn.xlookup(AK1146,A:A,AD:AD)</f>
        <v>#NAME?</v>
      </c>
      <c r="AQ1146" s="223" t="e">
        <f aca="false">_xlfn.xlookup(AK1146,A:A,AE:AE)</f>
        <v>#NAME?</v>
      </c>
      <c r="BB1146" s="15" t="e">
        <f aca="false">_xlfn.xlookup(BA1146,A:A,E:E)</f>
        <v>#NAME?</v>
      </c>
      <c r="BC1146" s="15" t="e">
        <f aca="false">_xlfn.xlookup(BA1146,A:A,J:J)</f>
        <v>#NAME?</v>
      </c>
      <c r="BD1146" s="75" t="e">
        <f aca="false">_xlfn.xlookup(BA1146,A:A,M:M)+_xlfn.xlookup(BA1146,A:A,N:N)</f>
        <v>#NAME?</v>
      </c>
    </row>
    <row r="1147" customFormat="false" ht="14.25" hidden="false" customHeight="false" outlineLevel="0" collapsed="false">
      <c r="AK1147" s="15" t="e">
        <v>#NAME?</v>
      </c>
      <c r="AL1147" s="15" t="e">
        <f aca="false">_xlfn.xlookup(AK1147,A:A,F:F)</f>
        <v>#NAME?</v>
      </c>
      <c r="AM1147" s="15" t="e">
        <f aca="false">_xlfn.xlookup(AK1147,A:A,J:J)</f>
        <v>#NAME?</v>
      </c>
      <c r="AN1147" s="15" t="e">
        <f aca="false">_xlfn.xlookup(AK1147,A:A,M:M)+_xlfn.xlookup(AK1147,A:A,N:N)</f>
        <v>#NAME?</v>
      </c>
      <c r="AO1147" s="223" t="e">
        <f aca="false">_xlfn.xlookup(AK1147,A:A,AG:AG)</f>
        <v>#NAME?</v>
      </c>
      <c r="AP1147" s="223" t="e">
        <f aca="false">_xlfn.xlookup(AK1147,A:A,AD:AD)</f>
        <v>#NAME?</v>
      </c>
      <c r="AQ1147" s="223" t="e">
        <f aca="false">_xlfn.xlookup(AK1147,A:A,AE:AE)</f>
        <v>#NAME?</v>
      </c>
      <c r="BB1147" s="15" t="e">
        <f aca="false">_xlfn.xlookup(BA1147,A:A,E:E)</f>
        <v>#NAME?</v>
      </c>
      <c r="BC1147" s="15" t="e">
        <f aca="false">_xlfn.xlookup(BA1147,A:A,J:J)</f>
        <v>#NAME?</v>
      </c>
      <c r="BD1147" s="75" t="e">
        <f aca="false">_xlfn.xlookup(BA1147,A:A,M:M)+_xlfn.xlookup(BA1147,A:A,N:N)</f>
        <v>#NAME?</v>
      </c>
    </row>
    <row r="1148" customFormat="false" ht="14.25" hidden="false" customHeight="false" outlineLevel="0" collapsed="false">
      <c r="AK1148" s="15" t="e">
        <v>#NAME?</v>
      </c>
      <c r="AL1148" s="15" t="e">
        <f aca="false">_xlfn.xlookup(AK1148,A:A,F:F)</f>
        <v>#NAME?</v>
      </c>
      <c r="AM1148" s="15" t="e">
        <f aca="false">_xlfn.xlookup(AK1148,A:A,J:J)</f>
        <v>#NAME?</v>
      </c>
      <c r="AN1148" s="15" t="e">
        <f aca="false">_xlfn.xlookup(AK1148,A:A,M:M)+_xlfn.xlookup(AK1148,A:A,N:N)</f>
        <v>#NAME?</v>
      </c>
      <c r="AO1148" s="223" t="e">
        <f aca="false">_xlfn.xlookup(AK1148,A:A,AG:AG)</f>
        <v>#NAME?</v>
      </c>
      <c r="AP1148" s="223" t="e">
        <f aca="false">_xlfn.xlookup(AK1148,A:A,AD:AD)</f>
        <v>#NAME?</v>
      </c>
      <c r="AQ1148" s="223" t="e">
        <f aca="false">_xlfn.xlookup(AK1148,A:A,AE:AE)</f>
        <v>#NAME?</v>
      </c>
      <c r="BB1148" s="15" t="e">
        <f aca="false">_xlfn.xlookup(BA1148,A:A,E:E)</f>
        <v>#NAME?</v>
      </c>
      <c r="BC1148" s="15" t="e">
        <f aca="false">_xlfn.xlookup(BA1148,A:A,J:J)</f>
        <v>#NAME?</v>
      </c>
      <c r="BD1148" s="75" t="e">
        <f aca="false">_xlfn.xlookup(BA1148,A:A,M:M)+_xlfn.xlookup(BA1148,A:A,N:N)</f>
        <v>#NAME?</v>
      </c>
    </row>
    <row r="1149" customFormat="false" ht="14.25" hidden="false" customHeight="false" outlineLevel="0" collapsed="false">
      <c r="AK1149" s="15" t="e">
        <v>#NAME?</v>
      </c>
      <c r="AL1149" s="15" t="e">
        <f aca="false">_xlfn.xlookup(AK1149,A:A,F:F)</f>
        <v>#NAME?</v>
      </c>
      <c r="AM1149" s="15" t="e">
        <f aca="false">_xlfn.xlookup(AK1149,A:A,J:J)</f>
        <v>#NAME?</v>
      </c>
      <c r="AN1149" s="15" t="e">
        <f aca="false">_xlfn.xlookup(AK1149,A:A,M:M)+_xlfn.xlookup(AK1149,A:A,N:N)</f>
        <v>#NAME?</v>
      </c>
      <c r="AO1149" s="223" t="e">
        <f aca="false">_xlfn.xlookup(AK1149,A:A,AG:AG)</f>
        <v>#NAME?</v>
      </c>
      <c r="AP1149" s="223" t="e">
        <f aca="false">_xlfn.xlookup(AK1149,A:A,AD:AD)</f>
        <v>#NAME?</v>
      </c>
      <c r="AQ1149" s="223" t="e">
        <f aca="false">_xlfn.xlookup(AK1149,A:A,AE:AE)</f>
        <v>#NAME?</v>
      </c>
      <c r="BB1149" s="15" t="e">
        <f aca="false">_xlfn.xlookup(BA1149,A:A,E:E)</f>
        <v>#NAME?</v>
      </c>
      <c r="BC1149" s="15" t="e">
        <f aca="false">_xlfn.xlookup(BA1149,A:A,J:J)</f>
        <v>#NAME?</v>
      </c>
      <c r="BD1149" s="75" t="e">
        <f aca="false">_xlfn.xlookup(BA1149,A:A,M:M)+_xlfn.xlookup(BA1149,A:A,N:N)</f>
        <v>#NAME?</v>
      </c>
    </row>
    <row r="1150" customFormat="false" ht="14.25" hidden="false" customHeight="false" outlineLevel="0" collapsed="false">
      <c r="AK1150" s="15" t="e">
        <v>#NAME?</v>
      </c>
      <c r="AL1150" s="15" t="e">
        <f aca="false">_xlfn.xlookup(AK1150,A:A,F:F)</f>
        <v>#NAME?</v>
      </c>
      <c r="AM1150" s="15" t="e">
        <f aca="false">_xlfn.xlookup(AK1150,A:A,J:J)</f>
        <v>#NAME?</v>
      </c>
      <c r="AN1150" s="15" t="e">
        <f aca="false">_xlfn.xlookup(AK1150,A:A,M:M)+_xlfn.xlookup(AK1150,A:A,N:N)</f>
        <v>#NAME?</v>
      </c>
      <c r="AO1150" s="223" t="e">
        <f aca="false">_xlfn.xlookup(AK1150,A:A,AG:AG)</f>
        <v>#NAME?</v>
      </c>
      <c r="AP1150" s="223" t="e">
        <f aca="false">_xlfn.xlookup(AK1150,A:A,AD:AD)</f>
        <v>#NAME?</v>
      </c>
      <c r="AQ1150" s="223" t="e">
        <f aca="false">_xlfn.xlookup(AK1150,A:A,AE:AE)</f>
        <v>#NAME?</v>
      </c>
      <c r="BB1150" s="15" t="e">
        <f aca="false">_xlfn.xlookup(BA1150,A:A,E:E)</f>
        <v>#NAME?</v>
      </c>
      <c r="BC1150" s="15" t="e">
        <f aca="false">_xlfn.xlookup(BA1150,A:A,J:J)</f>
        <v>#NAME?</v>
      </c>
      <c r="BD1150" s="75" t="e">
        <f aca="false">_xlfn.xlookup(BA1150,A:A,M:M)+_xlfn.xlookup(BA1150,A:A,N:N)</f>
        <v>#NAME?</v>
      </c>
    </row>
    <row r="1151" customFormat="false" ht="14.25" hidden="false" customHeight="false" outlineLevel="0" collapsed="false">
      <c r="AK1151" s="15" t="e">
        <v>#NAME?</v>
      </c>
      <c r="AL1151" s="15" t="e">
        <f aca="false">_xlfn.xlookup(AK1151,A:A,F:F)</f>
        <v>#NAME?</v>
      </c>
      <c r="AM1151" s="15" t="e">
        <f aca="false">_xlfn.xlookup(AK1151,A:A,J:J)</f>
        <v>#NAME?</v>
      </c>
      <c r="AN1151" s="15" t="e">
        <f aca="false">_xlfn.xlookup(AK1151,A:A,M:M)+_xlfn.xlookup(AK1151,A:A,N:N)</f>
        <v>#NAME?</v>
      </c>
      <c r="AO1151" s="223" t="e">
        <f aca="false">_xlfn.xlookup(AK1151,A:A,AG:AG)</f>
        <v>#NAME?</v>
      </c>
      <c r="AP1151" s="223" t="e">
        <f aca="false">_xlfn.xlookup(AK1151,A:A,AD:AD)</f>
        <v>#NAME?</v>
      </c>
      <c r="AQ1151" s="223" t="e">
        <f aca="false">_xlfn.xlookup(AK1151,A:A,AE:AE)</f>
        <v>#NAME?</v>
      </c>
      <c r="BB1151" s="15" t="e">
        <f aca="false">_xlfn.xlookup(BA1151,A:A,E:E)</f>
        <v>#NAME?</v>
      </c>
      <c r="BC1151" s="15" t="e">
        <f aca="false">_xlfn.xlookup(BA1151,A:A,J:J)</f>
        <v>#NAME?</v>
      </c>
      <c r="BD1151" s="75" t="e">
        <f aca="false">_xlfn.xlookup(BA1151,A:A,M:M)+_xlfn.xlookup(BA1151,A:A,N:N)</f>
        <v>#NAME?</v>
      </c>
    </row>
    <row r="1152" customFormat="false" ht="14.25" hidden="false" customHeight="false" outlineLevel="0" collapsed="false">
      <c r="AK1152" s="15" t="e">
        <v>#NAME?</v>
      </c>
      <c r="AL1152" s="15" t="e">
        <f aca="false">_xlfn.xlookup(AK1152,A:A,F:F)</f>
        <v>#NAME?</v>
      </c>
      <c r="AM1152" s="15" t="e">
        <f aca="false">_xlfn.xlookup(AK1152,A:A,J:J)</f>
        <v>#NAME?</v>
      </c>
      <c r="AN1152" s="15" t="e">
        <f aca="false">_xlfn.xlookup(AK1152,A:A,M:M)+_xlfn.xlookup(AK1152,A:A,N:N)</f>
        <v>#NAME?</v>
      </c>
      <c r="AO1152" s="223" t="e">
        <f aca="false">_xlfn.xlookup(AK1152,A:A,AG:AG)</f>
        <v>#NAME?</v>
      </c>
      <c r="AP1152" s="223" t="e">
        <f aca="false">_xlfn.xlookup(AK1152,A:A,AD:AD)</f>
        <v>#NAME?</v>
      </c>
      <c r="AQ1152" s="223" t="e">
        <f aca="false">_xlfn.xlookup(AK1152,A:A,AE:AE)</f>
        <v>#NAME?</v>
      </c>
      <c r="BB1152" s="15" t="e">
        <f aca="false">_xlfn.xlookup(BA1152,A:A,E:E)</f>
        <v>#NAME?</v>
      </c>
      <c r="BC1152" s="15" t="e">
        <f aca="false">_xlfn.xlookup(BA1152,A:A,J:J)</f>
        <v>#NAME?</v>
      </c>
      <c r="BD1152" s="75" t="e">
        <f aca="false">_xlfn.xlookup(BA1152,A:A,M:M)+_xlfn.xlookup(BA1152,A:A,N:N)</f>
        <v>#NAME?</v>
      </c>
    </row>
    <row r="1153" customFormat="false" ht="14.25" hidden="false" customHeight="false" outlineLevel="0" collapsed="false">
      <c r="AK1153" s="15" t="e">
        <v>#NAME?</v>
      </c>
      <c r="AL1153" s="15" t="e">
        <f aca="false">_xlfn.xlookup(AK1153,A:A,F:F)</f>
        <v>#NAME?</v>
      </c>
      <c r="AM1153" s="15" t="e">
        <f aca="false">_xlfn.xlookup(AK1153,A:A,J:J)</f>
        <v>#NAME?</v>
      </c>
      <c r="AN1153" s="15" t="e">
        <f aca="false">_xlfn.xlookup(AK1153,A:A,M:M)+_xlfn.xlookup(AK1153,A:A,N:N)</f>
        <v>#NAME?</v>
      </c>
      <c r="AO1153" s="223" t="e">
        <f aca="false">_xlfn.xlookup(AK1153,A:A,AG:AG)</f>
        <v>#NAME?</v>
      </c>
      <c r="AP1153" s="223" t="e">
        <f aca="false">_xlfn.xlookup(AK1153,A:A,AD:AD)</f>
        <v>#NAME?</v>
      </c>
      <c r="AQ1153" s="223" t="e">
        <f aca="false">_xlfn.xlookup(AK1153,A:A,AE:AE)</f>
        <v>#NAME?</v>
      </c>
      <c r="BB1153" s="15" t="e">
        <f aca="false">_xlfn.xlookup(BA1153,A:A,E:E)</f>
        <v>#NAME?</v>
      </c>
      <c r="BC1153" s="15" t="e">
        <f aca="false">_xlfn.xlookup(BA1153,A:A,J:J)</f>
        <v>#NAME?</v>
      </c>
      <c r="BD1153" s="75" t="e">
        <f aca="false">_xlfn.xlookup(BA1153,A:A,M:M)+_xlfn.xlookup(BA1153,A:A,N:N)</f>
        <v>#NAME?</v>
      </c>
    </row>
    <row r="1154" customFormat="false" ht="14.25" hidden="false" customHeight="false" outlineLevel="0" collapsed="false">
      <c r="AK1154" s="15" t="e">
        <v>#NAME?</v>
      </c>
      <c r="AL1154" s="15" t="e">
        <f aca="false">_xlfn.xlookup(AK1154,A:A,F:F)</f>
        <v>#NAME?</v>
      </c>
      <c r="AM1154" s="15" t="e">
        <f aca="false">_xlfn.xlookup(AK1154,A:A,J:J)</f>
        <v>#NAME?</v>
      </c>
      <c r="AN1154" s="15" t="e">
        <f aca="false">_xlfn.xlookup(AK1154,A:A,M:M)+_xlfn.xlookup(AK1154,A:A,N:N)</f>
        <v>#NAME?</v>
      </c>
      <c r="AO1154" s="223" t="e">
        <f aca="false">_xlfn.xlookup(AK1154,A:A,AG:AG)</f>
        <v>#NAME?</v>
      </c>
      <c r="AP1154" s="223" t="e">
        <f aca="false">_xlfn.xlookup(AK1154,A:A,AD:AD)</f>
        <v>#NAME?</v>
      </c>
      <c r="AQ1154" s="223" t="e">
        <f aca="false">_xlfn.xlookup(AK1154,A:A,AE:AE)</f>
        <v>#NAME?</v>
      </c>
      <c r="BB1154" s="15" t="e">
        <f aca="false">_xlfn.xlookup(BA1154,A:A,E:E)</f>
        <v>#NAME?</v>
      </c>
      <c r="BC1154" s="15" t="e">
        <f aca="false">_xlfn.xlookup(BA1154,A:A,J:J)</f>
        <v>#NAME?</v>
      </c>
      <c r="BD1154" s="75" t="e">
        <f aca="false">_xlfn.xlookup(BA1154,A:A,M:M)+_xlfn.xlookup(BA1154,A:A,N:N)</f>
        <v>#NAME?</v>
      </c>
    </row>
    <row r="1155" customFormat="false" ht="14.25" hidden="false" customHeight="false" outlineLevel="0" collapsed="false">
      <c r="AK1155" s="15" t="e">
        <v>#NAME?</v>
      </c>
      <c r="AL1155" s="15" t="e">
        <f aca="false">_xlfn.xlookup(AK1155,A:A,F:F)</f>
        <v>#NAME?</v>
      </c>
      <c r="AM1155" s="15" t="e">
        <f aca="false">_xlfn.xlookup(AK1155,A:A,J:J)</f>
        <v>#NAME?</v>
      </c>
      <c r="AN1155" s="15" t="e">
        <f aca="false">_xlfn.xlookup(AK1155,A:A,M:M)+_xlfn.xlookup(AK1155,A:A,N:N)</f>
        <v>#NAME?</v>
      </c>
      <c r="AO1155" s="223" t="e">
        <f aca="false">_xlfn.xlookup(AK1155,A:A,AG:AG)</f>
        <v>#NAME?</v>
      </c>
      <c r="AP1155" s="223" t="e">
        <f aca="false">_xlfn.xlookup(AK1155,A:A,AD:AD)</f>
        <v>#NAME?</v>
      </c>
      <c r="AQ1155" s="223" t="e">
        <f aca="false">_xlfn.xlookup(AK1155,A:A,AE:AE)</f>
        <v>#NAME?</v>
      </c>
      <c r="BB1155" s="15" t="e">
        <f aca="false">_xlfn.xlookup(BA1155,A:A,E:E)</f>
        <v>#NAME?</v>
      </c>
      <c r="BC1155" s="15" t="e">
        <f aca="false">_xlfn.xlookup(BA1155,A:A,J:J)</f>
        <v>#NAME?</v>
      </c>
      <c r="BD1155" s="75" t="e">
        <f aca="false">_xlfn.xlookup(BA1155,A:A,M:M)+_xlfn.xlookup(BA1155,A:A,N:N)</f>
        <v>#NAME?</v>
      </c>
    </row>
    <row r="1156" customFormat="false" ht="14.25" hidden="false" customHeight="false" outlineLevel="0" collapsed="false">
      <c r="AK1156" s="15" t="e">
        <v>#NAME?</v>
      </c>
      <c r="AL1156" s="15" t="e">
        <f aca="false">_xlfn.xlookup(AK1156,A:A,F:F)</f>
        <v>#NAME?</v>
      </c>
      <c r="AM1156" s="15" t="e">
        <f aca="false">_xlfn.xlookup(AK1156,A:A,J:J)</f>
        <v>#NAME?</v>
      </c>
      <c r="AN1156" s="15" t="e">
        <f aca="false">_xlfn.xlookup(AK1156,A:A,M:M)+_xlfn.xlookup(AK1156,A:A,N:N)</f>
        <v>#NAME?</v>
      </c>
      <c r="AO1156" s="223" t="e">
        <f aca="false">_xlfn.xlookup(AK1156,A:A,AG:AG)</f>
        <v>#NAME?</v>
      </c>
      <c r="AP1156" s="223" t="e">
        <f aca="false">_xlfn.xlookup(AK1156,A:A,AD:AD)</f>
        <v>#NAME?</v>
      </c>
      <c r="AQ1156" s="223" t="e">
        <f aca="false">_xlfn.xlookup(AK1156,A:A,AE:AE)</f>
        <v>#NAME?</v>
      </c>
      <c r="BB1156" s="15" t="e">
        <f aca="false">_xlfn.xlookup(BA1156,A:A,E:E)</f>
        <v>#NAME?</v>
      </c>
      <c r="BC1156" s="15" t="e">
        <f aca="false">_xlfn.xlookup(BA1156,A:A,J:J)</f>
        <v>#NAME?</v>
      </c>
      <c r="BD1156" s="75" t="e">
        <f aca="false">_xlfn.xlookup(BA1156,A:A,M:M)+_xlfn.xlookup(BA1156,A:A,N:N)</f>
        <v>#NAME?</v>
      </c>
    </row>
    <row r="1157" customFormat="false" ht="14.25" hidden="false" customHeight="false" outlineLevel="0" collapsed="false">
      <c r="AK1157" s="15" t="e">
        <v>#NAME?</v>
      </c>
      <c r="AL1157" s="15" t="e">
        <f aca="false">_xlfn.xlookup(AK1157,A:A,F:F)</f>
        <v>#NAME?</v>
      </c>
      <c r="AM1157" s="15" t="e">
        <f aca="false">_xlfn.xlookup(AK1157,A:A,J:J)</f>
        <v>#NAME?</v>
      </c>
      <c r="AN1157" s="15" t="e">
        <f aca="false">_xlfn.xlookup(AK1157,A:A,M:M)+_xlfn.xlookup(AK1157,A:A,N:N)</f>
        <v>#NAME?</v>
      </c>
      <c r="AO1157" s="223" t="e">
        <f aca="false">_xlfn.xlookup(AK1157,A:A,AG:AG)</f>
        <v>#NAME?</v>
      </c>
      <c r="AP1157" s="223" t="e">
        <f aca="false">_xlfn.xlookup(AK1157,A:A,AD:AD)</f>
        <v>#NAME?</v>
      </c>
      <c r="AQ1157" s="223" t="e">
        <f aca="false">_xlfn.xlookup(AK1157,A:A,AE:AE)</f>
        <v>#NAME?</v>
      </c>
      <c r="BB1157" s="15" t="e">
        <f aca="false">_xlfn.xlookup(BA1157,A:A,E:E)</f>
        <v>#NAME?</v>
      </c>
      <c r="BC1157" s="15" t="e">
        <f aca="false">_xlfn.xlookup(BA1157,A:A,J:J)</f>
        <v>#NAME?</v>
      </c>
      <c r="BD1157" s="75" t="e">
        <f aca="false">_xlfn.xlookup(BA1157,A:A,M:M)+_xlfn.xlookup(BA1157,A:A,N:N)</f>
        <v>#NAME?</v>
      </c>
    </row>
    <row r="1158" customFormat="false" ht="14.25" hidden="false" customHeight="false" outlineLevel="0" collapsed="false">
      <c r="AK1158" s="15" t="e">
        <v>#NAME?</v>
      </c>
      <c r="AL1158" s="15" t="e">
        <f aca="false">_xlfn.xlookup(AK1158,A:A,F:F)</f>
        <v>#NAME?</v>
      </c>
      <c r="AM1158" s="15" t="e">
        <f aca="false">_xlfn.xlookup(AK1158,A:A,J:J)</f>
        <v>#NAME?</v>
      </c>
      <c r="AN1158" s="15" t="e">
        <f aca="false">_xlfn.xlookup(AK1158,A:A,M:M)+_xlfn.xlookup(AK1158,A:A,N:N)</f>
        <v>#NAME?</v>
      </c>
      <c r="AO1158" s="223" t="e">
        <f aca="false">_xlfn.xlookup(AK1158,A:A,AG:AG)</f>
        <v>#NAME?</v>
      </c>
      <c r="AP1158" s="223" t="e">
        <f aca="false">_xlfn.xlookup(AK1158,A:A,AD:AD)</f>
        <v>#NAME?</v>
      </c>
      <c r="AQ1158" s="223" t="e">
        <f aca="false">_xlfn.xlookup(AK1158,A:A,AE:AE)</f>
        <v>#NAME?</v>
      </c>
      <c r="BB1158" s="15" t="e">
        <f aca="false">_xlfn.xlookup(BA1158,A:A,E:E)</f>
        <v>#NAME?</v>
      </c>
      <c r="BC1158" s="15" t="e">
        <f aca="false">_xlfn.xlookup(BA1158,A:A,J:J)</f>
        <v>#NAME?</v>
      </c>
      <c r="BD1158" s="75" t="e">
        <f aca="false">_xlfn.xlookup(BA1158,A:A,M:M)+_xlfn.xlookup(BA1158,A:A,N:N)</f>
        <v>#NAME?</v>
      </c>
    </row>
    <row r="1159" customFormat="false" ht="14.25" hidden="false" customHeight="false" outlineLevel="0" collapsed="false">
      <c r="AK1159" s="15" t="e">
        <v>#NAME?</v>
      </c>
      <c r="AL1159" s="15" t="e">
        <f aca="false">_xlfn.xlookup(AK1159,A:A,F:F)</f>
        <v>#NAME?</v>
      </c>
      <c r="AM1159" s="15" t="e">
        <f aca="false">_xlfn.xlookup(AK1159,A:A,J:J)</f>
        <v>#NAME?</v>
      </c>
      <c r="AN1159" s="15" t="e">
        <f aca="false">_xlfn.xlookup(AK1159,A:A,M:M)+_xlfn.xlookup(AK1159,A:A,N:N)</f>
        <v>#NAME?</v>
      </c>
      <c r="AO1159" s="223" t="e">
        <f aca="false">_xlfn.xlookup(AK1159,A:A,AG:AG)</f>
        <v>#NAME?</v>
      </c>
      <c r="AP1159" s="223" t="e">
        <f aca="false">_xlfn.xlookup(AK1159,A:A,AD:AD)</f>
        <v>#NAME?</v>
      </c>
      <c r="AQ1159" s="223" t="e">
        <f aca="false">_xlfn.xlookup(AK1159,A:A,AE:AE)</f>
        <v>#NAME?</v>
      </c>
      <c r="BB1159" s="15" t="e">
        <f aca="false">_xlfn.xlookup(BA1159,A:A,E:E)</f>
        <v>#NAME?</v>
      </c>
      <c r="BC1159" s="15" t="e">
        <f aca="false">_xlfn.xlookup(BA1159,A:A,J:J)</f>
        <v>#NAME?</v>
      </c>
      <c r="BD1159" s="75" t="e">
        <f aca="false">_xlfn.xlookup(BA1159,A:A,M:M)+_xlfn.xlookup(BA1159,A:A,N:N)</f>
        <v>#NAME?</v>
      </c>
    </row>
    <row r="1160" customFormat="false" ht="14.25" hidden="false" customHeight="false" outlineLevel="0" collapsed="false">
      <c r="AK1160" s="15" t="e">
        <v>#NAME?</v>
      </c>
      <c r="AL1160" s="15" t="e">
        <f aca="false">_xlfn.xlookup(AK1160,A:A,F:F)</f>
        <v>#NAME?</v>
      </c>
      <c r="AM1160" s="15" t="e">
        <f aca="false">_xlfn.xlookup(AK1160,A:A,J:J)</f>
        <v>#NAME?</v>
      </c>
      <c r="AN1160" s="15" t="e">
        <f aca="false">_xlfn.xlookup(AK1160,A:A,M:M)+_xlfn.xlookup(AK1160,A:A,N:N)</f>
        <v>#NAME?</v>
      </c>
      <c r="AO1160" s="223" t="e">
        <f aca="false">_xlfn.xlookup(AK1160,A:A,AG:AG)</f>
        <v>#NAME?</v>
      </c>
      <c r="AP1160" s="223" t="e">
        <f aca="false">_xlfn.xlookup(AK1160,A:A,AD:AD)</f>
        <v>#NAME?</v>
      </c>
      <c r="AQ1160" s="223" t="e">
        <f aca="false">_xlfn.xlookup(AK1160,A:A,AE:AE)</f>
        <v>#NAME?</v>
      </c>
      <c r="BB1160" s="15" t="e">
        <f aca="false">_xlfn.xlookup(BA1160,A:A,E:E)</f>
        <v>#NAME?</v>
      </c>
      <c r="BC1160" s="15" t="e">
        <f aca="false">_xlfn.xlookup(BA1160,A:A,J:J)</f>
        <v>#NAME?</v>
      </c>
      <c r="BD1160" s="75" t="e">
        <f aca="false">_xlfn.xlookup(BA1160,A:A,M:M)+_xlfn.xlookup(BA1160,A:A,N:N)</f>
        <v>#NAME?</v>
      </c>
    </row>
    <row r="1161" customFormat="false" ht="14.25" hidden="false" customHeight="false" outlineLevel="0" collapsed="false">
      <c r="AK1161" s="15" t="e">
        <v>#NAME?</v>
      </c>
      <c r="AL1161" s="15" t="e">
        <f aca="false">_xlfn.xlookup(AK1161,A:A,F:F)</f>
        <v>#NAME?</v>
      </c>
      <c r="AM1161" s="15" t="e">
        <f aca="false">_xlfn.xlookup(AK1161,A:A,J:J)</f>
        <v>#NAME?</v>
      </c>
      <c r="AN1161" s="15" t="e">
        <f aca="false">_xlfn.xlookup(AK1161,A:A,M:M)+_xlfn.xlookup(AK1161,A:A,N:N)</f>
        <v>#NAME?</v>
      </c>
      <c r="AO1161" s="223" t="e">
        <f aca="false">_xlfn.xlookup(AK1161,A:A,AG:AG)</f>
        <v>#NAME?</v>
      </c>
      <c r="AP1161" s="223" t="e">
        <f aca="false">_xlfn.xlookup(AK1161,A:A,AD:AD)</f>
        <v>#NAME?</v>
      </c>
      <c r="AQ1161" s="223" t="e">
        <f aca="false">_xlfn.xlookup(AK1161,A:A,AE:AE)</f>
        <v>#NAME?</v>
      </c>
      <c r="BB1161" s="15" t="e">
        <f aca="false">_xlfn.xlookup(BA1161,A:A,E:E)</f>
        <v>#NAME?</v>
      </c>
      <c r="BC1161" s="15" t="e">
        <f aca="false">_xlfn.xlookup(BA1161,A:A,J:J)</f>
        <v>#NAME?</v>
      </c>
      <c r="BD1161" s="75" t="e">
        <f aca="false">_xlfn.xlookup(BA1161,A:A,M:M)+_xlfn.xlookup(BA1161,A:A,N:N)</f>
        <v>#NAME?</v>
      </c>
    </row>
    <row r="1162" customFormat="false" ht="14.25" hidden="false" customHeight="false" outlineLevel="0" collapsed="false">
      <c r="AK1162" s="15" t="e">
        <v>#NAME?</v>
      </c>
      <c r="AL1162" s="15" t="e">
        <f aca="false">_xlfn.xlookup(AK1162,A:A,F:F)</f>
        <v>#NAME?</v>
      </c>
      <c r="AM1162" s="15" t="e">
        <f aca="false">_xlfn.xlookup(AK1162,A:A,J:J)</f>
        <v>#NAME?</v>
      </c>
      <c r="AN1162" s="15" t="e">
        <f aca="false">_xlfn.xlookup(AK1162,A:A,M:M)+_xlfn.xlookup(AK1162,A:A,N:N)</f>
        <v>#NAME?</v>
      </c>
      <c r="AO1162" s="223" t="e">
        <f aca="false">_xlfn.xlookup(AK1162,A:A,AG:AG)</f>
        <v>#NAME?</v>
      </c>
      <c r="AP1162" s="223" t="e">
        <f aca="false">_xlfn.xlookup(AK1162,A:A,AD:AD)</f>
        <v>#NAME?</v>
      </c>
      <c r="AQ1162" s="223" t="e">
        <f aca="false">_xlfn.xlookup(AK1162,A:A,AE:AE)</f>
        <v>#NAME?</v>
      </c>
      <c r="BB1162" s="15" t="e">
        <f aca="false">_xlfn.xlookup(BA1162,A:A,E:E)</f>
        <v>#NAME?</v>
      </c>
      <c r="BC1162" s="15" t="e">
        <f aca="false">_xlfn.xlookup(BA1162,A:A,J:J)</f>
        <v>#NAME?</v>
      </c>
      <c r="BD1162" s="75" t="e">
        <f aca="false">_xlfn.xlookup(BA1162,A:A,M:M)+_xlfn.xlookup(BA1162,A:A,N:N)</f>
        <v>#NAME?</v>
      </c>
    </row>
    <row r="1163" customFormat="false" ht="14.25" hidden="false" customHeight="false" outlineLevel="0" collapsed="false">
      <c r="AK1163" s="15" t="e">
        <v>#NAME?</v>
      </c>
      <c r="AL1163" s="15" t="e">
        <f aca="false">_xlfn.xlookup(AK1163,A:A,F:F)</f>
        <v>#NAME?</v>
      </c>
      <c r="AM1163" s="15" t="e">
        <f aca="false">_xlfn.xlookup(AK1163,A:A,J:J)</f>
        <v>#NAME?</v>
      </c>
      <c r="AN1163" s="15" t="e">
        <f aca="false">_xlfn.xlookup(AK1163,A:A,M:M)+_xlfn.xlookup(AK1163,A:A,N:N)</f>
        <v>#NAME?</v>
      </c>
      <c r="AO1163" s="223" t="e">
        <f aca="false">_xlfn.xlookup(AK1163,A:A,AG:AG)</f>
        <v>#NAME?</v>
      </c>
      <c r="AP1163" s="223" t="e">
        <f aca="false">_xlfn.xlookup(AK1163,A:A,AD:AD)</f>
        <v>#NAME?</v>
      </c>
      <c r="AQ1163" s="223" t="e">
        <f aca="false">_xlfn.xlookup(AK1163,A:A,AE:AE)</f>
        <v>#NAME?</v>
      </c>
      <c r="BB1163" s="15" t="e">
        <f aca="false">_xlfn.xlookup(BA1163,A:A,E:E)</f>
        <v>#NAME?</v>
      </c>
      <c r="BC1163" s="15" t="e">
        <f aca="false">_xlfn.xlookup(BA1163,A:A,J:J)</f>
        <v>#NAME?</v>
      </c>
      <c r="BD1163" s="75" t="e">
        <f aca="false">_xlfn.xlookup(BA1163,A:A,M:M)+_xlfn.xlookup(BA1163,A:A,N:N)</f>
        <v>#NAME?</v>
      </c>
    </row>
    <row r="1164" customFormat="false" ht="14.25" hidden="false" customHeight="false" outlineLevel="0" collapsed="false">
      <c r="AK1164" s="15" t="e">
        <v>#NAME?</v>
      </c>
      <c r="AL1164" s="15" t="e">
        <f aca="false">_xlfn.xlookup(AK1164,A:A,F:F)</f>
        <v>#NAME?</v>
      </c>
      <c r="AM1164" s="15" t="e">
        <f aca="false">_xlfn.xlookup(AK1164,A:A,J:J)</f>
        <v>#NAME?</v>
      </c>
      <c r="AN1164" s="15" t="e">
        <f aca="false">_xlfn.xlookup(AK1164,A:A,M:M)+_xlfn.xlookup(AK1164,A:A,N:N)</f>
        <v>#NAME?</v>
      </c>
      <c r="AO1164" s="223" t="e">
        <f aca="false">_xlfn.xlookup(AK1164,A:A,AG:AG)</f>
        <v>#NAME?</v>
      </c>
      <c r="AP1164" s="223" t="e">
        <f aca="false">_xlfn.xlookup(AK1164,A:A,AD:AD)</f>
        <v>#NAME?</v>
      </c>
      <c r="AQ1164" s="223" t="e">
        <f aca="false">_xlfn.xlookup(AK1164,A:A,AE:AE)</f>
        <v>#NAME?</v>
      </c>
      <c r="BB1164" s="15" t="e">
        <f aca="false">_xlfn.xlookup(BA1164,A:A,E:E)</f>
        <v>#NAME?</v>
      </c>
      <c r="BC1164" s="15" t="e">
        <f aca="false">_xlfn.xlookup(BA1164,A:A,J:J)</f>
        <v>#NAME?</v>
      </c>
      <c r="BD1164" s="75" t="e">
        <f aca="false">_xlfn.xlookup(BA1164,A:A,M:M)+_xlfn.xlookup(BA1164,A:A,N:N)</f>
        <v>#NAME?</v>
      </c>
    </row>
    <row r="1165" customFormat="false" ht="14.25" hidden="false" customHeight="false" outlineLevel="0" collapsed="false">
      <c r="AK1165" s="15" t="e">
        <v>#NAME?</v>
      </c>
      <c r="AL1165" s="15" t="e">
        <f aca="false">_xlfn.xlookup(AK1165,A:A,F:F)</f>
        <v>#NAME?</v>
      </c>
      <c r="AM1165" s="15" t="e">
        <f aca="false">_xlfn.xlookup(AK1165,A:A,J:J)</f>
        <v>#NAME?</v>
      </c>
      <c r="AN1165" s="15" t="e">
        <f aca="false">_xlfn.xlookup(AK1165,A:A,M:M)+_xlfn.xlookup(AK1165,A:A,N:N)</f>
        <v>#NAME?</v>
      </c>
      <c r="AO1165" s="223" t="e">
        <f aca="false">_xlfn.xlookup(AK1165,A:A,AG:AG)</f>
        <v>#NAME?</v>
      </c>
      <c r="AP1165" s="223" t="e">
        <f aca="false">_xlfn.xlookup(AK1165,A:A,AD:AD)</f>
        <v>#NAME?</v>
      </c>
      <c r="AQ1165" s="223" t="e">
        <f aca="false">_xlfn.xlookup(AK1165,A:A,AE:AE)</f>
        <v>#NAME?</v>
      </c>
      <c r="BB1165" s="15" t="e">
        <f aca="false">_xlfn.xlookup(BA1165,A:A,E:E)</f>
        <v>#NAME?</v>
      </c>
      <c r="BC1165" s="15" t="e">
        <f aca="false">_xlfn.xlookup(BA1165,A:A,J:J)</f>
        <v>#NAME?</v>
      </c>
      <c r="BD1165" s="75" t="e">
        <f aca="false">_xlfn.xlookup(BA1165,A:A,M:M)+_xlfn.xlookup(BA1165,A:A,N:N)</f>
        <v>#NAME?</v>
      </c>
    </row>
    <row r="1166" customFormat="false" ht="14.25" hidden="false" customHeight="false" outlineLevel="0" collapsed="false">
      <c r="AK1166" s="15" t="e">
        <v>#NAME?</v>
      </c>
      <c r="AL1166" s="15" t="e">
        <f aca="false">_xlfn.xlookup(AK1166,A:A,F:F)</f>
        <v>#NAME?</v>
      </c>
      <c r="AM1166" s="15" t="e">
        <f aca="false">_xlfn.xlookup(AK1166,A:A,J:J)</f>
        <v>#NAME?</v>
      </c>
      <c r="AN1166" s="15" t="e">
        <f aca="false">_xlfn.xlookup(AK1166,A:A,M:M)+_xlfn.xlookup(AK1166,A:A,N:N)</f>
        <v>#NAME?</v>
      </c>
      <c r="AO1166" s="223" t="e">
        <f aca="false">_xlfn.xlookup(AK1166,A:A,AG:AG)</f>
        <v>#NAME?</v>
      </c>
      <c r="AP1166" s="223" t="e">
        <f aca="false">_xlfn.xlookup(AK1166,A:A,AD:AD)</f>
        <v>#NAME?</v>
      </c>
      <c r="AQ1166" s="223" t="e">
        <f aca="false">_xlfn.xlookup(AK1166,A:A,AE:AE)</f>
        <v>#NAME?</v>
      </c>
      <c r="BB1166" s="15" t="e">
        <f aca="false">_xlfn.xlookup(BA1166,A:A,E:E)</f>
        <v>#NAME?</v>
      </c>
      <c r="BC1166" s="15" t="e">
        <f aca="false">_xlfn.xlookup(BA1166,A:A,J:J)</f>
        <v>#NAME?</v>
      </c>
      <c r="BD1166" s="75" t="e">
        <f aca="false">_xlfn.xlookup(BA1166,A:A,M:M)+_xlfn.xlookup(BA1166,A:A,N:N)</f>
        <v>#NAME?</v>
      </c>
    </row>
    <row r="1167" customFormat="false" ht="14.25" hidden="false" customHeight="false" outlineLevel="0" collapsed="false">
      <c r="AK1167" s="15" t="e">
        <v>#NAME?</v>
      </c>
      <c r="AL1167" s="15" t="e">
        <f aca="false">_xlfn.xlookup(AK1167,A:A,F:F)</f>
        <v>#NAME?</v>
      </c>
      <c r="AM1167" s="15" t="e">
        <f aca="false">_xlfn.xlookup(AK1167,A:A,J:J)</f>
        <v>#NAME?</v>
      </c>
      <c r="AN1167" s="15" t="e">
        <f aca="false">_xlfn.xlookup(AK1167,A:A,M:M)+_xlfn.xlookup(AK1167,A:A,N:N)</f>
        <v>#NAME?</v>
      </c>
      <c r="AO1167" s="223" t="e">
        <f aca="false">_xlfn.xlookup(AK1167,A:A,AG:AG)</f>
        <v>#NAME?</v>
      </c>
      <c r="AP1167" s="223" t="e">
        <f aca="false">_xlfn.xlookup(AK1167,A:A,AD:AD)</f>
        <v>#NAME?</v>
      </c>
      <c r="AQ1167" s="223" t="e">
        <f aca="false">_xlfn.xlookup(AK1167,A:A,AE:AE)</f>
        <v>#NAME?</v>
      </c>
      <c r="BB1167" s="15" t="e">
        <f aca="false">_xlfn.xlookup(BA1167,A:A,E:E)</f>
        <v>#NAME?</v>
      </c>
      <c r="BC1167" s="15" t="e">
        <f aca="false">_xlfn.xlookup(BA1167,A:A,J:J)</f>
        <v>#NAME?</v>
      </c>
      <c r="BD1167" s="75" t="e">
        <f aca="false">_xlfn.xlookup(BA1167,A:A,M:M)+_xlfn.xlookup(BA1167,A:A,N:N)</f>
        <v>#NAME?</v>
      </c>
    </row>
    <row r="1168" customFormat="false" ht="14.25" hidden="false" customHeight="false" outlineLevel="0" collapsed="false">
      <c r="AK1168" s="15" t="e">
        <v>#NAME?</v>
      </c>
      <c r="AL1168" s="15" t="e">
        <f aca="false">_xlfn.xlookup(AK1168,A:A,F:F)</f>
        <v>#NAME?</v>
      </c>
      <c r="AM1168" s="15" t="e">
        <f aca="false">_xlfn.xlookup(AK1168,A:A,J:J)</f>
        <v>#NAME?</v>
      </c>
      <c r="AN1168" s="15" t="e">
        <f aca="false">_xlfn.xlookup(AK1168,A:A,M:M)+_xlfn.xlookup(AK1168,A:A,N:N)</f>
        <v>#NAME?</v>
      </c>
      <c r="AO1168" s="223" t="e">
        <f aca="false">_xlfn.xlookup(AK1168,A:A,AG:AG)</f>
        <v>#NAME?</v>
      </c>
      <c r="AP1168" s="223" t="e">
        <f aca="false">_xlfn.xlookup(AK1168,A:A,AD:AD)</f>
        <v>#NAME?</v>
      </c>
      <c r="AQ1168" s="223" t="e">
        <f aca="false">_xlfn.xlookup(AK1168,A:A,AE:AE)</f>
        <v>#NAME?</v>
      </c>
      <c r="BB1168" s="15" t="e">
        <f aca="false">_xlfn.xlookup(BA1168,A:A,E:E)</f>
        <v>#NAME?</v>
      </c>
      <c r="BC1168" s="15" t="e">
        <f aca="false">_xlfn.xlookup(BA1168,A:A,J:J)</f>
        <v>#NAME?</v>
      </c>
      <c r="BD1168" s="75" t="e">
        <f aca="false">_xlfn.xlookup(BA1168,A:A,M:M)+_xlfn.xlookup(BA1168,A:A,N:N)</f>
        <v>#NAME?</v>
      </c>
    </row>
    <row r="1169" customFormat="false" ht="14.25" hidden="false" customHeight="false" outlineLevel="0" collapsed="false">
      <c r="AK1169" s="15" t="e">
        <v>#NAME?</v>
      </c>
      <c r="AL1169" s="15" t="e">
        <f aca="false">_xlfn.xlookup(AK1169,A:A,F:F)</f>
        <v>#NAME?</v>
      </c>
      <c r="AM1169" s="15" t="e">
        <f aca="false">_xlfn.xlookup(AK1169,A:A,J:J)</f>
        <v>#NAME?</v>
      </c>
      <c r="AN1169" s="15" t="e">
        <f aca="false">_xlfn.xlookup(AK1169,A:A,M:M)+_xlfn.xlookup(AK1169,A:A,N:N)</f>
        <v>#NAME?</v>
      </c>
      <c r="AO1169" s="223" t="e">
        <f aca="false">_xlfn.xlookup(AK1169,A:A,AG:AG)</f>
        <v>#NAME?</v>
      </c>
      <c r="AP1169" s="223" t="e">
        <f aca="false">_xlfn.xlookup(AK1169,A:A,AD:AD)</f>
        <v>#NAME?</v>
      </c>
      <c r="AQ1169" s="223" t="e">
        <f aca="false">_xlfn.xlookup(AK1169,A:A,AE:AE)</f>
        <v>#NAME?</v>
      </c>
      <c r="BB1169" s="15" t="e">
        <f aca="false">_xlfn.xlookup(BA1169,A:A,E:E)</f>
        <v>#NAME?</v>
      </c>
      <c r="BC1169" s="15" t="e">
        <f aca="false">_xlfn.xlookup(BA1169,A:A,J:J)</f>
        <v>#NAME?</v>
      </c>
      <c r="BD1169" s="75" t="e">
        <f aca="false">_xlfn.xlookup(BA1169,A:A,M:M)+_xlfn.xlookup(BA1169,A:A,N:N)</f>
        <v>#NAME?</v>
      </c>
    </row>
    <row r="1170" customFormat="false" ht="14.25" hidden="false" customHeight="false" outlineLevel="0" collapsed="false">
      <c r="AK1170" s="15" t="e">
        <v>#NAME?</v>
      </c>
      <c r="AL1170" s="15" t="e">
        <f aca="false">_xlfn.xlookup(AK1170,A:A,F:F)</f>
        <v>#NAME?</v>
      </c>
      <c r="AM1170" s="15" t="e">
        <f aca="false">_xlfn.xlookup(AK1170,A:A,J:J)</f>
        <v>#NAME?</v>
      </c>
      <c r="AN1170" s="15" t="e">
        <f aca="false">_xlfn.xlookup(AK1170,A:A,M:M)+_xlfn.xlookup(AK1170,A:A,N:N)</f>
        <v>#NAME?</v>
      </c>
      <c r="AO1170" s="223" t="e">
        <f aca="false">_xlfn.xlookup(AK1170,A:A,AG:AG)</f>
        <v>#NAME?</v>
      </c>
      <c r="AP1170" s="223" t="e">
        <f aca="false">_xlfn.xlookup(AK1170,A:A,AD:AD)</f>
        <v>#NAME?</v>
      </c>
      <c r="AQ1170" s="223" t="e">
        <f aca="false">_xlfn.xlookup(AK1170,A:A,AE:AE)</f>
        <v>#NAME?</v>
      </c>
      <c r="BB1170" s="15" t="e">
        <f aca="false">_xlfn.xlookup(BA1170,A:A,E:E)</f>
        <v>#NAME?</v>
      </c>
      <c r="BC1170" s="15" t="e">
        <f aca="false">_xlfn.xlookup(BA1170,A:A,J:J)</f>
        <v>#NAME?</v>
      </c>
      <c r="BD1170" s="75" t="e">
        <f aca="false">_xlfn.xlookup(BA1170,A:A,M:M)+_xlfn.xlookup(BA1170,A:A,N:N)</f>
        <v>#NAME?</v>
      </c>
    </row>
    <row r="1171" customFormat="false" ht="14.25" hidden="false" customHeight="false" outlineLevel="0" collapsed="false">
      <c r="AK1171" s="15" t="e">
        <v>#NAME?</v>
      </c>
      <c r="AL1171" s="15" t="e">
        <f aca="false">_xlfn.xlookup(AK1171,A:A,F:F)</f>
        <v>#NAME?</v>
      </c>
      <c r="AM1171" s="15" t="e">
        <f aca="false">_xlfn.xlookup(AK1171,A:A,J:J)</f>
        <v>#NAME?</v>
      </c>
      <c r="AN1171" s="15" t="e">
        <f aca="false">_xlfn.xlookup(AK1171,A:A,M:M)+_xlfn.xlookup(AK1171,A:A,N:N)</f>
        <v>#NAME?</v>
      </c>
      <c r="AO1171" s="223" t="e">
        <f aca="false">_xlfn.xlookup(AK1171,A:A,AG:AG)</f>
        <v>#NAME?</v>
      </c>
      <c r="AP1171" s="223" t="e">
        <f aca="false">_xlfn.xlookup(AK1171,A:A,AD:AD)</f>
        <v>#NAME?</v>
      </c>
      <c r="AQ1171" s="223" t="e">
        <f aca="false">_xlfn.xlookup(AK1171,A:A,AE:AE)</f>
        <v>#NAME?</v>
      </c>
      <c r="BB1171" s="15" t="e">
        <f aca="false">_xlfn.xlookup(BA1171,A:A,E:E)</f>
        <v>#NAME?</v>
      </c>
      <c r="BC1171" s="15" t="e">
        <f aca="false">_xlfn.xlookup(BA1171,A:A,J:J)</f>
        <v>#NAME?</v>
      </c>
      <c r="BD1171" s="75" t="e">
        <f aca="false">_xlfn.xlookup(BA1171,A:A,M:M)+_xlfn.xlookup(BA1171,A:A,N:N)</f>
        <v>#NAME?</v>
      </c>
    </row>
    <row r="1172" customFormat="false" ht="14.25" hidden="false" customHeight="false" outlineLevel="0" collapsed="false">
      <c r="AK1172" s="15" t="e">
        <v>#NAME?</v>
      </c>
      <c r="AL1172" s="15" t="e">
        <f aca="false">_xlfn.xlookup(AK1172,A:A,F:F)</f>
        <v>#NAME?</v>
      </c>
      <c r="AM1172" s="15" t="e">
        <f aca="false">_xlfn.xlookup(AK1172,A:A,J:J)</f>
        <v>#NAME?</v>
      </c>
      <c r="AN1172" s="15" t="e">
        <f aca="false">_xlfn.xlookup(AK1172,A:A,M:M)+_xlfn.xlookup(AK1172,A:A,N:N)</f>
        <v>#NAME?</v>
      </c>
      <c r="AO1172" s="223" t="e">
        <f aca="false">_xlfn.xlookup(AK1172,A:A,AG:AG)</f>
        <v>#NAME?</v>
      </c>
      <c r="AP1172" s="223" t="e">
        <f aca="false">_xlfn.xlookup(AK1172,A:A,AD:AD)</f>
        <v>#NAME?</v>
      </c>
      <c r="AQ1172" s="223" t="e">
        <f aca="false">_xlfn.xlookup(AK1172,A:A,AE:AE)</f>
        <v>#NAME?</v>
      </c>
      <c r="BB1172" s="15" t="e">
        <f aca="false">_xlfn.xlookup(BA1172,A:A,E:E)</f>
        <v>#NAME?</v>
      </c>
      <c r="BC1172" s="15" t="e">
        <f aca="false">_xlfn.xlookup(BA1172,A:A,J:J)</f>
        <v>#NAME?</v>
      </c>
      <c r="BD1172" s="75" t="e">
        <f aca="false">_xlfn.xlookup(BA1172,A:A,M:M)+_xlfn.xlookup(BA1172,A:A,N:N)</f>
        <v>#NAME?</v>
      </c>
    </row>
    <row r="1173" customFormat="false" ht="14.25" hidden="false" customHeight="false" outlineLevel="0" collapsed="false">
      <c r="AK1173" s="15" t="e">
        <v>#NAME?</v>
      </c>
      <c r="AL1173" s="15" t="e">
        <f aca="false">_xlfn.xlookup(AK1173,A:A,F:F)</f>
        <v>#NAME?</v>
      </c>
      <c r="AM1173" s="15" t="e">
        <f aca="false">_xlfn.xlookup(AK1173,A:A,J:J)</f>
        <v>#NAME?</v>
      </c>
      <c r="AN1173" s="15" t="e">
        <f aca="false">_xlfn.xlookup(AK1173,A:A,M:M)+_xlfn.xlookup(AK1173,A:A,N:N)</f>
        <v>#NAME?</v>
      </c>
      <c r="AO1173" s="223" t="e">
        <f aca="false">_xlfn.xlookup(AK1173,A:A,AG:AG)</f>
        <v>#NAME?</v>
      </c>
      <c r="AP1173" s="223" t="e">
        <f aca="false">_xlfn.xlookup(AK1173,A:A,AD:AD)</f>
        <v>#NAME?</v>
      </c>
      <c r="AQ1173" s="223" t="e">
        <f aca="false">_xlfn.xlookup(AK1173,A:A,AE:AE)</f>
        <v>#NAME?</v>
      </c>
      <c r="BB1173" s="15" t="e">
        <f aca="false">_xlfn.xlookup(BA1173,A:A,E:E)</f>
        <v>#NAME?</v>
      </c>
      <c r="BC1173" s="15" t="e">
        <f aca="false">_xlfn.xlookup(BA1173,A:A,J:J)</f>
        <v>#NAME?</v>
      </c>
      <c r="BD1173" s="75" t="e">
        <f aca="false">_xlfn.xlookup(BA1173,A:A,M:M)+_xlfn.xlookup(BA1173,A:A,N:N)</f>
        <v>#NAME?</v>
      </c>
    </row>
    <row r="1174" customFormat="false" ht="14.25" hidden="false" customHeight="false" outlineLevel="0" collapsed="false">
      <c r="AK1174" s="15" t="e">
        <v>#NAME?</v>
      </c>
      <c r="AL1174" s="15" t="e">
        <f aca="false">_xlfn.xlookup(AK1174,A:A,F:F)</f>
        <v>#NAME?</v>
      </c>
      <c r="AM1174" s="15" t="e">
        <f aca="false">_xlfn.xlookup(AK1174,A:A,J:J)</f>
        <v>#NAME?</v>
      </c>
      <c r="AN1174" s="15" t="e">
        <f aca="false">_xlfn.xlookup(AK1174,A:A,M:M)+_xlfn.xlookup(AK1174,A:A,N:N)</f>
        <v>#NAME?</v>
      </c>
      <c r="AO1174" s="223" t="e">
        <f aca="false">_xlfn.xlookup(AK1174,A:A,AG:AG)</f>
        <v>#NAME?</v>
      </c>
      <c r="AP1174" s="223" t="e">
        <f aca="false">_xlfn.xlookup(AK1174,A:A,AD:AD)</f>
        <v>#NAME?</v>
      </c>
      <c r="AQ1174" s="223" t="e">
        <f aca="false">_xlfn.xlookup(AK1174,A:A,AE:AE)</f>
        <v>#NAME?</v>
      </c>
      <c r="BB1174" s="15" t="e">
        <f aca="false">_xlfn.xlookup(BA1174,A:A,E:E)</f>
        <v>#NAME?</v>
      </c>
      <c r="BC1174" s="15" t="e">
        <f aca="false">_xlfn.xlookup(BA1174,A:A,J:J)</f>
        <v>#NAME?</v>
      </c>
      <c r="BD1174" s="75" t="e">
        <f aca="false">_xlfn.xlookup(BA1174,A:A,M:M)+_xlfn.xlookup(BA1174,A:A,N:N)</f>
        <v>#NAME?</v>
      </c>
    </row>
    <row r="1175" customFormat="false" ht="14.25" hidden="false" customHeight="false" outlineLevel="0" collapsed="false">
      <c r="AK1175" s="15" t="e">
        <v>#NAME?</v>
      </c>
      <c r="AL1175" s="15" t="e">
        <f aca="false">_xlfn.xlookup(AK1175,A:A,F:F)</f>
        <v>#NAME?</v>
      </c>
      <c r="AM1175" s="15" t="e">
        <f aca="false">_xlfn.xlookup(AK1175,A:A,J:J)</f>
        <v>#NAME?</v>
      </c>
      <c r="AN1175" s="15" t="e">
        <f aca="false">_xlfn.xlookup(AK1175,A:A,M:M)+_xlfn.xlookup(AK1175,A:A,N:N)</f>
        <v>#NAME?</v>
      </c>
      <c r="AO1175" s="223" t="e">
        <f aca="false">_xlfn.xlookup(AK1175,A:A,AG:AG)</f>
        <v>#NAME?</v>
      </c>
      <c r="AP1175" s="223" t="e">
        <f aca="false">_xlfn.xlookup(AK1175,A:A,AD:AD)</f>
        <v>#NAME?</v>
      </c>
      <c r="AQ1175" s="223" t="e">
        <f aca="false">_xlfn.xlookup(AK1175,A:A,AE:AE)</f>
        <v>#NAME?</v>
      </c>
      <c r="BB1175" s="15" t="e">
        <f aca="false">_xlfn.xlookup(BA1175,A:A,E:E)</f>
        <v>#NAME?</v>
      </c>
      <c r="BC1175" s="15" t="e">
        <f aca="false">_xlfn.xlookup(BA1175,A:A,J:J)</f>
        <v>#NAME?</v>
      </c>
      <c r="BD1175" s="75" t="e">
        <f aca="false">_xlfn.xlookup(BA1175,A:A,M:M)+_xlfn.xlookup(BA1175,A:A,N:N)</f>
        <v>#NAME?</v>
      </c>
    </row>
    <row r="1176" customFormat="false" ht="14.25" hidden="false" customHeight="false" outlineLevel="0" collapsed="false">
      <c r="AK1176" s="15" t="e">
        <v>#NAME?</v>
      </c>
      <c r="AL1176" s="15" t="e">
        <f aca="false">_xlfn.xlookup(AK1176,A:A,F:F)</f>
        <v>#NAME?</v>
      </c>
      <c r="AM1176" s="15" t="e">
        <f aca="false">_xlfn.xlookup(AK1176,A:A,J:J)</f>
        <v>#NAME?</v>
      </c>
      <c r="AN1176" s="15" t="e">
        <f aca="false">_xlfn.xlookup(AK1176,A:A,M:M)+_xlfn.xlookup(AK1176,A:A,N:N)</f>
        <v>#NAME?</v>
      </c>
      <c r="AO1176" s="223" t="e">
        <f aca="false">_xlfn.xlookup(AK1176,A:A,AG:AG)</f>
        <v>#NAME?</v>
      </c>
      <c r="AP1176" s="223" t="e">
        <f aca="false">_xlfn.xlookup(AK1176,A:A,AD:AD)</f>
        <v>#NAME?</v>
      </c>
      <c r="AQ1176" s="223" t="e">
        <f aca="false">_xlfn.xlookup(AK1176,A:A,AE:AE)</f>
        <v>#NAME?</v>
      </c>
      <c r="BB1176" s="15" t="e">
        <f aca="false">_xlfn.xlookup(BA1176,A:A,E:E)</f>
        <v>#NAME?</v>
      </c>
      <c r="BC1176" s="15" t="e">
        <f aca="false">_xlfn.xlookup(BA1176,A:A,J:J)</f>
        <v>#NAME?</v>
      </c>
      <c r="BD1176" s="75" t="e">
        <f aca="false">_xlfn.xlookup(BA1176,A:A,M:M)+_xlfn.xlookup(BA1176,A:A,N:N)</f>
        <v>#NAME?</v>
      </c>
    </row>
    <row r="1177" customFormat="false" ht="14.25" hidden="false" customHeight="false" outlineLevel="0" collapsed="false">
      <c r="AK1177" s="15" t="e">
        <v>#NAME?</v>
      </c>
      <c r="AL1177" s="15" t="e">
        <f aca="false">_xlfn.xlookup(AK1177,A:A,F:F)</f>
        <v>#NAME?</v>
      </c>
      <c r="AM1177" s="15" t="e">
        <f aca="false">_xlfn.xlookup(AK1177,A:A,J:J)</f>
        <v>#NAME?</v>
      </c>
      <c r="AN1177" s="15" t="e">
        <f aca="false">_xlfn.xlookup(AK1177,A:A,M:M)+_xlfn.xlookup(AK1177,A:A,N:N)</f>
        <v>#NAME?</v>
      </c>
      <c r="AO1177" s="223" t="e">
        <f aca="false">_xlfn.xlookup(AK1177,A:A,AG:AG)</f>
        <v>#NAME?</v>
      </c>
      <c r="AP1177" s="223" t="e">
        <f aca="false">_xlfn.xlookup(AK1177,A:A,AD:AD)</f>
        <v>#NAME?</v>
      </c>
      <c r="AQ1177" s="223" t="e">
        <f aca="false">_xlfn.xlookup(AK1177,A:A,AE:AE)</f>
        <v>#NAME?</v>
      </c>
      <c r="BB1177" s="15" t="e">
        <f aca="false">_xlfn.xlookup(BA1177,A:A,E:E)</f>
        <v>#NAME?</v>
      </c>
      <c r="BC1177" s="15" t="e">
        <f aca="false">_xlfn.xlookup(BA1177,A:A,J:J)</f>
        <v>#NAME?</v>
      </c>
      <c r="BD1177" s="75" t="e">
        <f aca="false">_xlfn.xlookup(BA1177,A:A,M:M)+_xlfn.xlookup(BA1177,A:A,N:N)</f>
        <v>#NAME?</v>
      </c>
    </row>
    <row r="1178" customFormat="false" ht="14.25" hidden="false" customHeight="false" outlineLevel="0" collapsed="false">
      <c r="AK1178" s="15" t="e">
        <v>#NAME?</v>
      </c>
      <c r="AL1178" s="15" t="e">
        <f aca="false">_xlfn.xlookup(AK1178,A:A,F:F)</f>
        <v>#NAME?</v>
      </c>
      <c r="AM1178" s="15" t="e">
        <f aca="false">_xlfn.xlookup(AK1178,A:A,J:J)</f>
        <v>#NAME?</v>
      </c>
      <c r="AN1178" s="15" t="e">
        <f aca="false">_xlfn.xlookup(AK1178,A:A,M:M)+_xlfn.xlookup(AK1178,A:A,N:N)</f>
        <v>#NAME?</v>
      </c>
      <c r="AO1178" s="223" t="e">
        <f aca="false">_xlfn.xlookup(AK1178,A:A,AG:AG)</f>
        <v>#NAME?</v>
      </c>
      <c r="AP1178" s="223" t="e">
        <f aca="false">_xlfn.xlookup(AK1178,A:A,AD:AD)</f>
        <v>#NAME?</v>
      </c>
      <c r="AQ1178" s="223" t="e">
        <f aca="false">_xlfn.xlookup(AK1178,A:A,AE:AE)</f>
        <v>#NAME?</v>
      </c>
      <c r="BB1178" s="15" t="e">
        <f aca="false">_xlfn.xlookup(BA1178,A:A,E:E)</f>
        <v>#NAME?</v>
      </c>
      <c r="BC1178" s="15" t="e">
        <f aca="false">_xlfn.xlookup(BA1178,A:A,J:J)</f>
        <v>#NAME?</v>
      </c>
      <c r="BD1178" s="75" t="e">
        <f aca="false">_xlfn.xlookup(BA1178,A:A,M:M)+_xlfn.xlookup(BA1178,A:A,N:N)</f>
        <v>#NAME?</v>
      </c>
    </row>
    <row r="1179" customFormat="false" ht="14.25" hidden="false" customHeight="false" outlineLevel="0" collapsed="false">
      <c r="AK1179" s="15" t="e">
        <v>#NAME?</v>
      </c>
      <c r="AL1179" s="15" t="e">
        <f aca="false">_xlfn.xlookup(AK1179,A:A,F:F)</f>
        <v>#NAME?</v>
      </c>
      <c r="AM1179" s="15" t="e">
        <f aca="false">_xlfn.xlookup(AK1179,A:A,J:J)</f>
        <v>#NAME?</v>
      </c>
      <c r="AN1179" s="15" t="e">
        <f aca="false">_xlfn.xlookup(AK1179,A:A,M:M)+_xlfn.xlookup(AK1179,A:A,N:N)</f>
        <v>#NAME?</v>
      </c>
      <c r="AO1179" s="223" t="e">
        <f aca="false">_xlfn.xlookup(AK1179,A:A,AG:AG)</f>
        <v>#NAME?</v>
      </c>
      <c r="AP1179" s="223" t="e">
        <f aca="false">_xlfn.xlookup(AK1179,A:A,AD:AD)</f>
        <v>#NAME?</v>
      </c>
      <c r="AQ1179" s="223" t="e">
        <f aca="false">_xlfn.xlookup(AK1179,A:A,AE:AE)</f>
        <v>#NAME?</v>
      </c>
      <c r="BB1179" s="15" t="e">
        <f aca="false">_xlfn.xlookup(BA1179,A:A,E:E)</f>
        <v>#NAME?</v>
      </c>
      <c r="BC1179" s="15" t="e">
        <f aca="false">_xlfn.xlookup(BA1179,A:A,J:J)</f>
        <v>#NAME?</v>
      </c>
      <c r="BD1179" s="75" t="e">
        <f aca="false">_xlfn.xlookup(BA1179,A:A,M:M)+_xlfn.xlookup(BA1179,A:A,N:N)</f>
        <v>#NAME?</v>
      </c>
    </row>
    <row r="1180" customFormat="false" ht="14.25" hidden="false" customHeight="false" outlineLevel="0" collapsed="false">
      <c r="AK1180" s="15" t="e">
        <v>#NAME?</v>
      </c>
      <c r="AL1180" s="15" t="e">
        <f aca="false">_xlfn.xlookup(AK1180,A:A,F:F)</f>
        <v>#NAME?</v>
      </c>
      <c r="AM1180" s="15" t="e">
        <f aca="false">_xlfn.xlookup(AK1180,A:A,J:J)</f>
        <v>#NAME?</v>
      </c>
      <c r="AN1180" s="15" t="e">
        <f aca="false">_xlfn.xlookup(AK1180,A:A,M:M)+_xlfn.xlookup(AK1180,A:A,N:N)</f>
        <v>#NAME?</v>
      </c>
      <c r="AO1180" s="223" t="e">
        <f aca="false">_xlfn.xlookup(AK1180,A:A,AG:AG)</f>
        <v>#NAME?</v>
      </c>
      <c r="AP1180" s="223" t="e">
        <f aca="false">_xlfn.xlookup(AK1180,A:A,AD:AD)</f>
        <v>#NAME?</v>
      </c>
      <c r="AQ1180" s="223" t="e">
        <f aca="false">_xlfn.xlookup(AK1180,A:A,AE:AE)</f>
        <v>#NAME?</v>
      </c>
      <c r="BB1180" s="15" t="e">
        <f aca="false">_xlfn.xlookup(BA1180,A:A,E:E)</f>
        <v>#NAME?</v>
      </c>
      <c r="BC1180" s="15" t="e">
        <f aca="false">_xlfn.xlookup(BA1180,A:A,J:J)</f>
        <v>#NAME?</v>
      </c>
      <c r="BD1180" s="75" t="e">
        <f aca="false">_xlfn.xlookup(BA1180,A:A,M:M)+_xlfn.xlookup(BA1180,A:A,N:N)</f>
        <v>#NAME?</v>
      </c>
    </row>
    <row r="1181" customFormat="false" ht="14.25" hidden="false" customHeight="false" outlineLevel="0" collapsed="false">
      <c r="AK1181" s="15" t="e">
        <v>#NAME?</v>
      </c>
      <c r="AL1181" s="15" t="e">
        <f aca="false">_xlfn.xlookup(AK1181,A:A,F:F)</f>
        <v>#NAME?</v>
      </c>
      <c r="AM1181" s="15" t="e">
        <f aca="false">_xlfn.xlookup(AK1181,A:A,J:J)</f>
        <v>#NAME?</v>
      </c>
      <c r="AN1181" s="15" t="e">
        <f aca="false">_xlfn.xlookup(AK1181,A:A,M:M)+_xlfn.xlookup(AK1181,A:A,N:N)</f>
        <v>#NAME?</v>
      </c>
      <c r="AO1181" s="223" t="e">
        <f aca="false">_xlfn.xlookup(AK1181,A:A,AG:AG)</f>
        <v>#NAME?</v>
      </c>
      <c r="AP1181" s="223" t="e">
        <f aca="false">_xlfn.xlookup(AK1181,A:A,AD:AD)</f>
        <v>#NAME?</v>
      </c>
      <c r="AQ1181" s="223" t="e">
        <f aca="false">_xlfn.xlookup(AK1181,A:A,AE:AE)</f>
        <v>#NAME?</v>
      </c>
      <c r="BB1181" s="15" t="e">
        <f aca="false">_xlfn.xlookup(BA1181,A:A,E:E)</f>
        <v>#NAME?</v>
      </c>
      <c r="BC1181" s="15" t="e">
        <f aca="false">_xlfn.xlookup(BA1181,A:A,J:J)</f>
        <v>#NAME?</v>
      </c>
      <c r="BD1181" s="75" t="e">
        <f aca="false">_xlfn.xlookup(BA1181,A:A,M:M)+_xlfn.xlookup(BA1181,A:A,N:N)</f>
        <v>#NAME?</v>
      </c>
    </row>
    <row r="1182" customFormat="false" ht="14.25" hidden="false" customHeight="false" outlineLevel="0" collapsed="false">
      <c r="AK1182" s="15" t="e">
        <v>#NAME?</v>
      </c>
      <c r="AL1182" s="15" t="e">
        <f aca="false">_xlfn.xlookup(AK1182,A:A,F:F)</f>
        <v>#NAME?</v>
      </c>
      <c r="AM1182" s="15" t="e">
        <f aca="false">_xlfn.xlookup(AK1182,A:A,J:J)</f>
        <v>#NAME?</v>
      </c>
      <c r="AN1182" s="15" t="e">
        <f aca="false">_xlfn.xlookup(AK1182,A:A,M:M)+_xlfn.xlookup(AK1182,A:A,N:N)</f>
        <v>#NAME?</v>
      </c>
      <c r="AO1182" s="223" t="e">
        <f aca="false">_xlfn.xlookup(AK1182,A:A,AG:AG)</f>
        <v>#NAME?</v>
      </c>
      <c r="AP1182" s="223" t="e">
        <f aca="false">_xlfn.xlookup(AK1182,A:A,AD:AD)</f>
        <v>#NAME?</v>
      </c>
      <c r="AQ1182" s="223" t="e">
        <f aca="false">_xlfn.xlookup(AK1182,A:A,AE:AE)</f>
        <v>#NAME?</v>
      </c>
      <c r="BB1182" s="15" t="e">
        <f aca="false">_xlfn.xlookup(BA1182,A:A,E:E)</f>
        <v>#NAME?</v>
      </c>
      <c r="BC1182" s="15" t="e">
        <f aca="false">_xlfn.xlookup(BA1182,A:A,J:J)</f>
        <v>#NAME?</v>
      </c>
      <c r="BD1182" s="75" t="e">
        <f aca="false">_xlfn.xlookup(BA1182,A:A,M:M)+_xlfn.xlookup(BA1182,A:A,N:N)</f>
        <v>#NAME?</v>
      </c>
    </row>
    <row r="1183" customFormat="false" ht="14.25" hidden="false" customHeight="false" outlineLevel="0" collapsed="false">
      <c r="AK1183" s="15" t="e">
        <v>#NAME?</v>
      </c>
      <c r="AL1183" s="15" t="e">
        <f aca="false">_xlfn.xlookup(AK1183,A:A,F:F)</f>
        <v>#NAME?</v>
      </c>
      <c r="AM1183" s="15" t="e">
        <f aca="false">_xlfn.xlookup(AK1183,A:A,J:J)</f>
        <v>#NAME?</v>
      </c>
      <c r="AN1183" s="15" t="e">
        <f aca="false">_xlfn.xlookup(AK1183,A:A,M:M)+_xlfn.xlookup(AK1183,A:A,N:N)</f>
        <v>#NAME?</v>
      </c>
      <c r="AO1183" s="223" t="e">
        <f aca="false">_xlfn.xlookup(AK1183,A:A,AG:AG)</f>
        <v>#NAME?</v>
      </c>
      <c r="AP1183" s="223" t="e">
        <f aca="false">_xlfn.xlookup(AK1183,A:A,AD:AD)</f>
        <v>#NAME?</v>
      </c>
      <c r="AQ1183" s="223" t="e">
        <f aca="false">_xlfn.xlookup(AK1183,A:A,AE:AE)</f>
        <v>#NAME?</v>
      </c>
      <c r="BB1183" s="15" t="e">
        <f aca="false">_xlfn.xlookup(BA1183,A:A,E:E)</f>
        <v>#NAME?</v>
      </c>
      <c r="BC1183" s="15" t="e">
        <f aca="false">_xlfn.xlookup(BA1183,A:A,J:J)</f>
        <v>#NAME?</v>
      </c>
      <c r="BD1183" s="75" t="e">
        <f aca="false">_xlfn.xlookup(BA1183,A:A,M:M)+_xlfn.xlookup(BA1183,A:A,N:N)</f>
        <v>#NAME?</v>
      </c>
    </row>
    <row r="1184" customFormat="false" ht="14.25" hidden="false" customHeight="false" outlineLevel="0" collapsed="false">
      <c r="AK1184" s="15" t="e">
        <v>#NAME?</v>
      </c>
      <c r="AL1184" s="15" t="e">
        <f aca="false">_xlfn.xlookup(AK1184,A:A,F:F)</f>
        <v>#NAME?</v>
      </c>
      <c r="AM1184" s="15" t="e">
        <f aca="false">_xlfn.xlookup(AK1184,A:A,J:J)</f>
        <v>#NAME?</v>
      </c>
      <c r="AN1184" s="15" t="e">
        <f aca="false">_xlfn.xlookup(AK1184,A:A,M:M)+_xlfn.xlookup(AK1184,A:A,N:N)</f>
        <v>#NAME?</v>
      </c>
      <c r="AO1184" s="223" t="e">
        <f aca="false">_xlfn.xlookup(AK1184,A:A,AG:AG)</f>
        <v>#NAME?</v>
      </c>
      <c r="AP1184" s="223" t="e">
        <f aca="false">_xlfn.xlookup(AK1184,A:A,AD:AD)</f>
        <v>#NAME?</v>
      </c>
      <c r="AQ1184" s="223" t="e">
        <f aca="false">_xlfn.xlookup(AK1184,A:A,AE:AE)</f>
        <v>#NAME?</v>
      </c>
      <c r="BB1184" s="15" t="e">
        <f aca="false">_xlfn.xlookup(BA1184,A:A,E:E)</f>
        <v>#NAME?</v>
      </c>
      <c r="BC1184" s="15" t="e">
        <f aca="false">_xlfn.xlookup(BA1184,A:A,J:J)</f>
        <v>#NAME?</v>
      </c>
      <c r="BD1184" s="75" t="e">
        <f aca="false">_xlfn.xlookup(BA1184,A:A,M:M)+_xlfn.xlookup(BA1184,A:A,N:N)</f>
        <v>#NAME?</v>
      </c>
    </row>
    <row r="1185" customFormat="false" ht="14.25" hidden="false" customHeight="false" outlineLevel="0" collapsed="false">
      <c r="AK1185" s="15" t="e">
        <v>#NAME?</v>
      </c>
      <c r="AL1185" s="15" t="e">
        <f aca="false">_xlfn.xlookup(AK1185,A:A,F:F)</f>
        <v>#NAME?</v>
      </c>
      <c r="AM1185" s="15" t="e">
        <f aca="false">_xlfn.xlookup(AK1185,A:A,J:J)</f>
        <v>#NAME?</v>
      </c>
      <c r="AN1185" s="15" t="e">
        <f aca="false">_xlfn.xlookup(AK1185,A:A,M:M)+_xlfn.xlookup(AK1185,A:A,N:N)</f>
        <v>#NAME?</v>
      </c>
      <c r="AO1185" s="223" t="e">
        <f aca="false">_xlfn.xlookup(AK1185,A:A,AG:AG)</f>
        <v>#NAME?</v>
      </c>
      <c r="AP1185" s="223" t="e">
        <f aca="false">_xlfn.xlookup(AK1185,A:A,AD:AD)</f>
        <v>#NAME?</v>
      </c>
      <c r="AQ1185" s="223" t="e">
        <f aca="false">_xlfn.xlookup(AK1185,A:A,AE:AE)</f>
        <v>#NAME?</v>
      </c>
      <c r="BB1185" s="15" t="e">
        <f aca="false">_xlfn.xlookup(BA1185,A:A,E:E)</f>
        <v>#NAME?</v>
      </c>
      <c r="BC1185" s="15" t="e">
        <f aca="false">_xlfn.xlookup(BA1185,A:A,J:J)</f>
        <v>#NAME?</v>
      </c>
      <c r="BD1185" s="75" t="e">
        <f aca="false">_xlfn.xlookup(BA1185,A:A,M:M)+_xlfn.xlookup(BA1185,A:A,N:N)</f>
        <v>#NAME?</v>
      </c>
    </row>
    <row r="1186" customFormat="false" ht="14.25" hidden="false" customHeight="false" outlineLevel="0" collapsed="false">
      <c r="AK1186" s="15" t="e">
        <v>#NAME?</v>
      </c>
      <c r="AL1186" s="15" t="e">
        <f aca="false">_xlfn.xlookup(AK1186,A:A,F:F)</f>
        <v>#NAME?</v>
      </c>
      <c r="AM1186" s="15" t="e">
        <f aca="false">_xlfn.xlookup(AK1186,A:A,J:J)</f>
        <v>#NAME?</v>
      </c>
      <c r="AN1186" s="15" t="e">
        <f aca="false">_xlfn.xlookup(AK1186,A:A,M:M)+_xlfn.xlookup(AK1186,A:A,N:N)</f>
        <v>#NAME?</v>
      </c>
      <c r="AO1186" s="223" t="e">
        <f aca="false">_xlfn.xlookup(AK1186,A:A,AG:AG)</f>
        <v>#NAME?</v>
      </c>
      <c r="AP1186" s="223" t="e">
        <f aca="false">_xlfn.xlookup(AK1186,A:A,AD:AD)</f>
        <v>#NAME?</v>
      </c>
      <c r="AQ1186" s="223" t="e">
        <f aca="false">_xlfn.xlookup(AK1186,A:A,AE:AE)</f>
        <v>#NAME?</v>
      </c>
      <c r="BB1186" s="15" t="e">
        <f aca="false">_xlfn.xlookup(BA1186,A:A,E:E)</f>
        <v>#NAME?</v>
      </c>
      <c r="BC1186" s="15" t="e">
        <f aca="false">_xlfn.xlookup(BA1186,A:A,J:J)</f>
        <v>#NAME?</v>
      </c>
      <c r="BD1186" s="75" t="e">
        <f aca="false">_xlfn.xlookup(BA1186,A:A,M:M)+_xlfn.xlookup(BA1186,A:A,N:N)</f>
        <v>#NAME?</v>
      </c>
    </row>
    <row r="1187" customFormat="false" ht="14.25" hidden="false" customHeight="false" outlineLevel="0" collapsed="false">
      <c r="AK1187" s="15" t="e">
        <v>#NAME?</v>
      </c>
      <c r="AL1187" s="15" t="e">
        <f aca="false">_xlfn.xlookup(AK1187,A:A,F:F)</f>
        <v>#NAME?</v>
      </c>
      <c r="AM1187" s="15" t="e">
        <f aca="false">_xlfn.xlookup(AK1187,A:A,J:J)</f>
        <v>#NAME?</v>
      </c>
      <c r="AN1187" s="15" t="e">
        <f aca="false">_xlfn.xlookup(AK1187,A:A,M:M)+_xlfn.xlookup(AK1187,A:A,N:N)</f>
        <v>#NAME?</v>
      </c>
      <c r="AO1187" s="223" t="e">
        <f aca="false">_xlfn.xlookup(AK1187,A:A,AG:AG)</f>
        <v>#NAME?</v>
      </c>
      <c r="AP1187" s="223" t="e">
        <f aca="false">_xlfn.xlookup(AK1187,A:A,AD:AD)</f>
        <v>#NAME?</v>
      </c>
      <c r="AQ1187" s="223" t="e">
        <f aca="false">_xlfn.xlookup(AK1187,A:A,AE:AE)</f>
        <v>#NAME?</v>
      </c>
      <c r="BB1187" s="15" t="e">
        <f aca="false">_xlfn.xlookup(BA1187,A:A,E:E)</f>
        <v>#NAME?</v>
      </c>
      <c r="BC1187" s="15" t="e">
        <f aca="false">_xlfn.xlookup(BA1187,A:A,J:J)</f>
        <v>#NAME?</v>
      </c>
      <c r="BD1187" s="75" t="e">
        <f aca="false">_xlfn.xlookup(BA1187,A:A,M:M)+_xlfn.xlookup(BA1187,A:A,N:N)</f>
        <v>#NAME?</v>
      </c>
    </row>
    <row r="1188" customFormat="false" ht="14.25" hidden="false" customHeight="false" outlineLevel="0" collapsed="false">
      <c r="AK1188" s="15" t="e">
        <v>#NAME?</v>
      </c>
      <c r="AL1188" s="15" t="e">
        <f aca="false">_xlfn.xlookup(AK1188,A:A,F:F)</f>
        <v>#NAME?</v>
      </c>
      <c r="AM1188" s="15" t="e">
        <f aca="false">_xlfn.xlookup(AK1188,A:A,J:J)</f>
        <v>#NAME?</v>
      </c>
      <c r="AN1188" s="15" t="e">
        <f aca="false">_xlfn.xlookup(AK1188,A:A,M:M)+_xlfn.xlookup(AK1188,A:A,N:N)</f>
        <v>#NAME?</v>
      </c>
      <c r="AO1188" s="223" t="e">
        <f aca="false">_xlfn.xlookup(AK1188,A:A,AG:AG)</f>
        <v>#NAME?</v>
      </c>
      <c r="AP1188" s="223" t="e">
        <f aca="false">_xlfn.xlookup(AK1188,A:A,AD:AD)</f>
        <v>#NAME?</v>
      </c>
      <c r="AQ1188" s="223" t="e">
        <f aca="false">_xlfn.xlookup(AK1188,A:A,AE:AE)</f>
        <v>#NAME?</v>
      </c>
      <c r="BB1188" s="15" t="e">
        <f aca="false">_xlfn.xlookup(BA1188,A:A,E:E)</f>
        <v>#NAME?</v>
      </c>
      <c r="BC1188" s="15" t="e">
        <f aca="false">_xlfn.xlookup(BA1188,A:A,J:J)</f>
        <v>#NAME?</v>
      </c>
      <c r="BD1188" s="75" t="e">
        <f aca="false">_xlfn.xlookup(BA1188,A:A,M:M)+_xlfn.xlookup(BA1188,A:A,N:N)</f>
        <v>#NAME?</v>
      </c>
    </row>
    <row r="1189" customFormat="false" ht="14.25" hidden="false" customHeight="false" outlineLevel="0" collapsed="false">
      <c r="AK1189" s="15" t="e">
        <v>#NAME?</v>
      </c>
      <c r="AL1189" s="15" t="e">
        <f aca="false">_xlfn.xlookup(AK1189,A:A,F:F)</f>
        <v>#NAME?</v>
      </c>
      <c r="AM1189" s="15" t="e">
        <f aca="false">_xlfn.xlookup(AK1189,A:A,J:J)</f>
        <v>#NAME?</v>
      </c>
      <c r="AN1189" s="15" t="e">
        <f aca="false">_xlfn.xlookup(AK1189,A:A,M:M)+_xlfn.xlookup(AK1189,A:A,N:N)</f>
        <v>#NAME?</v>
      </c>
      <c r="AO1189" s="223" t="e">
        <f aca="false">_xlfn.xlookup(AK1189,A:A,AG:AG)</f>
        <v>#NAME?</v>
      </c>
      <c r="AP1189" s="223" t="e">
        <f aca="false">_xlfn.xlookup(AK1189,A:A,AD:AD)</f>
        <v>#NAME?</v>
      </c>
      <c r="AQ1189" s="223" t="e">
        <f aca="false">_xlfn.xlookup(AK1189,A:A,AE:AE)</f>
        <v>#NAME?</v>
      </c>
      <c r="BB1189" s="15" t="e">
        <f aca="false">_xlfn.xlookup(BA1189,A:A,E:E)</f>
        <v>#NAME?</v>
      </c>
      <c r="BC1189" s="15" t="e">
        <f aca="false">_xlfn.xlookup(BA1189,A:A,J:J)</f>
        <v>#NAME?</v>
      </c>
      <c r="BD1189" s="75" t="e">
        <f aca="false">_xlfn.xlookup(BA1189,A:A,M:M)+_xlfn.xlookup(BA1189,A:A,N:N)</f>
        <v>#NAME?</v>
      </c>
    </row>
    <row r="1190" customFormat="false" ht="14.25" hidden="false" customHeight="false" outlineLevel="0" collapsed="false">
      <c r="AK1190" s="15" t="e">
        <v>#NAME?</v>
      </c>
      <c r="AL1190" s="15" t="e">
        <f aca="false">_xlfn.xlookup(AK1190,A:A,F:F)</f>
        <v>#NAME?</v>
      </c>
      <c r="AM1190" s="15" t="e">
        <f aca="false">_xlfn.xlookup(AK1190,A:A,J:J)</f>
        <v>#NAME?</v>
      </c>
      <c r="AN1190" s="15" t="e">
        <f aca="false">_xlfn.xlookup(AK1190,A:A,M:M)+_xlfn.xlookup(AK1190,A:A,N:N)</f>
        <v>#NAME?</v>
      </c>
      <c r="AO1190" s="223" t="e">
        <f aca="false">_xlfn.xlookup(AK1190,A:A,AG:AG)</f>
        <v>#NAME?</v>
      </c>
      <c r="AP1190" s="223" t="e">
        <f aca="false">_xlfn.xlookup(AK1190,A:A,AD:AD)</f>
        <v>#NAME?</v>
      </c>
      <c r="AQ1190" s="223" t="e">
        <f aca="false">_xlfn.xlookup(AK1190,A:A,AE:AE)</f>
        <v>#NAME?</v>
      </c>
      <c r="BB1190" s="15" t="e">
        <f aca="false">_xlfn.xlookup(BA1190,A:A,E:E)</f>
        <v>#NAME?</v>
      </c>
      <c r="BC1190" s="15" t="e">
        <f aca="false">_xlfn.xlookup(BA1190,A:A,J:J)</f>
        <v>#NAME?</v>
      </c>
      <c r="BD1190" s="75" t="e">
        <f aca="false">_xlfn.xlookup(BA1190,A:A,M:M)+_xlfn.xlookup(BA1190,A:A,N:N)</f>
        <v>#NAME?</v>
      </c>
    </row>
    <row r="1191" customFormat="false" ht="14.25" hidden="false" customHeight="false" outlineLevel="0" collapsed="false">
      <c r="AK1191" s="15" t="e">
        <v>#NAME?</v>
      </c>
      <c r="AL1191" s="15" t="e">
        <f aca="false">_xlfn.xlookup(AK1191,A:A,F:F)</f>
        <v>#NAME?</v>
      </c>
      <c r="AM1191" s="15" t="e">
        <f aca="false">_xlfn.xlookup(AK1191,A:A,J:J)</f>
        <v>#NAME?</v>
      </c>
      <c r="AN1191" s="15" t="e">
        <f aca="false">_xlfn.xlookup(AK1191,A:A,M:M)+_xlfn.xlookup(AK1191,A:A,N:N)</f>
        <v>#NAME?</v>
      </c>
      <c r="AO1191" s="223" t="e">
        <f aca="false">_xlfn.xlookup(AK1191,A:A,AG:AG)</f>
        <v>#NAME?</v>
      </c>
      <c r="AP1191" s="223" t="e">
        <f aca="false">_xlfn.xlookup(AK1191,A:A,AD:AD)</f>
        <v>#NAME?</v>
      </c>
      <c r="AQ1191" s="223" t="e">
        <f aca="false">_xlfn.xlookup(AK1191,A:A,AE:AE)</f>
        <v>#NAME?</v>
      </c>
      <c r="BB1191" s="15" t="e">
        <f aca="false">_xlfn.xlookup(BA1191,A:A,E:E)</f>
        <v>#NAME?</v>
      </c>
      <c r="BC1191" s="15" t="e">
        <f aca="false">_xlfn.xlookup(BA1191,A:A,J:J)</f>
        <v>#NAME?</v>
      </c>
      <c r="BD1191" s="75" t="e">
        <f aca="false">_xlfn.xlookup(BA1191,A:A,M:M)+_xlfn.xlookup(BA1191,A:A,N:N)</f>
        <v>#NAME?</v>
      </c>
    </row>
    <row r="1192" customFormat="false" ht="14.25" hidden="false" customHeight="false" outlineLevel="0" collapsed="false">
      <c r="AK1192" s="15" t="e">
        <v>#NAME?</v>
      </c>
      <c r="AL1192" s="15" t="e">
        <f aca="false">_xlfn.xlookup(AK1192,A:A,F:F)</f>
        <v>#NAME?</v>
      </c>
      <c r="AM1192" s="15" t="e">
        <f aca="false">_xlfn.xlookup(AK1192,A:A,J:J)</f>
        <v>#NAME?</v>
      </c>
      <c r="AN1192" s="15" t="e">
        <f aca="false">_xlfn.xlookup(AK1192,A:A,M:M)+_xlfn.xlookup(AK1192,A:A,N:N)</f>
        <v>#NAME?</v>
      </c>
      <c r="AO1192" s="223" t="e">
        <f aca="false">_xlfn.xlookup(AK1192,A:A,AG:AG)</f>
        <v>#NAME?</v>
      </c>
      <c r="AP1192" s="223" t="e">
        <f aca="false">_xlfn.xlookup(AK1192,A:A,AD:AD)</f>
        <v>#NAME?</v>
      </c>
      <c r="AQ1192" s="223" t="e">
        <f aca="false">_xlfn.xlookup(AK1192,A:A,AE:AE)</f>
        <v>#NAME?</v>
      </c>
      <c r="BB1192" s="15" t="e">
        <f aca="false">_xlfn.xlookup(BA1192,A:A,E:E)</f>
        <v>#NAME?</v>
      </c>
      <c r="BC1192" s="15" t="e">
        <f aca="false">_xlfn.xlookup(BA1192,A:A,J:J)</f>
        <v>#NAME?</v>
      </c>
      <c r="BD1192" s="75" t="e">
        <f aca="false">_xlfn.xlookup(BA1192,A:A,M:M)+_xlfn.xlookup(BA1192,A:A,N:N)</f>
        <v>#NAME?</v>
      </c>
    </row>
    <row r="1193" customFormat="false" ht="14.25" hidden="false" customHeight="false" outlineLevel="0" collapsed="false">
      <c r="AK1193" s="15" t="e">
        <v>#NAME?</v>
      </c>
      <c r="AL1193" s="15" t="e">
        <f aca="false">_xlfn.xlookup(AK1193,A:A,F:F)</f>
        <v>#NAME?</v>
      </c>
      <c r="AM1193" s="15" t="e">
        <f aca="false">_xlfn.xlookup(AK1193,A:A,J:J)</f>
        <v>#NAME?</v>
      </c>
      <c r="AN1193" s="15" t="e">
        <f aca="false">_xlfn.xlookup(AK1193,A:A,M:M)+_xlfn.xlookup(AK1193,A:A,N:N)</f>
        <v>#NAME?</v>
      </c>
      <c r="AO1193" s="223" t="e">
        <f aca="false">_xlfn.xlookup(AK1193,A:A,AG:AG)</f>
        <v>#NAME?</v>
      </c>
      <c r="AP1193" s="223" t="e">
        <f aca="false">_xlfn.xlookup(AK1193,A:A,AD:AD)</f>
        <v>#NAME?</v>
      </c>
      <c r="AQ1193" s="223" t="e">
        <f aca="false">_xlfn.xlookup(AK1193,A:A,AE:AE)</f>
        <v>#NAME?</v>
      </c>
      <c r="BB1193" s="15" t="e">
        <f aca="false">_xlfn.xlookup(BA1193,A:A,E:E)</f>
        <v>#NAME?</v>
      </c>
      <c r="BC1193" s="15" t="e">
        <f aca="false">_xlfn.xlookup(BA1193,A:A,J:J)</f>
        <v>#NAME?</v>
      </c>
      <c r="BD1193" s="75" t="e">
        <f aca="false">_xlfn.xlookup(BA1193,A:A,M:M)+_xlfn.xlookup(BA1193,A:A,N:N)</f>
        <v>#NAME?</v>
      </c>
    </row>
    <row r="1194" customFormat="false" ht="14.25" hidden="false" customHeight="false" outlineLevel="0" collapsed="false">
      <c r="AK1194" s="15" t="e">
        <v>#NAME?</v>
      </c>
      <c r="AL1194" s="15" t="e">
        <f aca="false">_xlfn.xlookup(AK1194,A:A,F:F)</f>
        <v>#NAME?</v>
      </c>
      <c r="AM1194" s="15" t="e">
        <f aca="false">_xlfn.xlookup(AK1194,A:A,J:J)</f>
        <v>#NAME?</v>
      </c>
      <c r="AN1194" s="15" t="e">
        <f aca="false">_xlfn.xlookup(AK1194,A:A,M:M)+_xlfn.xlookup(AK1194,A:A,N:N)</f>
        <v>#NAME?</v>
      </c>
      <c r="AO1194" s="223" t="e">
        <f aca="false">_xlfn.xlookup(AK1194,A:A,AG:AG)</f>
        <v>#NAME?</v>
      </c>
      <c r="AP1194" s="223" t="e">
        <f aca="false">_xlfn.xlookup(AK1194,A:A,AD:AD)</f>
        <v>#NAME?</v>
      </c>
      <c r="AQ1194" s="223" t="e">
        <f aca="false">_xlfn.xlookup(AK1194,A:A,AE:AE)</f>
        <v>#NAME?</v>
      </c>
      <c r="BB1194" s="15" t="e">
        <f aca="false">_xlfn.xlookup(BA1194,A:A,E:E)</f>
        <v>#NAME?</v>
      </c>
      <c r="BC1194" s="15" t="e">
        <f aca="false">_xlfn.xlookup(BA1194,A:A,J:J)</f>
        <v>#NAME?</v>
      </c>
      <c r="BD1194" s="75" t="e">
        <f aca="false">_xlfn.xlookup(BA1194,A:A,M:M)+_xlfn.xlookup(BA1194,A:A,N:N)</f>
        <v>#NAME?</v>
      </c>
    </row>
    <row r="1195" customFormat="false" ht="14.25" hidden="false" customHeight="false" outlineLevel="0" collapsed="false">
      <c r="AK1195" s="15" t="e">
        <v>#NAME?</v>
      </c>
      <c r="AL1195" s="15" t="e">
        <f aca="false">_xlfn.xlookup(AK1195,A:A,F:F)</f>
        <v>#NAME?</v>
      </c>
      <c r="AM1195" s="15" t="e">
        <f aca="false">_xlfn.xlookup(AK1195,A:A,J:J)</f>
        <v>#NAME?</v>
      </c>
      <c r="AN1195" s="15" t="e">
        <f aca="false">_xlfn.xlookup(AK1195,A:A,M:M)+_xlfn.xlookup(AK1195,A:A,N:N)</f>
        <v>#NAME?</v>
      </c>
      <c r="AO1195" s="223" t="e">
        <f aca="false">_xlfn.xlookup(AK1195,A:A,AG:AG)</f>
        <v>#NAME?</v>
      </c>
      <c r="AP1195" s="223" t="e">
        <f aca="false">_xlfn.xlookup(AK1195,A:A,AD:AD)</f>
        <v>#NAME?</v>
      </c>
      <c r="AQ1195" s="223" t="e">
        <f aca="false">_xlfn.xlookup(AK1195,A:A,AE:AE)</f>
        <v>#NAME?</v>
      </c>
      <c r="BB1195" s="15" t="e">
        <f aca="false">_xlfn.xlookup(BA1195,A:A,E:E)</f>
        <v>#NAME?</v>
      </c>
      <c r="BC1195" s="15" t="e">
        <f aca="false">_xlfn.xlookup(BA1195,A:A,J:J)</f>
        <v>#NAME?</v>
      </c>
      <c r="BD1195" s="75" t="e">
        <f aca="false">_xlfn.xlookup(BA1195,A:A,M:M)+_xlfn.xlookup(BA1195,A:A,N:N)</f>
        <v>#NAME?</v>
      </c>
    </row>
    <row r="1196" customFormat="false" ht="14.25" hidden="false" customHeight="false" outlineLevel="0" collapsed="false">
      <c r="AK1196" s="15" t="e">
        <v>#NAME?</v>
      </c>
      <c r="AL1196" s="15" t="e">
        <f aca="false">_xlfn.xlookup(AK1196,A:A,F:F)</f>
        <v>#NAME?</v>
      </c>
      <c r="AM1196" s="15" t="e">
        <f aca="false">_xlfn.xlookup(AK1196,A:A,J:J)</f>
        <v>#NAME?</v>
      </c>
      <c r="AN1196" s="15" t="e">
        <f aca="false">_xlfn.xlookup(AK1196,A:A,M:M)+_xlfn.xlookup(AK1196,A:A,N:N)</f>
        <v>#NAME?</v>
      </c>
      <c r="AO1196" s="223" t="e">
        <f aca="false">_xlfn.xlookup(AK1196,A:A,AG:AG)</f>
        <v>#NAME?</v>
      </c>
      <c r="AP1196" s="223" t="e">
        <f aca="false">_xlfn.xlookup(AK1196,A:A,AD:AD)</f>
        <v>#NAME?</v>
      </c>
      <c r="AQ1196" s="223" t="e">
        <f aca="false">_xlfn.xlookup(AK1196,A:A,AE:AE)</f>
        <v>#NAME?</v>
      </c>
      <c r="BB1196" s="15" t="e">
        <f aca="false">_xlfn.xlookup(BA1196,A:A,E:E)</f>
        <v>#NAME?</v>
      </c>
      <c r="BC1196" s="15" t="e">
        <f aca="false">_xlfn.xlookup(BA1196,A:A,J:J)</f>
        <v>#NAME?</v>
      </c>
      <c r="BD1196" s="75" t="e">
        <f aca="false">_xlfn.xlookup(BA1196,A:A,M:M)+_xlfn.xlookup(BA1196,A:A,N:N)</f>
        <v>#NAME?</v>
      </c>
    </row>
    <row r="1197" customFormat="false" ht="14.25" hidden="false" customHeight="false" outlineLevel="0" collapsed="false">
      <c r="AK1197" s="15" t="e">
        <v>#NAME?</v>
      </c>
      <c r="AL1197" s="15" t="e">
        <f aca="false">_xlfn.xlookup(AK1197,A:A,F:F)</f>
        <v>#NAME?</v>
      </c>
      <c r="AM1197" s="15" t="e">
        <f aca="false">_xlfn.xlookup(AK1197,A:A,J:J)</f>
        <v>#NAME?</v>
      </c>
      <c r="AN1197" s="15" t="e">
        <f aca="false">_xlfn.xlookup(AK1197,A:A,M:M)+_xlfn.xlookup(AK1197,A:A,N:N)</f>
        <v>#NAME?</v>
      </c>
      <c r="AO1197" s="223" t="e">
        <f aca="false">_xlfn.xlookup(AK1197,A:A,AG:AG)</f>
        <v>#NAME?</v>
      </c>
      <c r="AP1197" s="223" t="e">
        <f aca="false">_xlfn.xlookup(AK1197,A:A,AD:AD)</f>
        <v>#NAME?</v>
      </c>
      <c r="AQ1197" s="223" t="e">
        <f aca="false">_xlfn.xlookup(AK1197,A:A,AE:AE)</f>
        <v>#NAME?</v>
      </c>
      <c r="BB1197" s="15" t="e">
        <f aca="false">_xlfn.xlookup(BA1197,A:A,E:E)</f>
        <v>#NAME?</v>
      </c>
      <c r="BC1197" s="15" t="e">
        <f aca="false">_xlfn.xlookup(BA1197,A:A,J:J)</f>
        <v>#NAME?</v>
      </c>
      <c r="BD1197" s="75" t="e">
        <f aca="false">_xlfn.xlookup(BA1197,A:A,M:M)+_xlfn.xlookup(BA1197,A:A,N:N)</f>
        <v>#NAME?</v>
      </c>
    </row>
    <row r="1198" customFormat="false" ht="14.25" hidden="false" customHeight="false" outlineLevel="0" collapsed="false">
      <c r="AK1198" s="15" t="e">
        <v>#NAME?</v>
      </c>
      <c r="AL1198" s="15" t="e">
        <f aca="false">_xlfn.xlookup(AK1198,A:A,F:F)</f>
        <v>#NAME?</v>
      </c>
      <c r="AM1198" s="15" t="e">
        <f aca="false">_xlfn.xlookup(AK1198,A:A,J:J)</f>
        <v>#NAME?</v>
      </c>
      <c r="AN1198" s="15" t="e">
        <f aca="false">_xlfn.xlookup(AK1198,A:A,M:M)+_xlfn.xlookup(AK1198,A:A,N:N)</f>
        <v>#NAME?</v>
      </c>
      <c r="AO1198" s="223" t="e">
        <f aca="false">_xlfn.xlookup(AK1198,A:A,AG:AG)</f>
        <v>#NAME?</v>
      </c>
      <c r="AP1198" s="223" t="e">
        <f aca="false">_xlfn.xlookup(AK1198,A:A,AD:AD)</f>
        <v>#NAME?</v>
      </c>
      <c r="AQ1198" s="223" t="e">
        <f aca="false">_xlfn.xlookup(AK1198,A:A,AE:AE)</f>
        <v>#NAME?</v>
      </c>
      <c r="BB1198" s="15" t="e">
        <f aca="false">_xlfn.xlookup(BA1198,A:A,E:E)</f>
        <v>#NAME?</v>
      </c>
      <c r="BC1198" s="15" t="e">
        <f aca="false">_xlfn.xlookup(BA1198,A:A,J:J)</f>
        <v>#NAME?</v>
      </c>
      <c r="BD1198" s="75" t="e">
        <f aca="false">_xlfn.xlookup(BA1198,A:A,M:M)+_xlfn.xlookup(BA1198,A:A,N:N)</f>
        <v>#NAME?</v>
      </c>
    </row>
    <row r="1199" customFormat="false" ht="14.25" hidden="false" customHeight="false" outlineLevel="0" collapsed="false">
      <c r="AK1199" s="15" t="e">
        <v>#NAME?</v>
      </c>
      <c r="AL1199" s="15" t="e">
        <f aca="false">_xlfn.xlookup(AK1199,A:A,F:F)</f>
        <v>#NAME?</v>
      </c>
      <c r="AM1199" s="15" t="e">
        <f aca="false">_xlfn.xlookup(AK1199,A:A,J:J)</f>
        <v>#NAME?</v>
      </c>
      <c r="AN1199" s="15" t="e">
        <f aca="false">_xlfn.xlookup(AK1199,A:A,M:M)+_xlfn.xlookup(AK1199,A:A,N:N)</f>
        <v>#NAME?</v>
      </c>
      <c r="AO1199" s="223" t="e">
        <f aca="false">_xlfn.xlookup(AK1199,A:A,AG:AG)</f>
        <v>#NAME?</v>
      </c>
      <c r="AP1199" s="223" t="e">
        <f aca="false">_xlfn.xlookup(AK1199,A:A,AD:AD)</f>
        <v>#NAME?</v>
      </c>
      <c r="AQ1199" s="223" t="e">
        <f aca="false">_xlfn.xlookup(AK1199,A:A,AE:AE)</f>
        <v>#NAME?</v>
      </c>
      <c r="BB1199" s="15" t="e">
        <f aca="false">_xlfn.xlookup(BA1199,A:A,E:E)</f>
        <v>#NAME?</v>
      </c>
      <c r="BC1199" s="15" t="e">
        <f aca="false">_xlfn.xlookup(BA1199,A:A,J:J)</f>
        <v>#NAME?</v>
      </c>
      <c r="BD1199" s="75" t="e">
        <f aca="false">_xlfn.xlookup(BA1199,A:A,M:M)+_xlfn.xlookup(BA1199,A:A,N:N)</f>
        <v>#NAME?</v>
      </c>
    </row>
    <row r="1200" customFormat="false" ht="14.25" hidden="false" customHeight="false" outlineLevel="0" collapsed="false">
      <c r="AK1200" s="15" t="e">
        <v>#NAME?</v>
      </c>
      <c r="AL1200" s="15" t="e">
        <f aca="false">_xlfn.xlookup(AK1200,A:A,F:F)</f>
        <v>#NAME?</v>
      </c>
      <c r="AM1200" s="15" t="e">
        <f aca="false">_xlfn.xlookup(AK1200,A:A,J:J)</f>
        <v>#NAME?</v>
      </c>
      <c r="AN1200" s="15" t="e">
        <f aca="false">_xlfn.xlookup(AK1200,A:A,M:M)+_xlfn.xlookup(AK1200,A:A,N:N)</f>
        <v>#NAME?</v>
      </c>
      <c r="AO1200" s="223" t="e">
        <f aca="false">_xlfn.xlookup(AK1200,A:A,AG:AG)</f>
        <v>#NAME?</v>
      </c>
      <c r="AP1200" s="223" t="e">
        <f aca="false">_xlfn.xlookup(AK1200,A:A,AD:AD)</f>
        <v>#NAME?</v>
      </c>
      <c r="AQ1200" s="223" t="e">
        <f aca="false">_xlfn.xlookup(AK1200,A:A,AE:AE)</f>
        <v>#NAME?</v>
      </c>
      <c r="BB1200" s="15" t="e">
        <f aca="false">_xlfn.xlookup(BA1200,A:A,E:E)</f>
        <v>#NAME?</v>
      </c>
      <c r="BC1200" s="15" t="e">
        <f aca="false">_xlfn.xlookup(BA1200,A:A,J:J)</f>
        <v>#NAME?</v>
      </c>
      <c r="BD1200" s="75" t="e">
        <f aca="false">_xlfn.xlookup(BA1200,A:A,M:M)+_xlfn.xlookup(BA1200,A:A,N:N)</f>
        <v>#NAME?</v>
      </c>
    </row>
    <row r="1201" customFormat="false" ht="14.25" hidden="false" customHeight="false" outlineLevel="0" collapsed="false">
      <c r="AK1201" s="15" t="e">
        <v>#NAME?</v>
      </c>
      <c r="AL1201" s="15" t="e">
        <f aca="false">_xlfn.xlookup(AK1201,A:A,F:F)</f>
        <v>#NAME?</v>
      </c>
      <c r="AM1201" s="15" t="e">
        <f aca="false">_xlfn.xlookup(AK1201,A:A,J:J)</f>
        <v>#NAME?</v>
      </c>
      <c r="AN1201" s="15" t="e">
        <f aca="false">_xlfn.xlookup(AK1201,A:A,M:M)+_xlfn.xlookup(AK1201,A:A,N:N)</f>
        <v>#NAME?</v>
      </c>
      <c r="AO1201" s="223" t="e">
        <f aca="false">_xlfn.xlookup(AK1201,A:A,AG:AG)</f>
        <v>#NAME?</v>
      </c>
      <c r="AP1201" s="223" t="e">
        <f aca="false">_xlfn.xlookup(AK1201,A:A,AD:AD)</f>
        <v>#NAME?</v>
      </c>
      <c r="AQ1201" s="223" t="e">
        <f aca="false">_xlfn.xlookup(AK1201,A:A,AE:AE)</f>
        <v>#NAME?</v>
      </c>
      <c r="BB1201" s="15" t="e">
        <f aca="false">_xlfn.xlookup(BA1201,A:A,E:E)</f>
        <v>#NAME?</v>
      </c>
      <c r="BC1201" s="15" t="e">
        <f aca="false">_xlfn.xlookup(BA1201,A:A,J:J)</f>
        <v>#NAME?</v>
      </c>
      <c r="BD1201" s="75" t="e">
        <f aca="false">_xlfn.xlookup(BA1201,A:A,M:M)+_xlfn.xlookup(BA1201,A:A,N:N)</f>
        <v>#NAME?</v>
      </c>
    </row>
    <row r="1202" customFormat="false" ht="14.25" hidden="false" customHeight="false" outlineLevel="0" collapsed="false">
      <c r="AK1202" s="15" t="e">
        <v>#NAME?</v>
      </c>
      <c r="AL1202" s="15" t="e">
        <f aca="false">_xlfn.xlookup(AK1202,A:A,F:F)</f>
        <v>#NAME?</v>
      </c>
      <c r="AM1202" s="15" t="e">
        <f aca="false">_xlfn.xlookup(AK1202,A:A,J:J)</f>
        <v>#NAME?</v>
      </c>
      <c r="AN1202" s="15" t="e">
        <f aca="false">_xlfn.xlookup(AK1202,A:A,M:M)+_xlfn.xlookup(AK1202,A:A,N:N)</f>
        <v>#NAME?</v>
      </c>
      <c r="AO1202" s="223" t="e">
        <f aca="false">_xlfn.xlookup(AK1202,A:A,AG:AG)</f>
        <v>#NAME?</v>
      </c>
      <c r="AP1202" s="223" t="e">
        <f aca="false">_xlfn.xlookup(AK1202,A:A,AD:AD)</f>
        <v>#NAME?</v>
      </c>
      <c r="AQ1202" s="223" t="e">
        <f aca="false">_xlfn.xlookup(AK1202,A:A,AE:AE)</f>
        <v>#NAME?</v>
      </c>
      <c r="BB1202" s="15" t="e">
        <f aca="false">_xlfn.xlookup(BA1202,A:A,E:E)</f>
        <v>#NAME?</v>
      </c>
      <c r="BC1202" s="15" t="e">
        <f aca="false">_xlfn.xlookup(BA1202,A:A,J:J)</f>
        <v>#NAME?</v>
      </c>
      <c r="BD1202" s="75" t="e">
        <f aca="false">_xlfn.xlookup(BA1202,A:A,M:M)+_xlfn.xlookup(BA1202,A:A,N:N)</f>
        <v>#NAME?</v>
      </c>
    </row>
    <row r="1203" customFormat="false" ht="14.25" hidden="false" customHeight="false" outlineLevel="0" collapsed="false">
      <c r="AK1203" s="15" t="e">
        <v>#NAME?</v>
      </c>
      <c r="AL1203" s="15" t="e">
        <f aca="false">_xlfn.xlookup(AK1203,A:A,F:F)</f>
        <v>#NAME?</v>
      </c>
      <c r="AM1203" s="15" t="e">
        <f aca="false">_xlfn.xlookup(AK1203,A:A,J:J)</f>
        <v>#NAME?</v>
      </c>
      <c r="AN1203" s="15" t="e">
        <f aca="false">_xlfn.xlookup(AK1203,A:A,M:M)+_xlfn.xlookup(AK1203,A:A,N:N)</f>
        <v>#NAME?</v>
      </c>
      <c r="AO1203" s="223" t="e">
        <f aca="false">_xlfn.xlookup(AK1203,A:A,AG:AG)</f>
        <v>#NAME?</v>
      </c>
      <c r="AP1203" s="223" t="e">
        <f aca="false">_xlfn.xlookup(AK1203,A:A,AD:AD)</f>
        <v>#NAME?</v>
      </c>
      <c r="AQ1203" s="223" t="e">
        <f aca="false">_xlfn.xlookup(AK1203,A:A,AE:AE)</f>
        <v>#NAME?</v>
      </c>
      <c r="BB1203" s="15" t="e">
        <f aca="false">_xlfn.xlookup(BA1203,A:A,E:E)</f>
        <v>#NAME?</v>
      </c>
      <c r="BC1203" s="15" t="e">
        <f aca="false">_xlfn.xlookup(BA1203,A:A,J:J)</f>
        <v>#NAME?</v>
      </c>
      <c r="BD1203" s="75" t="e">
        <f aca="false">_xlfn.xlookup(BA1203,A:A,M:M)+_xlfn.xlookup(BA1203,A:A,N:N)</f>
        <v>#NAME?</v>
      </c>
    </row>
    <row r="1204" customFormat="false" ht="14.25" hidden="false" customHeight="false" outlineLevel="0" collapsed="false">
      <c r="AK1204" s="15" t="e">
        <v>#NAME?</v>
      </c>
      <c r="AL1204" s="15" t="e">
        <f aca="false">_xlfn.xlookup(AK1204,A:A,F:F)</f>
        <v>#NAME?</v>
      </c>
      <c r="AM1204" s="15" t="e">
        <f aca="false">_xlfn.xlookup(AK1204,A:A,J:J)</f>
        <v>#NAME?</v>
      </c>
      <c r="AN1204" s="15" t="e">
        <f aca="false">_xlfn.xlookup(AK1204,A:A,M:M)+_xlfn.xlookup(AK1204,A:A,N:N)</f>
        <v>#NAME?</v>
      </c>
      <c r="AO1204" s="223" t="e">
        <f aca="false">_xlfn.xlookup(AK1204,A:A,AG:AG)</f>
        <v>#NAME?</v>
      </c>
      <c r="AP1204" s="223" t="e">
        <f aca="false">_xlfn.xlookup(AK1204,A:A,AD:AD)</f>
        <v>#NAME?</v>
      </c>
      <c r="AQ1204" s="223" t="e">
        <f aca="false">_xlfn.xlookup(AK1204,A:A,AE:AE)</f>
        <v>#NAME?</v>
      </c>
      <c r="BB1204" s="15" t="e">
        <f aca="false">_xlfn.xlookup(BA1204,A:A,E:E)</f>
        <v>#NAME?</v>
      </c>
      <c r="BC1204" s="15" t="e">
        <f aca="false">_xlfn.xlookup(BA1204,A:A,J:J)</f>
        <v>#NAME?</v>
      </c>
      <c r="BD1204" s="75" t="e">
        <f aca="false">_xlfn.xlookup(BA1204,A:A,M:M)+_xlfn.xlookup(BA1204,A:A,N:N)</f>
        <v>#NAME?</v>
      </c>
    </row>
    <row r="1205" customFormat="false" ht="14.25" hidden="false" customHeight="false" outlineLevel="0" collapsed="false">
      <c r="AK1205" s="15" t="e">
        <v>#NAME?</v>
      </c>
      <c r="AL1205" s="15" t="e">
        <f aca="false">_xlfn.xlookup(AK1205,A:A,F:F)</f>
        <v>#NAME?</v>
      </c>
      <c r="AM1205" s="15" t="e">
        <f aca="false">_xlfn.xlookup(AK1205,A:A,J:J)</f>
        <v>#NAME?</v>
      </c>
      <c r="AN1205" s="15" t="e">
        <f aca="false">_xlfn.xlookup(AK1205,A:A,M:M)+_xlfn.xlookup(AK1205,A:A,N:N)</f>
        <v>#NAME?</v>
      </c>
      <c r="AO1205" s="223" t="e">
        <f aca="false">_xlfn.xlookup(AK1205,A:A,AG:AG)</f>
        <v>#NAME?</v>
      </c>
      <c r="AP1205" s="223" t="e">
        <f aca="false">_xlfn.xlookup(AK1205,A:A,AD:AD)</f>
        <v>#NAME?</v>
      </c>
      <c r="AQ1205" s="223" t="e">
        <f aca="false">_xlfn.xlookup(AK1205,A:A,AE:AE)</f>
        <v>#NAME?</v>
      </c>
      <c r="BB1205" s="15" t="e">
        <f aca="false">_xlfn.xlookup(BA1205,A:A,E:E)</f>
        <v>#NAME?</v>
      </c>
      <c r="BC1205" s="15" t="e">
        <f aca="false">_xlfn.xlookup(BA1205,A:A,J:J)</f>
        <v>#NAME?</v>
      </c>
      <c r="BD1205" s="75" t="e">
        <f aca="false">_xlfn.xlookup(BA1205,A:A,M:M)+_xlfn.xlookup(BA1205,A:A,N:N)</f>
        <v>#NAME?</v>
      </c>
    </row>
    <row r="1206" customFormat="false" ht="14.25" hidden="false" customHeight="false" outlineLevel="0" collapsed="false">
      <c r="AK1206" s="15" t="e">
        <v>#NAME?</v>
      </c>
      <c r="AL1206" s="15" t="e">
        <f aca="false">_xlfn.xlookup(AK1206,A:A,F:F)</f>
        <v>#NAME?</v>
      </c>
      <c r="AM1206" s="15" t="e">
        <f aca="false">_xlfn.xlookup(AK1206,A:A,J:J)</f>
        <v>#NAME?</v>
      </c>
      <c r="AN1206" s="15" t="e">
        <f aca="false">_xlfn.xlookup(AK1206,A:A,M:M)+_xlfn.xlookup(AK1206,A:A,N:N)</f>
        <v>#NAME?</v>
      </c>
      <c r="AO1206" s="223" t="e">
        <f aca="false">_xlfn.xlookup(AK1206,A:A,AG:AG)</f>
        <v>#NAME?</v>
      </c>
      <c r="AP1206" s="223" t="e">
        <f aca="false">_xlfn.xlookup(AK1206,A:A,AD:AD)</f>
        <v>#NAME?</v>
      </c>
      <c r="AQ1206" s="223" t="e">
        <f aca="false">_xlfn.xlookup(AK1206,A:A,AE:AE)</f>
        <v>#NAME?</v>
      </c>
      <c r="BB1206" s="15" t="e">
        <f aca="false">_xlfn.xlookup(BA1206,A:A,E:E)</f>
        <v>#NAME?</v>
      </c>
      <c r="BC1206" s="15" t="e">
        <f aca="false">_xlfn.xlookup(BA1206,A:A,J:J)</f>
        <v>#NAME?</v>
      </c>
      <c r="BD1206" s="75" t="e">
        <f aca="false">_xlfn.xlookup(BA1206,A:A,M:M)+_xlfn.xlookup(BA1206,A:A,N:N)</f>
        <v>#NAME?</v>
      </c>
    </row>
    <row r="1207" customFormat="false" ht="14.25" hidden="false" customHeight="false" outlineLevel="0" collapsed="false">
      <c r="AK1207" s="15" t="e">
        <v>#NAME?</v>
      </c>
      <c r="AL1207" s="15" t="e">
        <f aca="false">_xlfn.xlookup(AK1207,A:A,F:F)</f>
        <v>#NAME?</v>
      </c>
      <c r="AM1207" s="15" t="e">
        <f aca="false">_xlfn.xlookup(AK1207,A:A,J:J)</f>
        <v>#NAME?</v>
      </c>
      <c r="AN1207" s="15" t="e">
        <f aca="false">_xlfn.xlookup(AK1207,A:A,M:M)+_xlfn.xlookup(AK1207,A:A,N:N)</f>
        <v>#NAME?</v>
      </c>
      <c r="AO1207" s="223" t="e">
        <f aca="false">_xlfn.xlookup(AK1207,A:A,AG:AG)</f>
        <v>#NAME?</v>
      </c>
      <c r="AP1207" s="223" t="e">
        <f aca="false">_xlfn.xlookup(AK1207,A:A,AD:AD)</f>
        <v>#NAME?</v>
      </c>
      <c r="AQ1207" s="223" t="e">
        <f aca="false">_xlfn.xlookup(AK1207,A:A,AE:AE)</f>
        <v>#NAME?</v>
      </c>
      <c r="BB1207" s="15" t="e">
        <f aca="false">_xlfn.xlookup(BA1207,A:A,E:E)</f>
        <v>#NAME?</v>
      </c>
      <c r="BC1207" s="15" t="e">
        <f aca="false">_xlfn.xlookup(BA1207,A:A,J:J)</f>
        <v>#NAME?</v>
      </c>
      <c r="BD1207" s="75" t="e">
        <f aca="false">_xlfn.xlookup(BA1207,A:A,M:M)+_xlfn.xlookup(BA1207,A:A,N:N)</f>
        <v>#NAME?</v>
      </c>
    </row>
    <row r="1208" customFormat="false" ht="14.25" hidden="false" customHeight="false" outlineLevel="0" collapsed="false">
      <c r="AK1208" s="15" t="e">
        <v>#NAME?</v>
      </c>
      <c r="AL1208" s="15" t="e">
        <f aca="false">_xlfn.xlookup(AK1208,A:A,F:F)</f>
        <v>#NAME?</v>
      </c>
      <c r="AM1208" s="15" t="e">
        <f aca="false">_xlfn.xlookup(AK1208,A:A,J:J)</f>
        <v>#NAME?</v>
      </c>
      <c r="AN1208" s="15" t="e">
        <f aca="false">_xlfn.xlookup(AK1208,A:A,M:M)+_xlfn.xlookup(AK1208,A:A,N:N)</f>
        <v>#NAME?</v>
      </c>
      <c r="AO1208" s="223" t="e">
        <f aca="false">_xlfn.xlookup(AK1208,A:A,AG:AG)</f>
        <v>#NAME?</v>
      </c>
      <c r="AP1208" s="223" t="e">
        <f aca="false">_xlfn.xlookup(AK1208,A:A,AD:AD)</f>
        <v>#NAME?</v>
      </c>
      <c r="AQ1208" s="223" t="e">
        <f aca="false">_xlfn.xlookup(AK1208,A:A,AE:AE)</f>
        <v>#NAME?</v>
      </c>
      <c r="BB1208" s="15" t="e">
        <f aca="false">_xlfn.xlookup(BA1208,A:A,E:E)</f>
        <v>#NAME?</v>
      </c>
      <c r="BC1208" s="15" t="e">
        <f aca="false">_xlfn.xlookup(BA1208,A:A,J:J)</f>
        <v>#NAME?</v>
      </c>
      <c r="BD1208" s="75" t="e">
        <f aca="false">_xlfn.xlookup(BA1208,A:A,M:M)+_xlfn.xlookup(BA1208,A:A,N:N)</f>
        <v>#NAME?</v>
      </c>
    </row>
    <row r="1209" customFormat="false" ht="14.25" hidden="false" customHeight="false" outlineLevel="0" collapsed="false">
      <c r="AK1209" s="15" t="e">
        <v>#NAME?</v>
      </c>
      <c r="AL1209" s="15" t="e">
        <f aca="false">_xlfn.xlookup(AK1209,A:A,F:F)</f>
        <v>#NAME?</v>
      </c>
      <c r="AM1209" s="15" t="e">
        <f aca="false">_xlfn.xlookup(AK1209,A:A,J:J)</f>
        <v>#NAME?</v>
      </c>
      <c r="AN1209" s="15" t="e">
        <f aca="false">_xlfn.xlookup(AK1209,A:A,M:M)+_xlfn.xlookup(AK1209,A:A,N:N)</f>
        <v>#NAME?</v>
      </c>
      <c r="AO1209" s="223" t="e">
        <f aca="false">_xlfn.xlookup(AK1209,A:A,AG:AG)</f>
        <v>#NAME?</v>
      </c>
      <c r="AP1209" s="223" t="e">
        <f aca="false">_xlfn.xlookup(AK1209,A:A,AD:AD)</f>
        <v>#NAME?</v>
      </c>
      <c r="AQ1209" s="223" t="e">
        <f aca="false">_xlfn.xlookup(AK1209,A:A,AE:AE)</f>
        <v>#NAME?</v>
      </c>
      <c r="BB1209" s="15" t="e">
        <f aca="false">_xlfn.xlookup(BA1209,A:A,E:E)</f>
        <v>#NAME?</v>
      </c>
      <c r="BC1209" s="15" t="e">
        <f aca="false">_xlfn.xlookup(BA1209,A:A,J:J)</f>
        <v>#NAME?</v>
      </c>
      <c r="BD1209" s="75" t="e">
        <f aca="false">_xlfn.xlookup(BA1209,A:A,M:M)+_xlfn.xlookup(BA1209,A:A,N:N)</f>
        <v>#NAME?</v>
      </c>
    </row>
    <row r="1210" customFormat="false" ht="14.25" hidden="false" customHeight="false" outlineLevel="0" collapsed="false">
      <c r="AK1210" s="15" t="e">
        <v>#NAME?</v>
      </c>
      <c r="AL1210" s="15" t="e">
        <f aca="false">_xlfn.xlookup(AK1210,A:A,F:F)</f>
        <v>#NAME?</v>
      </c>
      <c r="AM1210" s="15" t="e">
        <f aca="false">_xlfn.xlookup(AK1210,A:A,J:J)</f>
        <v>#NAME?</v>
      </c>
      <c r="AN1210" s="15" t="e">
        <f aca="false">_xlfn.xlookup(AK1210,A:A,M:M)+_xlfn.xlookup(AK1210,A:A,N:N)</f>
        <v>#NAME?</v>
      </c>
      <c r="AO1210" s="223" t="e">
        <f aca="false">_xlfn.xlookup(AK1210,A:A,AG:AG)</f>
        <v>#NAME?</v>
      </c>
      <c r="AP1210" s="223" t="e">
        <f aca="false">_xlfn.xlookup(AK1210,A:A,AD:AD)</f>
        <v>#NAME?</v>
      </c>
      <c r="AQ1210" s="223" t="e">
        <f aca="false">_xlfn.xlookup(AK1210,A:A,AE:AE)</f>
        <v>#NAME?</v>
      </c>
      <c r="BB1210" s="15" t="e">
        <f aca="false">_xlfn.xlookup(BA1210,A:A,E:E)</f>
        <v>#NAME?</v>
      </c>
      <c r="BC1210" s="15" t="e">
        <f aca="false">_xlfn.xlookup(BA1210,A:A,J:J)</f>
        <v>#NAME?</v>
      </c>
      <c r="BD1210" s="75" t="e">
        <f aca="false">_xlfn.xlookup(BA1210,A:A,M:M)+_xlfn.xlookup(BA1210,A:A,N:N)</f>
        <v>#NAME?</v>
      </c>
    </row>
    <row r="1211" customFormat="false" ht="14.25" hidden="false" customHeight="false" outlineLevel="0" collapsed="false">
      <c r="AK1211" s="15" t="e">
        <v>#NAME?</v>
      </c>
      <c r="AL1211" s="15" t="e">
        <f aca="false">_xlfn.xlookup(AK1211,A:A,F:F)</f>
        <v>#NAME?</v>
      </c>
      <c r="AM1211" s="15" t="e">
        <f aca="false">_xlfn.xlookup(AK1211,A:A,J:J)</f>
        <v>#NAME?</v>
      </c>
      <c r="AN1211" s="15" t="e">
        <f aca="false">_xlfn.xlookup(AK1211,A:A,M:M)+_xlfn.xlookup(AK1211,A:A,N:N)</f>
        <v>#NAME?</v>
      </c>
      <c r="AO1211" s="223" t="e">
        <f aca="false">_xlfn.xlookup(AK1211,A:A,AG:AG)</f>
        <v>#NAME?</v>
      </c>
      <c r="AP1211" s="223" t="e">
        <f aca="false">_xlfn.xlookup(AK1211,A:A,AD:AD)</f>
        <v>#NAME?</v>
      </c>
      <c r="AQ1211" s="223" t="e">
        <f aca="false">_xlfn.xlookup(AK1211,A:A,AE:AE)</f>
        <v>#NAME?</v>
      </c>
      <c r="BB1211" s="15" t="e">
        <f aca="false">_xlfn.xlookup(BA1211,A:A,E:E)</f>
        <v>#NAME?</v>
      </c>
      <c r="BC1211" s="15" t="e">
        <f aca="false">_xlfn.xlookup(BA1211,A:A,J:J)</f>
        <v>#NAME?</v>
      </c>
      <c r="BD1211" s="75" t="e">
        <f aca="false">_xlfn.xlookup(BA1211,A:A,M:M)+_xlfn.xlookup(BA1211,A:A,N:N)</f>
        <v>#NAME?</v>
      </c>
    </row>
    <row r="1212" customFormat="false" ht="14.25" hidden="false" customHeight="false" outlineLevel="0" collapsed="false">
      <c r="AK1212" s="15" t="e">
        <v>#NAME?</v>
      </c>
      <c r="AL1212" s="15" t="e">
        <f aca="false">_xlfn.xlookup(AK1212,A:A,F:F)</f>
        <v>#NAME?</v>
      </c>
      <c r="AM1212" s="15" t="e">
        <f aca="false">_xlfn.xlookup(AK1212,A:A,J:J)</f>
        <v>#NAME?</v>
      </c>
      <c r="AN1212" s="15" t="e">
        <f aca="false">_xlfn.xlookup(AK1212,A:A,M:M)+_xlfn.xlookup(AK1212,A:A,N:N)</f>
        <v>#NAME?</v>
      </c>
      <c r="AO1212" s="223" t="e">
        <f aca="false">_xlfn.xlookup(AK1212,A:A,AG:AG)</f>
        <v>#NAME?</v>
      </c>
      <c r="AP1212" s="223" t="e">
        <f aca="false">_xlfn.xlookup(AK1212,A:A,AD:AD)</f>
        <v>#NAME?</v>
      </c>
      <c r="AQ1212" s="223" t="e">
        <f aca="false">_xlfn.xlookup(AK1212,A:A,AE:AE)</f>
        <v>#NAME?</v>
      </c>
      <c r="BB1212" s="15" t="e">
        <f aca="false">_xlfn.xlookup(BA1212,A:A,E:E)</f>
        <v>#NAME?</v>
      </c>
      <c r="BC1212" s="15" t="e">
        <f aca="false">_xlfn.xlookup(BA1212,A:A,J:J)</f>
        <v>#NAME?</v>
      </c>
      <c r="BD1212" s="75" t="e">
        <f aca="false">_xlfn.xlookup(BA1212,A:A,M:M)+_xlfn.xlookup(BA1212,A:A,N:N)</f>
        <v>#NAME?</v>
      </c>
    </row>
    <row r="1213" customFormat="false" ht="14.25" hidden="false" customHeight="false" outlineLevel="0" collapsed="false">
      <c r="AK1213" s="15" t="e">
        <v>#NAME?</v>
      </c>
      <c r="AL1213" s="15" t="e">
        <f aca="false">_xlfn.xlookup(AK1213,A:A,F:F)</f>
        <v>#NAME?</v>
      </c>
      <c r="AM1213" s="15" t="e">
        <f aca="false">_xlfn.xlookup(AK1213,A:A,J:J)</f>
        <v>#NAME?</v>
      </c>
      <c r="AN1213" s="15" t="e">
        <f aca="false">_xlfn.xlookup(AK1213,A:A,M:M)+_xlfn.xlookup(AK1213,A:A,N:N)</f>
        <v>#NAME?</v>
      </c>
      <c r="AO1213" s="223" t="e">
        <f aca="false">_xlfn.xlookup(AK1213,A:A,AG:AG)</f>
        <v>#NAME?</v>
      </c>
      <c r="AP1213" s="223" t="e">
        <f aca="false">_xlfn.xlookup(AK1213,A:A,AD:AD)</f>
        <v>#NAME?</v>
      </c>
      <c r="AQ1213" s="223" t="e">
        <f aca="false">_xlfn.xlookup(AK1213,A:A,AE:AE)</f>
        <v>#NAME?</v>
      </c>
      <c r="BB1213" s="15" t="e">
        <f aca="false">_xlfn.xlookup(BA1213,A:A,E:E)</f>
        <v>#NAME?</v>
      </c>
      <c r="BC1213" s="15" t="e">
        <f aca="false">_xlfn.xlookup(BA1213,A:A,J:J)</f>
        <v>#NAME?</v>
      </c>
      <c r="BD1213" s="75" t="e">
        <f aca="false">_xlfn.xlookup(BA1213,A:A,M:M)+_xlfn.xlookup(BA1213,A:A,N:N)</f>
        <v>#NAME?</v>
      </c>
    </row>
    <row r="1214" customFormat="false" ht="14.25" hidden="false" customHeight="false" outlineLevel="0" collapsed="false">
      <c r="AK1214" s="15" t="e">
        <v>#NAME?</v>
      </c>
      <c r="AL1214" s="15" t="e">
        <f aca="false">_xlfn.xlookup(AK1214,A:A,F:F)</f>
        <v>#NAME?</v>
      </c>
      <c r="AM1214" s="15" t="e">
        <f aca="false">_xlfn.xlookup(AK1214,A:A,J:J)</f>
        <v>#NAME?</v>
      </c>
      <c r="AN1214" s="15" t="e">
        <f aca="false">_xlfn.xlookup(AK1214,A:A,M:M)+_xlfn.xlookup(AK1214,A:A,N:N)</f>
        <v>#NAME?</v>
      </c>
      <c r="AO1214" s="223" t="e">
        <f aca="false">_xlfn.xlookup(AK1214,A:A,AG:AG)</f>
        <v>#NAME?</v>
      </c>
      <c r="AP1214" s="223" t="e">
        <f aca="false">_xlfn.xlookup(AK1214,A:A,AD:AD)</f>
        <v>#NAME?</v>
      </c>
      <c r="AQ1214" s="223" t="e">
        <f aca="false">_xlfn.xlookup(AK1214,A:A,AE:AE)</f>
        <v>#NAME?</v>
      </c>
      <c r="BB1214" s="15" t="e">
        <f aca="false">_xlfn.xlookup(BA1214,A:A,E:E)</f>
        <v>#NAME?</v>
      </c>
      <c r="BC1214" s="15" t="e">
        <f aca="false">_xlfn.xlookup(BA1214,A:A,J:J)</f>
        <v>#NAME?</v>
      </c>
      <c r="BD1214" s="75" t="e">
        <f aca="false">_xlfn.xlookup(BA1214,A:A,M:M)+_xlfn.xlookup(BA1214,A:A,N:N)</f>
        <v>#NAME?</v>
      </c>
    </row>
    <row r="1215" customFormat="false" ht="14.25" hidden="false" customHeight="false" outlineLevel="0" collapsed="false">
      <c r="AK1215" s="15" t="e">
        <v>#NAME?</v>
      </c>
      <c r="AL1215" s="15" t="e">
        <f aca="false">_xlfn.xlookup(AK1215,A:A,F:F)</f>
        <v>#NAME?</v>
      </c>
      <c r="AM1215" s="15" t="e">
        <f aca="false">_xlfn.xlookup(AK1215,A:A,J:J)</f>
        <v>#NAME?</v>
      </c>
      <c r="AN1215" s="15" t="e">
        <f aca="false">_xlfn.xlookup(AK1215,A:A,M:M)+_xlfn.xlookup(AK1215,A:A,N:N)</f>
        <v>#NAME?</v>
      </c>
      <c r="AO1215" s="223" t="e">
        <f aca="false">_xlfn.xlookup(AK1215,A:A,AG:AG)</f>
        <v>#NAME?</v>
      </c>
      <c r="AP1215" s="223" t="e">
        <f aca="false">_xlfn.xlookup(AK1215,A:A,AD:AD)</f>
        <v>#NAME?</v>
      </c>
      <c r="AQ1215" s="223" t="e">
        <f aca="false">_xlfn.xlookup(AK1215,A:A,AE:AE)</f>
        <v>#NAME?</v>
      </c>
      <c r="BB1215" s="15" t="e">
        <f aca="false">_xlfn.xlookup(BA1215,A:A,E:E)</f>
        <v>#NAME?</v>
      </c>
      <c r="BC1215" s="15" t="e">
        <f aca="false">_xlfn.xlookup(BA1215,A:A,J:J)</f>
        <v>#NAME?</v>
      </c>
      <c r="BD1215" s="75" t="e">
        <f aca="false">_xlfn.xlookup(BA1215,A:A,M:M)+_xlfn.xlookup(BA1215,A:A,N:N)</f>
        <v>#NAME?</v>
      </c>
    </row>
    <row r="1216" customFormat="false" ht="14.25" hidden="false" customHeight="false" outlineLevel="0" collapsed="false">
      <c r="AK1216" s="15" t="e">
        <v>#NAME?</v>
      </c>
      <c r="AL1216" s="15" t="e">
        <f aca="false">_xlfn.xlookup(AK1216,A:A,F:F)</f>
        <v>#NAME?</v>
      </c>
      <c r="AM1216" s="15" t="e">
        <f aca="false">_xlfn.xlookup(AK1216,A:A,J:J)</f>
        <v>#NAME?</v>
      </c>
      <c r="AN1216" s="15" t="e">
        <f aca="false">_xlfn.xlookup(AK1216,A:A,M:M)+_xlfn.xlookup(AK1216,A:A,N:N)</f>
        <v>#NAME?</v>
      </c>
      <c r="AO1216" s="223" t="e">
        <f aca="false">_xlfn.xlookup(AK1216,A:A,AG:AG)</f>
        <v>#NAME?</v>
      </c>
      <c r="AP1216" s="223" t="e">
        <f aca="false">_xlfn.xlookup(AK1216,A:A,AD:AD)</f>
        <v>#NAME?</v>
      </c>
      <c r="AQ1216" s="223" t="e">
        <f aca="false">_xlfn.xlookup(AK1216,A:A,AE:AE)</f>
        <v>#NAME?</v>
      </c>
      <c r="BB1216" s="15" t="e">
        <f aca="false">_xlfn.xlookup(BA1216,A:A,E:E)</f>
        <v>#NAME?</v>
      </c>
      <c r="BC1216" s="15" t="e">
        <f aca="false">_xlfn.xlookup(BA1216,A:A,J:J)</f>
        <v>#NAME?</v>
      </c>
      <c r="BD1216" s="75" t="e">
        <f aca="false">_xlfn.xlookup(BA1216,A:A,M:M)+_xlfn.xlookup(BA1216,A:A,N:N)</f>
        <v>#NAME?</v>
      </c>
    </row>
    <row r="1217" customFormat="false" ht="14.25" hidden="false" customHeight="false" outlineLevel="0" collapsed="false">
      <c r="AK1217" s="15" t="e">
        <v>#NAME?</v>
      </c>
      <c r="AL1217" s="15" t="e">
        <f aca="false">_xlfn.xlookup(AK1217,A:A,F:F)</f>
        <v>#NAME?</v>
      </c>
      <c r="AM1217" s="15" t="e">
        <f aca="false">_xlfn.xlookup(AK1217,A:A,J:J)</f>
        <v>#NAME?</v>
      </c>
      <c r="AN1217" s="15" t="e">
        <f aca="false">_xlfn.xlookup(AK1217,A:A,M:M)+_xlfn.xlookup(AK1217,A:A,N:N)</f>
        <v>#NAME?</v>
      </c>
      <c r="AO1217" s="223" t="e">
        <f aca="false">_xlfn.xlookup(AK1217,A:A,AG:AG)</f>
        <v>#NAME?</v>
      </c>
      <c r="AP1217" s="223" t="e">
        <f aca="false">_xlfn.xlookup(AK1217,A:A,AD:AD)</f>
        <v>#NAME?</v>
      </c>
      <c r="AQ1217" s="223" t="e">
        <f aca="false">_xlfn.xlookup(AK1217,A:A,AE:AE)</f>
        <v>#NAME?</v>
      </c>
      <c r="BB1217" s="15" t="e">
        <f aca="false">_xlfn.xlookup(BA1217,A:A,E:E)</f>
        <v>#NAME?</v>
      </c>
      <c r="BC1217" s="15" t="e">
        <f aca="false">_xlfn.xlookup(BA1217,A:A,J:J)</f>
        <v>#NAME?</v>
      </c>
      <c r="BD1217" s="75" t="e">
        <f aca="false">_xlfn.xlookup(BA1217,A:A,M:M)+_xlfn.xlookup(BA1217,A:A,N:N)</f>
        <v>#NAME?</v>
      </c>
    </row>
    <row r="1218" customFormat="false" ht="14.25" hidden="false" customHeight="false" outlineLevel="0" collapsed="false">
      <c r="AK1218" s="15" t="e">
        <v>#NAME?</v>
      </c>
      <c r="AL1218" s="15" t="e">
        <f aca="false">_xlfn.xlookup(AK1218,A:A,F:F)</f>
        <v>#NAME?</v>
      </c>
      <c r="AM1218" s="15" t="e">
        <f aca="false">_xlfn.xlookup(AK1218,A:A,J:J)</f>
        <v>#NAME?</v>
      </c>
      <c r="AN1218" s="15" t="e">
        <f aca="false">_xlfn.xlookup(AK1218,A:A,M:M)+_xlfn.xlookup(AK1218,A:A,N:N)</f>
        <v>#NAME?</v>
      </c>
      <c r="AO1218" s="223" t="e">
        <f aca="false">_xlfn.xlookup(AK1218,A:A,AG:AG)</f>
        <v>#NAME?</v>
      </c>
      <c r="AP1218" s="223" t="e">
        <f aca="false">_xlfn.xlookup(AK1218,A:A,AD:AD)</f>
        <v>#NAME?</v>
      </c>
      <c r="AQ1218" s="223" t="e">
        <f aca="false">_xlfn.xlookup(AK1218,A:A,AE:AE)</f>
        <v>#NAME?</v>
      </c>
      <c r="BB1218" s="15" t="e">
        <f aca="false">_xlfn.xlookup(BA1218,A:A,E:E)</f>
        <v>#NAME?</v>
      </c>
      <c r="BC1218" s="15" t="e">
        <f aca="false">_xlfn.xlookup(BA1218,A:A,J:J)</f>
        <v>#NAME?</v>
      </c>
      <c r="BD1218" s="75" t="e">
        <f aca="false">_xlfn.xlookup(BA1218,A:A,M:M)+_xlfn.xlookup(BA1218,A:A,N:N)</f>
        <v>#NAME?</v>
      </c>
    </row>
    <row r="1219" customFormat="false" ht="14.25" hidden="false" customHeight="false" outlineLevel="0" collapsed="false">
      <c r="AK1219" s="15" t="e">
        <v>#NAME?</v>
      </c>
      <c r="AL1219" s="15" t="e">
        <f aca="false">_xlfn.xlookup(AK1219,A:A,F:F)</f>
        <v>#NAME?</v>
      </c>
      <c r="AM1219" s="15" t="e">
        <f aca="false">_xlfn.xlookup(AK1219,A:A,J:J)</f>
        <v>#NAME?</v>
      </c>
      <c r="AN1219" s="15" t="e">
        <f aca="false">_xlfn.xlookup(AK1219,A:A,M:M)+_xlfn.xlookup(AK1219,A:A,N:N)</f>
        <v>#NAME?</v>
      </c>
      <c r="AO1219" s="223" t="e">
        <f aca="false">_xlfn.xlookup(AK1219,A:A,AG:AG)</f>
        <v>#NAME?</v>
      </c>
      <c r="AP1219" s="223" t="e">
        <f aca="false">_xlfn.xlookup(AK1219,A:A,AD:AD)</f>
        <v>#NAME?</v>
      </c>
      <c r="AQ1219" s="223" t="e">
        <f aca="false">_xlfn.xlookup(AK1219,A:A,AE:AE)</f>
        <v>#NAME?</v>
      </c>
      <c r="BB1219" s="15" t="e">
        <f aca="false">_xlfn.xlookup(BA1219,A:A,E:E)</f>
        <v>#NAME?</v>
      </c>
      <c r="BC1219" s="15" t="e">
        <f aca="false">_xlfn.xlookup(BA1219,A:A,J:J)</f>
        <v>#NAME?</v>
      </c>
      <c r="BD1219" s="75" t="e">
        <f aca="false">_xlfn.xlookup(BA1219,A:A,M:M)+_xlfn.xlookup(BA1219,A:A,N:N)</f>
        <v>#NAME?</v>
      </c>
    </row>
    <row r="1220" customFormat="false" ht="14.25" hidden="false" customHeight="false" outlineLevel="0" collapsed="false">
      <c r="AK1220" s="15" t="e">
        <v>#NAME?</v>
      </c>
      <c r="AL1220" s="15" t="e">
        <f aca="false">_xlfn.xlookup(AK1220,A:A,F:F)</f>
        <v>#NAME?</v>
      </c>
      <c r="AM1220" s="15" t="e">
        <f aca="false">_xlfn.xlookup(AK1220,A:A,J:J)</f>
        <v>#NAME?</v>
      </c>
      <c r="AN1220" s="15" t="e">
        <f aca="false">_xlfn.xlookup(AK1220,A:A,M:M)+_xlfn.xlookup(AK1220,A:A,N:N)</f>
        <v>#NAME?</v>
      </c>
      <c r="AO1220" s="223" t="e">
        <f aca="false">_xlfn.xlookup(AK1220,A:A,AG:AG)</f>
        <v>#NAME?</v>
      </c>
      <c r="AP1220" s="223" t="e">
        <f aca="false">_xlfn.xlookup(AK1220,A:A,AD:AD)</f>
        <v>#NAME?</v>
      </c>
      <c r="AQ1220" s="223" t="e">
        <f aca="false">_xlfn.xlookup(AK1220,A:A,AE:AE)</f>
        <v>#NAME?</v>
      </c>
      <c r="BB1220" s="15" t="e">
        <f aca="false">_xlfn.xlookup(BA1220,A:A,E:E)</f>
        <v>#NAME?</v>
      </c>
      <c r="BC1220" s="15" t="e">
        <f aca="false">_xlfn.xlookup(BA1220,A:A,J:J)</f>
        <v>#NAME?</v>
      </c>
      <c r="BD1220" s="75" t="e">
        <f aca="false">_xlfn.xlookup(BA1220,A:A,M:M)+_xlfn.xlookup(BA1220,A:A,N:N)</f>
        <v>#NAME?</v>
      </c>
    </row>
    <row r="1221" customFormat="false" ht="14.25" hidden="false" customHeight="false" outlineLevel="0" collapsed="false">
      <c r="AK1221" s="15" t="e">
        <v>#NAME?</v>
      </c>
      <c r="AL1221" s="15" t="e">
        <f aca="false">_xlfn.xlookup(AK1221,A:A,F:F)</f>
        <v>#NAME?</v>
      </c>
      <c r="AM1221" s="15" t="e">
        <f aca="false">_xlfn.xlookup(AK1221,A:A,J:J)</f>
        <v>#NAME?</v>
      </c>
      <c r="AN1221" s="15" t="e">
        <f aca="false">_xlfn.xlookup(AK1221,A:A,M:M)+_xlfn.xlookup(AK1221,A:A,N:N)</f>
        <v>#NAME?</v>
      </c>
      <c r="AO1221" s="223" t="e">
        <f aca="false">_xlfn.xlookup(AK1221,A:A,AG:AG)</f>
        <v>#NAME?</v>
      </c>
      <c r="AP1221" s="223" t="e">
        <f aca="false">_xlfn.xlookup(AK1221,A:A,AD:AD)</f>
        <v>#NAME?</v>
      </c>
      <c r="AQ1221" s="223" t="e">
        <f aca="false">_xlfn.xlookup(AK1221,A:A,AE:AE)</f>
        <v>#NAME?</v>
      </c>
      <c r="BB1221" s="15" t="e">
        <f aca="false">_xlfn.xlookup(BA1221,A:A,E:E)</f>
        <v>#NAME?</v>
      </c>
      <c r="BC1221" s="15" t="e">
        <f aca="false">_xlfn.xlookup(BA1221,A:A,J:J)</f>
        <v>#NAME?</v>
      </c>
      <c r="BD1221" s="75" t="e">
        <f aca="false">_xlfn.xlookup(BA1221,A:A,M:M)+_xlfn.xlookup(BA1221,A:A,N:N)</f>
        <v>#NAME?</v>
      </c>
    </row>
    <row r="1222" customFormat="false" ht="14.25" hidden="false" customHeight="false" outlineLevel="0" collapsed="false">
      <c r="AK1222" s="15" t="e">
        <v>#NAME?</v>
      </c>
      <c r="AL1222" s="15" t="e">
        <f aca="false">_xlfn.xlookup(AK1222,A:A,F:F)</f>
        <v>#NAME?</v>
      </c>
      <c r="AM1222" s="15" t="e">
        <f aca="false">_xlfn.xlookup(AK1222,A:A,J:J)</f>
        <v>#NAME?</v>
      </c>
      <c r="AN1222" s="15" t="e">
        <f aca="false">_xlfn.xlookup(AK1222,A:A,M:M)+_xlfn.xlookup(AK1222,A:A,N:N)</f>
        <v>#NAME?</v>
      </c>
      <c r="AO1222" s="223" t="e">
        <f aca="false">_xlfn.xlookup(AK1222,A:A,AG:AG)</f>
        <v>#NAME?</v>
      </c>
      <c r="AP1222" s="223" t="e">
        <f aca="false">_xlfn.xlookup(AK1222,A:A,AD:AD)</f>
        <v>#NAME?</v>
      </c>
      <c r="AQ1222" s="223" t="e">
        <f aca="false">_xlfn.xlookup(AK1222,A:A,AE:AE)</f>
        <v>#NAME?</v>
      </c>
      <c r="BB1222" s="15" t="e">
        <f aca="false">_xlfn.xlookup(BA1222,A:A,E:E)</f>
        <v>#NAME?</v>
      </c>
      <c r="BC1222" s="15" t="e">
        <f aca="false">_xlfn.xlookup(BA1222,A:A,J:J)</f>
        <v>#NAME?</v>
      </c>
      <c r="BD1222" s="75" t="e">
        <f aca="false">_xlfn.xlookup(BA1222,A:A,M:M)+_xlfn.xlookup(BA1222,A:A,N:N)</f>
        <v>#NAME?</v>
      </c>
    </row>
    <row r="1223" customFormat="false" ht="14.25" hidden="false" customHeight="false" outlineLevel="0" collapsed="false">
      <c r="AK1223" s="15" t="e">
        <v>#NAME?</v>
      </c>
      <c r="AL1223" s="15" t="e">
        <f aca="false">_xlfn.xlookup(AK1223,A:A,F:F)</f>
        <v>#NAME?</v>
      </c>
      <c r="AM1223" s="15" t="e">
        <f aca="false">_xlfn.xlookup(AK1223,A:A,J:J)</f>
        <v>#NAME?</v>
      </c>
      <c r="AN1223" s="15" t="e">
        <f aca="false">_xlfn.xlookup(AK1223,A:A,M:M)+_xlfn.xlookup(AK1223,A:A,N:N)</f>
        <v>#NAME?</v>
      </c>
      <c r="AO1223" s="223" t="e">
        <f aca="false">_xlfn.xlookup(AK1223,A:A,AG:AG)</f>
        <v>#NAME?</v>
      </c>
      <c r="AP1223" s="223" t="e">
        <f aca="false">_xlfn.xlookup(AK1223,A:A,AD:AD)</f>
        <v>#NAME?</v>
      </c>
      <c r="AQ1223" s="223" t="e">
        <f aca="false">_xlfn.xlookup(AK1223,A:A,AE:AE)</f>
        <v>#NAME?</v>
      </c>
      <c r="BB1223" s="15" t="e">
        <f aca="false">_xlfn.xlookup(BA1223,A:A,E:E)</f>
        <v>#NAME?</v>
      </c>
      <c r="BC1223" s="15" t="e">
        <f aca="false">_xlfn.xlookup(BA1223,A:A,J:J)</f>
        <v>#NAME?</v>
      </c>
      <c r="BD1223" s="75" t="e">
        <f aca="false">_xlfn.xlookup(BA1223,A:A,M:M)+_xlfn.xlookup(BA1223,A:A,N:N)</f>
        <v>#NAME?</v>
      </c>
    </row>
    <row r="1224" customFormat="false" ht="14.25" hidden="false" customHeight="false" outlineLevel="0" collapsed="false">
      <c r="AK1224" s="15" t="e">
        <v>#NAME?</v>
      </c>
      <c r="AL1224" s="15" t="e">
        <f aca="false">_xlfn.xlookup(AK1224,A:A,F:F)</f>
        <v>#NAME?</v>
      </c>
      <c r="AM1224" s="15" t="e">
        <f aca="false">_xlfn.xlookup(AK1224,A:A,J:J)</f>
        <v>#NAME?</v>
      </c>
      <c r="AN1224" s="15" t="e">
        <f aca="false">_xlfn.xlookup(AK1224,A:A,M:M)+_xlfn.xlookup(AK1224,A:A,N:N)</f>
        <v>#NAME?</v>
      </c>
      <c r="AO1224" s="223" t="e">
        <f aca="false">_xlfn.xlookup(AK1224,A:A,AG:AG)</f>
        <v>#NAME?</v>
      </c>
      <c r="AP1224" s="223" t="e">
        <f aca="false">_xlfn.xlookup(AK1224,A:A,AD:AD)</f>
        <v>#NAME?</v>
      </c>
      <c r="AQ1224" s="223" t="e">
        <f aca="false">_xlfn.xlookup(AK1224,A:A,AE:AE)</f>
        <v>#NAME?</v>
      </c>
      <c r="BB1224" s="15" t="e">
        <f aca="false">_xlfn.xlookup(BA1224,A:A,E:E)</f>
        <v>#NAME?</v>
      </c>
      <c r="BC1224" s="15" t="e">
        <f aca="false">_xlfn.xlookup(BA1224,A:A,J:J)</f>
        <v>#NAME?</v>
      </c>
      <c r="BD1224" s="75" t="e">
        <f aca="false">_xlfn.xlookup(BA1224,A:A,M:M)+_xlfn.xlookup(BA1224,A:A,N:N)</f>
        <v>#NAME?</v>
      </c>
    </row>
    <row r="1225" customFormat="false" ht="14.25" hidden="false" customHeight="false" outlineLevel="0" collapsed="false">
      <c r="AK1225" s="15" t="e">
        <v>#NAME?</v>
      </c>
      <c r="AL1225" s="15" t="e">
        <f aca="false">_xlfn.xlookup(AK1225,A:A,F:F)</f>
        <v>#NAME?</v>
      </c>
      <c r="AM1225" s="15" t="e">
        <f aca="false">_xlfn.xlookup(AK1225,A:A,J:J)</f>
        <v>#NAME?</v>
      </c>
      <c r="AN1225" s="15" t="e">
        <f aca="false">_xlfn.xlookup(AK1225,A:A,M:M)+_xlfn.xlookup(AK1225,A:A,N:N)</f>
        <v>#NAME?</v>
      </c>
      <c r="AO1225" s="223" t="e">
        <f aca="false">_xlfn.xlookup(AK1225,A:A,AG:AG)</f>
        <v>#NAME?</v>
      </c>
      <c r="AP1225" s="223" t="e">
        <f aca="false">_xlfn.xlookup(AK1225,A:A,AD:AD)</f>
        <v>#NAME?</v>
      </c>
      <c r="AQ1225" s="223" t="e">
        <f aca="false">_xlfn.xlookup(AK1225,A:A,AE:AE)</f>
        <v>#NAME?</v>
      </c>
      <c r="BB1225" s="15" t="e">
        <f aca="false">_xlfn.xlookup(BA1225,A:A,E:E)</f>
        <v>#NAME?</v>
      </c>
      <c r="BC1225" s="15" t="e">
        <f aca="false">_xlfn.xlookup(BA1225,A:A,J:J)</f>
        <v>#NAME?</v>
      </c>
      <c r="BD1225" s="75" t="e">
        <f aca="false">_xlfn.xlookup(BA1225,A:A,M:M)+_xlfn.xlookup(BA1225,A:A,N:N)</f>
        <v>#NAME?</v>
      </c>
    </row>
    <row r="1226" customFormat="false" ht="14.25" hidden="false" customHeight="false" outlineLevel="0" collapsed="false">
      <c r="AK1226" s="15" t="e">
        <v>#NAME?</v>
      </c>
      <c r="AL1226" s="15" t="e">
        <f aca="false">_xlfn.xlookup(AK1226,A:A,F:F)</f>
        <v>#NAME?</v>
      </c>
      <c r="AM1226" s="15" t="e">
        <f aca="false">_xlfn.xlookup(AK1226,A:A,J:J)</f>
        <v>#NAME?</v>
      </c>
      <c r="AN1226" s="15" t="e">
        <f aca="false">_xlfn.xlookup(AK1226,A:A,M:M)+_xlfn.xlookup(AK1226,A:A,N:N)</f>
        <v>#NAME?</v>
      </c>
      <c r="AO1226" s="223" t="e">
        <f aca="false">_xlfn.xlookup(AK1226,A:A,AG:AG)</f>
        <v>#NAME?</v>
      </c>
      <c r="AP1226" s="223" t="e">
        <f aca="false">_xlfn.xlookup(AK1226,A:A,AD:AD)</f>
        <v>#NAME?</v>
      </c>
      <c r="AQ1226" s="223" t="e">
        <f aca="false">_xlfn.xlookup(AK1226,A:A,AE:AE)</f>
        <v>#NAME?</v>
      </c>
      <c r="BB1226" s="15" t="e">
        <f aca="false">_xlfn.xlookup(BA1226,A:A,E:E)</f>
        <v>#NAME?</v>
      </c>
      <c r="BC1226" s="15" t="e">
        <f aca="false">_xlfn.xlookup(BA1226,A:A,J:J)</f>
        <v>#NAME?</v>
      </c>
      <c r="BD1226" s="75" t="e">
        <f aca="false">_xlfn.xlookup(BA1226,A:A,M:M)+_xlfn.xlookup(BA1226,A:A,N:N)</f>
        <v>#NAME?</v>
      </c>
    </row>
    <row r="1227" customFormat="false" ht="14.25" hidden="false" customHeight="false" outlineLevel="0" collapsed="false">
      <c r="AK1227" s="15" t="e">
        <v>#NAME?</v>
      </c>
      <c r="AL1227" s="15" t="e">
        <f aca="false">_xlfn.xlookup(AK1227,A:A,F:F)</f>
        <v>#NAME?</v>
      </c>
      <c r="AM1227" s="15" t="e">
        <f aca="false">_xlfn.xlookup(AK1227,A:A,J:J)</f>
        <v>#NAME?</v>
      </c>
      <c r="AN1227" s="15" t="e">
        <f aca="false">_xlfn.xlookup(AK1227,A:A,M:M)+_xlfn.xlookup(AK1227,A:A,N:N)</f>
        <v>#NAME?</v>
      </c>
      <c r="AO1227" s="223" t="e">
        <f aca="false">_xlfn.xlookup(AK1227,A:A,AG:AG)</f>
        <v>#NAME?</v>
      </c>
      <c r="AP1227" s="223" t="e">
        <f aca="false">_xlfn.xlookup(AK1227,A:A,AD:AD)</f>
        <v>#NAME?</v>
      </c>
      <c r="AQ1227" s="223" t="e">
        <f aca="false">_xlfn.xlookup(AK1227,A:A,AE:AE)</f>
        <v>#NAME?</v>
      </c>
      <c r="BB1227" s="15" t="e">
        <f aca="false">_xlfn.xlookup(BA1227,A:A,E:E)</f>
        <v>#NAME?</v>
      </c>
      <c r="BC1227" s="15" t="e">
        <f aca="false">_xlfn.xlookup(BA1227,A:A,J:J)</f>
        <v>#NAME?</v>
      </c>
      <c r="BD1227" s="75" t="e">
        <f aca="false">_xlfn.xlookup(BA1227,A:A,M:M)+_xlfn.xlookup(BA1227,A:A,N:N)</f>
        <v>#NAME?</v>
      </c>
    </row>
    <row r="1228" customFormat="false" ht="14.25" hidden="false" customHeight="false" outlineLevel="0" collapsed="false">
      <c r="AK1228" s="15" t="e">
        <v>#NAME?</v>
      </c>
      <c r="AL1228" s="15" t="e">
        <f aca="false">_xlfn.xlookup(AK1228,A:A,F:F)</f>
        <v>#NAME?</v>
      </c>
      <c r="AM1228" s="15" t="e">
        <f aca="false">_xlfn.xlookup(AK1228,A:A,J:J)</f>
        <v>#NAME?</v>
      </c>
      <c r="AN1228" s="15" t="e">
        <f aca="false">_xlfn.xlookup(AK1228,A:A,M:M)+_xlfn.xlookup(AK1228,A:A,N:N)</f>
        <v>#NAME?</v>
      </c>
      <c r="AO1228" s="223" t="e">
        <f aca="false">_xlfn.xlookup(AK1228,A:A,AG:AG)</f>
        <v>#NAME?</v>
      </c>
      <c r="AP1228" s="223" t="e">
        <f aca="false">_xlfn.xlookup(AK1228,A:A,AD:AD)</f>
        <v>#NAME?</v>
      </c>
      <c r="AQ1228" s="223" t="e">
        <f aca="false">_xlfn.xlookup(AK1228,A:A,AE:AE)</f>
        <v>#NAME?</v>
      </c>
      <c r="BB1228" s="15" t="e">
        <f aca="false">_xlfn.xlookup(BA1228,A:A,E:E)</f>
        <v>#NAME?</v>
      </c>
      <c r="BC1228" s="15" t="e">
        <f aca="false">_xlfn.xlookup(BA1228,A:A,J:J)</f>
        <v>#NAME?</v>
      </c>
      <c r="BD1228" s="75" t="e">
        <f aca="false">_xlfn.xlookup(BA1228,A:A,M:M)+_xlfn.xlookup(BA1228,A:A,N:N)</f>
        <v>#NAME?</v>
      </c>
    </row>
    <row r="1229" customFormat="false" ht="14.25" hidden="false" customHeight="false" outlineLevel="0" collapsed="false">
      <c r="AK1229" s="15" t="e">
        <v>#NAME?</v>
      </c>
      <c r="AL1229" s="15" t="e">
        <f aca="false">_xlfn.xlookup(AK1229,A:A,F:F)</f>
        <v>#NAME?</v>
      </c>
      <c r="AM1229" s="15" t="e">
        <f aca="false">_xlfn.xlookup(AK1229,A:A,J:J)</f>
        <v>#NAME?</v>
      </c>
      <c r="AN1229" s="15" t="e">
        <f aca="false">_xlfn.xlookup(AK1229,A:A,M:M)+_xlfn.xlookup(AK1229,A:A,N:N)</f>
        <v>#NAME?</v>
      </c>
      <c r="AO1229" s="223" t="e">
        <f aca="false">_xlfn.xlookup(AK1229,A:A,AG:AG)</f>
        <v>#NAME?</v>
      </c>
      <c r="AP1229" s="223" t="e">
        <f aca="false">_xlfn.xlookup(AK1229,A:A,AD:AD)</f>
        <v>#NAME?</v>
      </c>
      <c r="AQ1229" s="223" t="e">
        <f aca="false">_xlfn.xlookup(AK1229,A:A,AE:AE)</f>
        <v>#NAME?</v>
      </c>
      <c r="BB1229" s="15" t="e">
        <f aca="false">_xlfn.xlookup(BA1229,A:A,E:E)</f>
        <v>#NAME?</v>
      </c>
      <c r="BC1229" s="15" t="e">
        <f aca="false">_xlfn.xlookup(BA1229,A:A,J:J)</f>
        <v>#NAME?</v>
      </c>
      <c r="BD1229" s="75" t="e">
        <f aca="false">_xlfn.xlookup(BA1229,A:A,M:M)+_xlfn.xlookup(BA1229,A:A,N:N)</f>
        <v>#NAME?</v>
      </c>
    </row>
    <row r="1230" customFormat="false" ht="14.25" hidden="false" customHeight="false" outlineLevel="0" collapsed="false">
      <c r="AK1230" s="15" t="e">
        <v>#NAME?</v>
      </c>
      <c r="AL1230" s="15" t="e">
        <f aca="false">_xlfn.xlookup(AK1230,A:A,F:F)</f>
        <v>#NAME?</v>
      </c>
      <c r="AM1230" s="15" t="e">
        <f aca="false">_xlfn.xlookup(AK1230,A:A,J:J)</f>
        <v>#NAME?</v>
      </c>
      <c r="AN1230" s="15" t="e">
        <f aca="false">_xlfn.xlookup(AK1230,A:A,M:M)+_xlfn.xlookup(AK1230,A:A,N:N)</f>
        <v>#NAME?</v>
      </c>
      <c r="AO1230" s="223" t="e">
        <f aca="false">_xlfn.xlookup(AK1230,A:A,AG:AG)</f>
        <v>#NAME?</v>
      </c>
      <c r="AP1230" s="223" t="e">
        <f aca="false">_xlfn.xlookup(AK1230,A:A,AD:AD)</f>
        <v>#NAME?</v>
      </c>
      <c r="AQ1230" s="223" t="e">
        <f aca="false">_xlfn.xlookup(AK1230,A:A,AE:AE)</f>
        <v>#NAME?</v>
      </c>
      <c r="BB1230" s="15" t="e">
        <f aca="false">_xlfn.xlookup(BA1230,A:A,E:E)</f>
        <v>#NAME?</v>
      </c>
      <c r="BC1230" s="15" t="e">
        <f aca="false">_xlfn.xlookup(BA1230,A:A,J:J)</f>
        <v>#NAME?</v>
      </c>
      <c r="BD1230" s="75" t="e">
        <f aca="false">_xlfn.xlookup(BA1230,A:A,M:M)+_xlfn.xlookup(BA1230,A:A,N:N)</f>
        <v>#NAME?</v>
      </c>
    </row>
    <row r="1231" customFormat="false" ht="14.25" hidden="false" customHeight="false" outlineLevel="0" collapsed="false">
      <c r="AK1231" s="15" t="e">
        <v>#NAME?</v>
      </c>
      <c r="AL1231" s="15" t="e">
        <f aca="false">_xlfn.xlookup(AK1231,A:A,F:F)</f>
        <v>#NAME?</v>
      </c>
      <c r="AM1231" s="15" t="e">
        <f aca="false">_xlfn.xlookup(AK1231,A:A,J:J)</f>
        <v>#NAME?</v>
      </c>
      <c r="AN1231" s="15" t="e">
        <f aca="false">_xlfn.xlookup(AK1231,A:A,M:M)+_xlfn.xlookup(AK1231,A:A,N:N)</f>
        <v>#NAME?</v>
      </c>
      <c r="AO1231" s="223" t="e">
        <f aca="false">_xlfn.xlookup(AK1231,A:A,AG:AG)</f>
        <v>#NAME?</v>
      </c>
      <c r="AP1231" s="223" t="e">
        <f aca="false">_xlfn.xlookup(AK1231,A:A,AD:AD)</f>
        <v>#NAME?</v>
      </c>
      <c r="AQ1231" s="223" t="e">
        <f aca="false">_xlfn.xlookup(AK1231,A:A,AE:AE)</f>
        <v>#NAME?</v>
      </c>
      <c r="BB1231" s="15" t="e">
        <f aca="false">_xlfn.xlookup(BA1231,A:A,E:E)</f>
        <v>#NAME?</v>
      </c>
      <c r="BC1231" s="15" t="e">
        <f aca="false">_xlfn.xlookup(BA1231,A:A,J:J)</f>
        <v>#NAME?</v>
      </c>
      <c r="BD1231" s="75" t="e">
        <f aca="false">_xlfn.xlookup(BA1231,A:A,M:M)+_xlfn.xlookup(BA1231,A:A,N:N)</f>
        <v>#NAME?</v>
      </c>
    </row>
    <row r="1232" customFormat="false" ht="14.25" hidden="false" customHeight="false" outlineLevel="0" collapsed="false">
      <c r="AK1232" s="15" t="e">
        <v>#NAME?</v>
      </c>
      <c r="AL1232" s="15" t="e">
        <f aca="false">_xlfn.xlookup(AK1232,A:A,F:F)</f>
        <v>#NAME?</v>
      </c>
      <c r="AM1232" s="15" t="e">
        <f aca="false">_xlfn.xlookup(AK1232,A:A,J:J)</f>
        <v>#NAME?</v>
      </c>
      <c r="AN1232" s="15" t="e">
        <f aca="false">_xlfn.xlookup(AK1232,A:A,M:M)+_xlfn.xlookup(AK1232,A:A,N:N)</f>
        <v>#NAME?</v>
      </c>
      <c r="AO1232" s="223" t="e">
        <f aca="false">_xlfn.xlookup(AK1232,A:A,AG:AG)</f>
        <v>#NAME?</v>
      </c>
      <c r="AP1232" s="223" t="e">
        <f aca="false">_xlfn.xlookup(AK1232,A:A,AD:AD)</f>
        <v>#NAME?</v>
      </c>
      <c r="AQ1232" s="223" t="e">
        <f aca="false">_xlfn.xlookup(AK1232,A:A,AE:AE)</f>
        <v>#NAME?</v>
      </c>
      <c r="BB1232" s="15" t="e">
        <f aca="false">_xlfn.xlookup(BA1232,A:A,E:E)</f>
        <v>#NAME?</v>
      </c>
      <c r="BC1232" s="15" t="e">
        <f aca="false">_xlfn.xlookup(BA1232,A:A,J:J)</f>
        <v>#NAME?</v>
      </c>
      <c r="BD1232" s="75" t="e">
        <f aca="false">_xlfn.xlookup(BA1232,A:A,M:M)+_xlfn.xlookup(BA1232,A:A,N:N)</f>
        <v>#NAME?</v>
      </c>
    </row>
    <row r="1233" customFormat="false" ht="14.25" hidden="false" customHeight="false" outlineLevel="0" collapsed="false">
      <c r="AK1233" s="15" t="e">
        <v>#NAME?</v>
      </c>
      <c r="AL1233" s="15" t="e">
        <f aca="false">_xlfn.xlookup(AK1233,A:A,F:F)</f>
        <v>#NAME?</v>
      </c>
      <c r="AM1233" s="15" t="e">
        <f aca="false">_xlfn.xlookup(AK1233,A:A,J:J)</f>
        <v>#NAME?</v>
      </c>
      <c r="AN1233" s="15" t="e">
        <f aca="false">_xlfn.xlookup(AK1233,A:A,M:M)+_xlfn.xlookup(AK1233,A:A,N:N)</f>
        <v>#NAME?</v>
      </c>
      <c r="AO1233" s="223" t="e">
        <f aca="false">_xlfn.xlookup(AK1233,A:A,AG:AG)</f>
        <v>#NAME?</v>
      </c>
      <c r="AP1233" s="223" t="e">
        <f aca="false">_xlfn.xlookup(AK1233,A:A,AD:AD)</f>
        <v>#NAME?</v>
      </c>
      <c r="AQ1233" s="223" t="e">
        <f aca="false">_xlfn.xlookup(AK1233,A:A,AE:AE)</f>
        <v>#NAME?</v>
      </c>
      <c r="BB1233" s="15" t="e">
        <f aca="false">_xlfn.xlookup(BA1233,A:A,E:E)</f>
        <v>#NAME?</v>
      </c>
      <c r="BC1233" s="15" t="e">
        <f aca="false">_xlfn.xlookup(BA1233,A:A,J:J)</f>
        <v>#NAME?</v>
      </c>
      <c r="BD1233" s="75" t="e">
        <f aca="false">_xlfn.xlookup(BA1233,A:A,M:M)+_xlfn.xlookup(BA1233,A:A,N:N)</f>
        <v>#NAME?</v>
      </c>
    </row>
    <row r="1234" customFormat="false" ht="14.25" hidden="false" customHeight="false" outlineLevel="0" collapsed="false">
      <c r="AK1234" s="15" t="e">
        <v>#NAME?</v>
      </c>
      <c r="AL1234" s="15" t="e">
        <f aca="false">_xlfn.xlookup(AK1234,A:A,F:F)</f>
        <v>#NAME?</v>
      </c>
      <c r="AM1234" s="15" t="e">
        <f aca="false">_xlfn.xlookup(AK1234,A:A,J:J)</f>
        <v>#NAME?</v>
      </c>
      <c r="AN1234" s="15" t="e">
        <f aca="false">_xlfn.xlookup(AK1234,A:A,M:M)+_xlfn.xlookup(AK1234,A:A,N:N)</f>
        <v>#NAME?</v>
      </c>
      <c r="AO1234" s="223" t="e">
        <f aca="false">_xlfn.xlookup(AK1234,A:A,AG:AG)</f>
        <v>#NAME?</v>
      </c>
      <c r="AP1234" s="223" t="e">
        <f aca="false">_xlfn.xlookup(AK1234,A:A,AD:AD)</f>
        <v>#NAME?</v>
      </c>
      <c r="AQ1234" s="223" t="e">
        <f aca="false">_xlfn.xlookup(AK1234,A:A,AE:AE)</f>
        <v>#NAME?</v>
      </c>
      <c r="BB1234" s="15" t="e">
        <f aca="false">_xlfn.xlookup(BA1234,A:A,E:E)</f>
        <v>#NAME?</v>
      </c>
      <c r="BC1234" s="15" t="e">
        <f aca="false">_xlfn.xlookup(BA1234,A:A,J:J)</f>
        <v>#NAME?</v>
      </c>
      <c r="BD1234" s="75" t="e">
        <f aca="false">_xlfn.xlookup(BA1234,A:A,M:M)+_xlfn.xlookup(BA1234,A:A,N:N)</f>
        <v>#NAME?</v>
      </c>
    </row>
    <row r="1235" customFormat="false" ht="14.25" hidden="false" customHeight="false" outlineLevel="0" collapsed="false">
      <c r="AK1235" s="15" t="e">
        <v>#NAME?</v>
      </c>
      <c r="AL1235" s="15" t="e">
        <f aca="false">_xlfn.xlookup(AK1235,A:A,F:F)</f>
        <v>#NAME?</v>
      </c>
      <c r="AM1235" s="15" t="e">
        <f aca="false">_xlfn.xlookup(AK1235,A:A,J:J)</f>
        <v>#NAME?</v>
      </c>
      <c r="AN1235" s="15" t="e">
        <f aca="false">_xlfn.xlookup(AK1235,A:A,M:M)+_xlfn.xlookup(AK1235,A:A,N:N)</f>
        <v>#NAME?</v>
      </c>
      <c r="AO1235" s="223" t="e">
        <f aca="false">_xlfn.xlookup(AK1235,A:A,AG:AG)</f>
        <v>#NAME?</v>
      </c>
      <c r="AP1235" s="223" t="e">
        <f aca="false">_xlfn.xlookup(AK1235,A:A,AD:AD)</f>
        <v>#NAME?</v>
      </c>
      <c r="AQ1235" s="223" t="e">
        <f aca="false">_xlfn.xlookup(AK1235,A:A,AE:AE)</f>
        <v>#NAME?</v>
      </c>
      <c r="BB1235" s="15" t="e">
        <f aca="false">_xlfn.xlookup(BA1235,A:A,E:E)</f>
        <v>#NAME?</v>
      </c>
      <c r="BC1235" s="15" t="e">
        <f aca="false">_xlfn.xlookup(BA1235,A:A,J:J)</f>
        <v>#NAME?</v>
      </c>
      <c r="BD1235" s="75" t="e">
        <f aca="false">_xlfn.xlookup(BA1235,A:A,M:M)+_xlfn.xlookup(BA1235,A:A,N:N)</f>
        <v>#NAME?</v>
      </c>
    </row>
    <row r="1236" customFormat="false" ht="14.25" hidden="false" customHeight="false" outlineLevel="0" collapsed="false">
      <c r="AK1236" s="15" t="e">
        <v>#NAME?</v>
      </c>
      <c r="AL1236" s="15" t="e">
        <f aca="false">_xlfn.xlookup(AK1236,A:A,F:F)</f>
        <v>#NAME?</v>
      </c>
      <c r="AM1236" s="15" t="e">
        <f aca="false">_xlfn.xlookup(AK1236,A:A,J:J)</f>
        <v>#NAME?</v>
      </c>
      <c r="AN1236" s="15" t="e">
        <f aca="false">_xlfn.xlookup(AK1236,A:A,M:M)+_xlfn.xlookup(AK1236,A:A,N:N)</f>
        <v>#NAME?</v>
      </c>
      <c r="AO1236" s="223" t="e">
        <f aca="false">_xlfn.xlookup(AK1236,A:A,AG:AG)</f>
        <v>#NAME?</v>
      </c>
      <c r="AP1236" s="223" t="e">
        <f aca="false">_xlfn.xlookup(AK1236,A:A,AD:AD)</f>
        <v>#NAME?</v>
      </c>
      <c r="AQ1236" s="223" t="e">
        <f aca="false">_xlfn.xlookup(AK1236,A:A,AE:AE)</f>
        <v>#NAME?</v>
      </c>
      <c r="BB1236" s="15" t="e">
        <f aca="false">_xlfn.xlookup(BA1236,A:A,E:E)</f>
        <v>#NAME?</v>
      </c>
      <c r="BC1236" s="15" t="e">
        <f aca="false">_xlfn.xlookup(BA1236,A:A,J:J)</f>
        <v>#NAME?</v>
      </c>
      <c r="BD1236" s="75" t="e">
        <f aca="false">_xlfn.xlookup(BA1236,A:A,M:M)+_xlfn.xlookup(BA1236,A:A,N:N)</f>
        <v>#NAME?</v>
      </c>
    </row>
    <row r="1237" customFormat="false" ht="14.25" hidden="false" customHeight="false" outlineLevel="0" collapsed="false">
      <c r="AK1237" s="15" t="e">
        <v>#NAME?</v>
      </c>
      <c r="AL1237" s="15" t="e">
        <f aca="false">_xlfn.xlookup(AK1237,A:A,F:F)</f>
        <v>#NAME?</v>
      </c>
      <c r="AM1237" s="15" t="e">
        <f aca="false">_xlfn.xlookup(AK1237,A:A,J:J)</f>
        <v>#NAME?</v>
      </c>
      <c r="AN1237" s="15" t="e">
        <f aca="false">_xlfn.xlookup(AK1237,A:A,M:M)+_xlfn.xlookup(AK1237,A:A,N:N)</f>
        <v>#NAME?</v>
      </c>
      <c r="AO1237" s="223" t="e">
        <f aca="false">_xlfn.xlookup(AK1237,A:A,AG:AG)</f>
        <v>#NAME?</v>
      </c>
      <c r="AP1237" s="223" t="e">
        <f aca="false">_xlfn.xlookup(AK1237,A:A,AD:AD)</f>
        <v>#NAME?</v>
      </c>
      <c r="AQ1237" s="223" t="e">
        <f aca="false">_xlfn.xlookup(AK1237,A:A,AE:AE)</f>
        <v>#NAME?</v>
      </c>
      <c r="BB1237" s="15" t="e">
        <f aca="false">_xlfn.xlookup(BA1237,A:A,E:E)</f>
        <v>#NAME?</v>
      </c>
      <c r="BC1237" s="15" t="e">
        <f aca="false">_xlfn.xlookup(BA1237,A:A,J:J)</f>
        <v>#NAME?</v>
      </c>
      <c r="BD1237" s="75" t="e">
        <f aca="false">_xlfn.xlookup(BA1237,A:A,M:M)+_xlfn.xlookup(BA1237,A:A,N:N)</f>
        <v>#NAME?</v>
      </c>
    </row>
    <row r="1238" customFormat="false" ht="14.25" hidden="false" customHeight="false" outlineLevel="0" collapsed="false">
      <c r="AK1238" s="15" t="e">
        <v>#NAME?</v>
      </c>
      <c r="AL1238" s="15" t="e">
        <f aca="false">_xlfn.xlookup(AK1238,A:A,F:F)</f>
        <v>#NAME?</v>
      </c>
      <c r="AM1238" s="15" t="e">
        <f aca="false">_xlfn.xlookup(AK1238,A:A,J:J)</f>
        <v>#NAME?</v>
      </c>
      <c r="AN1238" s="15" t="e">
        <f aca="false">_xlfn.xlookup(AK1238,A:A,M:M)+_xlfn.xlookup(AK1238,A:A,N:N)</f>
        <v>#NAME?</v>
      </c>
      <c r="AO1238" s="223" t="e">
        <f aca="false">_xlfn.xlookup(AK1238,A:A,AG:AG)</f>
        <v>#NAME?</v>
      </c>
      <c r="AP1238" s="223" t="e">
        <f aca="false">_xlfn.xlookup(AK1238,A:A,AD:AD)</f>
        <v>#NAME?</v>
      </c>
      <c r="AQ1238" s="223" t="e">
        <f aca="false">_xlfn.xlookup(AK1238,A:A,AE:AE)</f>
        <v>#NAME?</v>
      </c>
      <c r="BB1238" s="15" t="e">
        <f aca="false">_xlfn.xlookup(BA1238,A:A,E:E)</f>
        <v>#NAME?</v>
      </c>
      <c r="BC1238" s="15" t="e">
        <f aca="false">_xlfn.xlookup(BA1238,A:A,J:J)</f>
        <v>#NAME?</v>
      </c>
      <c r="BD1238" s="75" t="e">
        <f aca="false">_xlfn.xlookup(BA1238,A:A,M:M)+_xlfn.xlookup(BA1238,A:A,N:N)</f>
        <v>#NAME?</v>
      </c>
    </row>
    <row r="1239" customFormat="false" ht="14.25" hidden="false" customHeight="false" outlineLevel="0" collapsed="false">
      <c r="AK1239" s="15" t="e">
        <v>#NAME?</v>
      </c>
      <c r="AL1239" s="15" t="e">
        <f aca="false">_xlfn.xlookup(AK1239,A:A,F:F)</f>
        <v>#NAME?</v>
      </c>
      <c r="AM1239" s="15" t="e">
        <f aca="false">_xlfn.xlookup(AK1239,A:A,J:J)</f>
        <v>#NAME?</v>
      </c>
      <c r="AN1239" s="15" t="e">
        <f aca="false">_xlfn.xlookup(AK1239,A:A,M:M)+_xlfn.xlookup(AK1239,A:A,N:N)</f>
        <v>#NAME?</v>
      </c>
      <c r="AO1239" s="223" t="e">
        <f aca="false">_xlfn.xlookup(AK1239,A:A,AG:AG)</f>
        <v>#NAME?</v>
      </c>
      <c r="AP1239" s="223" t="e">
        <f aca="false">_xlfn.xlookup(AK1239,A:A,AD:AD)</f>
        <v>#NAME?</v>
      </c>
      <c r="AQ1239" s="223" t="e">
        <f aca="false">_xlfn.xlookup(AK1239,A:A,AE:AE)</f>
        <v>#NAME?</v>
      </c>
      <c r="BB1239" s="15" t="e">
        <f aca="false">_xlfn.xlookup(BA1239,A:A,E:E)</f>
        <v>#NAME?</v>
      </c>
      <c r="BC1239" s="15" t="e">
        <f aca="false">_xlfn.xlookup(BA1239,A:A,J:J)</f>
        <v>#NAME?</v>
      </c>
      <c r="BD1239" s="75" t="e">
        <f aca="false">_xlfn.xlookup(BA1239,A:A,M:M)+_xlfn.xlookup(BA1239,A:A,N:N)</f>
        <v>#NAME?</v>
      </c>
    </row>
    <row r="1240" customFormat="false" ht="14.25" hidden="false" customHeight="false" outlineLevel="0" collapsed="false">
      <c r="AK1240" s="15" t="e">
        <v>#NAME?</v>
      </c>
      <c r="AL1240" s="15" t="e">
        <f aca="false">_xlfn.xlookup(AK1240,A:A,F:F)</f>
        <v>#NAME?</v>
      </c>
      <c r="AM1240" s="15" t="e">
        <f aca="false">_xlfn.xlookup(AK1240,A:A,J:J)</f>
        <v>#NAME?</v>
      </c>
      <c r="AN1240" s="15" t="e">
        <f aca="false">_xlfn.xlookup(AK1240,A:A,M:M)+_xlfn.xlookup(AK1240,A:A,N:N)</f>
        <v>#NAME?</v>
      </c>
      <c r="AO1240" s="223" t="e">
        <f aca="false">_xlfn.xlookup(AK1240,A:A,AG:AG)</f>
        <v>#NAME?</v>
      </c>
      <c r="AP1240" s="223" t="e">
        <f aca="false">_xlfn.xlookup(AK1240,A:A,AD:AD)</f>
        <v>#NAME?</v>
      </c>
      <c r="AQ1240" s="223" t="e">
        <f aca="false">_xlfn.xlookup(AK1240,A:A,AE:AE)</f>
        <v>#NAME?</v>
      </c>
      <c r="BB1240" s="15" t="e">
        <f aca="false">_xlfn.xlookup(BA1240,A:A,E:E)</f>
        <v>#NAME?</v>
      </c>
      <c r="BC1240" s="15" t="e">
        <f aca="false">_xlfn.xlookup(BA1240,A:A,J:J)</f>
        <v>#NAME?</v>
      </c>
      <c r="BD1240" s="75" t="e">
        <f aca="false">_xlfn.xlookup(BA1240,A:A,M:M)+_xlfn.xlookup(BA1240,A:A,N:N)</f>
        <v>#NAME?</v>
      </c>
    </row>
    <row r="1241" customFormat="false" ht="14.25" hidden="false" customHeight="false" outlineLevel="0" collapsed="false">
      <c r="AK1241" s="15" t="e">
        <v>#NAME?</v>
      </c>
      <c r="AL1241" s="15" t="e">
        <f aca="false">_xlfn.xlookup(AK1241,A:A,F:F)</f>
        <v>#NAME?</v>
      </c>
      <c r="AM1241" s="15" t="e">
        <f aca="false">_xlfn.xlookup(AK1241,A:A,J:J)</f>
        <v>#NAME?</v>
      </c>
      <c r="AN1241" s="15" t="e">
        <f aca="false">_xlfn.xlookup(AK1241,A:A,M:M)+_xlfn.xlookup(AK1241,A:A,N:N)</f>
        <v>#NAME?</v>
      </c>
      <c r="AO1241" s="223" t="e">
        <f aca="false">_xlfn.xlookup(AK1241,A:A,AG:AG)</f>
        <v>#NAME?</v>
      </c>
      <c r="AP1241" s="223" t="e">
        <f aca="false">_xlfn.xlookup(AK1241,A:A,AD:AD)</f>
        <v>#NAME?</v>
      </c>
      <c r="AQ1241" s="223" t="e">
        <f aca="false">_xlfn.xlookup(AK1241,A:A,AE:AE)</f>
        <v>#NAME?</v>
      </c>
      <c r="BB1241" s="15" t="e">
        <f aca="false">_xlfn.xlookup(BA1241,A:A,E:E)</f>
        <v>#NAME?</v>
      </c>
      <c r="BC1241" s="15" t="e">
        <f aca="false">_xlfn.xlookup(BA1241,A:A,J:J)</f>
        <v>#NAME?</v>
      </c>
      <c r="BD1241" s="75" t="e">
        <f aca="false">_xlfn.xlookup(BA1241,A:A,M:M)+_xlfn.xlookup(BA1241,A:A,N:N)</f>
        <v>#NAME?</v>
      </c>
    </row>
    <row r="1242" customFormat="false" ht="14.25" hidden="false" customHeight="false" outlineLevel="0" collapsed="false">
      <c r="AK1242" s="15" t="e">
        <v>#NAME?</v>
      </c>
      <c r="AL1242" s="15" t="e">
        <f aca="false">_xlfn.xlookup(AK1242,A:A,F:F)</f>
        <v>#NAME?</v>
      </c>
      <c r="AM1242" s="15" t="e">
        <f aca="false">_xlfn.xlookup(AK1242,A:A,J:J)</f>
        <v>#NAME?</v>
      </c>
      <c r="AN1242" s="15" t="e">
        <f aca="false">_xlfn.xlookup(AK1242,A:A,M:M)+_xlfn.xlookup(AK1242,A:A,N:N)</f>
        <v>#NAME?</v>
      </c>
      <c r="AO1242" s="223" t="e">
        <f aca="false">_xlfn.xlookup(AK1242,A:A,AG:AG)</f>
        <v>#NAME?</v>
      </c>
      <c r="AP1242" s="223" t="e">
        <f aca="false">_xlfn.xlookup(AK1242,A:A,AD:AD)</f>
        <v>#NAME?</v>
      </c>
      <c r="AQ1242" s="223" t="e">
        <f aca="false">_xlfn.xlookup(AK1242,A:A,AE:AE)</f>
        <v>#NAME?</v>
      </c>
      <c r="BB1242" s="15" t="e">
        <f aca="false">_xlfn.xlookup(BA1242,A:A,E:E)</f>
        <v>#NAME?</v>
      </c>
      <c r="BC1242" s="15" t="e">
        <f aca="false">_xlfn.xlookup(BA1242,A:A,J:J)</f>
        <v>#NAME?</v>
      </c>
      <c r="BD1242" s="75" t="e">
        <f aca="false">_xlfn.xlookup(BA1242,A:A,M:M)+_xlfn.xlookup(BA1242,A:A,N:N)</f>
        <v>#NAME?</v>
      </c>
    </row>
    <row r="1243" customFormat="false" ht="14.25" hidden="false" customHeight="false" outlineLevel="0" collapsed="false">
      <c r="AK1243" s="15" t="e">
        <v>#NAME?</v>
      </c>
      <c r="AL1243" s="15" t="e">
        <f aca="false">_xlfn.xlookup(AK1243,A:A,F:F)</f>
        <v>#NAME?</v>
      </c>
      <c r="AM1243" s="15" t="e">
        <f aca="false">_xlfn.xlookup(AK1243,A:A,J:J)</f>
        <v>#NAME?</v>
      </c>
      <c r="AN1243" s="15" t="e">
        <f aca="false">_xlfn.xlookup(AK1243,A:A,M:M)+_xlfn.xlookup(AK1243,A:A,N:N)</f>
        <v>#NAME?</v>
      </c>
      <c r="AO1243" s="223" t="e">
        <f aca="false">_xlfn.xlookup(AK1243,A:A,AG:AG)</f>
        <v>#NAME?</v>
      </c>
      <c r="AP1243" s="223" t="e">
        <f aca="false">_xlfn.xlookup(AK1243,A:A,AD:AD)</f>
        <v>#NAME?</v>
      </c>
      <c r="AQ1243" s="223" t="e">
        <f aca="false">_xlfn.xlookup(AK1243,A:A,AE:AE)</f>
        <v>#NAME?</v>
      </c>
      <c r="BB1243" s="15" t="e">
        <f aca="false">_xlfn.xlookup(BA1243,A:A,E:E)</f>
        <v>#NAME?</v>
      </c>
      <c r="BC1243" s="15" t="e">
        <f aca="false">_xlfn.xlookup(BA1243,A:A,J:J)</f>
        <v>#NAME?</v>
      </c>
      <c r="BD1243" s="75" t="e">
        <f aca="false">_xlfn.xlookup(BA1243,A:A,M:M)+_xlfn.xlookup(BA1243,A:A,N:N)</f>
        <v>#NAME?</v>
      </c>
    </row>
    <row r="1244" customFormat="false" ht="14.25" hidden="false" customHeight="false" outlineLevel="0" collapsed="false">
      <c r="AK1244" s="15" t="e">
        <v>#NAME?</v>
      </c>
      <c r="AL1244" s="15" t="e">
        <f aca="false">_xlfn.xlookup(AK1244,A:A,F:F)</f>
        <v>#NAME?</v>
      </c>
      <c r="AM1244" s="15" t="e">
        <f aca="false">_xlfn.xlookup(AK1244,A:A,J:J)</f>
        <v>#NAME?</v>
      </c>
      <c r="AN1244" s="15" t="e">
        <f aca="false">_xlfn.xlookup(AK1244,A:A,M:M)+_xlfn.xlookup(AK1244,A:A,N:N)</f>
        <v>#NAME?</v>
      </c>
      <c r="AO1244" s="223" t="e">
        <f aca="false">_xlfn.xlookup(AK1244,A:A,AG:AG)</f>
        <v>#NAME?</v>
      </c>
      <c r="AP1244" s="223" t="e">
        <f aca="false">_xlfn.xlookup(AK1244,A:A,AD:AD)</f>
        <v>#NAME?</v>
      </c>
      <c r="AQ1244" s="223" t="e">
        <f aca="false">_xlfn.xlookup(AK1244,A:A,AE:AE)</f>
        <v>#NAME?</v>
      </c>
      <c r="BB1244" s="15" t="e">
        <f aca="false">_xlfn.xlookup(BA1244,A:A,E:E)</f>
        <v>#NAME?</v>
      </c>
      <c r="BC1244" s="15" t="e">
        <f aca="false">_xlfn.xlookup(BA1244,A:A,J:J)</f>
        <v>#NAME?</v>
      </c>
      <c r="BD1244" s="75" t="e">
        <f aca="false">_xlfn.xlookup(BA1244,A:A,M:M)+_xlfn.xlookup(BA1244,A:A,N:N)</f>
        <v>#NAME?</v>
      </c>
    </row>
    <row r="1245" customFormat="false" ht="14.25" hidden="false" customHeight="false" outlineLevel="0" collapsed="false">
      <c r="AK1245" s="15" t="e">
        <v>#NAME?</v>
      </c>
      <c r="AL1245" s="15" t="e">
        <f aca="false">_xlfn.xlookup(AK1245,A:A,F:F)</f>
        <v>#NAME?</v>
      </c>
      <c r="AM1245" s="15" t="e">
        <f aca="false">_xlfn.xlookup(AK1245,A:A,J:J)</f>
        <v>#NAME?</v>
      </c>
      <c r="AN1245" s="15" t="e">
        <f aca="false">_xlfn.xlookup(AK1245,A:A,M:M)+_xlfn.xlookup(AK1245,A:A,N:N)</f>
        <v>#NAME?</v>
      </c>
      <c r="AO1245" s="223" t="e">
        <f aca="false">_xlfn.xlookup(AK1245,A:A,AG:AG)</f>
        <v>#NAME?</v>
      </c>
      <c r="AP1245" s="223" t="e">
        <f aca="false">_xlfn.xlookup(AK1245,A:A,AD:AD)</f>
        <v>#NAME?</v>
      </c>
      <c r="AQ1245" s="223" t="e">
        <f aca="false">_xlfn.xlookup(AK1245,A:A,AE:AE)</f>
        <v>#NAME?</v>
      </c>
      <c r="BB1245" s="15" t="e">
        <f aca="false">_xlfn.xlookup(BA1245,A:A,E:E)</f>
        <v>#NAME?</v>
      </c>
      <c r="BC1245" s="15" t="e">
        <f aca="false">_xlfn.xlookup(BA1245,A:A,J:J)</f>
        <v>#NAME?</v>
      </c>
      <c r="BD1245" s="75" t="e">
        <f aca="false">_xlfn.xlookup(BA1245,A:A,M:M)+_xlfn.xlookup(BA1245,A:A,N:N)</f>
        <v>#NAME?</v>
      </c>
    </row>
    <row r="1246" customFormat="false" ht="14.25" hidden="false" customHeight="false" outlineLevel="0" collapsed="false">
      <c r="AK1246" s="15" t="e">
        <v>#NAME?</v>
      </c>
      <c r="AL1246" s="15" t="e">
        <f aca="false">_xlfn.xlookup(AK1246,A:A,F:F)</f>
        <v>#NAME?</v>
      </c>
      <c r="AM1246" s="15" t="e">
        <f aca="false">_xlfn.xlookup(AK1246,A:A,J:J)</f>
        <v>#NAME?</v>
      </c>
      <c r="AN1246" s="15" t="e">
        <f aca="false">_xlfn.xlookup(AK1246,A:A,M:M)+_xlfn.xlookup(AK1246,A:A,N:N)</f>
        <v>#NAME?</v>
      </c>
      <c r="AO1246" s="223" t="e">
        <f aca="false">_xlfn.xlookup(AK1246,A:A,AG:AG)</f>
        <v>#NAME?</v>
      </c>
      <c r="AP1246" s="223" t="e">
        <f aca="false">_xlfn.xlookup(AK1246,A:A,AD:AD)</f>
        <v>#NAME?</v>
      </c>
      <c r="AQ1246" s="223" t="e">
        <f aca="false">_xlfn.xlookup(AK1246,A:A,AE:AE)</f>
        <v>#NAME?</v>
      </c>
      <c r="BB1246" s="15" t="e">
        <f aca="false">_xlfn.xlookup(BA1246,A:A,E:E)</f>
        <v>#NAME?</v>
      </c>
      <c r="BC1246" s="15" t="e">
        <f aca="false">_xlfn.xlookup(BA1246,A:A,J:J)</f>
        <v>#NAME?</v>
      </c>
      <c r="BD1246" s="75" t="e">
        <f aca="false">_xlfn.xlookup(BA1246,A:A,M:M)+_xlfn.xlookup(BA1246,A:A,N:N)</f>
        <v>#NAME?</v>
      </c>
    </row>
    <row r="1247" customFormat="false" ht="14.25" hidden="false" customHeight="false" outlineLevel="0" collapsed="false">
      <c r="AK1247" s="15" t="e">
        <v>#NAME?</v>
      </c>
      <c r="AL1247" s="15" t="e">
        <f aca="false">_xlfn.xlookup(AK1247,A:A,F:F)</f>
        <v>#NAME?</v>
      </c>
      <c r="AM1247" s="15" t="e">
        <f aca="false">_xlfn.xlookup(AK1247,A:A,J:J)</f>
        <v>#NAME?</v>
      </c>
      <c r="AN1247" s="15" t="e">
        <f aca="false">_xlfn.xlookup(AK1247,A:A,M:M)+_xlfn.xlookup(AK1247,A:A,N:N)</f>
        <v>#NAME?</v>
      </c>
      <c r="AO1247" s="223" t="e">
        <f aca="false">_xlfn.xlookup(AK1247,A:A,AG:AG)</f>
        <v>#NAME?</v>
      </c>
      <c r="AP1247" s="223" t="e">
        <f aca="false">_xlfn.xlookup(AK1247,A:A,AD:AD)</f>
        <v>#NAME?</v>
      </c>
      <c r="AQ1247" s="223" t="e">
        <f aca="false">_xlfn.xlookup(AK1247,A:A,AE:AE)</f>
        <v>#NAME?</v>
      </c>
      <c r="BB1247" s="15" t="e">
        <f aca="false">_xlfn.xlookup(BA1247,A:A,E:E)</f>
        <v>#NAME?</v>
      </c>
      <c r="BC1247" s="15" t="e">
        <f aca="false">_xlfn.xlookup(BA1247,A:A,J:J)</f>
        <v>#NAME?</v>
      </c>
      <c r="BD1247" s="75" t="e">
        <f aca="false">_xlfn.xlookup(BA1247,A:A,M:M)+_xlfn.xlookup(BA1247,A:A,N:N)</f>
        <v>#NAME?</v>
      </c>
    </row>
    <row r="1248" customFormat="false" ht="14.25" hidden="false" customHeight="false" outlineLevel="0" collapsed="false">
      <c r="AK1248" s="15" t="e">
        <v>#NAME?</v>
      </c>
      <c r="AL1248" s="15" t="e">
        <f aca="false">_xlfn.xlookup(AK1248,A:A,F:F)</f>
        <v>#NAME?</v>
      </c>
      <c r="AM1248" s="15" t="e">
        <f aca="false">_xlfn.xlookup(AK1248,A:A,J:J)</f>
        <v>#NAME?</v>
      </c>
      <c r="AN1248" s="15" t="e">
        <f aca="false">_xlfn.xlookup(AK1248,A:A,M:M)+_xlfn.xlookup(AK1248,A:A,N:N)</f>
        <v>#NAME?</v>
      </c>
      <c r="AO1248" s="223" t="e">
        <f aca="false">_xlfn.xlookup(AK1248,A:A,AG:AG)</f>
        <v>#NAME?</v>
      </c>
      <c r="AP1248" s="223" t="e">
        <f aca="false">_xlfn.xlookup(AK1248,A:A,AD:AD)</f>
        <v>#NAME?</v>
      </c>
      <c r="AQ1248" s="223" t="e">
        <f aca="false">_xlfn.xlookup(AK1248,A:A,AE:AE)</f>
        <v>#NAME?</v>
      </c>
      <c r="BB1248" s="15" t="e">
        <f aca="false">_xlfn.xlookup(BA1248,A:A,E:E)</f>
        <v>#NAME?</v>
      </c>
      <c r="BC1248" s="15" t="e">
        <f aca="false">_xlfn.xlookup(BA1248,A:A,J:J)</f>
        <v>#NAME?</v>
      </c>
      <c r="BD1248" s="75" t="e">
        <f aca="false">_xlfn.xlookup(BA1248,A:A,M:M)+_xlfn.xlookup(BA1248,A:A,N:N)</f>
        <v>#NAME?</v>
      </c>
    </row>
    <row r="1249" customFormat="false" ht="14.25" hidden="false" customHeight="false" outlineLevel="0" collapsed="false">
      <c r="AK1249" s="15" t="e">
        <v>#NAME?</v>
      </c>
      <c r="AL1249" s="15" t="e">
        <f aca="false">_xlfn.xlookup(AK1249,A:A,F:F)</f>
        <v>#NAME?</v>
      </c>
      <c r="AM1249" s="15" t="e">
        <f aca="false">_xlfn.xlookup(AK1249,A:A,J:J)</f>
        <v>#NAME?</v>
      </c>
      <c r="AN1249" s="15" t="e">
        <f aca="false">_xlfn.xlookup(AK1249,A:A,M:M)+_xlfn.xlookup(AK1249,A:A,N:N)</f>
        <v>#NAME?</v>
      </c>
      <c r="AO1249" s="223" t="e">
        <f aca="false">_xlfn.xlookup(AK1249,A:A,AG:AG)</f>
        <v>#NAME?</v>
      </c>
      <c r="AP1249" s="223" t="e">
        <f aca="false">_xlfn.xlookup(AK1249,A:A,AD:AD)</f>
        <v>#NAME?</v>
      </c>
      <c r="AQ1249" s="223" t="e">
        <f aca="false">_xlfn.xlookup(AK1249,A:A,AE:AE)</f>
        <v>#NAME?</v>
      </c>
      <c r="BB1249" s="15" t="e">
        <f aca="false">_xlfn.xlookup(BA1249,A:A,E:E)</f>
        <v>#NAME?</v>
      </c>
      <c r="BC1249" s="15" t="e">
        <f aca="false">_xlfn.xlookup(BA1249,A:A,J:J)</f>
        <v>#NAME?</v>
      </c>
      <c r="BD1249" s="75" t="e">
        <f aca="false">_xlfn.xlookup(BA1249,A:A,M:M)+_xlfn.xlookup(BA1249,A:A,N:N)</f>
        <v>#NAME?</v>
      </c>
    </row>
    <row r="1250" customFormat="false" ht="14.25" hidden="false" customHeight="false" outlineLevel="0" collapsed="false">
      <c r="AK1250" s="15" t="e">
        <v>#NAME?</v>
      </c>
      <c r="AL1250" s="15" t="e">
        <f aca="false">_xlfn.xlookup(AK1250,A:A,F:F)</f>
        <v>#NAME?</v>
      </c>
      <c r="AM1250" s="15" t="e">
        <f aca="false">_xlfn.xlookup(AK1250,A:A,J:J)</f>
        <v>#NAME?</v>
      </c>
      <c r="AN1250" s="15" t="e">
        <f aca="false">_xlfn.xlookup(AK1250,A:A,M:M)+_xlfn.xlookup(AK1250,A:A,N:N)</f>
        <v>#NAME?</v>
      </c>
      <c r="AO1250" s="223" t="e">
        <f aca="false">_xlfn.xlookup(AK1250,A:A,AG:AG)</f>
        <v>#NAME?</v>
      </c>
      <c r="AP1250" s="223" t="e">
        <f aca="false">_xlfn.xlookup(AK1250,A:A,AD:AD)</f>
        <v>#NAME?</v>
      </c>
      <c r="AQ1250" s="223" t="e">
        <f aca="false">_xlfn.xlookup(AK1250,A:A,AE:AE)</f>
        <v>#NAME?</v>
      </c>
      <c r="BB1250" s="15" t="e">
        <f aca="false">_xlfn.xlookup(BA1250,A:A,E:E)</f>
        <v>#NAME?</v>
      </c>
      <c r="BC1250" s="15" t="e">
        <f aca="false">_xlfn.xlookup(BA1250,A:A,J:J)</f>
        <v>#NAME?</v>
      </c>
      <c r="BD1250" s="75" t="e">
        <f aca="false">_xlfn.xlookup(BA1250,A:A,M:M)+_xlfn.xlookup(BA1250,A:A,N:N)</f>
        <v>#NAME?</v>
      </c>
    </row>
    <row r="1251" customFormat="false" ht="14.25" hidden="false" customHeight="false" outlineLevel="0" collapsed="false">
      <c r="AK1251" s="15" t="e">
        <v>#NAME?</v>
      </c>
      <c r="AL1251" s="15" t="e">
        <f aca="false">_xlfn.xlookup(AK1251,A:A,F:F)</f>
        <v>#NAME?</v>
      </c>
      <c r="AM1251" s="15" t="e">
        <f aca="false">_xlfn.xlookup(AK1251,A:A,J:J)</f>
        <v>#NAME?</v>
      </c>
      <c r="AN1251" s="15" t="e">
        <f aca="false">_xlfn.xlookup(AK1251,A:A,M:M)+_xlfn.xlookup(AK1251,A:A,N:N)</f>
        <v>#NAME?</v>
      </c>
      <c r="AO1251" s="223" t="e">
        <f aca="false">_xlfn.xlookup(AK1251,A:A,AG:AG)</f>
        <v>#NAME?</v>
      </c>
      <c r="AP1251" s="223" t="e">
        <f aca="false">_xlfn.xlookup(AK1251,A:A,AD:AD)</f>
        <v>#NAME?</v>
      </c>
      <c r="AQ1251" s="223" t="e">
        <f aca="false">_xlfn.xlookup(AK1251,A:A,AE:AE)</f>
        <v>#NAME?</v>
      </c>
      <c r="BB1251" s="15" t="e">
        <f aca="false">_xlfn.xlookup(BA1251,A:A,E:E)</f>
        <v>#NAME?</v>
      </c>
      <c r="BC1251" s="15" t="e">
        <f aca="false">_xlfn.xlookup(BA1251,A:A,J:J)</f>
        <v>#NAME?</v>
      </c>
      <c r="BD1251" s="75" t="e">
        <f aca="false">_xlfn.xlookup(BA1251,A:A,M:M)+_xlfn.xlookup(BA1251,A:A,N:N)</f>
        <v>#NAME?</v>
      </c>
    </row>
    <row r="1252" customFormat="false" ht="14.25" hidden="false" customHeight="false" outlineLevel="0" collapsed="false">
      <c r="AK1252" s="15" t="e">
        <v>#NAME?</v>
      </c>
      <c r="AL1252" s="15" t="e">
        <f aca="false">_xlfn.xlookup(AK1252,A:A,F:F)</f>
        <v>#NAME?</v>
      </c>
      <c r="AM1252" s="15" t="e">
        <f aca="false">_xlfn.xlookup(AK1252,A:A,J:J)</f>
        <v>#NAME?</v>
      </c>
      <c r="AN1252" s="15" t="e">
        <f aca="false">_xlfn.xlookup(AK1252,A:A,M:M)+_xlfn.xlookup(AK1252,A:A,N:N)</f>
        <v>#NAME?</v>
      </c>
      <c r="AO1252" s="223" t="e">
        <f aca="false">_xlfn.xlookup(AK1252,A:A,AG:AG)</f>
        <v>#NAME?</v>
      </c>
      <c r="AP1252" s="223" t="e">
        <f aca="false">_xlfn.xlookup(AK1252,A:A,AD:AD)</f>
        <v>#NAME?</v>
      </c>
      <c r="AQ1252" s="223" t="e">
        <f aca="false">_xlfn.xlookup(AK1252,A:A,AE:AE)</f>
        <v>#NAME?</v>
      </c>
      <c r="BB1252" s="15" t="e">
        <f aca="false">_xlfn.xlookup(BA1252,A:A,E:E)</f>
        <v>#NAME?</v>
      </c>
      <c r="BC1252" s="15" t="e">
        <f aca="false">_xlfn.xlookup(BA1252,A:A,J:J)</f>
        <v>#NAME?</v>
      </c>
      <c r="BD1252" s="75" t="e">
        <f aca="false">_xlfn.xlookup(BA1252,A:A,M:M)+_xlfn.xlookup(BA1252,A:A,N:N)</f>
        <v>#NAME?</v>
      </c>
    </row>
    <row r="1253" customFormat="false" ht="14.25" hidden="false" customHeight="false" outlineLevel="0" collapsed="false">
      <c r="AK1253" s="15" t="e">
        <v>#NAME?</v>
      </c>
      <c r="AL1253" s="15" t="e">
        <f aca="false">_xlfn.xlookup(AK1253,A:A,F:F)</f>
        <v>#NAME?</v>
      </c>
      <c r="AM1253" s="15" t="e">
        <f aca="false">_xlfn.xlookup(AK1253,A:A,J:J)</f>
        <v>#NAME?</v>
      </c>
      <c r="AN1253" s="15" t="e">
        <f aca="false">_xlfn.xlookup(AK1253,A:A,M:M)+_xlfn.xlookup(AK1253,A:A,N:N)</f>
        <v>#NAME?</v>
      </c>
      <c r="AO1253" s="223" t="e">
        <f aca="false">_xlfn.xlookup(AK1253,A:A,AG:AG)</f>
        <v>#NAME?</v>
      </c>
      <c r="AP1253" s="223" t="e">
        <f aca="false">_xlfn.xlookup(AK1253,A:A,AD:AD)</f>
        <v>#NAME?</v>
      </c>
      <c r="AQ1253" s="223" t="e">
        <f aca="false">_xlfn.xlookup(AK1253,A:A,AE:AE)</f>
        <v>#NAME?</v>
      </c>
      <c r="BB1253" s="15" t="e">
        <f aca="false">_xlfn.xlookup(BA1253,A:A,E:E)</f>
        <v>#NAME?</v>
      </c>
      <c r="BC1253" s="15" t="e">
        <f aca="false">_xlfn.xlookup(BA1253,A:A,J:J)</f>
        <v>#NAME?</v>
      </c>
      <c r="BD1253" s="75" t="e">
        <f aca="false">_xlfn.xlookup(BA1253,A:A,M:M)+_xlfn.xlookup(BA1253,A:A,N:N)</f>
        <v>#NAME?</v>
      </c>
    </row>
    <row r="1254" customFormat="false" ht="14.25" hidden="false" customHeight="false" outlineLevel="0" collapsed="false">
      <c r="AK1254" s="15" t="e">
        <v>#NAME?</v>
      </c>
      <c r="AL1254" s="15" t="e">
        <f aca="false">_xlfn.xlookup(AK1254,A:A,F:F)</f>
        <v>#NAME?</v>
      </c>
      <c r="AM1254" s="15" t="e">
        <f aca="false">_xlfn.xlookup(AK1254,A:A,J:J)</f>
        <v>#NAME?</v>
      </c>
      <c r="AN1254" s="15" t="e">
        <f aca="false">_xlfn.xlookup(AK1254,A:A,M:M)+_xlfn.xlookup(AK1254,A:A,N:N)</f>
        <v>#NAME?</v>
      </c>
      <c r="AO1254" s="223" t="e">
        <f aca="false">_xlfn.xlookup(AK1254,A:A,AG:AG)</f>
        <v>#NAME?</v>
      </c>
      <c r="AP1254" s="223" t="e">
        <f aca="false">_xlfn.xlookup(AK1254,A:A,AD:AD)</f>
        <v>#NAME?</v>
      </c>
      <c r="AQ1254" s="223" t="e">
        <f aca="false">_xlfn.xlookup(AK1254,A:A,AE:AE)</f>
        <v>#NAME?</v>
      </c>
      <c r="BB1254" s="15" t="e">
        <f aca="false">_xlfn.xlookup(BA1254,A:A,E:E)</f>
        <v>#NAME?</v>
      </c>
      <c r="BC1254" s="15" t="e">
        <f aca="false">_xlfn.xlookup(BA1254,A:A,J:J)</f>
        <v>#NAME?</v>
      </c>
      <c r="BD1254" s="75" t="e">
        <f aca="false">_xlfn.xlookup(BA1254,A:A,M:M)+_xlfn.xlookup(BA1254,A:A,N:N)</f>
        <v>#NAME?</v>
      </c>
    </row>
    <row r="1255" customFormat="false" ht="14.25" hidden="false" customHeight="false" outlineLevel="0" collapsed="false">
      <c r="AK1255" s="15" t="e">
        <v>#NAME?</v>
      </c>
      <c r="AL1255" s="15" t="e">
        <f aca="false">_xlfn.xlookup(AK1255,A:A,F:F)</f>
        <v>#NAME?</v>
      </c>
      <c r="AM1255" s="15" t="e">
        <f aca="false">_xlfn.xlookup(AK1255,A:A,J:J)</f>
        <v>#NAME?</v>
      </c>
      <c r="AN1255" s="15" t="e">
        <f aca="false">_xlfn.xlookup(AK1255,A:A,M:M)+_xlfn.xlookup(AK1255,A:A,N:N)</f>
        <v>#NAME?</v>
      </c>
      <c r="AO1255" s="223" t="e">
        <f aca="false">_xlfn.xlookup(AK1255,A:A,AG:AG)</f>
        <v>#NAME?</v>
      </c>
      <c r="AP1255" s="223" t="e">
        <f aca="false">_xlfn.xlookup(AK1255,A:A,AD:AD)</f>
        <v>#NAME?</v>
      </c>
      <c r="AQ1255" s="223" t="e">
        <f aca="false">_xlfn.xlookup(AK1255,A:A,AE:AE)</f>
        <v>#NAME?</v>
      </c>
      <c r="BB1255" s="15" t="e">
        <f aca="false">_xlfn.xlookup(BA1255,A:A,E:E)</f>
        <v>#NAME?</v>
      </c>
      <c r="BC1255" s="15" t="e">
        <f aca="false">_xlfn.xlookup(BA1255,A:A,J:J)</f>
        <v>#NAME?</v>
      </c>
      <c r="BD1255" s="75" t="e">
        <f aca="false">_xlfn.xlookup(BA1255,A:A,M:M)+_xlfn.xlookup(BA1255,A:A,N:N)</f>
        <v>#NAME?</v>
      </c>
    </row>
    <row r="1256" customFormat="false" ht="14.25" hidden="false" customHeight="false" outlineLevel="0" collapsed="false">
      <c r="AK1256" s="15" t="e">
        <v>#NAME?</v>
      </c>
      <c r="AL1256" s="15" t="e">
        <f aca="false">_xlfn.xlookup(AK1256,A:A,F:F)</f>
        <v>#NAME?</v>
      </c>
      <c r="AM1256" s="15" t="e">
        <f aca="false">_xlfn.xlookup(AK1256,A:A,J:J)</f>
        <v>#NAME?</v>
      </c>
      <c r="AN1256" s="15" t="e">
        <f aca="false">_xlfn.xlookup(AK1256,A:A,M:M)+_xlfn.xlookup(AK1256,A:A,N:N)</f>
        <v>#NAME?</v>
      </c>
      <c r="AO1256" s="223" t="e">
        <f aca="false">_xlfn.xlookup(AK1256,A:A,AG:AG)</f>
        <v>#NAME?</v>
      </c>
      <c r="AP1256" s="223" t="e">
        <f aca="false">_xlfn.xlookup(AK1256,A:A,AD:AD)</f>
        <v>#NAME?</v>
      </c>
      <c r="AQ1256" s="223" t="e">
        <f aca="false">_xlfn.xlookup(AK1256,A:A,AE:AE)</f>
        <v>#NAME?</v>
      </c>
      <c r="BB1256" s="15" t="e">
        <f aca="false">_xlfn.xlookup(BA1256,A:A,E:E)</f>
        <v>#NAME?</v>
      </c>
      <c r="BC1256" s="15" t="e">
        <f aca="false">_xlfn.xlookup(BA1256,A:A,J:J)</f>
        <v>#NAME?</v>
      </c>
      <c r="BD1256" s="75" t="e">
        <f aca="false">_xlfn.xlookup(BA1256,A:A,M:M)+_xlfn.xlookup(BA1256,A:A,N:N)</f>
        <v>#NAME?</v>
      </c>
    </row>
    <row r="1257" customFormat="false" ht="14.25" hidden="false" customHeight="false" outlineLevel="0" collapsed="false">
      <c r="AK1257" s="15" t="e">
        <v>#NAME?</v>
      </c>
      <c r="AL1257" s="15" t="e">
        <f aca="false">_xlfn.xlookup(AK1257,A:A,F:F)</f>
        <v>#NAME?</v>
      </c>
      <c r="AM1257" s="15" t="e">
        <f aca="false">_xlfn.xlookup(AK1257,A:A,J:J)</f>
        <v>#NAME?</v>
      </c>
      <c r="AN1257" s="15" t="e">
        <f aca="false">_xlfn.xlookup(AK1257,A:A,M:M)+_xlfn.xlookup(AK1257,A:A,N:N)</f>
        <v>#NAME?</v>
      </c>
      <c r="AO1257" s="223" t="e">
        <f aca="false">_xlfn.xlookup(AK1257,A:A,AG:AG)</f>
        <v>#NAME?</v>
      </c>
      <c r="AP1257" s="223" t="e">
        <f aca="false">_xlfn.xlookup(AK1257,A:A,AD:AD)</f>
        <v>#NAME?</v>
      </c>
      <c r="AQ1257" s="223" t="e">
        <f aca="false">_xlfn.xlookup(AK1257,A:A,AE:AE)</f>
        <v>#NAME?</v>
      </c>
      <c r="BB1257" s="15" t="e">
        <f aca="false">_xlfn.xlookup(BA1257,A:A,E:E)</f>
        <v>#NAME?</v>
      </c>
      <c r="BC1257" s="15" t="e">
        <f aca="false">_xlfn.xlookup(BA1257,A:A,J:J)</f>
        <v>#NAME?</v>
      </c>
      <c r="BD1257" s="75" t="e">
        <f aca="false">_xlfn.xlookup(BA1257,A:A,M:M)+_xlfn.xlookup(BA1257,A:A,N:N)</f>
        <v>#NAME?</v>
      </c>
    </row>
    <row r="1258" customFormat="false" ht="14.25" hidden="false" customHeight="false" outlineLevel="0" collapsed="false">
      <c r="AK1258" s="15" t="e">
        <v>#NAME?</v>
      </c>
      <c r="AL1258" s="15" t="e">
        <f aca="false">_xlfn.xlookup(AK1258,A:A,F:F)</f>
        <v>#NAME?</v>
      </c>
      <c r="AM1258" s="15" t="e">
        <f aca="false">_xlfn.xlookup(AK1258,A:A,J:J)</f>
        <v>#NAME?</v>
      </c>
      <c r="AN1258" s="15" t="e">
        <f aca="false">_xlfn.xlookup(AK1258,A:A,M:M)+_xlfn.xlookup(AK1258,A:A,N:N)</f>
        <v>#NAME?</v>
      </c>
      <c r="AO1258" s="223" t="e">
        <f aca="false">_xlfn.xlookup(AK1258,A:A,AG:AG)</f>
        <v>#NAME?</v>
      </c>
      <c r="AP1258" s="223" t="e">
        <f aca="false">_xlfn.xlookup(AK1258,A:A,AD:AD)</f>
        <v>#NAME?</v>
      </c>
      <c r="AQ1258" s="223" t="e">
        <f aca="false">_xlfn.xlookup(AK1258,A:A,AE:AE)</f>
        <v>#NAME?</v>
      </c>
      <c r="BB1258" s="15" t="e">
        <f aca="false">_xlfn.xlookup(BA1258,A:A,E:E)</f>
        <v>#NAME?</v>
      </c>
      <c r="BC1258" s="15" t="e">
        <f aca="false">_xlfn.xlookup(BA1258,A:A,J:J)</f>
        <v>#NAME?</v>
      </c>
      <c r="BD1258" s="75" t="e">
        <f aca="false">_xlfn.xlookup(BA1258,A:A,M:M)+_xlfn.xlookup(BA1258,A:A,N:N)</f>
        <v>#NAME?</v>
      </c>
    </row>
    <row r="1259" customFormat="false" ht="14.25" hidden="false" customHeight="false" outlineLevel="0" collapsed="false">
      <c r="AK1259" s="15" t="e">
        <v>#NAME?</v>
      </c>
      <c r="AL1259" s="15" t="e">
        <f aca="false">_xlfn.xlookup(AK1259,A:A,F:F)</f>
        <v>#NAME?</v>
      </c>
      <c r="AM1259" s="15" t="e">
        <f aca="false">_xlfn.xlookup(AK1259,A:A,J:J)</f>
        <v>#NAME?</v>
      </c>
      <c r="AN1259" s="15" t="e">
        <f aca="false">_xlfn.xlookup(AK1259,A:A,M:M)+_xlfn.xlookup(AK1259,A:A,N:N)</f>
        <v>#NAME?</v>
      </c>
      <c r="AO1259" s="223" t="e">
        <f aca="false">_xlfn.xlookup(AK1259,A:A,AG:AG)</f>
        <v>#NAME?</v>
      </c>
      <c r="AP1259" s="223" t="e">
        <f aca="false">_xlfn.xlookup(AK1259,A:A,AD:AD)</f>
        <v>#NAME?</v>
      </c>
      <c r="AQ1259" s="223" t="e">
        <f aca="false">_xlfn.xlookup(AK1259,A:A,AE:AE)</f>
        <v>#NAME?</v>
      </c>
      <c r="BB1259" s="15" t="e">
        <f aca="false">_xlfn.xlookup(BA1259,A:A,E:E)</f>
        <v>#NAME?</v>
      </c>
      <c r="BC1259" s="15" t="e">
        <f aca="false">_xlfn.xlookup(BA1259,A:A,J:J)</f>
        <v>#NAME?</v>
      </c>
      <c r="BD1259" s="75" t="e">
        <f aca="false">_xlfn.xlookup(BA1259,A:A,M:M)+_xlfn.xlookup(BA1259,A:A,N:N)</f>
        <v>#NAME?</v>
      </c>
    </row>
    <row r="1260" customFormat="false" ht="14.25" hidden="false" customHeight="false" outlineLevel="0" collapsed="false">
      <c r="AK1260" s="15" t="e">
        <v>#NAME?</v>
      </c>
      <c r="AL1260" s="15" t="e">
        <f aca="false">_xlfn.xlookup(AK1260,A:A,F:F)</f>
        <v>#NAME?</v>
      </c>
      <c r="AM1260" s="15" t="e">
        <f aca="false">_xlfn.xlookup(AK1260,A:A,J:J)</f>
        <v>#NAME?</v>
      </c>
      <c r="AN1260" s="15" t="e">
        <f aca="false">_xlfn.xlookup(AK1260,A:A,M:M)+_xlfn.xlookup(AK1260,A:A,N:N)</f>
        <v>#NAME?</v>
      </c>
      <c r="AO1260" s="223" t="e">
        <f aca="false">_xlfn.xlookup(AK1260,A:A,AG:AG)</f>
        <v>#NAME?</v>
      </c>
      <c r="AP1260" s="223" t="e">
        <f aca="false">_xlfn.xlookup(AK1260,A:A,AD:AD)</f>
        <v>#NAME?</v>
      </c>
      <c r="AQ1260" s="223" t="e">
        <f aca="false">_xlfn.xlookup(AK1260,A:A,AE:AE)</f>
        <v>#NAME?</v>
      </c>
      <c r="BB1260" s="15" t="e">
        <f aca="false">_xlfn.xlookup(BA1260,A:A,E:E)</f>
        <v>#NAME?</v>
      </c>
      <c r="BC1260" s="15" t="e">
        <f aca="false">_xlfn.xlookup(BA1260,A:A,J:J)</f>
        <v>#NAME?</v>
      </c>
      <c r="BD1260" s="75" t="e">
        <f aca="false">_xlfn.xlookup(BA1260,A:A,M:M)+_xlfn.xlookup(BA1260,A:A,N:N)</f>
        <v>#NAME?</v>
      </c>
    </row>
    <row r="1261" customFormat="false" ht="14.25" hidden="false" customHeight="false" outlineLevel="0" collapsed="false">
      <c r="AK1261" s="15" t="e">
        <v>#NAME?</v>
      </c>
      <c r="AL1261" s="15" t="e">
        <f aca="false">_xlfn.xlookup(AK1261,A:A,F:F)</f>
        <v>#NAME?</v>
      </c>
      <c r="AM1261" s="15" t="e">
        <f aca="false">_xlfn.xlookup(AK1261,A:A,J:J)</f>
        <v>#NAME?</v>
      </c>
      <c r="AN1261" s="15" t="e">
        <f aca="false">_xlfn.xlookup(AK1261,A:A,M:M)+_xlfn.xlookup(AK1261,A:A,N:N)</f>
        <v>#NAME?</v>
      </c>
      <c r="AO1261" s="223" t="e">
        <f aca="false">_xlfn.xlookup(AK1261,A:A,AG:AG)</f>
        <v>#NAME?</v>
      </c>
      <c r="AP1261" s="223" t="e">
        <f aca="false">_xlfn.xlookup(AK1261,A:A,AD:AD)</f>
        <v>#NAME?</v>
      </c>
      <c r="AQ1261" s="223" t="e">
        <f aca="false">_xlfn.xlookup(AK1261,A:A,AE:AE)</f>
        <v>#NAME?</v>
      </c>
      <c r="BB1261" s="15" t="e">
        <f aca="false">_xlfn.xlookup(BA1261,A:A,E:E)</f>
        <v>#NAME?</v>
      </c>
      <c r="BC1261" s="15" t="e">
        <f aca="false">_xlfn.xlookup(BA1261,A:A,J:J)</f>
        <v>#NAME?</v>
      </c>
      <c r="BD1261" s="75" t="e">
        <f aca="false">_xlfn.xlookup(BA1261,A:A,M:M)+_xlfn.xlookup(BA1261,A:A,N:N)</f>
        <v>#NAME?</v>
      </c>
    </row>
    <row r="1262" customFormat="false" ht="14.25" hidden="false" customHeight="false" outlineLevel="0" collapsed="false">
      <c r="AK1262" s="15" t="e">
        <v>#NAME?</v>
      </c>
      <c r="AL1262" s="15" t="e">
        <f aca="false">_xlfn.xlookup(AK1262,A:A,F:F)</f>
        <v>#NAME?</v>
      </c>
      <c r="AM1262" s="15" t="e">
        <f aca="false">_xlfn.xlookup(AK1262,A:A,J:J)</f>
        <v>#NAME?</v>
      </c>
      <c r="AN1262" s="15" t="e">
        <f aca="false">_xlfn.xlookup(AK1262,A:A,M:M)+_xlfn.xlookup(AK1262,A:A,N:N)</f>
        <v>#NAME?</v>
      </c>
      <c r="AO1262" s="223" t="e">
        <f aca="false">_xlfn.xlookup(AK1262,A:A,AG:AG)</f>
        <v>#NAME?</v>
      </c>
      <c r="AP1262" s="223" t="e">
        <f aca="false">_xlfn.xlookup(AK1262,A:A,AD:AD)</f>
        <v>#NAME?</v>
      </c>
      <c r="AQ1262" s="223" t="e">
        <f aca="false">_xlfn.xlookup(AK1262,A:A,AE:AE)</f>
        <v>#NAME?</v>
      </c>
      <c r="BB1262" s="15" t="e">
        <f aca="false">_xlfn.xlookup(BA1262,A:A,E:E)</f>
        <v>#NAME?</v>
      </c>
      <c r="BC1262" s="15" t="e">
        <f aca="false">_xlfn.xlookup(BA1262,A:A,J:J)</f>
        <v>#NAME?</v>
      </c>
      <c r="BD1262" s="75" t="e">
        <f aca="false">_xlfn.xlookup(BA1262,A:A,M:M)+_xlfn.xlookup(BA1262,A:A,N:N)</f>
        <v>#NAME?</v>
      </c>
    </row>
  </sheetData>
  <autoFilter ref="A2:AI262"/>
  <conditionalFormatting sqref="B92:B262">
    <cfRule type="containsText" priority="2" operator="containsText" aboveAverage="0" equalAverage="0" bottom="0" percent="0" rank="0" text="Fermé" dxfId="29">
      <formula>NOT(ISERROR(SEARCH("Fermé",B92)))</formula>
    </cfRule>
    <cfRule type="containsText" priority="3" operator="containsText" aboveAverage="0" equalAverage="0" bottom="0" percent="0" rank="0" text="OUVERT" dxfId="30">
      <formula>NOT(ISERROR(SEARCH("OUVERT",B92)))</formula>
    </cfRule>
  </conditionalFormatting>
  <conditionalFormatting sqref="S54:S57">
    <cfRule type="expression" priority="4" aboveAverage="0" equalAverage="0" bottom="0" percent="0" rank="0" text="" dxfId="31">
      <formula>AC54="USD"</formula>
    </cfRule>
  </conditionalFormatting>
  <conditionalFormatting sqref="S58:S261">
    <cfRule type="expression" priority="5" aboveAverage="0" equalAverage="0" bottom="0" percent="0" rank="0" text="" dxfId="32">
      <formula>AC58="USD"</formula>
    </cfRule>
  </conditionalFormatting>
  <conditionalFormatting sqref="W6:W261">
    <cfRule type="cellIs" priority="6" operator="greaterThan" aboveAverage="0" equalAverage="0" bottom="0" percent="0" rank="0" text="" dxfId="33">
      <formula>0.05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Q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4" activeCellId="0" sqref="D44"/>
    </sheetView>
  </sheetViews>
  <sheetFormatPr defaultColWidth="8.59765625" defaultRowHeight="14.25" zeroHeight="false" outlineLevelRow="0" outlineLevelCol="0"/>
  <cols>
    <col collapsed="false" customWidth="true" hidden="false" outlineLevel="0" max="2" min="2" style="1" width="51.69"/>
    <col collapsed="false" customWidth="true" hidden="false" outlineLevel="0" max="3" min="3" style="1" width="18.15"/>
    <col collapsed="false" customWidth="true" hidden="false" outlineLevel="0" max="4" min="4" style="1" width="16"/>
    <col collapsed="false" customWidth="true" hidden="false" outlineLevel="0" max="5" min="5" style="9" width="25.15"/>
    <col collapsed="false" customWidth="true" hidden="false" outlineLevel="0" max="6" min="6" style="9" width="9.15"/>
    <col collapsed="false" customWidth="true" hidden="false" outlineLevel="0" max="8" min="8" style="1" width="7.3"/>
    <col collapsed="false" customWidth="true" hidden="false" outlineLevel="0" max="9" min="9" style="1" width="21"/>
    <col collapsed="false" customWidth="true" hidden="false" outlineLevel="0" max="10" min="10" style="9" width="9.84"/>
    <col collapsed="false" customWidth="true" hidden="false" outlineLevel="0" max="11" min="11" style="1" width="16.38"/>
    <col collapsed="false" customWidth="true" hidden="false" outlineLevel="0" max="12" min="12" style="1" width="1.69"/>
    <col collapsed="false" customWidth="true" hidden="false" outlineLevel="0" max="13" min="13" style="1" width="7"/>
    <col collapsed="false" customWidth="true" hidden="false" outlineLevel="0" max="14" min="14" style="1" width="18.15"/>
    <col collapsed="false" customWidth="true" hidden="false" outlineLevel="0" max="15" min="15" style="1" width="2"/>
    <col collapsed="false" customWidth="true" hidden="false" outlineLevel="0" max="16" min="16" style="1" width="7.84"/>
    <col collapsed="false" customWidth="true" hidden="false" outlineLevel="0" max="17" min="17" style="1" width="19.84"/>
  </cols>
  <sheetData>
    <row r="1" customFormat="false" ht="17.35" hidden="false" customHeight="false" outlineLevel="0" collapsed="false">
      <c r="A1" s="122" t="s">
        <v>1487</v>
      </c>
      <c r="H1" s="122" t="s">
        <v>1488</v>
      </c>
    </row>
    <row r="2" customFormat="false" ht="17.35" hidden="false" customHeight="false" outlineLevel="0" collapsed="false">
      <c r="H2" s="122"/>
    </row>
    <row r="3" customFormat="false" ht="30" hidden="false" customHeight="true" outlineLevel="0" collapsed="false">
      <c r="A3" s="302" t="s">
        <v>1489</v>
      </c>
      <c r="B3" s="302" t="s">
        <v>847</v>
      </c>
      <c r="C3" s="302" t="s">
        <v>1490</v>
      </c>
      <c r="D3" s="302" t="s">
        <v>311</v>
      </c>
      <c r="E3" s="303" t="s">
        <v>468</v>
      </c>
      <c r="F3" s="303" t="s">
        <v>1491</v>
      </c>
      <c r="H3" s="304" t="s">
        <v>1492</v>
      </c>
      <c r="I3" s="305"/>
      <c r="J3" s="306" t="s">
        <v>1493</v>
      </c>
      <c r="K3" s="306"/>
      <c r="L3" s="307"/>
      <c r="M3" s="308" t="s">
        <v>1494</v>
      </c>
      <c r="N3" s="308"/>
      <c r="O3" s="309"/>
      <c r="P3" s="310" t="s">
        <v>1495</v>
      </c>
      <c r="Q3" s="310"/>
    </row>
    <row r="4" customFormat="false" ht="14.25" hidden="false" customHeight="false" outlineLevel="0" collapsed="false">
      <c r="A4" s="219" t="s">
        <v>371</v>
      </c>
      <c r="B4" s="219" t="s">
        <v>1496</v>
      </c>
      <c r="C4" s="219" t="s">
        <v>1497</v>
      </c>
      <c r="D4" s="219" t="s">
        <v>1498</v>
      </c>
      <c r="E4" s="243" t="s">
        <v>92</v>
      </c>
      <c r="F4" s="243" t="s">
        <v>1499</v>
      </c>
      <c r="H4" s="311" t="s">
        <v>1500</v>
      </c>
      <c r="I4" s="312" t="s">
        <v>1501</v>
      </c>
      <c r="J4" s="311" t="n">
        <v>1</v>
      </c>
      <c r="K4" s="313" t="s">
        <v>1502</v>
      </c>
      <c r="L4" s="314"/>
      <c r="M4" s="315" t="n">
        <v>1</v>
      </c>
      <c r="N4" s="316" t="s">
        <v>1503</v>
      </c>
      <c r="P4" s="243" t="n">
        <v>-1</v>
      </c>
      <c r="Q4" s="219" t="s">
        <v>92</v>
      </c>
    </row>
    <row r="5" customFormat="false" ht="14.25" hidden="false" customHeight="false" outlineLevel="0" collapsed="false">
      <c r="A5" s="219" t="s">
        <v>453</v>
      </c>
      <c r="B5" s="219" t="s">
        <v>1496</v>
      </c>
      <c r="C5" s="219" t="s">
        <v>1497</v>
      </c>
      <c r="D5" s="219" t="s">
        <v>1498</v>
      </c>
      <c r="E5" s="243" t="s">
        <v>92</v>
      </c>
      <c r="F5" s="243" t="s">
        <v>454</v>
      </c>
      <c r="H5" s="317"/>
      <c r="I5" s="318"/>
      <c r="J5" s="317" t="n">
        <v>2</v>
      </c>
      <c r="K5" s="319" t="s">
        <v>1504</v>
      </c>
      <c r="L5" s="314"/>
      <c r="M5" s="315" t="n">
        <v>2</v>
      </c>
      <c r="N5" s="316" t="s">
        <v>1505</v>
      </c>
      <c r="P5" s="243" t="n">
        <v>-2</v>
      </c>
      <c r="Q5" s="219" t="s">
        <v>1506</v>
      </c>
    </row>
    <row r="6" customFormat="false" ht="14.25" hidden="false" customHeight="false" outlineLevel="0" collapsed="false">
      <c r="A6" s="219" t="s">
        <v>426</v>
      </c>
      <c r="B6" s="219" t="s">
        <v>1496</v>
      </c>
      <c r="C6" s="219" t="s">
        <v>1497</v>
      </c>
      <c r="D6" s="219" t="s">
        <v>1498</v>
      </c>
      <c r="E6" s="243" t="s">
        <v>1507</v>
      </c>
      <c r="F6" s="243"/>
      <c r="H6" s="320" t="s">
        <v>1508</v>
      </c>
      <c r="I6" s="321" t="s">
        <v>1509</v>
      </c>
      <c r="J6" s="320"/>
      <c r="K6" s="322"/>
      <c r="L6" s="314"/>
      <c r="M6" s="315" t="s">
        <v>1510</v>
      </c>
      <c r="N6" s="316" t="s">
        <v>1511</v>
      </c>
      <c r="P6" s="243" t="n">
        <v>-3</v>
      </c>
      <c r="Q6" s="219" t="s">
        <v>375</v>
      </c>
    </row>
    <row r="7" customFormat="false" ht="14.25" hidden="false" customHeight="false" outlineLevel="0" collapsed="false">
      <c r="A7" s="219" t="s">
        <v>1512</v>
      </c>
      <c r="B7" s="219" t="s">
        <v>1496</v>
      </c>
      <c r="C7" s="219" t="s">
        <v>1513</v>
      </c>
      <c r="D7" s="219" t="s">
        <v>1498</v>
      </c>
      <c r="E7" s="243"/>
      <c r="F7" s="243"/>
      <c r="H7" s="311" t="s">
        <v>1514</v>
      </c>
      <c r="I7" s="312" t="s">
        <v>1515</v>
      </c>
      <c r="J7" s="311" t="n">
        <v>1</v>
      </c>
      <c r="K7" s="313" t="s">
        <v>1516</v>
      </c>
      <c r="L7" s="323"/>
      <c r="M7" s="317" t="n">
        <v>7</v>
      </c>
      <c r="N7" s="319" t="s">
        <v>1513</v>
      </c>
      <c r="P7" s="243" t="n">
        <v>-4</v>
      </c>
      <c r="Q7" s="219" t="s">
        <v>1517</v>
      </c>
    </row>
    <row r="8" customFormat="false" ht="14.25" hidden="false" customHeight="false" outlineLevel="0" collapsed="false">
      <c r="A8" s="219" t="s">
        <v>421</v>
      </c>
      <c r="B8" s="219" t="s">
        <v>1496</v>
      </c>
      <c r="C8" s="219" t="s">
        <v>1497</v>
      </c>
      <c r="D8" s="219" t="s">
        <v>1498</v>
      </c>
      <c r="E8" s="243" t="s">
        <v>375</v>
      </c>
      <c r="F8" s="243" t="s">
        <v>422</v>
      </c>
      <c r="H8" s="311" t="s">
        <v>1449</v>
      </c>
      <c r="I8" s="324" t="s">
        <v>1518</v>
      </c>
      <c r="J8" s="311" t="n">
        <v>1</v>
      </c>
      <c r="K8" s="313" t="s">
        <v>1519</v>
      </c>
      <c r="M8" s="42"/>
      <c r="P8" s="243" t="n">
        <v>-5</v>
      </c>
      <c r="Q8" s="219" t="s">
        <v>1520</v>
      </c>
    </row>
    <row r="9" customFormat="false" ht="14.25" hidden="false" customHeight="false" outlineLevel="0" collapsed="false">
      <c r="A9" s="219" t="s">
        <v>1521</v>
      </c>
      <c r="B9" s="219" t="s">
        <v>1496</v>
      </c>
      <c r="C9" s="219" t="s">
        <v>1522</v>
      </c>
      <c r="D9" s="219" t="s">
        <v>1498</v>
      </c>
      <c r="E9" s="243" t="n">
        <v>0</v>
      </c>
      <c r="F9" s="243" t="n">
        <v>0</v>
      </c>
      <c r="H9" s="315"/>
      <c r="I9" s="325"/>
      <c r="J9" s="315" t="n">
        <v>2</v>
      </c>
      <c r="K9" s="316" t="s">
        <v>1523</v>
      </c>
      <c r="M9" s="42"/>
      <c r="P9" s="243" t="n">
        <v>-6</v>
      </c>
      <c r="Q9" s="219" t="s">
        <v>1524</v>
      </c>
    </row>
    <row r="10" customFormat="false" ht="14.25" hidden="false" customHeight="false" outlineLevel="0" collapsed="false">
      <c r="A10" s="219" t="s">
        <v>388</v>
      </c>
      <c r="B10" s="219" t="s">
        <v>1496</v>
      </c>
      <c r="C10" s="219" t="s">
        <v>1525</v>
      </c>
      <c r="D10" s="219" t="s">
        <v>1498</v>
      </c>
      <c r="E10" s="243" t="s">
        <v>92</v>
      </c>
      <c r="F10" s="243" t="s">
        <v>389</v>
      </c>
      <c r="H10" s="317"/>
      <c r="I10" s="326"/>
      <c r="J10" s="317" t="n">
        <v>3</v>
      </c>
      <c r="K10" s="319" t="s">
        <v>1526</v>
      </c>
      <c r="M10" s="42"/>
      <c r="P10" s="243"/>
      <c r="Q10" s="219"/>
    </row>
    <row r="11" customFormat="false" ht="14.25" hidden="false" customHeight="false" outlineLevel="0" collapsed="false">
      <c r="A11" s="219" t="s">
        <v>1527</v>
      </c>
      <c r="B11" s="219" t="s">
        <v>1496</v>
      </c>
      <c r="C11" s="219" t="s">
        <v>1528</v>
      </c>
      <c r="D11" s="219" t="s">
        <v>1498</v>
      </c>
      <c r="E11" s="243" t="s">
        <v>92</v>
      </c>
      <c r="F11" s="243" t="s">
        <v>1499</v>
      </c>
      <c r="H11" s="315" t="s">
        <v>1529</v>
      </c>
      <c r="I11" s="15" t="s">
        <v>1530</v>
      </c>
      <c r="J11" s="315" t="n">
        <v>1</v>
      </c>
      <c r="K11" s="316" t="s">
        <v>1531</v>
      </c>
      <c r="M11" s="42"/>
      <c r="P11" s="243"/>
      <c r="Q11" s="219"/>
    </row>
    <row r="12" customFormat="false" ht="14.25" hidden="false" customHeight="false" outlineLevel="0" collapsed="false">
      <c r="A12" s="219" t="n">
        <v>0</v>
      </c>
      <c r="B12" s="219" t="n">
        <v>0</v>
      </c>
      <c r="C12" s="219" t="n">
        <v>0</v>
      </c>
      <c r="D12" s="219"/>
      <c r="E12" s="243" t="n">
        <v>0</v>
      </c>
      <c r="F12" s="243" t="n">
        <v>0</v>
      </c>
      <c r="H12" s="317"/>
      <c r="I12" s="318"/>
      <c r="J12" s="317" t="n">
        <v>2</v>
      </c>
      <c r="K12" s="319" t="s">
        <v>1532</v>
      </c>
      <c r="M12" s="42"/>
      <c r="P12" s="243"/>
      <c r="Q12" s="219"/>
    </row>
    <row r="13" customFormat="false" ht="14.25" hidden="false" customHeight="false" outlineLevel="0" collapsed="false">
      <c r="A13" s="219" t="s">
        <v>367</v>
      </c>
      <c r="B13" s="219" t="s">
        <v>1533</v>
      </c>
      <c r="C13" s="219" t="s">
        <v>1497</v>
      </c>
      <c r="D13" s="219" t="s">
        <v>1498</v>
      </c>
      <c r="E13" s="243" t="s">
        <v>92</v>
      </c>
      <c r="F13" s="243" t="s">
        <v>505</v>
      </c>
      <c r="H13" s="320" t="s">
        <v>1534</v>
      </c>
      <c r="I13" s="321" t="s">
        <v>1535</v>
      </c>
      <c r="J13" s="320"/>
      <c r="K13" s="327"/>
      <c r="M13" s="42"/>
      <c r="P13" s="243"/>
      <c r="Q13" s="219"/>
    </row>
    <row r="14" customFormat="false" ht="14.25" hidden="false" customHeight="false" outlineLevel="0" collapsed="false">
      <c r="A14" s="219" t="s">
        <v>1536</v>
      </c>
      <c r="B14" s="219" t="s">
        <v>1533</v>
      </c>
      <c r="C14" s="219" t="s">
        <v>1497</v>
      </c>
      <c r="D14" s="219" t="s">
        <v>1498</v>
      </c>
      <c r="E14" s="243" t="s">
        <v>359</v>
      </c>
      <c r="F14" s="243" t="s">
        <v>1537</v>
      </c>
      <c r="H14" s="320" t="s">
        <v>1538</v>
      </c>
      <c r="I14" s="321" t="s">
        <v>1539</v>
      </c>
      <c r="J14" s="320"/>
      <c r="K14" s="327"/>
      <c r="P14" s="243"/>
      <c r="Q14" s="219"/>
    </row>
    <row r="15" customFormat="false" ht="14.25" hidden="false" customHeight="false" outlineLevel="0" collapsed="false">
      <c r="A15" s="219"/>
      <c r="B15" s="219"/>
      <c r="C15" s="219"/>
      <c r="D15" s="219"/>
      <c r="E15" s="243"/>
      <c r="F15" s="243"/>
      <c r="H15" s="311" t="s">
        <v>52</v>
      </c>
      <c r="I15" s="312" t="s">
        <v>1540</v>
      </c>
      <c r="J15" s="311" t="n">
        <v>1</v>
      </c>
      <c r="K15" s="324"/>
    </row>
    <row r="16" customFormat="false" ht="14.25" hidden="false" customHeight="false" outlineLevel="0" collapsed="false">
      <c r="A16" s="219" t="s">
        <v>1541</v>
      </c>
      <c r="B16" s="219" t="s">
        <v>1542</v>
      </c>
      <c r="C16" s="219" t="s">
        <v>1511</v>
      </c>
      <c r="D16" s="219" t="s">
        <v>1498</v>
      </c>
      <c r="E16" s="243" t="s">
        <v>375</v>
      </c>
      <c r="F16" s="243"/>
      <c r="H16" s="315"/>
      <c r="J16" s="315" t="n">
        <v>5</v>
      </c>
      <c r="K16" s="325" t="s">
        <v>396</v>
      </c>
    </row>
    <row r="17" customFormat="false" ht="14.25" hidden="false" customHeight="false" outlineLevel="0" collapsed="false">
      <c r="A17" s="219" t="s">
        <v>447</v>
      </c>
      <c r="B17" s="219" t="s">
        <v>1542</v>
      </c>
      <c r="C17" s="219" t="s">
        <v>1522</v>
      </c>
      <c r="D17" s="219" t="s">
        <v>1498</v>
      </c>
      <c r="E17" s="243" t="s">
        <v>375</v>
      </c>
      <c r="F17" s="243"/>
      <c r="H17" s="315"/>
      <c r="J17" s="315" t="n">
        <v>6</v>
      </c>
      <c r="K17" s="325" t="s">
        <v>403</v>
      </c>
    </row>
    <row r="18" customFormat="false" ht="14.25" hidden="false" customHeight="false" outlineLevel="0" collapsed="false">
      <c r="A18" s="219" t="n">
        <v>0</v>
      </c>
      <c r="B18" s="219" t="n">
        <v>0</v>
      </c>
      <c r="C18" s="219" t="n">
        <v>0</v>
      </c>
      <c r="D18" s="219"/>
      <c r="E18" s="243" t="n">
        <v>0</v>
      </c>
      <c r="F18" s="243" t="n">
        <v>0</v>
      </c>
      <c r="H18" s="317"/>
      <c r="I18" s="318"/>
      <c r="J18" s="317" t="n">
        <v>7</v>
      </c>
      <c r="K18" s="326" t="s">
        <v>409</v>
      </c>
    </row>
    <row r="19" customFormat="false" ht="14.25" hidden="false" customHeight="false" outlineLevel="0" collapsed="false">
      <c r="A19" s="219" t="s">
        <v>332</v>
      </c>
      <c r="B19" s="219" t="s">
        <v>1543</v>
      </c>
      <c r="C19" s="219" t="s">
        <v>1544</v>
      </c>
      <c r="D19" s="219" t="s">
        <v>1498</v>
      </c>
      <c r="E19" s="243" t="s">
        <v>92</v>
      </c>
      <c r="F19" s="243" t="s">
        <v>333</v>
      </c>
    </row>
    <row r="20" customFormat="false" ht="14.25" hidden="false" customHeight="false" outlineLevel="0" collapsed="false">
      <c r="A20" s="219" t="s">
        <v>1545</v>
      </c>
      <c r="B20" s="219" t="s">
        <v>1543</v>
      </c>
      <c r="C20" s="219" t="s">
        <v>1525</v>
      </c>
      <c r="D20" s="219" t="s">
        <v>1498</v>
      </c>
      <c r="E20" s="243" t="s">
        <v>359</v>
      </c>
      <c r="F20" s="243" t="s">
        <v>1546</v>
      </c>
    </row>
    <row r="21" customFormat="false" ht="14.25" hidden="false" customHeight="false" outlineLevel="0" collapsed="false">
      <c r="A21" s="219" t="s">
        <v>1547</v>
      </c>
      <c r="B21" s="219" t="s">
        <v>1543</v>
      </c>
      <c r="C21" s="219" t="s">
        <v>1525</v>
      </c>
      <c r="D21" s="219" t="s">
        <v>1498</v>
      </c>
      <c r="E21" s="243" t="s">
        <v>375</v>
      </c>
      <c r="F21" s="243" t="s">
        <v>1548</v>
      </c>
    </row>
    <row r="22" customFormat="false" ht="14.25" hidden="false" customHeight="false" outlineLevel="0" collapsed="false">
      <c r="A22" s="219" t="n">
        <v>0</v>
      </c>
      <c r="B22" s="219" t="n">
        <v>0</v>
      </c>
      <c r="C22" s="219" t="n">
        <v>0</v>
      </c>
      <c r="D22" s="219"/>
      <c r="E22" s="243" t="n">
        <v>0</v>
      </c>
      <c r="F22" s="243" t="n">
        <v>0</v>
      </c>
    </row>
    <row r="23" customFormat="false" ht="14.25" hidden="false" customHeight="false" outlineLevel="0" collapsed="false">
      <c r="A23" s="219" t="s">
        <v>339</v>
      </c>
      <c r="B23" s="219" t="s">
        <v>1549</v>
      </c>
      <c r="C23" s="219" t="s">
        <v>1503</v>
      </c>
      <c r="D23" s="219" t="s">
        <v>1498</v>
      </c>
      <c r="E23" s="243" t="s">
        <v>92</v>
      </c>
      <c r="F23" s="243" t="n">
        <v>0</v>
      </c>
    </row>
    <row r="24" customFormat="false" ht="14.25" hidden="false" customHeight="false" outlineLevel="0" collapsed="false">
      <c r="A24" s="219" t="s">
        <v>1550</v>
      </c>
      <c r="B24" s="219" t="s">
        <v>1549</v>
      </c>
      <c r="C24" s="219" t="s">
        <v>1503</v>
      </c>
      <c r="D24" s="219" t="s">
        <v>1498</v>
      </c>
      <c r="E24" s="243" t="s">
        <v>359</v>
      </c>
      <c r="F24" s="243" t="n">
        <v>0</v>
      </c>
    </row>
    <row r="25" customFormat="false" ht="14.25" hidden="false" customHeight="false" outlineLevel="0" collapsed="false">
      <c r="A25" s="219" t="s">
        <v>374</v>
      </c>
      <c r="B25" s="219" t="s">
        <v>1549</v>
      </c>
      <c r="C25" s="219" t="s">
        <v>1503</v>
      </c>
      <c r="D25" s="219" t="s">
        <v>1498</v>
      </c>
      <c r="E25" s="243" t="s">
        <v>375</v>
      </c>
      <c r="F25" s="243" t="s">
        <v>376</v>
      </c>
    </row>
    <row r="26" customFormat="false" ht="14.25" hidden="false" customHeight="false" outlineLevel="0" collapsed="false">
      <c r="A26" s="219" t="s">
        <v>378</v>
      </c>
      <c r="B26" s="219" t="s">
        <v>1549</v>
      </c>
      <c r="C26" s="219" t="s">
        <v>1511</v>
      </c>
      <c r="D26" s="219" t="s">
        <v>1498</v>
      </c>
      <c r="E26" s="243" t="s">
        <v>375</v>
      </c>
      <c r="F26" s="243" t="s">
        <v>379</v>
      </c>
    </row>
    <row r="27" customFormat="false" ht="14.25" hidden="false" customHeight="false" outlineLevel="0" collapsed="false">
      <c r="A27" s="219" t="s">
        <v>1551</v>
      </c>
      <c r="B27" s="219" t="s">
        <v>1549</v>
      </c>
      <c r="C27" s="219" t="s">
        <v>1505</v>
      </c>
      <c r="D27" s="219" t="s">
        <v>1498</v>
      </c>
      <c r="E27" s="243" t="n">
        <v>0</v>
      </c>
      <c r="F27" s="243" t="n">
        <v>0</v>
      </c>
    </row>
    <row r="28" customFormat="false" ht="14.25" hidden="false" customHeight="false" outlineLevel="0" collapsed="false">
      <c r="A28" s="219" t="n">
        <v>0</v>
      </c>
      <c r="B28" s="219" t="n">
        <v>0</v>
      </c>
      <c r="C28" s="219" t="n">
        <v>0</v>
      </c>
      <c r="D28" s="219"/>
      <c r="E28" s="243" t="n">
        <v>0</v>
      </c>
      <c r="F28" s="243" t="n">
        <v>0</v>
      </c>
    </row>
    <row r="29" customFormat="false" ht="14.25" hidden="false" customHeight="false" outlineLevel="0" collapsed="false">
      <c r="A29" s="219" t="s">
        <v>364</v>
      </c>
      <c r="B29" s="219" t="s">
        <v>1552</v>
      </c>
      <c r="C29" s="219" t="s">
        <v>1503</v>
      </c>
      <c r="D29" s="219" t="s">
        <v>1498</v>
      </c>
      <c r="E29" s="243" t="s">
        <v>92</v>
      </c>
      <c r="F29" s="243" t="s">
        <v>365</v>
      </c>
    </row>
    <row r="30" customFormat="false" ht="14.25" hidden="false" customHeight="false" outlineLevel="0" collapsed="false">
      <c r="A30" s="219" t="s">
        <v>410</v>
      </c>
      <c r="B30" s="219" t="s">
        <v>1549</v>
      </c>
      <c r="C30" s="219" t="s">
        <v>1503</v>
      </c>
      <c r="D30" s="219" t="s">
        <v>1553</v>
      </c>
      <c r="E30" s="243"/>
      <c r="F30" s="243" t="s">
        <v>411</v>
      </c>
    </row>
    <row r="31" customFormat="false" ht="14.25" hidden="false" customHeight="false" outlineLevel="0" collapsed="false">
      <c r="A31" s="219" t="s">
        <v>414</v>
      </c>
      <c r="B31" s="219" t="s">
        <v>1554</v>
      </c>
      <c r="C31" s="219" t="s">
        <v>1555</v>
      </c>
      <c r="D31" s="219" t="s">
        <v>1553</v>
      </c>
      <c r="E31" s="243" t="s">
        <v>375</v>
      </c>
      <c r="F31" s="243" t="s">
        <v>415</v>
      </c>
    </row>
    <row r="32" customFormat="false" ht="14.25" hidden="false" customHeight="false" outlineLevel="0" collapsed="false">
      <c r="A32" s="219" t="n">
        <v>0</v>
      </c>
      <c r="B32" s="219" t="n">
        <v>0</v>
      </c>
      <c r="C32" s="219" t="n">
        <v>0</v>
      </c>
      <c r="D32" s="219"/>
      <c r="E32" s="243" t="n">
        <v>0</v>
      </c>
      <c r="F32" s="243" t="n">
        <v>0</v>
      </c>
    </row>
    <row r="33" customFormat="false" ht="14.25" hidden="false" customHeight="false" outlineLevel="0" collapsed="false">
      <c r="A33" s="219" t="s">
        <v>352</v>
      </c>
      <c r="B33" s="219" t="s">
        <v>1556</v>
      </c>
      <c r="C33" s="219" t="s">
        <v>1503</v>
      </c>
      <c r="D33" s="219" t="s">
        <v>1498</v>
      </c>
      <c r="E33" s="243" t="s">
        <v>92</v>
      </c>
      <c r="F33" s="243" t="n">
        <v>0</v>
      </c>
    </row>
    <row r="34" customFormat="false" ht="14.25" hidden="false" customHeight="false" outlineLevel="0" collapsed="false">
      <c r="A34" s="219" t="s">
        <v>356</v>
      </c>
      <c r="B34" s="219" t="s">
        <v>1556</v>
      </c>
      <c r="C34" s="219" t="s">
        <v>1511</v>
      </c>
      <c r="D34" s="219" t="s">
        <v>1498</v>
      </c>
      <c r="E34" s="243" t="s">
        <v>92</v>
      </c>
      <c r="F34" s="243" t="n">
        <v>0</v>
      </c>
    </row>
    <row r="35" customFormat="false" ht="14.25" hidden="false" customHeight="false" outlineLevel="0" collapsed="false">
      <c r="A35" s="219" t="s">
        <v>382</v>
      </c>
      <c r="B35" s="219" t="s">
        <v>1556</v>
      </c>
      <c r="C35" s="219" t="s">
        <v>1511</v>
      </c>
      <c r="D35" s="219" t="s">
        <v>1498</v>
      </c>
      <c r="E35" s="243" t="s">
        <v>375</v>
      </c>
      <c r="F35" s="243" t="s">
        <v>383</v>
      </c>
    </row>
    <row r="36" customFormat="false" ht="14.25" hidden="false" customHeight="false" outlineLevel="0" collapsed="false">
      <c r="A36" s="219" t="s">
        <v>1557</v>
      </c>
      <c r="B36" s="219" t="s">
        <v>1556</v>
      </c>
      <c r="C36" s="219" t="s">
        <v>1511</v>
      </c>
      <c r="D36" s="219" t="s">
        <v>1553</v>
      </c>
      <c r="E36" s="243" t="n">
        <v>0</v>
      </c>
      <c r="F36" s="243" t="n">
        <v>0</v>
      </c>
    </row>
    <row r="37" customFormat="false" ht="14.25" hidden="false" customHeight="false" outlineLevel="0" collapsed="false">
      <c r="A37" s="219" t="n">
        <v>0</v>
      </c>
      <c r="B37" s="219" t="n">
        <v>0</v>
      </c>
      <c r="C37" s="219" t="n">
        <v>0</v>
      </c>
      <c r="D37" s="219"/>
      <c r="E37" s="243" t="n">
        <v>0</v>
      </c>
      <c r="F37" s="243" t="n">
        <v>0</v>
      </c>
    </row>
    <row r="38" customFormat="false" ht="14.25" hidden="false" customHeight="false" outlineLevel="0" collapsed="false">
      <c r="A38" s="219" t="s">
        <v>343</v>
      </c>
      <c r="B38" s="219" t="s">
        <v>1558</v>
      </c>
      <c r="C38" s="219" t="s">
        <v>1503</v>
      </c>
      <c r="D38" s="219" t="s">
        <v>1498</v>
      </c>
      <c r="E38" s="243" t="s">
        <v>92</v>
      </c>
      <c r="F38" s="243" t="n">
        <v>0</v>
      </c>
    </row>
    <row r="39" customFormat="false" ht="14.25" hidden="false" customHeight="false" outlineLevel="0" collapsed="false">
      <c r="A39" s="219" t="s">
        <v>349</v>
      </c>
      <c r="B39" s="219" t="s">
        <v>1558</v>
      </c>
      <c r="C39" s="219" t="s">
        <v>1511</v>
      </c>
      <c r="D39" s="219" t="s">
        <v>1498</v>
      </c>
      <c r="E39" s="243" t="s">
        <v>92</v>
      </c>
      <c r="F39" s="243" t="n">
        <v>0</v>
      </c>
    </row>
    <row r="40" customFormat="false" ht="14.25" hidden="false" customHeight="false" outlineLevel="0" collapsed="false">
      <c r="A40" s="219" t="s">
        <v>385</v>
      </c>
      <c r="B40" s="219" t="s">
        <v>1558</v>
      </c>
      <c r="C40" s="219" t="s">
        <v>1511</v>
      </c>
      <c r="D40" s="219" t="s">
        <v>1498</v>
      </c>
      <c r="E40" s="243" t="s">
        <v>375</v>
      </c>
      <c r="F40" s="243" t="s">
        <v>386</v>
      </c>
    </row>
    <row r="41" customFormat="false" ht="14.25" hidden="false" customHeight="false" outlineLevel="0" collapsed="false">
      <c r="A41" s="219" t="s">
        <v>1559</v>
      </c>
      <c r="B41" s="219" t="s">
        <v>1558</v>
      </c>
      <c r="C41" s="219" t="s">
        <v>1511</v>
      </c>
      <c r="D41" s="219" t="s">
        <v>1553</v>
      </c>
      <c r="E41" s="243"/>
      <c r="F41" s="243"/>
    </row>
    <row r="42" customFormat="false" ht="14.25" hidden="false" customHeight="false" outlineLevel="0" collapsed="false">
      <c r="A42" s="219"/>
      <c r="B42" s="219"/>
      <c r="C42" s="219"/>
      <c r="D42" s="219"/>
      <c r="E42" s="243"/>
      <c r="F42" s="243"/>
    </row>
    <row r="43" s="1" customFormat="true" ht="14.25" hidden="false" customHeight="false" outlineLevel="0" collapsed="false">
      <c r="A43" s="219" t="n">
        <v>0</v>
      </c>
      <c r="B43" s="219" t="n">
        <v>0</v>
      </c>
      <c r="C43" s="219" t="n">
        <v>0</v>
      </c>
      <c r="D43" s="219"/>
      <c r="E43" s="243" t="n">
        <v>0</v>
      </c>
      <c r="F43" s="243" t="n">
        <v>0</v>
      </c>
      <c r="J43" s="9"/>
    </row>
    <row r="44" customFormat="false" ht="14.25" hidden="false" customHeight="false" outlineLevel="0" collapsed="false">
      <c r="A44" s="219" t="s">
        <v>1560</v>
      </c>
      <c r="B44" s="219" t="s">
        <v>1561</v>
      </c>
      <c r="C44" s="219" t="s">
        <v>1511</v>
      </c>
      <c r="D44" s="219"/>
      <c r="E44" s="243" t="s">
        <v>1524</v>
      </c>
      <c r="F44" s="243" t="n">
        <v>526</v>
      </c>
    </row>
    <row r="45" customFormat="false" ht="14.25" hidden="false" customHeight="false" outlineLevel="0" collapsed="false">
      <c r="A45" s="219" t="s">
        <v>391</v>
      </c>
      <c r="B45" s="219" t="s">
        <v>1562</v>
      </c>
      <c r="C45" s="219" t="s">
        <v>1563</v>
      </c>
      <c r="D45" s="219"/>
      <c r="E45" s="243" t="s">
        <v>1520</v>
      </c>
      <c r="F45" s="243" t="s">
        <v>1564</v>
      </c>
    </row>
    <row r="46" customFormat="false" ht="14.25" hidden="false" customHeight="false" outlineLevel="0" collapsed="false">
      <c r="A46" s="219" t="s">
        <v>399</v>
      </c>
      <c r="B46" s="219" t="s">
        <v>1565</v>
      </c>
      <c r="C46" s="219" t="s">
        <v>1563</v>
      </c>
      <c r="D46" s="219"/>
      <c r="E46" s="243" t="s">
        <v>1520</v>
      </c>
      <c r="F46" s="243" t="s">
        <v>1566</v>
      </c>
    </row>
    <row r="47" customFormat="false" ht="31.3" hidden="false" customHeight="false" outlineLevel="0" collapsed="false">
      <c r="A47" s="328" t="s">
        <v>404</v>
      </c>
      <c r="B47" s="328" t="s">
        <v>1567</v>
      </c>
      <c r="C47" s="328" t="s">
        <v>1563</v>
      </c>
      <c r="D47" s="328"/>
      <c r="E47" s="329" t="s">
        <v>405</v>
      </c>
      <c r="F47" s="329" t="s">
        <v>406</v>
      </c>
    </row>
    <row r="48" customFormat="false" ht="16.4" hidden="false" customHeight="false" outlineLevel="0" collapsed="false">
      <c r="A48" s="330" t="s">
        <v>432</v>
      </c>
      <c r="B48" s="330" t="s">
        <v>1568</v>
      </c>
      <c r="C48" s="330" t="n">
        <v>0</v>
      </c>
      <c r="D48" s="330"/>
      <c r="E48" s="331" t="s">
        <v>1569</v>
      </c>
      <c r="F48" s="331" t="n">
        <v>0</v>
      </c>
    </row>
    <row r="49" customFormat="false" ht="16.4" hidden="false" customHeight="false" outlineLevel="0" collapsed="false">
      <c r="A49" s="219" t="s">
        <v>436</v>
      </c>
      <c r="B49" s="328" t="s">
        <v>1570</v>
      </c>
      <c r="C49" s="219"/>
      <c r="D49" s="219"/>
      <c r="E49" s="243"/>
      <c r="F49" s="243"/>
    </row>
    <row r="50" customFormat="false" ht="16.4" hidden="false" customHeight="false" outlineLevel="0" collapsed="false">
      <c r="A50" s="219" t="s">
        <v>439</v>
      </c>
      <c r="B50" s="328" t="s">
        <v>1571</v>
      </c>
      <c r="C50" s="219"/>
      <c r="D50" s="219"/>
      <c r="E50" s="243"/>
      <c r="F50" s="243"/>
    </row>
    <row r="55" customFormat="false" ht="14.25" hidden="false" customHeight="false" outlineLevel="0" collapsed="false">
      <c r="A55" s="1" t="e">
        <f aca="false">#REF!</f>
        <v>#REF!</v>
      </c>
      <c r="B55" s="1" t="e">
        <f aca="false">#REF!</f>
        <v>#REF!</v>
      </c>
      <c r="C55" s="1" t="e">
        <f aca="false">#REF!</f>
        <v>#REF!</v>
      </c>
      <c r="E55" s="9" t="e">
        <f aca="false">#REF!</f>
        <v>#REF!</v>
      </c>
      <c r="F55" s="9" t="e">
        <f aca="false">#REF!</f>
        <v>#REF!</v>
      </c>
    </row>
    <row r="56" customFormat="false" ht="17.35" hidden="false" customHeight="false" outlineLevel="0" collapsed="false">
      <c r="A56" s="122" t="s">
        <v>1488</v>
      </c>
    </row>
    <row r="57" customFormat="false" ht="17.35" hidden="false" customHeight="false" outlineLevel="0" collapsed="false">
      <c r="A57" s="122"/>
    </row>
    <row r="58" customFormat="false" ht="14.25" hidden="false" customHeight="false" outlineLevel="0" collapsed="false">
      <c r="A58" s="304" t="s">
        <v>1492</v>
      </c>
      <c r="B58" s="305"/>
    </row>
    <row r="59" customFormat="false" ht="14.25" hidden="false" customHeight="false" outlineLevel="0" collapsed="false">
      <c r="A59" s="332" t="s">
        <v>1500</v>
      </c>
      <c r="B59" s="325" t="s">
        <v>1501</v>
      </c>
    </row>
    <row r="60" customFormat="false" ht="14.25" hidden="false" customHeight="false" outlineLevel="0" collapsed="false">
      <c r="A60" s="332" t="s">
        <v>1508</v>
      </c>
      <c r="B60" s="325" t="s">
        <v>1509</v>
      </c>
    </row>
    <row r="61" customFormat="false" ht="14.25" hidden="false" customHeight="false" outlineLevel="0" collapsed="false">
      <c r="A61" s="332" t="s">
        <v>1514</v>
      </c>
      <c r="B61" s="325" t="s">
        <v>1515</v>
      </c>
    </row>
    <row r="62" customFormat="false" ht="14.25" hidden="false" customHeight="false" outlineLevel="0" collapsed="false">
      <c r="A62" s="332" t="s">
        <v>1449</v>
      </c>
      <c r="B62" s="325" t="s">
        <v>1518</v>
      </c>
    </row>
    <row r="63" customFormat="false" ht="14.25" hidden="false" customHeight="false" outlineLevel="0" collapsed="false">
      <c r="A63" s="332" t="s">
        <v>1529</v>
      </c>
      <c r="B63" s="325" t="s">
        <v>1530</v>
      </c>
    </row>
    <row r="64" customFormat="false" ht="14.25" hidden="false" customHeight="false" outlineLevel="0" collapsed="false">
      <c r="A64" s="332" t="s">
        <v>1534</v>
      </c>
      <c r="B64" s="325" t="s">
        <v>1535</v>
      </c>
    </row>
    <row r="65" customFormat="false" ht="14.25" hidden="false" customHeight="false" outlineLevel="0" collapsed="false">
      <c r="A65" s="332" t="s">
        <v>1538</v>
      </c>
      <c r="B65" s="325" t="s">
        <v>1539</v>
      </c>
    </row>
    <row r="66" customFormat="false" ht="14.25" hidden="false" customHeight="false" outlineLevel="0" collapsed="false">
      <c r="A66" s="333" t="s">
        <v>52</v>
      </c>
      <c r="B66" s="326" t="s">
        <v>1572</v>
      </c>
    </row>
    <row r="69" customFormat="false" ht="14.25" hidden="false" customHeight="false" outlineLevel="0" collapsed="false">
      <c r="A69" s="304" t="s">
        <v>1573</v>
      </c>
      <c r="B69" s="327"/>
    </row>
    <row r="70" customFormat="false" ht="14.25" hidden="false" customHeight="false" outlineLevel="0" collapsed="false">
      <c r="A70" s="334" t="n">
        <v>1</v>
      </c>
      <c r="B70" s="316" t="s">
        <v>1502</v>
      </c>
      <c r="E70" s="9" t="e">
        <f aca="false">#REF!</f>
        <v>#REF!</v>
      </c>
      <c r="F70" s="9" t="e">
        <f aca="false">#REF!</f>
        <v>#REF!</v>
      </c>
    </row>
    <row r="71" customFormat="false" ht="14.25" hidden="false" customHeight="false" outlineLevel="0" collapsed="false">
      <c r="A71" s="334" t="n">
        <v>2</v>
      </c>
      <c r="B71" s="316" t="s">
        <v>1504</v>
      </c>
      <c r="E71" s="9" t="e">
        <f aca="false">#REF!</f>
        <v>#REF!</v>
      </c>
      <c r="F71" s="9" t="e">
        <f aca="false">#REF!</f>
        <v>#REF!</v>
      </c>
    </row>
    <row r="72" customFormat="false" ht="14.25" hidden="false" customHeight="false" outlineLevel="0" collapsed="false">
      <c r="A72" s="332"/>
      <c r="B72" s="325"/>
    </row>
    <row r="73" customFormat="false" ht="14.25" hidden="false" customHeight="false" outlineLevel="0" collapsed="false">
      <c r="A73" s="304" t="s">
        <v>1574</v>
      </c>
      <c r="B73" s="327"/>
    </row>
    <row r="74" customFormat="false" ht="14.25" hidden="false" customHeight="false" outlineLevel="0" collapsed="false">
      <c r="A74" s="334" t="n">
        <v>1</v>
      </c>
      <c r="B74" s="316" t="s">
        <v>1519</v>
      </c>
    </row>
    <row r="75" customFormat="false" ht="14.25" hidden="false" customHeight="false" outlineLevel="0" collapsed="false">
      <c r="A75" s="334" t="n">
        <v>2</v>
      </c>
      <c r="B75" s="316" t="s">
        <v>1523</v>
      </c>
    </row>
    <row r="76" customFormat="false" ht="14.25" hidden="false" customHeight="false" outlineLevel="0" collapsed="false">
      <c r="A76" s="332"/>
      <c r="B76" s="325"/>
    </row>
    <row r="77" customFormat="false" ht="14.25" hidden="false" customHeight="false" outlineLevel="0" collapsed="false">
      <c r="A77" s="304" t="s">
        <v>1575</v>
      </c>
      <c r="B77" s="327"/>
    </row>
    <row r="78" customFormat="false" ht="14.25" hidden="false" customHeight="false" outlineLevel="0" collapsed="false">
      <c r="A78" s="334" t="n">
        <v>1</v>
      </c>
      <c r="B78" s="316" t="s">
        <v>1531</v>
      </c>
    </row>
    <row r="79" customFormat="false" ht="14.25" hidden="false" customHeight="false" outlineLevel="0" collapsed="false">
      <c r="A79" s="335" t="n">
        <v>2</v>
      </c>
      <c r="B79" s="319" t="s">
        <v>1532</v>
      </c>
    </row>
    <row r="82" customFormat="false" ht="14.25" hidden="false" customHeight="false" outlineLevel="0" collapsed="false">
      <c r="A82" s="304" t="s">
        <v>1494</v>
      </c>
      <c r="B82" s="327"/>
    </row>
    <row r="83" customFormat="false" ht="14.25" hidden="false" customHeight="false" outlineLevel="0" collapsed="false">
      <c r="A83" s="334" t="n">
        <v>1</v>
      </c>
      <c r="B83" s="316" t="s">
        <v>1503</v>
      </c>
    </row>
    <row r="84" customFormat="false" ht="14.25" hidden="false" customHeight="false" outlineLevel="0" collapsed="false">
      <c r="A84" s="334" t="n">
        <v>2</v>
      </c>
      <c r="B84" s="316" t="s">
        <v>1505</v>
      </c>
    </row>
    <row r="85" customFormat="false" ht="14.25" hidden="false" customHeight="false" outlineLevel="0" collapsed="false">
      <c r="A85" s="334" t="n">
        <v>5</v>
      </c>
      <c r="B85" s="316" t="s">
        <v>1511</v>
      </c>
    </row>
    <row r="86" customFormat="false" ht="14.25" hidden="false" customHeight="false" outlineLevel="0" collapsed="false">
      <c r="A86" s="335" t="n">
        <v>6</v>
      </c>
      <c r="B86" s="319" t="s">
        <v>1513</v>
      </c>
    </row>
    <row r="90" customFormat="false" ht="14.25" hidden="false" customHeight="false" outlineLevel="0" collapsed="false">
      <c r="A90" s="304" t="s">
        <v>1495</v>
      </c>
      <c r="B90" s="327"/>
    </row>
    <row r="91" customFormat="false" ht="14.25" hidden="false" customHeight="false" outlineLevel="0" collapsed="false">
      <c r="A91" s="334" t="n">
        <v>-1</v>
      </c>
      <c r="B91" s="316" t="s">
        <v>92</v>
      </c>
    </row>
    <row r="92" customFormat="false" ht="14.25" hidden="false" customHeight="false" outlineLevel="0" collapsed="false">
      <c r="A92" s="334" t="n">
        <v>-2</v>
      </c>
      <c r="B92" s="316" t="s">
        <v>359</v>
      </c>
    </row>
    <row r="93" customFormat="false" ht="14.25" hidden="false" customHeight="false" outlineLevel="0" collapsed="false">
      <c r="A93" s="334" t="n">
        <v>-3</v>
      </c>
      <c r="B93" s="316" t="s">
        <v>375</v>
      </c>
    </row>
    <row r="94" customFormat="false" ht="14.25" hidden="false" customHeight="false" outlineLevel="0" collapsed="false">
      <c r="A94" s="334" t="n">
        <v>-4</v>
      </c>
      <c r="B94" s="316" t="s">
        <v>1524</v>
      </c>
    </row>
    <row r="95" customFormat="false" ht="14.25" hidden="false" customHeight="false" outlineLevel="0" collapsed="false">
      <c r="A95" s="334" t="n">
        <v>-5</v>
      </c>
      <c r="B95" s="316" t="s">
        <v>1576</v>
      </c>
    </row>
    <row r="96" customFormat="false" ht="14.25" hidden="false" customHeight="false" outlineLevel="0" collapsed="false">
      <c r="A96" s="335" t="n">
        <v>-6</v>
      </c>
      <c r="B96" s="319" t="s">
        <v>405</v>
      </c>
    </row>
  </sheetData>
  <mergeCells count="3">
    <mergeCell ref="J3:K3"/>
    <mergeCell ref="M3:N3"/>
    <mergeCell ref="P3:Q3"/>
  </mergeCells>
  <printOptions headings="false" gridLines="false" gridLinesSet="true" horizontalCentered="false" verticalCentered="false"/>
  <pageMargins left="0.708333333333333" right="0.708333333333333" top="0.747916666666667" bottom="0.747916666666667" header="0.511811023622047" footer="0.511811023622047"/>
  <pageSetup paperSize="1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18" man="true" max="65535" min="0"/>
  </col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E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45.84375" defaultRowHeight="18" zeroHeight="false" outlineLevelRow="0" outlineLevelCol="0"/>
  <cols>
    <col collapsed="false" customWidth="true" hidden="false" outlineLevel="0" max="1" min="1" style="336" width="2"/>
    <col collapsed="false" customWidth="true" hidden="false" outlineLevel="0" max="2" min="2" style="337" width="8.15"/>
    <col collapsed="false" customWidth="true" hidden="false" outlineLevel="0" max="3" min="3" style="336" width="45.53"/>
    <col collapsed="false" customWidth="true" hidden="false" outlineLevel="0" max="4" min="4" style="336" width="14.69"/>
    <col collapsed="false" customWidth="true" hidden="false" outlineLevel="0" max="5" min="5" style="336" width="11.84"/>
    <col collapsed="false" customWidth="false" hidden="false" outlineLevel="0" max="16384" min="6" style="336" width="45.84"/>
  </cols>
  <sheetData>
    <row r="1" customFormat="false" ht="18" hidden="false" customHeight="false" outlineLevel="0" collapsed="false">
      <c r="D1" s="338" t="s">
        <v>1577</v>
      </c>
      <c r="E1" s="338"/>
    </row>
    <row r="2" customFormat="false" ht="14.25" hidden="false" customHeight="true" outlineLevel="0" collapsed="false">
      <c r="D2" s="338"/>
      <c r="E2" s="338"/>
    </row>
    <row r="3" customFormat="false" ht="14.25" hidden="false" customHeight="true" outlineLevel="0" collapsed="false">
      <c r="D3" s="338"/>
      <c r="E3" s="338"/>
    </row>
    <row r="4" customFormat="false" ht="14.25" hidden="false" customHeight="true" outlineLevel="0" collapsed="false">
      <c r="D4" s="339"/>
      <c r="E4" s="339"/>
    </row>
    <row r="5" customFormat="false" ht="21.75" hidden="false" customHeight="true" outlineLevel="0" collapsed="false">
      <c r="B5" s="340" t="s">
        <v>1578</v>
      </c>
      <c r="C5" s="341" t="s">
        <v>1579</v>
      </c>
      <c r="D5" s="340" t="s">
        <v>1580</v>
      </c>
      <c r="E5" s="340" t="s">
        <v>311</v>
      </c>
    </row>
    <row r="6" customFormat="false" ht="9" hidden="false" customHeight="true" outlineLevel="0" collapsed="false">
      <c r="B6" s="342"/>
      <c r="C6" s="343"/>
      <c r="D6" s="344"/>
      <c r="E6" s="344"/>
    </row>
    <row r="7" s="345" customFormat="true" ht="31.5" hidden="false" customHeight="true" outlineLevel="0" collapsed="false">
      <c r="B7" s="346" t="s">
        <v>669</v>
      </c>
      <c r="C7" s="347" t="s">
        <v>1581</v>
      </c>
      <c r="D7" s="348" t="s">
        <v>1544</v>
      </c>
      <c r="E7" s="348" t="s">
        <v>1498</v>
      </c>
    </row>
    <row r="8" s="345" customFormat="true" ht="31.5" hidden="false" customHeight="true" outlineLevel="0" collapsed="false">
      <c r="B8" s="346" t="s">
        <v>589</v>
      </c>
      <c r="C8" s="347" t="s">
        <v>1582</v>
      </c>
      <c r="D8" s="348" t="s">
        <v>1544</v>
      </c>
      <c r="E8" s="348" t="s">
        <v>1498</v>
      </c>
    </row>
    <row r="9" customFormat="false" ht="9" hidden="false" customHeight="true" outlineLevel="0" collapsed="false">
      <c r="B9" s="342"/>
      <c r="C9" s="343"/>
      <c r="D9" s="344"/>
      <c r="E9" s="344"/>
    </row>
    <row r="10" s="345" customFormat="true" ht="31.5" hidden="false" customHeight="true" outlineLevel="0" collapsed="false">
      <c r="B10" s="346" t="s">
        <v>660</v>
      </c>
      <c r="C10" s="347" t="s">
        <v>1515</v>
      </c>
      <c r="D10" s="348" t="s">
        <v>1544</v>
      </c>
      <c r="E10" s="348" t="s">
        <v>1498</v>
      </c>
    </row>
    <row r="11" customFormat="false" ht="8.25" hidden="false" customHeight="true" outlineLevel="0" collapsed="false">
      <c r="B11" s="342"/>
      <c r="C11" s="343"/>
      <c r="D11" s="344"/>
      <c r="E11" s="344"/>
    </row>
    <row r="12" s="345" customFormat="true" ht="31.5" hidden="false" customHeight="true" outlineLevel="0" collapsed="false">
      <c r="B12" s="346" t="s">
        <v>586</v>
      </c>
      <c r="C12" s="347" t="s">
        <v>1583</v>
      </c>
      <c r="D12" s="348" t="s">
        <v>1555</v>
      </c>
      <c r="E12" s="348" t="s">
        <v>1498</v>
      </c>
    </row>
    <row r="13" s="345" customFormat="true" ht="31.5" hidden="false" customHeight="true" outlineLevel="0" collapsed="false">
      <c r="B13" s="346" t="s">
        <v>602</v>
      </c>
      <c r="C13" s="347" t="s">
        <v>1583</v>
      </c>
      <c r="D13" s="348" t="s">
        <v>1544</v>
      </c>
      <c r="E13" s="348" t="s">
        <v>1498</v>
      </c>
    </row>
    <row r="14" s="345" customFormat="true" ht="31.5" hidden="false" customHeight="true" outlineLevel="0" collapsed="false">
      <c r="B14" s="346" t="s">
        <v>673</v>
      </c>
      <c r="C14" s="347" t="s">
        <v>1583</v>
      </c>
      <c r="D14" s="348" t="s">
        <v>1555</v>
      </c>
      <c r="E14" s="348" t="s">
        <v>1584</v>
      </c>
    </row>
    <row r="15" customFormat="false" ht="9" hidden="false" customHeight="true" outlineLevel="0" collapsed="false">
      <c r="B15" s="342"/>
      <c r="C15" s="343"/>
      <c r="D15" s="344"/>
      <c r="E15" s="344"/>
    </row>
    <row r="16" s="345" customFormat="true" ht="31.5" hidden="false" customHeight="true" outlineLevel="0" collapsed="false">
      <c r="B16" s="346" t="s">
        <v>608</v>
      </c>
      <c r="C16" s="347" t="s">
        <v>1585</v>
      </c>
      <c r="D16" s="348" t="s">
        <v>1555</v>
      </c>
      <c r="E16" s="348" t="s">
        <v>1498</v>
      </c>
    </row>
    <row r="17" s="345" customFormat="true" ht="31.5" hidden="false" customHeight="true" outlineLevel="0" collapsed="false">
      <c r="B17" s="346" t="s">
        <v>593</v>
      </c>
      <c r="C17" s="347" t="s">
        <v>1586</v>
      </c>
      <c r="D17" s="348" t="s">
        <v>1555</v>
      </c>
      <c r="E17" s="348" t="s">
        <v>1498</v>
      </c>
    </row>
  </sheetData>
  <mergeCells count="1">
    <mergeCell ref="D1:E3"/>
  </mergeCells>
  <printOptions headings="false" gridLines="false" gridLinesSet="true" horizontalCentered="false" verticalCentered="false"/>
  <pageMargins left="0.708333333333333" right="0.708333333333333" top="0.551388888888889" bottom="0.551388888888889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F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" activeCellId="0" sqref="G3"/>
    </sheetView>
  </sheetViews>
  <sheetFormatPr defaultColWidth="45.84375" defaultRowHeight="18" zeroHeight="false" outlineLevelRow="0" outlineLevelCol="0"/>
  <cols>
    <col collapsed="false" customWidth="true" hidden="false" outlineLevel="0" max="1" min="1" style="336" width="2"/>
    <col collapsed="false" customWidth="true" hidden="false" outlineLevel="0" max="2" min="2" style="337" width="8.15"/>
    <col collapsed="false" customWidth="true" hidden="false" outlineLevel="0" max="3" min="3" style="336" width="36"/>
    <col collapsed="false" customWidth="true" hidden="false" outlineLevel="0" max="4" min="4" style="336" width="14.69"/>
    <col collapsed="false" customWidth="true" hidden="false" outlineLevel="0" max="5" min="5" style="336" width="11.84"/>
    <col collapsed="false" customWidth="true" hidden="false" outlineLevel="0" max="6" min="6" style="336" width="12"/>
    <col collapsed="false" customWidth="false" hidden="false" outlineLevel="0" max="16384" min="7" style="336" width="45.84"/>
  </cols>
  <sheetData>
    <row r="1" customFormat="false" ht="18" hidden="false" customHeight="false" outlineLevel="0" collapsed="false">
      <c r="D1" s="349" t="s">
        <v>1587</v>
      </c>
      <c r="E1" s="349"/>
      <c r="F1" s="349"/>
    </row>
    <row r="2" customFormat="false" ht="14.25" hidden="false" customHeight="true" outlineLevel="0" collapsed="false">
      <c r="D2" s="350" t="n">
        <v>45575</v>
      </c>
      <c r="E2" s="350"/>
      <c r="F2" s="350"/>
    </row>
    <row r="3" s="345" customFormat="true" ht="54.75" hidden="false" customHeight="true" outlineLevel="0" collapsed="false">
      <c r="B3" s="346" t="s">
        <v>669</v>
      </c>
      <c r="C3" s="347" t="s">
        <v>1588</v>
      </c>
      <c r="D3" s="348" t="s">
        <v>1544</v>
      </c>
      <c r="E3" s="348" t="s">
        <v>1498</v>
      </c>
      <c r="F3" s="351" t="s">
        <v>1589</v>
      </c>
    </row>
    <row r="4" s="345" customFormat="true" ht="54.75" hidden="false" customHeight="true" outlineLevel="0" collapsed="false">
      <c r="B4" s="346" t="s">
        <v>589</v>
      </c>
      <c r="C4" s="347" t="s">
        <v>1590</v>
      </c>
      <c r="D4" s="348" t="s">
        <v>1544</v>
      </c>
      <c r="E4" s="348" t="s">
        <v>1498</v>
      </c>
      <c r="F4" s="351" t="s">
        <v>1591</v>
      </c>
    </row>
    <row r="5" s="345" customFormat="true" ht="54.75" hidden="false" customHeight="true" outlineLevel="0" collapsed="false">
      <c r="B5" s="346" t="s">
        <v>574</v>
      </c>
      <c r="C5" s="347" t="s">
        <v>1588</v>
      </c>
      <c r="D5" s="348" t="s">
        <v>1555</v>
      </c>
      <c r="E5" s="348" t="s">
        <v>1498</v>
      </c>
      <c r="F5" s="351" t="s">
        <v>1592</v>
      </c>
    </row>
    <row r="6" customFormat="false" ht="3.75" hidden="false" customHeight="true" outlineLevel="0" collapsed="false">
      <c r="B6" s="342"/>
      <c r="C6" s="343"/>
      <c r="D6" s="344"/>
      <c r="E6" s="344"/>
      <c r="F6" s="352"/>
    </row>
    <row r="7" s="345" customFormat="true" ht="54.75" hidden="false" customHeight="true" outlineLevel="0" collapsed="false">
      <c r="B7" s="346" t="s">
        <v>660</v>
      </c>
      <c r="C7" s="347" t="s">
        <v>1515</v>
      </c>
      <c r="D7" s="348" t="s">
        <v>1544</v>
      </c>
      <c r="E7" s="348" t="s">
        <v>1498</v>
      </c>
      <c r="F7" s="351" t="s">
        <v>1593</v>
      </c>
    </row>
    <row r="8" customFormat="false" ht="3" hidden="false" customHeight="true" outlineLevel="0" collapsed="false">
      <c r="B8" s="342"/>
      <c r="C8" s="343"/>
      <c r="D8" s="344"/>
      <c r="E8" s="344"/>
      <c r="F8" s="352"/>
    </row>
    <row r="9" s="345" customFormat="true" ht="54.75" hidden="false" customHeight="true" outlineLevel="0" collapsed="false">
      <c r="B9" s="346" t="s">
        <v>584</v>
      </c>
      <c r="C9" s="353" t="s">
        <v>1594</v>
      </c>
      <c r="D9" s="348" t="s">
        <v>1544</v>
      </c>
      <c r="E9" s="348" t="s">
        <v>1498</v>
      </c>
      <c r="F9" s="351" t="s">
        <v>1595</v>
      </c>
    </row>
    <row r="10" s="345" customFormat="true" ht="54.75" hidden="false" customHeight="true" outlineLevel="0" collapsed="false">
      <c r="B10" s="346" t="s">
        <v>586</v>
      </c>
      <c r="C10" s="353" t="s">
        <v>1596</v>
      </c>
      <c r="D10" s="348" t="s">
        <v>1555</v>
      </c>
      <c r="E10" s="348" t="s">
        <v>1498</v>
      </c>
      <c r="F10" s="351" t="s">
        <v>1597</v>
      </c>
    </row>
    <row r="11" s="345" customFormat="true" ht="54.75" hidden="false" customHeight="true" outlineLevel="0" collapsed="false">
      <c r="B11" s="346" t="s">
        <v>602</v>
      </c>
      <c r="C11" s="347" t="s">
        <v>1598</v>
      </c>
      <c r="D11" s="348" t="s">
        <v>1544</v>
      </c>
      <c r="E11" s="348" t="s">
        <v>1498</v>
      </c>
      <c r="F11" s="351" t="s">
        <v>1599</v>
      </c>
    </row>
    <row r="12" s="345" customFormat="true" ht="54.75" hidden="false" customHeight="true" outlineLevel="0" collapsed="false">
      <c r="B12" s="346" t="s">
        <v>662</v>
      </c>
      <c r="C12" s="347" t="s">
        <v>1600</v>
      </c>
      <c r="D12" s="348" t="s">
        <v>1544</v>
      </c>
      <c r="E12" s="348" t="s">
        <v>1584</v>
      </c>
      <c r="F12" s="351" t="s">
        <v>1601</v>
      </c>
    </row>
    <row r="13" s="345" customFormat="true" ht="54.75" hidden="false" customHeight="true" outlineLevel="0" collapsed="false">
      <c r="B13" s="346" t="s">
        <v>673</v>
      </c>
      <c r="C13" s="347" t="s">
        <v>1598</v>
      </c>
      <c r="D13" s="348" t="s">
        <v>1555</v>
      </c>
      <c r="E13" s="348" t="s">
        <v>1584</v>
      </c>
      <c r="F13" s="351" t="s">
        <v>1602</v>
      </c>
    </row>
    <row r="14" customFormat="false" ht="4.5" hidden="false" customHeight="true" outlineLevel="0" collapsed="false">
      <c r="B14" s="342"/>
      <c r="C14" s="343"/>
      <c r="D14" s="344"/>
      <c r="E14" s="344"/>
      <c r="F14" s="352"/>
    </row>
    <row r="15" s="345" customFormat="true" ht="54.75" hidden="false" customHeight="true" outlineLevel="0" collapsed="false">
      <c r="B15" s="346" t="s">
        <v>608</v>
      </c>
      <c r="C15" s="347" t="s">
        <v>396</v>
      </c>
      <c r="D15" s="348" t="s">
        <v>1555</v>
      </c>
      <c r="E15" s="348" t="s">
        <v>1498</v>
      </c>
      <c r="F15" s="351" t="s">
        <v>1603</v>
      </c>
    </row>
    <row r="16" s="345" customFormat="true" ht="54.75" hidden="false" customHeight="true" outlineLevel="0" collapsed="false">
      <c r="B16" s="346" t="s">
        <v>593</v>
      </c>
      <c r="C16" s="347" t="s">
        <v>403</v>
      </c>
      <c r="D16" s="348" t="s">
        <v>1555</v>
      </c>
      <c r="E16" s="348" t="s">
        <v>1498</v>
      </c>
      <c r="F16" s="351" t="s">
        <v>1604</v>
      </c>
    </row>
  </sheetData>
  <mergeCells count="2">
    <mergeCell ref="D1:F1"/>
    <mergeCell ref="D2:F2"/>
  </mergeCells>
  <printOptions headings="false" gridLines="false" gridLinesSet="true" horizontalCentered="false" verticalCentered="false"/>
  <pageMargins left="0.708333333333333" right="0.708333333333333" top="0.551388888888889" bottom="0.551388888888889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true"/>
  </sheetPr>
  <dimension ref="B1:BB75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G3" activeCellId="0" sqref="G3"/>
    </sheetView>
  </sheetViews>
  <sheetFormatPr defaultColWidth="8.59765625" defaultRowHeight="14.25" zeroHeight="false" outlineLevelRow="0" outlineLevelCol="0"/>
  <cols>
    <col collapsed="false" customWidth="true" hidden="false" outlineLevel="0" max="80" min="2" style="1" width="2.84"/>
  </cols>
  <sheetData>
    <row r="1" customFormat="false" ht="20.25" hidden="false" customHeight="true" outlineLevel="0" collapsed="false"/>
    <row r="2" customFormat="false" ht="43.5" hidden="false" customHeight="true" outlineLevel="0" collapsed="false">
      <c r="BB2" s="354" t="s">
        <v>1605</v>
      </c>
    </row>
    <row r="3" customFormat="false" ht="14.25" hidden="false" customHeight="false" outlineLevel="0" collapsed="false">
      <c r="B3" s="355" t="s">
        <v>1606</v>
      </c>
      <c r="C3" s="355"/>
      <c r="D3" s="355"/>
      <c r="E3" s="355"/>
      <c r="F3" s="355"/>
      <c r="G3" s="356" t="str">
        <f aca="false">WO!C2</f>
        <v>LE-2024239</v>
      </c>
      <c r="H3" s="356"/>
      <c r="I3" s="356"/>
      <c r="J3" s="356"/>
      <c r="K3" s="356"/>
      <c r="M3" s="355" t="s">
        <v>851</v>
      </c>
      <c r="N3" s="355"/>
      <c r="O3" s="355"/>
      <c r="P3" s="355"/>
      <c r="Q3" s="355"/>
      <c r="R3" s="355"/>
      <c r="S3" s="357" t="n">
        <f aca="false">_xlfn.xlookup(($G$3),'Liste WO'!$A:$A,'Liste WO'!$C:$C,FALSE())</f>
        <v>45685</v>
      </c>
      <c r="T3" s="357"/>
      <c r="U3" s="357"/>
      <c r="V3" s="357"/>
      <c r="W3" s="357"/>
      <c r="Y3" s="355" t="s">
        <v>710</v>
      </c>
      <c r="Z3" s="355"/>
      <c r="AA3" s="355"/>
      <c r="AB3" s="355"/>
      <c r="AC3" s="355"/>
      <c r="AD3" s="357" t="n">
        <f aca="false">_xlfn.xlookup(($G$3),'Liste WO'!$A:$A,'Liste WO'!$H:$H,FALSE())</f>
        <v>45687</v>
      </c>
      <c r="AE3" s="357"/>
      <c r="AF3" s="357"/>
      <c r="AG3" s="357"/>
      <c r="AH3" s="357"/>
      <c r="AK3" s="308" t="s">
        <v>1607</v>
      </c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  <c r="AW3" s="308"/>
      <c r="AX3" s="308"/>
      <c r="AY3" s="308"/>
      <c r="AZ3" s="308"/>
      <c r="BA3" s="308"/>
      <c r="BB3" s="308"/>
    </row>
    <row r="4" customFormat="false" ht="7.5" hidden="false" customHeight="true" outlineLevel="0" collapsed="false">
      <c r="AK4" s="358" t="str">
        <f aca="false">_xlfn.xlookup(($G$3),'Liste WO'!$A:$A,'Liste WO'!$AQ:$AQ,FALSE())</f>
        <v>** VOIR PLAN *** LIVRER BOBINES DEBOUT
Utiliser : LE-2024194-01 + LE-2024194-07 + LE-2024178-03 + LE-2024167-48 + LE-2024223-02 
(2024223-02 est près du dérouleur de la machine Alpha)</v>
      </c>
      <c r="AL4" s="358"/>
      <c r="AM4" s="358"/>
      <c r="AN4" s="358"/>
      <c r="AO4" s="358"/>
      <c r="AP4" s="358"/>
      <c r="AQ4" s="358"/>
      <c r="AR4" s="358"/>
      <c r="AS4" s="358"/>
      <c r="AT4" s="358"/>
      <c r="AU4" s="358"/>
      <c r="AV4" s="358"/>
      <c r="AW4" s="358"/>
      <c r="AX4" s="358"/>
      <c r="AY4" s="358"/>
      <c r="AZ4" s="358"/>
      <c r="BA4" s="358"/>
      <c r="BB4" s="358"/>
    </row>
    <row r="5" customFormat="false" ht="14.25" hidden="false" customHeight="false" outlineLevel="0" collapsed="false">
      <c r="B5" s="355" t="s">
        <v>1393</v>
      </c>
      <c r="C5" s="355"/>
      <c r="D5" s="355"/>
      <c r="E5" s="355"/>
      <c r="F5" s="355"/>
      <c r="G5" s="355"/>
      <c r="H5" s="356" t="str">
        <f aca="false">_xlfn.xlookup(($G$3),'Liste WO'!$A:$A,'Liste WO'!$G:$G,FALSE())</f>
        <v>email 2024-01-22 14h39</v>
      </c>
      <c r="I5" s="356"/>
      <c r="J5" s="356"/>
      <c r="K5" s="356"/>
      <c r="L5" s="356"/>
      <c r="M5" s="356"/>
      <c r="N5" s="356"/>
      <c r="O5" s="356"/>
      <c r="P5" s="356"/>
      <c r="S5" s="355" t="s">
        <v>528</v>
      </c>
      <c r="T5" s="355"/>
      <c r="U5" s="355"/>
      <c r="V5" s="359" t="str">
        <f aca="false">_xlfn.xlookup(($G$3),'Liste WO'!$A:$A,'Liste WO'!$E:$E,FALSE())</f>
        <v>Imprimerie Sélect</v>
      </c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K5" s="358"/>
      <c r="AL5" s="358"/>
      <c r="AM5" s="358"/>
      <c r="AN5" s="358"/>
      <c r="AO5" s="358"/>
      <c r="AP5" s="358"/>
      <c r="AQ5" s="358"/>
      <c r="AR5" s="358"/>
      <c r="AS5" s="358"/>
      <c r="AT5" s="358"/>
      <c r="AU5" s="358"/>
      <c r="AV5" s="358"/>
      <c r="AW5" s="358"/>
      <c r="AX5" s="358"/>
      <c r="AY5" s="358"/>
      <c r="AZ5" s="358"/>
      <c r="BA5" s="358"/>
      <c r="BB5" s="358"/>
    </row>
    <row r="6" customFormat="false" ht="3.75" hidden="false" customHeight="true" outlineLevel="0" collapsed="false">
      <c r="AK6" s="358"/>
      <c r="AL6" s="358"/>
      <c r="AM6" s="358"/>
      <c r="AN6" s="358"/>
      <c r="AO6" s="358"/>
      <c r="AP6" s="358"/>
      <c r="AQ6" s="358"/>
      <c r="AR6" s="358"/>
      <c r="AS6" s="358"/>
      <c r="AT6" s="358"/>
      <c r="AU6" s="358"/>
      <c r="AV6" s="358"/>
      <c r="AW6" s="358"/>
      <c r="AX6" s="358"/>
      <c r="AY6" s="358"/>
      <c r="AZ6" s="358"/>
      <c r="BA6" s="358"/>
      <c r="BB6" s="358"/>
    </row>
    <row r="7" customFormat="false" ht="14.25" hidden="false" customHeight="false" outlineLevel="0" collapsed="false">
      <c r="B7" s="355" t="s">
        <v>1608</v>
      </c>
      <c r="C7" s="355"/>
      <c r="D7" s="355"/>
      <c r="E7" s="355"/>
      <c r="F7" s="356" t="e">
        <f aca="false">_xlfn.xlookup(($G$3),'Liste WO'!$A:$A,'liste wo'!#ref!,FALSE())</f>
        <v>#VALUE!</v>
      </c>
      <c r="G7" s="356"/>
      <c r="H7" s="356"/>
      <c r="I7" s="356"/>
      <c r="K7" s="355" t="s">
        <v>1370</v>
      </c>
      <c r="L7" s="355"/>
      <c r="M7" s="355"/>
      <c r="N7" s="355"/>
      <c r="O7" s="355"/>
      <c r="P7" s="355"/>
      <c r="Q7" s="355"/>
      <c r="R7" s="360" t="str">
        <f aca="false">_xlfn.xlookup(($G$3),'Liste WO'!$A:$A,'Liste WO'!$N:$N,FALSE())</f>
        <v>TC DT - Hotmelt Adhesive</v>
      </c>
      <c r="S7" s="360"/>
      <c r="T7" s="360"/>
      <c r="U7" s="360"/>
      <c r="V7" s="360"/>
      <c r="W7" s="360"/>
      <c r="X7" s="360"/>
      <c r="Y7" s="360"/>
      <c r="Z7" s="360"/>
      <c r="AA7" s="360"/>
      <c r="AB7" s="360"/>
      <c r="AC7" s="360"/>
      <c r="AD7" s="360"/>
      <c r="AE7" s="360"/>
      <c r="AF7" s="360"/>
      <c r="AG7" s="360"/>
      <c r="AH7" s="360"/>
      <c r="AK7" s="358"/>
      <c r="AL7" s="358"/>
      <c r="AM7" s="358"/>
      <c r="AN7" s="358"/>
      <c r="AO7" s="358"/>
      <c r="AP7" s="358"/>
      <c r="AQ7" s="358"/>
      <c r="AR7" s="358"/>
      <c r="AS7" s="358"/>
      <c r="AT7" s="358"/>
      <c r="AU7" s="358"/>
      <c r="AV7" s="358"/>
      <c r="AW7" s="358"/>
      <c r="AX7" s="358"/>
      <c r="AY7" s="358"/>
      <c r="AZ7" s="358"/>
      <c r="BA7" s="358"/>
      <c r="BB7" s="358"/>
    </row>
    <row r="8" customFormat="false" ht="5.25" hidden="false" customHeight="true" outlineLevel="0" collapsed="false">
      <c r="AK8" s="358"/>
      <c r="AL8" s="358"/>
      <c r="AM8" s="358"/>
      <c r="AN8" s="358"/>
      <c r="AO8" s="358"/>
      <c r="AP8" s="358"/>
      <c r="AQ8" s="358"/>
      <c r="AR8" s="358"/>
      <c r="AS8" s="358"/>
      <c r="AT8" s="358"/>
      <c r="AU8" s="358"/>
      <c r="AV8" s="358"/>
      <c r="AW8" s="358"/>
      <c r="AX8" s="358"/>
      <c r="AY8" s="358"/>
      <c r="AZ8" s="358"/>
      <c r="BA8" s="358"/>
      <c r="BB8" s="358"/>
    </row>
    <row r="9" customFormat="false" ht="14.25" hidden="false" customHeight="false" outlineLevel="0" collapsed="false">
      <c r="B9" s="304" t="s">
        <v>535</v>
      </c>
      <c r="C9" s="321"/>
      <c r="D9" s="321"/>
      <c r="E9" s="321"/>
      <c r="F9" s="361" t="n">
        <f aca="false">_xlfn.xlookup(($G$3),'Liste WO'!$A:$A,'Liste WO'!$Y:$Y,FALSE())</f>
        <v>0</v>
      </c>
      <c r="G9" s="361"/>
      <c r="H9" s="361"/>
      <c r="I9" s="361"/>
      <c r="J9" s="359" t="str">
        <f aca="false">_xlfn.xlookup(($G$3),'Liste WO'!$A:$A,'Liste WO'!$AI:$AI,FALSE())</f>
        <v>po</v>
      </c>
      <c r="K9" s="359"/>
      <c r="M9" s="304" t="s">
        <v>536</v>
      </c>
      <c r="N9" s="362"/>
      <c r="O9" s="321"/>
      <c r="P9" s="321"/>
      <c r="Q9" s="361" t="n">
        <f aca="false">_xlfn.xlookup(($G$3),'Liste WO'!$A:$A,'Liste WO'!$AJ:$AJ,FALSE())</f>
        <v>0</v>
      </c>
      <c r="R9" s="361"/>
      <c r="S9" s="361"/>
      <c r="T9" s="361"/>
      <c r="U9" s="359" t="str">
        <f aca="false">_xlfn.xlookup(($G$3),'Liste WO'!$A:$A,'Liste WO'!$AK:$AK,FALSE())</f>
        <v>pi</v>
      </c>
      <c r="V9" s="359"/>
      <c r="X9" s="363" t="s">
        <v>1609</v>
      </c>
      <c r="Y9" s="363"/>
      <c r="Z9" s="363"/>
      <c r="AA9" s="363"/>
      <c r="AB9" s="361" t="n">
        <f aca="false">_xlfn.xlookup(($G$3),'Liste WO'!$A:$A,'Liste WO'!$AM:$AM,FALSE())</f>
        <v>15</v>
      </c>
      <c r="AC9" s="361"/>
      <c r="AD9" s="361"/>
      <c r="AE9" s="361"/>
      <c r="AF9" s="356" t="n">
        <f aca="false">_xlfn.xlookup(($G$3),'Liste WO'!$A:$A,'Liste WO'!$AN:$AN,FALSE())</f>
        <v>0</v>
      </c>
      <c r="AG9" s="356"/>
      <c r="AH9" s="356"/>
      <c r="AK9" s="358"/>
      <c r="AL9" s="358"/>
      <c r="AM9" s="358"/>
      <c r="AN9" s="358"/>
      <c r="AO9" s="358"/>
      <c r="AP9" s="358"/>
      <c r="AQ9" s="358"/>
      <c r="AR9" s="358"/>
      <c r="AS9" s="358"/>
      <c r="AT9" s="358"/>
      <c r="AU9" s="358"/>
      <c r="AV9" s="358"/>
      <c r="AW9" s="358"/>
      <c r="AX9" s="358"/>
      <c r="AY9" s="358"/>
      <c r="AZ9" s="358"/>
      <c r="BA9" s="358"/>
      <c r="BB9" s="358"/>
    </row>
    <row r="10" customFormat="false" ht="14.25" hidden="false" customHeight="false" outlineLevel="0" collapsed="false">
      <c r="X10" s="363" t="s">
        <v>1610</v>
      </c>
      <c r="Y10" s="363"/>
      <c r="Z10" s="363"/>
      <c r="AA10" s="363"/>
      <c r="AB10" s="361" t="e">
        <f aca="false">_xlfn.xlookup(($G$3),'Liste WO'!$A:$A,'Liste WO'!$AO:$AO,FALSE())</f>
        <v>#NAME?</v>
      </c>
      <c r="AC10" s="361" t="n">
        <f aca="false">_xlfn.xlookup(($G$3),'Liste WO'!$A:$A,'Liste WO'!$AM:$AM,FALSE())</f>
        <v>15</v>
      </c>
      <c r="AD10" s="361"/>
      <c r="AE10" s="361"/>
      <c r="AF10" s="356" t="n">
        <f aca="false">_xlfn.xlookup(($G$3),'Liste WO'!$A:$A,'Liste WO'!$AN:$AN,FALSE())</f>
        <v>0</v>
      </c>
      <c r="AG10" s="356"/>
      <c r="AH10" s="356"/>
      <c r="AK10" s="358"/>
      <c r="AL10" s="358"/>
      <c r="AM10" s="358"/>
      <c r="AN10" s="358"/>
      <c r="AO10" s="358"/>
      <c r="AP10" s="358"/>
      <c r="AQ10" s="358"/>
      <c r="AR10" s="358"/>
      <c r="AS10" s="358"/>
      <c r="AT10" s="358"/>
      <c r="AU10" s="358"/>
      <c r="AV10" s="358"/>
      <c r="AW10" s="358"/>
      <c r="AX10" s="358"/>
      <c r="AY10" s="358"/>
      <c r="AZ10" s="358"/>
      <c r="BA10" s="358"/>
      <c r="BB10" s="358"/>
    </row>
    <row r="11" customFormat="false" ht="14.25" hidden="false" customHeight="false" outlineLevel="0" collapsed="false">
      <c r="B11" s="304" t="s">
        <v>1611</v>
      </c>
      <c r="C11" s="321"/>
      <c r="D11" s="321"/>
      <c r="E11" s="321"/>
      <c r="F11" s="361" t="n">
        <f aca="false">_xlfn.xlookup(($G$3),'Liste WO'!$A:$A,'Liste WO'!$Y:$Y,FALSE())</f>
        <v>0</v>
      </c>
      <c r="G11" s="361"/>
      <c r="H11" s="361"/>
      <c r="I11" s="361"/>
      <c r="J11" s="359" t="str">
        <f aca="false">_xlfn.xlookup(($G$3),'Liste WO'!$A:$A,'Liste WO'!$AI:$AI,FALSE())</f>
        <v>po</v>
      </c>
      <c r="K11" s="359"/>
      <c r="M11" s="304" t="s">
        <v>1612</v>
      </c>
      <c r="N11" s="321"/>
      <c r="O11" s="321"/>
      <c r="P11" s="364" t="e">
        <f aca="false">AB11</f>
        <v>#NAME?</v>
      </c>
      <c r="Q11" s="364"/>
      <c r="R11" s="364"/>
      <c r="S11" s="364"/>
      <c r="T11" s="365" t="s">
        <v>1613</v>
      </c>
      <c r="U11" s="365"/>
      <c r="V11" s="365"/>
      <c r="X11" s="363" t="s">
        <v>1614</v>
      </c>
      <c r="Y11" s="363"/>
      <c r="Z11" s="363"/>
      <c r="AA11" s="363"/>
      <c r="AB11" s="361" t="e">
        <f aca="false">AB9-AB10</f>
        <v>#NAME?</v>
      </c>
      <c r="AC11" s="361" t="n">
        <f aca="false">_xlfn.xlookup(($G$3),'Liste WO'!$A:$A,'Liste WO'!$AM:$AM,FALSE())</f>
        <v>15</v>
      </c>
      <c r="AD11" s="361"/>
      <c r="AE11" s="361"/>
      <c r="AF11" s="356" t="n">
        <f aca="false">_xlfn.xlookup(($G$3),'Liste WO'!$A:$A,'Liste WO'!$AN:$AN,FALSE())</f>
        <v>0</v>
      </c>
      <c r="AG11" s="356"/>
      <c r="AH11" s="356"/>
      <c r="AK11" s="358"/>
      <c r="AL11" s="358"/>
      <c r="AM11" s="358"/>
      <c r="AN11" s="358"/>
      <c r="AO11" s="358"/>
      <c r="AP11" s="358"/>
      <c r="AQ11" s="358"/>
      <c r="AR11" s="358"/>
      <c r="AS11" s="358"/>
      <c r="AT11" s="358"/>
      <c r="AU11" s="358"/>
      <c r="AV11" s="358"/>
      <c r="AW11" s="358"/>
      <c r="AX11" s="358"/>
      <c r="AY11" s="358"/>
      <c r="AZ11" s="358"/>
      <c r="BA11" s="358"/>
      <c r="BB11" s="358"/>
    </row>
    <row r="12" customFormat="false" ht="14.25" hidden="false" customHeight="false" outlineLevel="0" collapsed="false"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</row>
    <row r="13" customFormat="false" ht="14.25" hidden="false" customHeight="false" outlineLevel="0" collapsed="false">
      <c r="B13" s="304" t="s">
        <v>856</v>
      </c>
      <c r="C13" s="362"/>
      <c r="D13" s="321"/>
      <c r="E13" s="321"/>
      <c r="F13" s="321"/>
      <c r="G13" s="321"/>
      <c r="H13" s="359" t="e">
        <f aca="false">_xlfn.xlookup(($G$3),'Liste WO'!$A:$A,'liste wo'!#ref!,FALSE())</f>
        <v>#VALUE!</v>
      </c>
      <c r="I13" s="359"/>
      <c r="J13" s="359"/>
      <c r="K13" s="359"/>
      <c r="L13" s="359"/>
      <c r="M13" s="359"/>
      <c r="N13" s="359"/>
      <c r="O13" s="359"/>
      <c r="P13" s="359"/>
      <c r="R13" s="304" t="s">
        <v>1612</v>
      </c>
      <c r="S13" s="321"/>
      <c r="T13" s="321"/>
      <c r="U13" s="361" t="n">
        <f aca="false">AB9*Q9*1</f>
        <v>0</v>
      </c>
      <c r="V13" s="361"/>
      <c r="W13" s="361"/>
      <c r="X13" s="361"/>
      <c r="Y13" s="361"/>
      <c r="Z13" s="327" t="str">
        <f aca="false">U9</f>
        <v>pi</v>
      </c>
      <c r="AB13" s="304" t="s">
        <v>535</v>
      </c>
      <c r="AC13" s="321"/>
      <c r="AD13" s="321"/>
      <c r="AE13" s="356" t="e">
        <f aca="false">_xlfn.xlookup(($G$3),'Liste WO'!$A:$A,'liste wo'!#ref!,FALSE())</f>
        <v>#VALUE!</v>
      </c>
      <c r="AF13" s="356"/>
      <c r="AG13" s="356"/>
      <c r="AH13" s="356"/>
      <c r="AK13" s="358"/>
      <c r="AL13" s="358"/>
      <c r="AM13" s="358"/>
      <c r="AN13" s="358"/>
      <c r="AO13" s="358"/>
      <c r="AP13" s="358"/>
      <c r="AQ13" s="358"/>
      <c r="AR13" s="358"/>
      <c r="AS13" s="358"/>
      <c r="AT13" s="358"/>
      <c r="AU13" s="358"/>
      <c r="AV13" s="358"/>
      <c r="AW13" s="358"/>
      <c r="AX13" s="358"/>
      <c r="AY13" s="358"/>
      <c r="AZ13" s="358"/>
      <c r="BA13" s="358"/>
      <c r="BB13" s="358"/>
    </row>
    <row r="14" customFormat="false" ht="8.25" hidden="false" customHeight="true" outlineLevel="0" collapsed="false">
      <c r="AK14" s="358"/>
      <c r="AL14" s="358"/>
      <c r="AM14" s="358"/>
      <c r="AN14" s="358"/>
      <c r="AO14" s="358"/>
      <c r="AP14" s="358"/>
      <c r="AQ14" s="358"/>
      <c r="AR14" s="358"/>
      <c r="AS14" s="358"/>
      <c r="AT14" s="358"/>
      <c r="AU14" s="358"/>
      <c r="AV14" s="358"/>
      <c r="AW14" s="358"/>
      <c r="AX14" s="358"/>
      <c r="AY14" s="358"/>
      <c r="AZ14" s="358"/>
      <c r="BA14" s="358"/>
      <c r="BB14" s="358"/>
    </row>
    <row r="15" customFormat="false" ht="14.25" hidden="false" customHeight="false" outlineLevel="0" collapsed="false">
      <c r="B15" s="355" t="s">
        <v>1615</v>
      </c>
      <c r="C15" s="355"/>
      <c r="D15" s="355"/>
      <c r="E15" s="355"/>
      <c r="F15" s="355"/>
      <c r="G15" s="355"/>
      <c r="H15" s="355"/>
      <c r="I15" s="355"/>
      <c r="J15" s="356" t="n">
        <f aca="false">_xlfn.xlookup(($G$3),'Liste WO'!$A:$A,'Liste WO'!$AS:$AS,FALSE())</f>
        <v>0</v>
      </c>
      <c r="K15" s="356"/>
      <c r="L15" s="356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358"/>
      <c r="AY15" s="358"/>
      <c r="AZ15" s="358"/>
      <c r="BA15" s="358"/>
      <c r="BB15" s="358"/>
    </row>
    <row r="16" customFormat="false" ht="16.5" hidden="false" customHeight="true" outlineLevel="0" collapsed="false"/>
    <row r="17" customFormat="false" ht="35.25" hidden="false" customHeight="true" outlineLevel="0" collapsed="false">
      <c r="B17" s="366" t="s">
        <v>1616</v>
      </c>
      <c r="C17" s="366"/>
      <c r="D17" s="367" t="s">
        <v>1617</v>
      </c>
      <c r="E17" s="367"/>
      <c r="F17" s="367"/>
      <c r="G17" s="367"/>
      <c r="H17" s="367"/>
      <c r="I17" s="367"/>
      <c r="J17" s="367"/>
      <c r="K17" s="367"/>
      <c r="L17" s="367"/>
      <c r="M17" s="367"/>
      <c r="N17" s="367" t="s">
        <v>1618</v>
      </c>
      <c r="O17" s="367"/>
      <c r="P17" s="367"/>
      <c r="Q17" s="368"/>
      <c r="R17" s="367" t="s">
        <v>1619</v>
      </c>
      <c r="S17" s="367"/>
      <c r="T17" s="367"/>
      <c r="U17" s="367" t="s">
        <v>1620</v>
      </c>
      <c r="V17" s="367"/>
      <c r="W17" s="367"/>
      <c r="X17" s="367" t="s">
        <v>1621</v>
      </c>
      <c r="Y17" s="367"/>
      <c r="Z17" s="367"/>
      <c r="AA17" s="367" t="s">
        <v>1622</v>
      </c>
      <c r="AB17" s="367"/>
      <c r="AC17" s="367"/>
      <c r="AD17" s="367" t="s">
        <v>1623</v>
      </c>
      <c r="AE17" s="367"/>
      <c r="AF17" s="367"/>
      <c r="AG17" s="367" t="s">
        <v>1624</v>
      </c>
      <c r="AH17" s="367"/>
      <c r="AI17" s="367"/>
      <c r="AJ17" s="368"/>
      <c r="AK17" s="367" t="s">
        <v>1619</v>
      </c>
      <c r="AL17" s="367"/>
      <c r="AM17" s="367"/>
      <c r="AN17" s="367" t="s">
        <v>1625</v>
      </c>
      <c r="AO17" s="367"/>
      <c r="AP17" s="367"/>
      <c r="AQ17" s="367" t="s">
        <v>1626</v>
      </c>
      <c r="AR17" s="367"/>
      <c r="AS17" s="367"/>
      <c r="AT17" s="367" t="s">
        <v>1627</v>
      </c>
      <c r="AU17" s="367"/>
      <c r="AV17" s="367"/>
      <c r="AW17" s="367" t="s">
        <v>1628</v>
      </c>
      <c r="AX17" s="367"/>
      <c r="AY17" s="367"/>
      <c r="AZ17" s="367" t="s">
        <v>1629</v>
      </c>
      <c r="BA17" s="367"/>
      <c r="BB17" s="367"/>
    </row>
    <row r="18" customFormat="false" ht="19.5" hidden="false" customHeight="true" outlineLevel="0" collapsed="false">
      <c r="B18" s="243"/>
      <c r="C18" s="243"/>
      <c r="D18" s="243"/>
      <c r="E18" s="243"/>
      <c r="F18" s="243"/>
      <c r="G18" s="243"/>
      <c r="H18" s="243"/>
      <c r="I18" s="243"/>
      <c r="J18" s="243"/>
      <c r="K18" s="243"/>
      <c r="L18" s="243"/>
      <c r="M18" s="243"/>
      <c r="N18" s="369"/>
      <c r="O18" s="369"/>
      <c r="P18" s="369"/>
      <c r="Q18" s="370"/>
      <c r="R18" s="369"/>
      <c r="S18" s="369"/>
      <c r="T18" s="369"/>
      <c r="U18" s="369"/>
      <c r="V18" s="369"/>
      <c r="W18" s="369"/>
      <c r="X18" s="369"/>
      <c r="Y18" s="369"/>
      <c r="Z18" s="369"/>
      <c r="AA18" s="369"/>
      <c r="AB18" s="369"/>
      <c r="AC18" s="369"/>
      <c r="AD18" s="369"/>
      <c r="AE18" s="369"/>
      <c r="AF18" s="369"/>
      <c r="AG18" s="369"/>
      <c r="AH18" s="369"/>
      <c r="AI18" s="369"/>
      <c r="AJ18" s="371"/>
      <c r="AK18" s="372"/>
      <c r="AL18" s="372"/>
      <c r="AM18" s="372"/>
      <c r="AN18" s="369"/>
      <c r="AO18" s="369"/>
      <c r="AP18" s="369"/>
      <c r="AQ18" s="369"/>
      <c r="AR18" s="369"/>
      <c r="AS18" s="369"/>
      <c r="AT18" s="369"/>
      <c r="AU18" s="369"/>
      <c r="AV18" s="369"/>
      <c r="AW18" s="369"/>
      <c r="AX18" s="369"/>
      <c r="AY18" s="369"/>
      <c r="AZ18" s="369"/>
      <c r="BA18" s="369"/>
      <c r="BB18" s="369"/>
    </row>
    <row r="19" customFormat="false" ht="19.5" hidden="false" customHeight="true" outlineLevel="0" collapsed="false"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243"/>
      <c r="M19" s="243"/>
      <c r="N19" s="369"/>
      <c r="O19" s="369"/>
      <c r="P19" s="369"/>
      <c r="Q19" s="370"/>
      <c r="R19" s="369"/>
      <c r="S19" s="369"/>
      <c r="T19" s="369"/>
      <c r="U19" s="369"/>
      <c r="V19" s="369"/>
      <c r="W19" s="369"/>
      <c r="X19" s="369"/>
      <c r="Y19" s="369"/>
      <c r="Z19" s="369"/>
      <c r="AA19" s="369"/>
      <c r="AB19" s="369"/>
      <c r="AC19" s="369"/>
      <c r="AD19" s="369"/>
      <c r="AE19" s="369"/>
      <c r="AF19" s="369"/>
      <c r="AG19" s="369"/>
      <c r="AH19" s="369"/>
      <c r="AI19" s="369"/>
      <c r="AJ19" s="371"/>
      <c r="AK19" s="372"/>
      <c r="AL19" s="372"/>
      <c r="AM19" s="372"/>
      <c r="AN19" s="369"/>
      <c r="AO19" s="369"/>
      <c r="AP19" s="369"/>
      <c r="AQ19" s="369"/>
      <c r="AR19" s="369"/>
      <c r="AS19" s="369"/>
      <c r="AT19" s="369"/>
      <c r="AU19" s="369"/>
      <c r="AV19" s="369"/>
      <c r="AW19" s="369"/>
      <c r="AX19" s="369"/>
      <c r="AY19" s="369"/>
      <c r="AZ19" s="369"/>
      <c r="BA19" s="369"/>
      <c r="BB19" s="369"/>
    </row>
    <row r="20" customFormat="false" ht="19.5" hidden="false" customHeight="true" outlineLevel="0" collapsed="false"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243"/>
      <c r="M20" s="243"/>
      <c r="N20" s="369"/>
      <c r="O20" s="369"/>
      <c r="P20" s="369"/>
      <c r="Q20" s="370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71"/>
      <c r="AK20" s="372"/>
      <c r="AL20" s="372"/>
      <c r="AM20" s="372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</row>
    <row r="21" customFormat="false" ht="19.5" hidden="false" customHeight="true" outlineLevel="0" collapsed="false"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243"/>
      <c r="N21" s="369"/>
      <c r="O21" s="369"/>
      <c r="P21" s="369"/>
      <c r="Q21" s="370"/>
      <c r="R21" s="369"/>
      <c r="S21" s="369"/>
      <c r="T21" s="369"/>
      <c r="U21" s="369"/>
      <c r="V21" s="369"/>
      <c r="W21" s="369"/>
      <c r="X21" s="369"/>
      <c r="Y21" s="369"/>
      <c r="Z21" s="369"/>
      <c r="AA21" s="369"/>
      <c r="AB21" s="369"/>
      <c r="AC21" s="369"/>
      <c r="AD21" s="369"/>
      <c r="AE21" s="369"/>
      <c r="AF21" s="369"/>
      <c r="AG21" s="369"/>
      <c r="AH21" s="369"/>
      <c r="AI21" s="369"/>
      <c r="AJ21" s="371"/>
      <c r="AK21" s="372"/>
      <c r="AL21" s="372"/>
      <c r="AM21" s="372"/>
      <c r="AN21" s="369"/>
      <c r="AO21" s="369"/>
      <c r="AP21" s="369"/>
      <c r="AQ21" s="369"/>
      <c r="AR21" s="369"/>
      <c r="AS21" s="369"/>
      <c r="AT21" s="369"/>
      <c r="AU21" s="369"/>
      <c r="AV21" s="369"/>
      <c r="AW21" s="369"/>
      <c r="AX21" s="369"/>
      <c r="AY21" s="369"/>
      <c r="AZ21" s="369"/>
      <c r="BA21" s="369"/>
      <c r="BB21" s="369"/>
    </row>
    <row r="22" customFormat="false" ht="19.5" hidden="false" customHeight="true" outlineLevel="0" collapsed="false"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243"/>
      <c r="M22" s="243"/>
      <c r="N22" s="369"/>
      <c r="O22" s="369"/>
      <c r="P22" s="369"/>
      <c r="Q22" s="370"/>
      <c r="R22" s="369"/>
      <c r="S22" s="369"/>
      <c r="T22" s="369"/>
      <c r="U22" s="369"/>
      <c r="V22" s="369"/>
      <c r="W22" s="369"/>
      <c r="X22" s="369"/>
      <c r="Y22" s="369"/>
      <c r="Z22" s="369"/>
      <c r="AA22" s="369"/>
      <c r="AB22" s="369"/>
      <c r="AC22" s="369"/>
      <c r="AD22" s="369"/>
      <c r="AE22" s="369"/>
      <c r="AF22" s="369"/>
      <c r="AG22" s="369"/>
      <c r="AH22" s="369"/>
      <c r="AI22" s="369"/>
      <c r="AJ22" s="371"/>
      <c r="AK22" s="372"/>
      <c r="AL22" s="372"/>
      <c r="AM22" s="372"/>
      <c r="AN22" s="369"/>
      <c r="AO22" s="369"/>
      <c r="AP22" s="369"/>
      <c r="AQ22" s="369"/>
      <c r="AR22" s="369"/>
      <c r="AS22" s="369"/>
      <c r="AT22" s="369"/>
      <c r="AU22" s="369"/>
      <c r="AV22" s="369"/>
      <c r="AW22" s="369"/>
      <c r="AX22" s="369"/>
      <c r="AY22" s="369"/>
      <c r="AZ22" s="369"/>
      <c r="BA22" s="369"/>
      <c r="BB22" s="369"/>
    </row>
    <row r="23" customFormat="false" ht="19.5" hidden="false" customHeight="true" outlineLevel="0" collapsed="false">
      <c r="B23" s="243"/>
      <c r="C23" s="243"/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369"/>
      <c r="O23" s="369"/>
      <c r="P23" s="369"/>
      <c r="Q23" s="370"/>
      <c r="R23" s="369"/>
      <c r="S23" s="369"/>
      <c r="T23" s="369"/>
      <c r="U23" s="369"/>
      <c r="V23" s="369"/>
      <c r="W23" s="369"/>
      <c r="X23" s="369"/>
      <c r="Y23" s="369"/>
      <c r="Z23" s="369"/>
      <c r="AA23" s="369"/>
      <c r="AB23" s="369"/>
      <c r="AC23" s="369"/>
      <c r="AD23" s="369"/>
      <c r="AE23" s="369"/>
      <c r="AF23" s="369"/>
      <c r="AG23" s="369"/>
      <c r="AH23" s="369"/>
      <c r="AI23" s="369"/>
      <c r="AJ23" s="371"/>
      <c r="AK23" s="372"/>
      <c r="AL23" s="372"/>
      <c r="AM23" s="372"/>
      <c r="AN23" s="369"/>
      <c r="AO23" s="369"/>
      <c r="AP23" s="369"/>
      <c r="AQ23" s="369"/>
      <c r="AR23" s="369"/>
      <c r="AS23" s="369"/>
      <c r="AT23" s="369"/>
      <c r="AU23" s="369"/>
      <c r="AV23" s="369"/>
      <c r="AW23" s="369"/>
      <c r="AX23" s="369"/>
      <c r="AY23" s="369"/>
      <c r="AZ23" s="369"/>
      <c r="BA23" s="369"/>
      <c r="BB23" s="369"/>
    </row>
    <row r="24" customFormat="false" ht="19.5" hidden="false" customHeight="true" outlineLevel="0" collapsed="false">
      <c r="B24" s="243"/>
      <c r="C24" s="243"/>
      <c r="D24" s="243"/>
      <c r="E24" s="243"/>
      <c r="F24" s="243"/>
      <c r="G24" s="243"/>
      <c r="H24" s="243"/>
      <c r="I24" s="243"/>
      <c r="J24" s="243"/>
      <c r="K24" s="243"/>
      <c r="L24" s="243"/>
      <c r="M24" s="243"/>
      <c r="N24" s="369"/>
      <c r="O24" s="369"/>
      <c r="P24" s="369"/>
      <c r="Q24" s="370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71"/>
      <c r="AK24" s="372"/>
      <c r="AL24" s="372"/>
      <c r="AM24" s="372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</row>
    <row r="25" customFormat="false" ht="19.5" hidden="false" customHeight="true" outlineLevel="0" collapsed="false">
      <c r="B25" s="243"/>
      <c r="C25" s="243"/>
      <c r="D25" s="243"/>
      <c r="E25" s="243"/>
      <c r="F25" s="243"/>
      <c r="G25" s="243"/>
      <c r="H25" s="243"/>
      <c r="I25" s="243"/>
      <c r="J25" s="243"/>
      <c r="K25" s="243"/>
      <c r="L25" s="243"/>
      <c r="M25" s="243"/>
      <c r="N25" s="369"/>
      <c r="O25" s="369"/>
      <c r="P25" s="369"/>
      <c r="Q25" s="370"/>
      <c r="R25" s="369"/>
      <c r="S25" s="369"/>
      <c r="T25" s="369"/>
      <c r="U25" s="369"/>
      <c r="V25" s="369"/>
      <c r="W25" s="369"/>
      <c r="X25" s="369"/>
      <c r="Y25" s="369"/>
      <c r="Z25" s="369"/>
      <c r="AA25" s="369"/>
      <c r="AB25" s="369"/>
      <c r="AC25" s="369"/>
      <c r="AD25" s="369"/>
      <c r="AE25" s="369"/>
      <c r="AF25" s="369"/>
      <c r="AG25" s="369"/>
      <c r="AH25" s="369"/>
      <c r="AI25" s="369"/>
      <c r="AJ25" s="371"/>
      <c r="AK25" s="372"/>
      <c r="AL25" s="372"/>
      <c r="AM25" s="372"/>
      <c r="AN25" s="369"/>
      <c r="AO25" s="369"/>
      <c r="AP25" s="369"/>
      <c r="AQ25" s="369"/>
      <c r="AR25" s="369"/>
      <c r="AS25" s="369"/>
      <c r="AT25" s="369"/>
      <c r="AU25" s="369"/>
      <c r="AV25" s="369"/>
      <c r="AW25" s="369"/>
      <c r="AX25" s="369"/>
      <c r="AY25" s="369"/>
      <c r="AZ25" s="369"/>
      <c r="BA25" s="369"/>
      <c r="BB25" s="369"/>
    </row>
    <row r="26" customFormat="false" ht="19.5" hidden="false" customHeight="true" outlineLevel="0" collapsed="false"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369"/>
      <c r="O26" s="369"/>
      <c r="P26" s="369"/>
      <c r="Q26" s="370"/>
      <c r="R26" s="369"/>
      <c r="S26" s="369"/>
      <c r="T26" s="369"/>
      <c r="U26" s="369"/>
      <c r="V26" s="369"/>
      <c r="W26" s="369"/>
      <c r="X26" s="369"/>
      <c r="Y26" s="369"/>
      <c r="Z26" s="369"/>
      <c r="AA26" s="369"/>
      <c r="AB26" s="369"/>
      <c r="AC26" s="369"/>
      <c r="AD26" s="369"/>
      <c r="AE26" s="369"/>
      <c r="AF26" s="369"/>
      <c r="AG26" s="369"/>
      <c r="AH26" s="369"/>
      <c r="AI26" s="369"/>
      <c r="AJ26" s="371"/>
      <c r="AK26" s="372"/>
      <c r="AL26" s="372"/>
      <c r="AM26" s="372"/>
      <c r="AN26" s="369"/>
      <c r="AO26" s="369"/>
      <c r="AP26" s="369"/>
      <c r="AQ26" s="369"/>
      <c r="AR26" s="369"/>
      <c r="AS26" s="369"/>
      <c r="AT26" s="369"/>
      <c r="AU26" s="369"/>
      <c r="AV26" s="369"/>
      <c r="AW26" s="369"/>
      <c r="AX26" s="369"/>
      <c r="AY26" s="369"/>
      <c r="AZ26" s="369"/>
      <c r="BA26" s="369"/>
      <c r="BB26" s="369"/>
    </row>
    <row r="27" customFormat="false" ht="19.5" hidden="false" customHeight="true" outlineLevel="0" collapsed="false"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369"/>
      <c r="O27" s="369"/>
      <c r="P27" s="369"/>
      <c r="Q27" s="370"/>
      <c r="R27" s="369"/>
      <c r="S27" s="369"/>
      <c r="T27" s="369"/>
      <c r="U27" s="369"/>
      <c r="V27" s="369"/>
      <c r="W27" s="369"/>
      <c r="X27" s="369"/>
      <c r="Y27" s="369"/>
      <c r="Z27" s="369"/>
      <c r="AA27" s="369"/>
      <c r="AB27" s="369"/>
      <c r="AC27" s="369"/>
      <c r="AD27" s="369"/>
      <c r="AE27" s="369"/>
      <c r="AF27" s="369"/>
      <c r="AG27" s="369"/>
      <c r="AH27" s="369"/>
      <c r="AI27" s="369"/>
      <c r="AJ27" s="371"/>
      <c r="AK27" s="372"/>
      <c r="AL27" s="372"/>
      <c r="AM27" s="372"/>
      <c r="AN27" s="369"/>
      <c r="AO27" s="369"/>
      <c r="AP27" s="369"/>
      <c r="AQ27" s="369"/>
      <c r="AR27" s="369"/>
      <c r="AS27" s="369"/>
      <c r="AT27" s="369"/>
      <c r="AU27" s="369"/>
      <c r="AV27" s="369"/>
      <c r="AW27" s="369"/>
      <c r="AX27" s="369"/>
      <c r="AY27" s="369"/>
      <c r="AZ27" s="369"/>
      <c r="BA27" s="369"/>
      <c r="BB27" s="369"/>
    </row>
    <row r="28" customFormat="false" ht="19.5" hidden="false" customHeight="true" outlineLevel="0" collapsed="false">
      <c r="B28" s="243"/>
      <c r="C28" s="243"/>
      <c r="D28" s="243"/>
      <c r="E28" s="243"/>
      <c r="F28" s="243"/>
      <c r="G28" s="243"/>
      <c r="H28" s="243"/>
      <c r="I28" s="243"/>
      <c r="J28" s="243"/>
      <c r="K28" s="243"/>
      <c r="L28" s="243"/>
      <c r="M28" s="243"/>
      <c r="N28" s="369"/>
      <c r="O28" s="369"/>
      <c r="P28" s="369"/>
      <c r="Q28" s="370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71"/>
      <c r="AK28" s="372"/>
      <c r="AL28" s="372"/>
      <c r="AM28" s="372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</row>
    <row r="29" customFormat="false" ht="19.5" hidden="false" customHeight="true" outlineLevel="0" collapsed="false">
      <c r="B29" s="243"/>
      <c r="C29" s="243"/>
      <c r="D29" s="243"/>
      <c r="E29" s="243"/>
      <c r="F29" s="243"/>
      <c r="G29" s="243"/>
      <c r="H29" s="243"/>
      <c r="I29" s="243"/>
      <c r="J29" s="243"/>
      <c r="K29" s="243"/>
      <c r="L29" s="243"/>
      <c r="M29" s="243"/>
      <c r="N29" s="369"/>
      <c r="O29" s="369"/>
      <c r="P29" s="369"/>
      <c r="Q29" s="370"/>
      <c r="R29" s="369"/>
      <c r="S29" s="369"/>
      <c r="T29" s="369"/>
      <c r="U29" s="369"/>
      <c r="V29" s="369"/>
      <c r="W29" s="369"/>
      <c r="X29" s="369"/>
      <c r="Y29" s="369"/>
      <c r="Z29" s="369"/>
      <c r="AA29" s="369"/>
      <c r="AB29" s="369"/>
      <c r="AC29" s="369"/>
      <c r="AD29" s="369"/>
      <c r="AE29" s="369"/>
      <c r="AF29" s="369"/>
      <c r="AG29" s="369"/>
      <c r="AH29" s="369"/>
      <c r="AI29" s="369"/>
      <c r="AJ29" s="371"/>
      <c r="AK29" s="372"/>
      <c r="AL29" s="372"/>
      <c r="AM29" s="372"/>
      <c r="AN29" s="369"/>
      <c r="AO29" s="369"/>
      <c r="AP29" s="369"/>
      <c r="AQ29" s="369"/>
      <c r="AR29" s="369"/>
      <c r="AS29" s="369"/>
      <c r="AT29" s="369"/>
      <c r="AU29" s="369"/>
      <c r="AV29" s="369"/>
      <c r="AW29" s="369"/>
      <c r="AX29" s="369"/>
      <c r="AY29" s="369"/>
      <c r="AZ29" s="369"/>
      <c r="BA29" s="369"/>
      <c r="BB29" s="369"/>
    </row>
    <row r="30" customFormat="false" ht="19.5" hidden="false" customHeight="true" outlineLevel="0" collapsed="false"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369"/>
      <c r="O30" s="369"/>
      <c r="P30" s="369"/>
      <c r="Q30" s="370"/>
      <c r="R30" s="369"/>
      <c r="S30" s="369"/>
      <c r="T30" s="369"/>
      <c r="U30" s="369"/>
      <c r="V30" s="369"/>
      <c r="W30" s="369"/>
      <c r="X30" s="369"/>
      <c r="Y30" s="369"/>
      <c r="Z30" s="369"/>
      <c r="AA30" s="369"/>
      <c r="AB30" s="369"/>
      <c r="AC30" s="369"/>
      <c r="AD30" s="369"/>
      <c r="AE30" s="369"/>
      <c r="AF30" s="369"/>
      <c r="AG30" s="369"/>
      <c r="AH30" s="369"/>
      <c r="AI30" s="369"/>
      <c r="AJ30" s="371"/>
      <c r="AK30" s="372"/>
      <c r="AL30" s="372"/>
      <c r="AM30" s="372"/>
      <c r="AN30" s="369"/>
      <c r="AO30" s="369"/>
      <c r="AP30" s="369"/>
      <c r="AQ30" s="369"/>
      <c r="AR30" s="369"/>
      <c r="AS30" s="369"/>
      <c r="AT30" s="369"/>
      <c r="AU30" s="369"/>
      <c r="AV30" s="369"/>
      <c r="AW30" s="369"/>
      <c r="AX30" s="369"/>
      <c r="AY30" s="369"/>
      <c r="AZ30" s="369"/>
      <c r="BA30" s="369"/>
      <c r="BB30" s="369"/>
    </row>
    <row r="31" customFormat="false" ht="19.5" hidden="false" customHeight="true" outlineLevel="0" collapsed="false">
      <c r="B31" s="243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369"/>
      <c r="O31" s="369"/>
      <c r="P31" s="369"/>
      <c r="Q31" s="370"/>
      <c r="R31" s="369"/>
      <c r="S31" s="369"/>
      <c r="T31" s="369"/>
      <c r="U31" s="369"/>
      <c r="V31" s="369"/>
      <c r="W31" s="369"/>
      <c r="X31" s="369"/>
      <c r="Y31" s="369"/>
      <c r="Z31" s="369"/>
      <c r="AA31" s="369"/>
      <c r="AB31" s="369"/>
      <c r="AC31" s="369"/>
      <c r="AD31" s="369"/>
      <c r="AE31" s="369"/>
      <c r="AF31" s="369"/>
      <c r="AG31" s="369"/>
      <c r="AH31" s="369"/>
      <c r="AI31" s="369"/>
      <c r="AJ31" s="371"/>
      <c r="AK31" s="372"/>
      <c r="AL31" s="372"/>
      <c r="AM31" s="372"/>
      <c r="AN31" s="369"/>
      <c r="AO31" s="369"/>
      <c r="AP31" s="369"/>
      <c r="AQ31" s="369"/>
      <c r="AR31" s="369"/>
      <c r="AS31" s="369"/>
      <c r="AT31" s="369"/>
      <c r="AU31" s="369"/>
      <c r="AV31" s="369"/>
      <c r="AW31" s="369"/>
      <c r="AX31" s="369"/>
      <c r="AY31" s="369"/>
      <c r="AZ31" s="369"/>
      <c r="BA31" s="369"/>
      <c r="BB31" s="369"/>
    </row>
    <row r="32" customFormat="false" ht="10.5" hidden="false" customHeight="true" outlineLevel="0" collapsed="false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373"/>
      <c r="O32" s="373"/>
      <c r="P32" s="373"/>
      <c r="Q32" s="373"/>
      <c r="R32" s="373"/>
      <c r="S32" s="373"/>
      <c r="T32" s="373"/>
      <c r="U32" s="373"/>
      <c r="V32" s="373"/>
      <c r="W32" s="373"/>
      <c r="X32" s="373"/>
      <c r="Y32" s="373"/>
      <c r="Z32" s="373"/>
      <c r="AA32" s="373"/>
      <c r="AB32" s="373"/>
      <c r="AC32" s="373"/>
      <c r="AD32" s="373"/>
      <c r="AE32" s="373"/>
      <c r="AF32" s="373"/>
      <c r="AG32" s="373"/>
      <c r="AH32" s="373"/>
      <c r="AI32" s="373"/>
      <c r="AJ32" s="373"/>
      <c r="AK32" s="373"/>
      <c r="AL32" s="373"/>
      <c r="AM32" s="373"/>
      <c r="AN32" s="373"/>
      <c r="AO32" s="373"/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</row>
    <row r="33" customFormat="false" ht="13.5" hidden="false" customHeight="true" outlineLevel="0" collapsed="false">
      <c r="AV33" s="374" t="s">
        <v>1630</v>
      </c>
      <c r="AW33" s="374"/>
      <c r="AX33" s="374"/>
      <c r="AY33" s="374"/>
      <c r="AZ33" s="374"/>
      <c r="BA33" s="373"/>
      <c r="BB33" s="369"/>
    </row>
    <row r="34" customFormat="false" ht="13.5" hidden="false" customHeight="true" outlineLevel="0" collapsed="false">
      <c r="AV34" s="374" t="s">
        <v>1631</v>
      </c>
      <c r="AW34" s="374"/>
      <c r="AX34" s="374"/>
      <c r="AY34" s="374"/>
      <c r="AZ34" s="374"/>
      <c r="BA34" s="373"/>
      <c r="BB34" s="369"/>
    </row>
    <row r="35" customFormat="false" ht="13.5" hidden="false" customHeight="true" outlineLevel="0" collapsed="false">
      <c r="AV35" s="374" t="s">
        <v>1632</v>
      </c>
      <c r="AW35" s="374"/>
      <c r="AX35" s="374"/>
      <c r="AY35" s="374"/>
      <c r="AZ35" s="374"/>
      <c r="BA35" s="373"/>
      <c r="BB35" s="369"/>
    </row>
    <row r="37" customFormat="false" ht="14.25" hidden="false" customHeight="false" outlineLevel="0" collapsed="false">
      <c r="B37" s="37" t="s">
        <v>1633</v>
      </c>
      <c r="AS37" s="355" t="s">
        <v>1606</v>
      </c>
      <c r="AT37" s="355"/>
      <c r="AU37" s="355"/>
      <c r="AV37" s="355"/>
      <c r="AW37" s="355"/>
      <c r="AX37" s="356" t="str">
        <f aca="false">G3</f>
        <v>LE-2024239</v>
      </c>
      <c r="AY37" s="356"/>
      <c r="AZ37" s="356"/>
      <c r="BA37" s="356"/>
      <c r="BB37" s="356"/>
    </row>
    <row r="38" customFormat="false" ht="6" hidden="false" customHeight="true" outlineLevel="0" collapsed="false">
      <c r="B38" s="37"/>
    </row>
    <row r="39" customFormat="false" ht="14.25" hidden="false" customHeight="false" outlineLevel="0" collapsed="false">
      <c r="B39" s="308" t="s">
        <v>1634</v>
      </c>
      <c r="C39" s="308"/>
      <c r="D39" s="308"/>
      <c r="E39" s="375" t="s">
        <v>1635</v>
      </c>
      <c r="F39" s="375"/>
      <c r="G39" s="375"/>
      <c r="H39" s="308" t="s">
        <v>1636</v>
      </c>
      <c r="I39" s="308"/>
      <c r="J39" s="308"/>
      <c r="K39" s="308" t="s">
        <v>535</v>
      </c>
      <c r="L39" s="308"/>
      <c r="M39" s="308"/>
      <c r="N39" s="308" t="s">
        <v>536</v>
      </c>
      <c r="O39" s="308"/>
      <c r="P39" s="308"/>
      <c r="Q39" s="308"/>
      <c r="R39" s="308"/>
      <c r="T39" s="308" t="s">
        <v>1634</v>
      </c>
      <c r="U39" s="308"/>
      <c r="V39" s="308"/>
      <c r="W39" s="375" t="s">
        <v>1635</v>
      </c>
      <c r="X39" s="375"/>
      <c r="Y39" s="375"/>
      <c r="Z39" s="308" t="s">
        <v>1636</v>
      </c>
      <c r="AA39" s="308"/>
      <c r="AB39" s="308"/>
      <c r="AC39" s="308" t="s">
        <v>535</v>
      </c>
      <c r="AD39" s="308"/>
      <c r="AE39" s="308"/>
      <c r="AF39" s="308" t="s">
        <v>536</v>
      </c>
      <c r="AG39" s="308"/>
      <c r="AH39" s="308"/>
      <c r="AI39" s="308"/>
      <c r="AJ39" s="308"/>
      <c r="AL39" s="308" t="s">
        <v>1634</v>
      </c>
      <c r="AM39" s="308"/>
      <c r="AN39" s="308"/>
      <c r="AO39" s="375" t="s">
        <v>1635</v>
      </c>
      <c r="AP39" s="375"/>
      <c r="AQ39" s="375"/>
      <c r="AR39" s="308" t="s">
        <v>1636</v>
      </c>
      <c r="AS39" s="308"/>
      <c r="AT39" s="308"/>
      <c r="AU39" s="308" t="s">
        <v>535</v>
      </c>
      <c r="AV39" s="308"/>
      <c r="AW39" s="308"/>
      <c r="AX39" s="308" t="s">
        <v>536</v>
      </c>
      <c r="AY39" s="308"/>
      <c r="AZ39" s="308"/>
      <c r="BA39" s="308"/>
      <c r="BB39" s="308"/>
    </row>
    <row r="40" customFormat="false" ht="14.25" hidden="false" customHeight="false" outlineLevel="0" collapsed="false">
      <c r="B40" s="308"/>
      <c r="C40" s="308"/>
      <c r="D40" s="308"/>
      <c r="E40" s="308"/>
      <c r="F40" s="308"/>
      <c r="G40" s="308"/>
      <c r="H40" s="243" t="n">
        <v>1</v>
      </c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T40" s="308"/>
      <c r="U40" s="308"/>
      <c r="V40" s="308"/>
      <c r="W40" s="308"/>
      <c r="X40" s="308"/>
      <c r="Y40" s="308"/>
      <c r="Z40" s="243" t="n">
        <f aca="false">H75+1</f>
        <v>37</v>
      </c>
      <c r="AA40" s="243"/>
      <c r="AB40" s="243"/>
      <c r="AC40" s="243"/>
      <c r="AD40" s="243"/>
      <c r="AE40" s="243"/>
      <c r="AF40" s="243"/>
      <c r="AG40" s="243"/>
      <c r="AH40" s="243"/>
      <c r="AI40" s="243"/>
      <c r="AJ40" s="243"/>
      <c r="AL40" s="308"/>
      <c r="AM40" s="308"/>
      <c r="AN40" s="308"/>
      <c r="AO40" s="308"/>
      <c r="AP40" s="308"/>
      <c r="AQ40" s="308"/>
      <c r="AR40" s="243" t="n">
        <f aca="false">Z75+1</f>
        <v>73</v>
      </c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</row>
    <row r="41" customFormat="false" ht="14.25" hidden="false" customHeight="false" outlineLevel="0" collapsed="false">
      <c r="B41" s="308"/>
      <c r="C41" s="308"/>
      <c r="D41" s="308"/>
      <c r="E41" s="308"/>
      <c r="F41" s="308"/>
      <c r="G41" s="308"/>
      <c r="H41" s="243" t="n">
        <f aca="false">H40+1</f>
        <v>2</v>
      </c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T41" s="308"/>
      <c r="U41" s="308"/>
      <c r="V41" s="308"/>
      <c r="W41" s="308"/>
      <c r="X41" s="308"/>
      <c r="Y41" s="308"/>
      <c r="Z41" s="243" t="n">
        <f aca="false">Z40+1</f>
        <v>38</v>
      </c>
      <c r="AA41" s="243"/>
      <c r="AB41" s="243"/>
      <c r="AC41" s="243"/>
      <c r="AD41" s="243"/>
      <c r="AE41" s="243"/>
      <c r="AF41" s="243"/>
      <c r="AG41" s="243"/>
      <c r="AH41" s="243"/>
      <c r="AI41" s="243"/>
      <c r="AJ41" s="243"/>
      <c r="AL41" s="308"/>
      <c r="AM41" s="308"/>
      <c r="AN41" s="308"/>
      <c r="AO41" s="308"/>
      <c r="AP41" s="308"/>
      <c r="AQ41" s="308"/>
      <c r="AR41" s="243" t="n">
        <f aca="false">AR40+1</f>
        <v>74</v>
      </c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</row>
    <row r="42" customFormat="false" ht="14.25" hidden="false" customHeight="false" outlineLevel="0" collapsed="false">
      <c r="B42" s="308"/>
      <c r="C42" s="308"/>
      <c r="D42" s="308"/>
      <c r="E42" s="308"/>
      <c r="F42" s="308"/>
      <c r="G42" s="308"/>
      <c r="H42" s="243" t="n">
        <f aca="false">H41+1</f>
        <v>3</v>
      </c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T42" s="308"/>
      <c r="U42" s="308"/>
      <c r="V42" s="308"/>
      <c r="W42" s="308"/>
      <c r="X42" s="308"/>
      <c r="Y42" s="308"/>
      <c r="Z42" s="243" t="n">
        <f aca="false">Z41+1</f>
        <v>39</v>
      </c>
      <c r="AA42" s="243"/>
      <c r="AB42" s="243"/>
      <c r="AC42" s="243"/>
      <c r="AD42" s="243"/>
      <c r="AE42" s="243"/>
      <c r="AF42" s="243"/>
      <c r="AG42" s="243"/>
      <c r="AH42" s="243"/>
      <c r="AI42" s="243"/>
      <c r="AJ42" s="243"/>
      <c r="AL42" s="308"/>
      <c r="AM42" s="308"/>
      <c r="AN42" s="308"/>
      <c r="AO42" s="308"/>
      <c r="AP42" s="308"/>
      <c r="AQ42" s="308"/>
      <c r="AR42" s="243" t="n">
        <f aca="false">AR41+1</f>
        <v>75</v>
      </c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</row>
    <row r="43" customFormat="false" ht="14.25" hidden="false" customHeight="false" outlineLevel="0" collapsed="false">
      <c r="B43" s="308"/>
      <c r="C43" s="308"/>
      <c r="D43" s="308"/>
      <c r="E43" s="308"/>
      <c r="F43" s="308"/>
      <c r="G43" s="308"/>
      <c r="H43" s="243" t="n">
        <f aca="false">H42+1</f>
        <v>4</v>
      </c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T43" s="308"/>
      <c r="U43" s="308"/>
      <c r="V43" s="308"/>
      <c r="W43" s="308"/>
      <c r="X43" s="308"/>
      <c r="Y43" s="308"/>
      <c r="Z43" s="243" t="n">
        <f aca="false">Z42+1</f>
        <v>40</v>
      </c>
      <c r="AA43" s="243"/>
      <c r="AB43" s="243"/>
      <c r="AC43" s="243"/>
      <c r="AD43" s="243"/>
      <c r="AE43" s="243"/>
      <c r="AF43" s="243"/>
      <c r="AG43" s="243"/>
      <c r="AH43" s="243"/>
      <c r="AI43" s="243"/>
      <c r="AJ43" s="243"/>
      <c r="AL43" s="308"/>
      <c r="AM43" s="308"/>
      <c r="AN43" s="308"/>
      <c r="AO43" s="308"/>
      <c r="AP43" s="308"/>
      <c r="AQ43" s="308"/>
      <c r="AR43" s="243" t="n">
        <f aca="false">AR42+1</f>
        <v>76</v>
      </c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</row>
    <row r="44" customFormat="false" ht="14.25" hidden="false" customHeight="false" outlineLevel="0" collapsed="false">
      <c r="B44" s="308"/>
      <c r="C44" s="308"/>
      <c r="D44" s="308"/>
      <c r="E44" s="308"/>
      <c r="F44" s="308"/>
      <c r="G44" s="308"/>
      <c r="H44" s="243" t="n">
        <f aca="false">H43+1</f>
        <v>5</v>
      </c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T44" s="308"/>
      <c r="U44" s="308"/>
      <c r="V44" s="308"/>
      <c r="W44" s="308"/>
      <c r="X44" s="308"/>
      <c r="Y44" s="308"/>
      <c r="Z44" s="243" t="n">
        <f aca="false">Z43+1</f>
        <v>41</v>
      </c>
      <c r="AA44" s="243"/>
      <c r="AB44" s="243"/>
      <c r="AC44" s="243"/>
      <c r="AD44" s="243"/>
      <c r="AE44" s="243"/>
      <c r="AF44" s="243"/>
      <c r="AG44" s="243"/>
      <c r="AH44" s="243"/>
      <c r="AI44" s="243"/>
      <c r="AJ44" s="243"/>
      <c r="AL44" s="308"/>
      <c r="AM44" s="308"/>
      <c r="AN44" s="308"/>
      <c r="AO44" s="308"/>
      <c r="AP44" s="308"/>
      <c r="AQ44" s="308"/>
      <c r="AR44" s="243" t="n">
        <f aca="false">AR43+1</f>
        <v>77</v>
      </c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</row>
    <row r="45" customFormat="false" ht="14.25" hidden="false" customHeight="false" outlineLevel="0" collapsed="false">
      <c r="B45" s="308"/>
      <c r="C45" s="308"/>
      <c r="D45" s="308"/>
      <c r="E45" s="308"/>
      <c r="F45" s="308"/>
      <c r="G45" s="308"/>
      <c r="H45" s="243" t="n">
        <f aca="false">H44+1</f>
        <v>6</v>
      </c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T45" s="308"/>
      <c r="U45" s="308"/>
      <c r="V45" s="308"/>
      <c r="W45" s="308"/>
      <c r="X45" s="308"/>
      <c r="Y45" s="308"/>
      <c r="Z45" s="243" t="n">
        <f aca="false">Z44+1</f>
        <v>42</v>
      </c>
      <c r="AA45" s="243"/>
      <c r="AB45" s="243"/>
      <c r="AC45" s="243"/>
      <c r="AD45" s="243"/>
      <c r="AE45" s="243"/>
      <c r="AF45" s="243"/>
      <c r="AG45" s="243"/>
      <c r="AH45" s="243"/>
      <c r="AI45" s="243"/>
      <c r="AJ45" s="243"/>
      <c r="AL45" s="308"/>
      <c r="AM45" s="308"/>
      <c r="AN45" s="308"/>
      <c r="AO45" s="308"/>
      <c r="AP45" s="308"/>
      <c r="AQ45" s="308"/>
      <c r="AR45" s="243" t="n">
        <f aca="false">AR44+1</f>
        <v>78</v>
      </c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</row>
    <row r="46" customFormat="false" ht="14.25" hidden="false" customHeight="false" outlineLevel="0" collapsed="false">
      <c r="B46" s="308"/>
      <c r="C46" s="308"/>
      <c r="D46" s="308"/>
      <c r="E46" s="308"/>
      <c r="F46" s="308"/>
      <c r="G46" s="308"/>
      <c r="H46" s="243" t="n">
        <f aca="false">H45+1</f>
        <v>7</v>
      </c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T46" s="308"/>
      <c r="U46" s="308"/>
      <c r="V46" s="308"/>
      <c r="W46" s="308"/>
      <c r="X46" s="308"/>
      <c r="Y46" s="308"/>
      <c r="Z46" s="243" t="n">
        <f aca="false">Z45+1</f>
        <v>43</v>
      </c>
      <c r="AA46" s="243"/>
      <c r="AB46" s="243"/>
      <c r="AC46" s="243"/>
      <c r="AD46" s="243"/>
      <c r="AE46" s="243"/>
      <c r="AF46" s="243"/>
      <c r="AG46" s="243"/>
      <c r="AH46" s="243"/>
      <c r="AI46" s="243"/>
      <c r="AJ46" s="243"/>
      <c r="AL46" s="308"/>
      <c r="AM46" s="308"/>
      <c r="AN46" s="308"/>
      <c r="AO46" s="308"/>
      <c r="AP46" s="308"/>
      <c r="AQ46" s="308"/>
      <c r="AR46" s="243" t="n">
        <f aca="false">AR45+1</f>
        <v>79</v>
      </c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</row>
    <row r="47" customFormat="false" ht="14.25" hidden="false" customHeight="false" outlineLevel="0" collapsed="false">
      <c r="B47" s="308"/>
      <c r="C47" s="308"/>
      <c r="D47" s="308"/>
      <c r="E47" s="308"/>
      <c r="F47" s="308"/>
      <c r="G47" s="308"/>
      <c r="H47" s="243" t="n">
        <f aca="false">H46+1</f>
        <v>8</v>
      </c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T47" s="308"/>
      <c r="U47" s="308"/>
      <c r="V47" s="308"/>
      <c r="W47" s="308"/>
      <c r="X47" s="308"/>
      <c r="Y47" s="308"/>
      <c r="Z47" s="243" t="n">
        <f aca="false">Z46+1</f>
        <v>44</v>
      </c>
      <c r="AA47" s="243"/>
      <c r="AB47" s="243"/>
      <c r="AC47" s="243"/>
      <c r="AD47" s="243"/>
      <c r="AE47" s="243"/>
      <c r="AF47" s="243"/>
      <c r="AG47" s="243"/>
      <c r="AH47" s="243"/>
      <c r="AI47" s="243"/>
      <c r="AJ47" s="243"/>
      <c r="AL47" s="308"/>
      <c r="AM47" s="308"/>
      <c r="AN47" s="308"/>
      <c r="AO47" s="308"/>
      <c r="AP47" s="308"/>
      <c r="AQ47" s="308"/>
      <c r="AR47" s="243" t="n">
        <f aca="false">AR46+1</f>
        <v>80</v>
      </c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</row>
    <row r="48" customFormat="false" ht="14.25" hidden="false" customHeight="false" outlineLevel="0" collapsed="false">
      <c r="B48" s="308"/>
      <c r="C48" s="308"/>
      <c r="D48" s="308"/>
      <c r="E48" s="308"/>
      <c r="F48" s="308"/>
      <c r="G48" s="308"/>
      <c r="H48" s="243" t="n">
        <f aca="false">H47+1</f>
        <v>9</v>
      </c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T48" s="308"/>
      <c r="U48" s="308"/>
      <c r="V48" s="308"/>
      <c r="W48" s="308"/>
      <c r="X48" s="308"/>
      <c r="Y48" s="308"/>
      <c r="Z48" s="243" t="n">
        <f aca="false">Z47+1</f>
        <v>45</v>
      </c>
      <c r="AA48" s="243"/>
      <c r="AB48" s="243"/>
      <c r="AC48" s="243"/>
      <c r="AD48" s="243"/>
      <c r="AE48" s="243"/>
      <c r="AF48" s="243"/>
      <c r="AG48" s="243"/>
      <c r="AH48" s="243"/>
      <c r="AI48" s="243"/>
      <c r="AJ48" s="243"/>
      <c r="AL48" s="308"/>
      <c r="AM48" s="308"/>
      <c r="AN48" s="308"/>
      <c r="AO48" s="308"/>
      <c r="AP48" s="308"/>
      <c r="AQ48" s="308"/>
      <c r="AR48" s="243" t="n">
        <f aca="false">AR47+1</f>
        <v>81</v>
      </c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</row>
    <row r="49" customFormat="false" ht="14.25" hidden="false" customHeight="false" outlineLevel="0" collapsed="false">
      <c r="B49" s="308"/>
      <c r="C49" s="308"/>
      <c r="D49" s="308"/>
      <c r="E49" s="308"/>
      <c r="F49" s="308"/>
      <c r="G49" s="308"/>
      <c r="H49" s="243" t="n">
        <f aca="false">H48+1</f>
        <v>10</v>
      </c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T49" s="308"/>
      <c r="U49" s="308"/>
      <c r="V49" s="308"/>
      <c r="W49" s="308"/>
      <c r="X49" s="308"/>
      <c r="Y49" s="308"/>
      <c r="Z49" s="243" t="n">
        <f aca="false">Z48+1</f>
        <v>46</v>
      </c>
      <c r="AA49" s="243"/>
      <c r="AB49" s="243"/>
      <c r="AC49" s="243"/>
      <c r="AD49" s="243"/>
      <c r="AE49" s="243"/>
      <c r="AF49" s="243"/>
      <c r="AG49" s="243"/>
      <c r="AH49" s="243"/>
      <c r="AI49" s="243"/>
      <c r="AJ49" s="243"/>
      <c r="AL49" s="308"/>
      <c r="AM49" s="308"/>
      <c r="AN49" s="308"/>
      <c r="AO49" s="308"/>
      <c r="AP49" s="308"/>
      <c r="AQ49" s="308"/>
      <c r="AR49" s="243" t="n">
        <f aca="false">AR48+1</f>
        <v>82</v>
      </c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</row>
    <row r="50" customFormat="false" ht="14.25" hidden="false" customHeight="false" outlineLevel="0" collapsed="false">
      <c r="B50" s="308"/>
      <c r="C50" s="308"/>
      <c r="D50" s="308"/>
      <c r="E50" s="308"/>
      <c r="F50" s="308"/>
      <c r="G50" s="308"/>
      <c r="H50" s="243" t="n">
        <f aca="false">H49+1</f>
        <v>11</v>
      </c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T50" s="308"/>
      <c r="U50" s="308"/>
      <c r="V50" s="308"/>
      <c r="W50" s="308"/>
      <c r="X50" s="308"/>
      <c r="Y50" s="308"/>
      <c r="Z50" s="243" t="n">
        <f aca="false">Z49+1</f>
        <v>47</v>
      </c>
      <c r="AA50" s="243"/>
      <c r="AB50" s="243"/>
      <c r="AC50" s="243"/>
      <c r="AD50" s="243"/>
      <c r="AE50" s="243"/>
      <c r="AF50" s="243"/>
      <c r="AG50" s="243"/>
      <c r="AH50" s="243"/>
      <c r="AI50" s="243"/>
      <c r="AJ50" s="243"/>
      <c r="AL50" s="308"/>
      <c r="AM50" s="308"/>
      <c r="AN50" s="308"/>
      <c r="AO50" s="308"/>
      <c r="AP50" s="308"/>
      <c r="AQ50" s="308"/>
      <c r="AR50" s="243" t="n">
        <f aca="false">AR49+1</f>
        <v>83</v>
      </c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</row>
    <row r="51" customFormat="false" ht="14.25" hidden="false" customHeight="false" outlineLevel="0" collapsed="false">
      <c r="B51" s="308"/>
      <c r="C51" s="308"/>
      <c r="D51" s="308"/>
      <c r="E51" s="308"/>
      <c r="F51" s="308"/>
      <c r="G51" s="308"/>
      <c r="H51" s="243" t="n">
        <f aca="false">H50+1</f>
        <v>12</v>
      </c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T51" s="308"/>
      <c r="U51" s="308"/>
      <c r="V51" s="308"/>
      <c r="W51" s="308"/>
      <c r="X51" s="308"/>
      <c r="Y51" s="308"/>
      <c r="Z51" s="243" t="n">
        <f aca="false">Z50+1</f>
        <v>48</v>
      </c>
      <c r="AA51" s="243"/>
      <c r="AB51" s="243"/>
      <c r="AC51" s="243"/>
      <c r="AD51" s="243"/>
      <c r="AE51" s="243"/>
      <c r="AF51" s="243"/>
      <c r="AG51" s="243"/>
      <c r="AH51" s="243"/>
      <c r="AI51" s="243"/>
      <c r="AJ51" s="243"/>
      <c r="AL51" s="308"/>
      <c r="AM51" s="308"/>
      <c r="AN51" s="308"/>
      <c r="AO51" s="308"/>
      <c r="AP51" s="308"/>
      <c r="AQ51" s="308"/>
      <c r="AR51" s="243" t="n">
        <f aca="false">AR50+1</f>
        <v>84</v>
      </c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</row>
    <row r="52" customFormat="false" ht="14.25" hidden="false" customHeight="false" outlineLevel="0" collapsed="false">
      <c r="B52" s="308"/>
      <c r="C52" s="308"/>
      <c r="D52" s="308"/>
      <c r="E52" s="308"/>
      <c r="F52" s="308"/>
      <c r="G52" s="308"/>
      <c r="H52" s="243" t="n">
        <f aca="false">H51+1</f>
        <v>13</v>
      </c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T52" s="308"/>
      <c r="U52" s="308"/>
      <c r="V52" s="308"/>
      <c r="W52" s="308"/>
      <c r="X52" s="308"/>
      <c r="Y52" s="308"/>
      <c r="Z52" s="243" t="n">
        <f aca="false">Z51+1</f>
        <v>49</v>
      </c>
      <c r="AA52" s="243"/>
      <c r="AB52" s="243"/>
      <c r="AC52" s="243"/>
      <c r="AD52" s="243"/>
      <c r="AE52" s="243"/>
      <c r="AF52" s="243"/>
      <c r="AG52" s="243"/>
      <c r="AH52" s="243"/>
      <c r="AI52" s="243"/>
      <c r="AJ52" s="243"/>
      <c r="AL52" s="308"/>
      <c r="AM52" s="308"/>
      <c r="AN52" s="308"/>
      <c r="AO52" s="308"/>
      <c r="AP52" s="308"/>
      <c r="AQ52" s="308"/>
      <c r="AR52" s="243" t="n">
        <f aca="false">AR51+1</f>
        <v>85</v>
      </c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</row>
    <row r="53" customFormat="false" ht="14.25" hidden="false" customHeight="false" outlineLevel="0" collapsed="false">
      <c r="B53" s="308"/>
      <c r="C53" s="308"/>
      <c r="D53" s="308"/>
      <c r="E53" s="308"/>
      <c r="F53" s="308"/>
      <c r="G53" s="308"/>
      <c r="H53" s="243" t="n">
        <f aca="false">H52+1</f>
        <v>14</v>
      </c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T53" s="308"/>
      <c r="U53" s="308"/>
      <c r="V53" s="308"/>
      <c r="W53" s="308"/>
      <c r="X53" s="308"/>
      <c r="Y53" s="308"/>
      <c r="Z53" s="243" t="n">
        <f aca="false">Z52+1</f>
        <v>50</v>
      </c>
      <c r="AA53" s="243"/>
      <c r="AB53" s="243"/>
      <c r="AC53" s="243"/>
      <c r="AD53" s="243"/>
      <c r="AE53" s="243"/>
      <c r="AF53" s="243"/>
      <c r="AG53" s="243"/>
      <c r="AH53" s="243"/>
      <c r="AI53" s="243"/>
      <c r="AJ53" s="243"/>
      <c r="AL53" s="308"/>
      <c r="AM53" s="308"/>
      <c r="AN53" s="308"/>
      <c r="AO53" s="308"/>
      <c r="AP53" s="308"/>
      <c r="AQ53" s="308"/>
      <c r="AR53" s="243" t="n">
        <f aca="false">AR52+1</f>
        <v>86</v>
      </c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</row>
    <row r="54" customFormat="false" ht="14.25" hidden="false" customHeight="false" outlineLevel="0" collapsed="false">
      <c r="B54" s="308"/>
      <c r="C54" s="308"/>
      <c r="D54" s="308"/>
      <c r="E54" s="308"/>
      <c r="F54" s="308"/>
      <c r="G54" s="308"/>
      <c r="H54" s="243" t="n">
        <f aca="false">H53+1</f>
        <v>15</v>
      </c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T54" s="308"/>
      <c r="U54" s="308"/>
      <c r="V54" s="308"/>
      <c r="W54" s="308"/>
      <c r="X54" s="308"/>
      <c r="Y54" s="308"/>
      <c r="Z54" s="243" t="n">
        <f aca="false">Z53+1</f>
        <v>51</v>
      </c>
      <c r="AA54" s="243"/>
      <c r="AB54" s="243"/>
      <c r="AC54" s="243"/>
      <c r="AD54" s="243"/>
      <c r="AE54" s="243"/>
      <c r="AF54" s="243"/>
      <c r="AG54" s="243"/>
      <c r="AH54" s="243"/>
      <c r="AI54" s="243"/>
      <c r="AJ54" s="243"/>
      <c r="AL54" s="308"/>
      <c r="AM54" s="308"/>
      <c r="AN54" s="308"/>
      <c r="AO54" s="308"/>
      <c r="AP54" s="308"/>
      <c r="AQ54" s="308"/>
      <c r="AR54" s="243" t="n">
        <f aca="false">AR53+1</f>
        <v>87</v>
      </c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</row>
    <row r="55" customFormat="false" ht="14.25" hidden="false" customHeight="false" outlineLevel="0" collapsed="false">
      <c r="B55" s="308"/>
      <c r="C55" s="308"/>
      <c r="D55" s="308"/>
      <c r="E55" s="308"/>
      <c r="F55" s="308"/>
      <c r="G55" s="308"/>
      <c r="H55" s="243" t="n">
        <f aca="false">H54+1</f>
        <v>16</v>
      </c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T55" s="308"/>
      <c r="U55" s="308"/>
      <c r="V55" s="308"/>
      <c r="W55" s="308"/>
      <c r="X55" s="308"/>
      <c r="Y55" s="308"/>
      <c r="Z55" s="243" t="n">
        <f aca="false">Z54+1</f>
        <v>52</v>
      </c>
      <c r="AA55" s="243"/>
      <c r="AB55" s="243"/>
      <c r="AC55" s="243"/>
      <c r="AD55" s="243"/>
      <c r="AE55" s="243"/>
      <c r="AF55" s="243"/>
      <c r="AG55" s="243"/>
      <c r="AH55" s="243"/>
      <c r="AI55" s="243"/>
      <c r="AJ55" s="243"/>
      <c r="AL55" s="308"/>
      <c r="AM55" s="308"/>
      <c r="AN55" s="308"/>
      <c r="AO55" s="308"/>
      <c r="AP55" s="308"/>
      <c r="AQ55" s="308"/>
      <c r="AR55" s="243" t="n">
        <f aca="false">AR54+1</f>
        <v>88</v>
      </c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</row>
    <row r="56" customFormat="false" ht="14.25" hidden="false" customHeight="false" outlineLevel="0" collapsed="false">
      <c r="B56" s="308"/>
      <c r="C56" s="308"/>
      <c r="D56" s="308"/>
      <c r="E56" s="308"/>
      <c r="F56" s="308"/>
      <c r="G56" s="308"/>
      <c r="H56" s="243" t="n">
        <f aca="false">H55+1</f>
        <v>17</v>
      </c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T56" s="308"/>
      <c r="U56" s="308"/>
      <c r="V56" s="308"/>
      <c r="W56" s="308"/>
      <c r="X56" s="308"/>
      <c r="Y56" s="308"/>
      <c r="Z56" s="243" t="n">
        <f aca="false">Z55+1</f>
        <v>53</v>
      </c>
      <c r="AA56" s="243"/>
      <c r="AB56" s="243"/>
      <c r="AC56" s="243"/>
      <c r="AD56" s="243"/>
      <c r="AE56" s="243"/>
      <c r="AF56" s="243"/>
      <c r="AG56" s="243"/>
      <c r="AH56" s="243"/>
      <c r="AI56" s="243"/>
      <c r="AJ56" s="243"/>
      <c r="AL56" s="308"/>
      <c r="AM56" s="308"/>
      <c r="AN56" s="308"/>
      <c r="AO56" s="308"/>
      <c r="AP56" s="308"/>
      <c r="AQ56" s="308"/>
      <c r="AR56" s="243" t="n">
        <f aca="false">AR55+1</f>
        <v>89</v>
      </c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</row>
    <row r="57" customFormat="false" ht="14.25" hidden="false" customHeight="false" outlineLevel="0" collapsed="false">
      <c r="B57" s="308"/>
      <c r="C57" s="308"/>
      <c r="D57" s="308"/>
      <c r="E57" s="308"/>
      <c r="F57" s="308"/>
      <c r="G57" s="308"/>
      <c r="H57" s="243" t="n">
        <f aca="false">H56+1</f>
        <v>18</v>
      </c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T57" s="308"/>
      <c r="U57" s="308"/>
      <c r="V57" s="308"/>
      <c r="W57" s="308"/>
      <c r="X57" s="308"/>
      <c r="Y57" s="308"/>
      <c r="Z57" s="243" t="n">
        <f aca="false">Z56+1</f>
        <v>54</v>
      </c>
      <c r="AA57" s="243"/>
      <c r="AB57" s="243"/>
      <c r="AC57" s="243"/>
      <c r="AD57" s="243"/>
      <c r="AE57" s="243"/>
      <c r="AF57" s="243"/>
      <c r="AG57" s="243"/>
      <c r="AH57" s="243"/>
      <c r="AI57" s="243"/>
      <c r="AJ57" s="243"/>
      <c r="AL57" s="308"/>
      <c r="AM57" s="308"/>
      <c r="AN57" s="308"/>
      <c r="AO57" s="308"/>
      <c r="AP57" s="308"/>
      <c r="AQ57" s="308"/>
      <c r="AR57" s="243" t="n">
        <f aca="false">AR56+1</f>
        <v>90</v>
      </c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</row>
    <row r="58" customFormat="false" ht="14.25" hidden="false" customHeight="false" outlineLevel="0" collapsed="false">
      <c r="B58" s="308"/>
      <c r="C58" s="308"/>
      <c r="D58" s="308"/>
      <c r="E58" s="308"/>
      <c r="F58" s="308"/>
      <c r="G58" s="308"/>
      <c r="H58" s="243" t="n">
        <f aca="false">H57+1</f>
        <v>19</v>
      </c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T58" s="308"/>
      <c r="U58" s="308"/>
      <c r="V58" s="308"/>
      <c r="W58" s="308"/>
      <c r="X58" s="308"/>
      <c r="Y58" s="308"/>
      <c r="Z58" s="243" t="n">
        <f aca="false">Z57+1</f>
        <v>55</v>
      </c>
      <c r="AA58" s="243"/>
      <c r="AB58" s="243"/>
      <c r="AC58" s="243"/>
      <c r="AD58" s="243"/>
      <c r="AE58" s="243"/>
      <c r="AF58" s="243"/>
      <c r="AG58" s="243"/>
      <c r="AH58" s="243"/>
      <c r="AI58" s="243"/>
      <c r="AJ58" s="243"/>
      <c r="AL58" s="308"/>
      <c r="AM58" s="308"/>
      <c r="AN58" s="308"/>
      <c r="AO58" s="308"/>
      <c r="AP58" s="308"/>
      <c r="AQ58" s="308"/>
      <c r="AR58" s="243" t="n">
        <f aca="false">AR57+1</f>
        <v>91</v>
      </c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</row>
    <row r="59" customFormat="false" ht="14.25" hidden="false" customHeight="false" outlineLevel="0" collapsed="false">
      <c r="B59" s="308"/>
      <c r="C59" s="308"/>
      <c r="D59" s="308"/>
      <c r="E59" s="308"/>
      <c r="F59" s="308"/>
      <c r="G59" s="308"/>
      <c r="H59" s="243" t="n">
        <f aca="false">H58+1</f>
        <v>20</v>
      </c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T59" s="308"/>
      <c r="U59" s="308"/>
      <c r="V59" s="308"/>
      <c r="W59" s="308"/>
      <c r="X59" s="308"/>
      <c r="Y59" s="308"/>
      <c r="Z59" s="243" t="n">
        <f aca="false">Z58+1</f>
        <v>56</v>
      </c>
      <c r="AA59" s="243"/>
      <c r="AB59" s="243"/>
      <c r="AC59" s="243"/>
      <c r="AD59" s="243"/>
      <c r="AE59" s="243"/>
      <c r="AF59" s="243"/>
      <c r="AG59" s="243"/>
      <c r="AH59" s="243"/>
      <c r="AI59" s="243"/>
      <c r="AJ59" s="243"/>
      <c r="AL59" s="308"/>
      <c r="AM59" s="308"/>
      <c r="AN59" s="308"/>
      <c r="AO59" s="308"/>
      <c r="AP59" s="308"/>
      <c r="AQ59" s="308"/>
      <c r="AR59" s="243" t="n">
        <f aca="false">AR58+1</f>
        <v>92</v>
      </c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</row>
    <row r="60" customFormat="false" ht="14.25" hidden="false" customHeight="false" outlineLevel="0" collapsed="false">
      <c r="B60" s="308"/>
      <c r="C60" s="308"/>
      <c r="D60" s="308"/>
      <c r="E60" s="308"/>
      <c r="F60" s="308"/>
      <c r="G60" s="308"/>
      <c r="H60" s="243" t="n">
        <f aca="false">H59+1</f>
        <v>21</v>
      </c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T60" s="308"/>
      <c r="U60" s="308"/>
      <c r="V60" s="308"/>
      <c r="W60" s="308"/>
      <c r="X60" s="308"/>
      <c r="Y60" s="308"/>
      <c r="Z60" s="243" t="n">
        <f aca="false">Z59+1</f>
        <v>57</v>
      </c>
      <c r="AA60" s="243"/>
      <c r="AB60" s="243"/>
      <c r="AC60" s="243"/>
      <c r="AD60" s="243"/>
      <c r="AE60" s="243"/>
      <c r="AF60" s="243"/>
      <c r="AG60" s="243"/>
      <c r="AH60" s="243"/>
      <c r="AI60" s="243"/>
      <c r="AJ60" s="243"/>
      <c r="AL60" s="308"/>
      <c r="AM60" s="308"/>
      <c r="AN60" s="308"/>
      <c r="AO60" s="308"/>
      <c r="AP60" s="308"/>
      <c r="AQ60" s="308"/>
      <c r="AR60" s="243" t="n">
        <f aca="false">AR59+1</f>
        <v>93</v>
      </c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</row>
    <row r="61" customFormat="false" ht="14.25" hidden="false" customHeight="false" outlineLevel="0" collapsed="false">
      <c r="B61" s="308"/>
      <c r="C61" s="308"/>
      <c r="D61" s="308"/>
      <c r="E61" s="308"/>
      <c r="F61" s="308"/>
      <c r="G61" s="308"/>
      <c r="H61" s="243" t="n">
        <f aca="false">H60+1</f>
        <v>22</v>
      </c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T61" s="308"/>
      <c r="U61" s="308"/>
      <c r="V61" s="308"/>
      <c r="W61" s="308"/>
      <c r="X61" s="308"/>
      <c r="Y61" s="308"/>
      <c r="Z61" s="243" t="n">
        <f aca="false">Z60+1</f>
        <v>58</v>
      </c>
      <c r="AA61" s="243"/>
      <c r="AB61" s="243"/>
      <c r="AC61" s="243"/>
      <c r="AD61" s="243"/>
      <c r="AE61" s="243"/>
      <c r="AF61" s="243"/>
      <c r="AG61" s="243"/>
      <c r="AH61" s="243"/>
      <c r="AI61" s="243"/>
      <c r="AJ61" s="243"/>
      <c r="AL61" s="308"/>
      <c r="AM61" s="308"/>
      <c r="AN61" s="308"/>
      <c r="AO61" s="308"/>
      <c r="AP61" s="308"/>
      <c r="AQ61" s="308"/>
      <c r="AR61" s="243" t="n">
        <f aca="false">AR60+1</f>
        <v>94</v>
      </c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</row>
    <row r="62" customFormat="false" ht="14.25" hidden="false" customHeight="false" outlineLevel="0" collapsed="false">
      <c r="B62" s="308"/>
      <c r="C62" s="308"/>
      <c r="D62" s="308"/>
      <c r="E62" s="308"/>
      <c r="F62" s="308"/>
      <c r="G62" s="308"/>
      <c r="H62" s="243" t="n">
        <f aca="false">H61+1</f>
        <v>23</v>
      </c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T62" s="308"/>
      <c r="U62" s="308"/>
      <c r="V62" s="308"/>
      <c r="W62" s="308"/>
      <c r="X62" s="308"/>
      <c r="Y62" s="308"/>
      <c r="Z62" s="243" t="n">
        <f aca="false">Z61+1</f>
        <v>59</v>
      </c>
      <c r="AA62" s="243"/>
      <c r="AB62" s="243"/>
      <c r="AC62" s="243"/>
      <c r="AD62" s="243"/>
      <c r="AE62" s="243"/>
      <c r="AF62" s="243"/>
      <c r="AG62" s="243"/>
      <c r="AH62" s="243"/>
      <c r="AI62" s="243"/>
      <c r="AJ62" s="243"/>
      <c r="AL62" s="308"/>
      <c r="AM62" s="308"/>
      <c r="AN62" s="308"/>
      <c r="AO62" s="308"/>
      <c r="AP62" s="308"/>
      <c r="AQ62" s="308"/>
      <c r="AR62" s="243" t="n">
        <f aca="false">AR61+1</f>
        <v>95</v>
      </c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</row>
    <row r="63" customFormat="false" ht="14.25" hidden="false" customHeight="false" outlineLevel="0" collapsed="false">
      <c r="B63" s="308"/>
      <c r="C63" s="308"/>
      <c r="D63" s="308"/>
      <c r="E63" s="308"/>
      <c r="F63" s="308"/>
      <c r="G63" s="308"/>
      <c r="H63" s="243" t="n">
        <f aca="false">H62+1</f>
        <v>24</v>
      </c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T63" s="308"/>
      <c r="U63" s="308"/>
      <c r="V63" s="308"/>
      <c r="W63" s="308"/>
      <c r="X63" s="308"/>
      <c r="Y63" s="308"/>
      <c r="Z63" s="243" t="n">
        <f aca="false">Z62+1</f>
        <v>60</v>
      </c>
      <c r="AA63" s="243"/>
      <c r="AB63" s="243"/>
      <c r="AC63" s="243"/>
      <c r="AD63" s="243"/>
      <c r="AE63" s="243"/>
      <c r="AF63" s="243"/>
      <c r="AG63" s="243"/>
      <c r="AH63" s="243"/>
      <c r="AI63" s="243"/>
      <c r="AJ63" s="243"/>
      <c r="AL63" s="308"/>
      <c r="AM63" s="308"/>
      <c r="AN63" s="308"/>
      <c r="AO63" s="308"/>
      <c r="AP63" s="308"/>
      <c r="AQ63" s="308"/>
      <c r="AR63" s="243" t="n">
        <f aca="false">AR62+1</f>
        <v>96</v>
      </c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</row>
    <row r="64" customFormat="false" ht="14.25" hidden="false" customHeight="false" outlineLevel="0" collapsed="false">
      <c r="B64" s="308"/>
      <c r="C64" s="308"/>
      <c r="D64" s="308"/>
      <c r="E64" s="308"/>
      <c r="F64" s="308"/>
      <c r="G64" s="308"/>
      <c r="H64" s="243" t="n">
        <f aca="false">H63+1</f>
        <v>25</v>
      </c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T64" s="308"/>
      <c r="U64" s="308"/>
      <c r="V64" s="308"/>
      <c r="W64" s="308"/>
      <c r="X64" s="308"/>
      <c r="Y64" s="308"/>
      <c r="Z64" s="243" t="n">
        <f aca="false">Z63+1</f>
        <v>61</v>
      </c>
      <c r="AA64" s="243"/>
      <c r="AB64" s="243"/>
      <c r="AC64" s="243"/>
      <c r="AD64" s="243"/>
      <c r="AE64" s="243"/>
      <c r="AF64" s="243"/>
      <c r="AG64" s="243"/>
      <c r="AH64" s="243"/>
      <c r="AI64" s="243"/>
      <c r="AJ64" s="243"/>
      <c r="AL64" s="308"/>
      <c r="AM64" s="308"/>
      <c r="AN64" s="308"/>
      <c r="AO64" s="308"/>
      <c r="AP64" s="308"/>
      <c r="AQ64" s="308"/>
      <c r="AR64" s="243" t="n">
        <f aca="false">AR63+1</f>
        <v>97</v>
      </c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</row>
    <row r="65" customFormat="false" ht="14.25" hidden="false" customHeight="false" outlineLevel="0" collapsed="false">
      <c r="B65" s="308"/>
      <c r="C65" s="308"/>
      <c r="D65" s="308"/>
      <c r="E65" s="308"/>
      <c r="F65" s="308"/>
      <c r="G65" s="308"/>
      <c r="H65" s="243" t="n">
        <f aca="false">H64+1</f>
        <v>26</v>
      </c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T65" s="308"/>
      <c r="U65" s="308"/>
      <c r="V65" s="308"/>
      <c r="W65" s="308"/>
      <c r="X65" s="308"/>
      <c r="Y65" s="308"/>
      <c r="Z65" s="243" t="n">
        <f aca="false">Z64+1</f>
        <v>62</v>
      </c>
      <c r="AA65" s="243"/>
      <c r="AB65" s="243"/>
      <c r="AC65" s="243"/>
      <c r="AD65" s="243"/>
      <c r="AE65" s="243"/>
      <c r="AF65" s="243"/>
      <c r="AG65" s="243"/>
      <c r="AH65" s="243"/>
      <c r="AI65" s="243"/>
      <c r="AJ65" s="243"/>
      <c r="AL65" s="308"/>
      <c r="AM65" s="308"/>
      <c r="AN65" s="308"/>
      <c r="AO65" s="308"/>
      <c r="AP65" s="308"/>
      <c r="AQ65" s="308"/>
      <c r="AR65" s="243" t="n">
        <f aca="false">AR64+1</f>
        <v>98</v>
      </c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</row>
    <row r="66" customFormat="false" ht="14.25" hidden="false" customHeight="false" outlineLevel="0" collapsed="false">
      <c r="B66" s="308"/>
      <c r="C66" s="308"/>
      <c r="D66" s="308"/>
      <c r="E66" s="308"/>
      <c r="F66" s="308"/>
      <c r="G66" s="308"/>
      <c r="H66" s="243" t="n">
        <f aca="false">H65+1</f>
        <v>27</v>
      </c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T66" s="308"/>
      <c r="U66" s="308"/>
      <c r="V66" s="308"/>
      <c r="W66" s="308"/>
      <c r="X66" s="308"/>
      <c r="Y66" s="308"/>
      <c r="Z66" s="243" t="n">
        <f aca="false">Z65+1</f>
        <v>63</v>
      </c>
      <c r="AA66" s="243"/>
      <c r="AB66" s="243"/>
      <c r="AC66" s="243"/>
      <c r="AD66" s="243"/>
      <c r="AE66" s="243"/>
      <c r="AF66" s="243"/>
      <c r="AG66" s="243"/>
      <c r="AH66" s="243"/>
      <c r="AI66" s="243"/>
      <c r="AJ66" s="243"/>
      <c r="AL66" s="308"/>
      <c r="AM66" s="308"/>
      <c r="AN66" s="308"/>
      <c r="AO66" s="308"/>
      <c r="AP66" s="308"/>
      <c r="AQ66" s="308"/>
      <c r="AR66" s="243" t="n">
        <f aca="false">AR65+1</f>
        <v>99</v>
      </c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</row>
    <row r="67" customFormat="false" ht="14.25" hidden="false" customHeight="false" outlineLevel="0" collapsed="false">
      <c r="B67" s="308"/>
      <c r="C67" s="308"/>
      <c r="D67" s="308"/>
      <c r="E67" s="308"/>
      <c r="F67" s="308"/>
      <c r="G67" s="308"/>
      <c r="H67" s="243" t="n">
        <f aca="false">H66+1</f>
        <v>28</v>
      </c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T67" s="308"/>
      <c r="U67" s="308"/>
      <c r="V67" s="308"/>
      <c r="W67" s="308"/>
      <c r="X67" s="308"/>
      <c r="Y67" s="308"/>
      <c r="Z67" s="243" t="n">
        <f aca="false">Z66+1</f>
        <v>64</v>
      </c>
      <c r="AA67" s="243"/>
      <c r="AB67" s="243"/>
      <c r="AC67" s="243"/>
      <c r="AD67" s="243"/>
      <c r="AE67" s="243"/>
      <c r="AF67" s="243"/>
      <c r="AG67" s="243"/>
      <c r="AH67" s="243"/>
      <c r="AI67" s="243"/>
      <c r="AJ67" s="243"/>
      <c r="AL67" s="308"/>
      <c r="AM67" s="308"/>
      <c r="AN67" s="308"/>
      <c r="AO67" s="308"/>
      <c r="AP67" s="308"/>
      <c r="AQ67" s="308"/>
      <c r="AR67" s="243" t="n">
        <f aca="false">AR66+1</f>
        <v>100</v>
      </c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</row>
    <row r="68" customFormat="false" ht="14.25" hidden="false" customHeight="false" outlineLevel="0" collapsed="false">
      <c r="B68" s="308"/>
      <c r="C68" s="308"/>
      <c r="D68" s="308"/>
      <c r="E68" s="308"/>
      <c r="F68" s="308"/>
      <c r="G68" s="308"/>
      <c r="H68" s="243" t="n">
        <f aca="false">H67+1</f>
        <v>29</v>
      </c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T68" s="308"/>
      <c r="U68" s="308"/>
      <c r="V68" s="308"/>
      <c r="W68" s="308"/>
      <c r="X68" s="308"/>
      <c r="Y68" s="308"/>
      <c r="Z68" s="243" t="n">
        <f aca="false">Z67+1</f>
        <v>65</v>
      </c>
      <c r="AA68" s="243"/>
      <c r="AB68" s="243"/>
      <c r="AC68" s="243"/>
      <c r="AD68" s="243"/>
      <c r="AE68" s="243"/>
      <c r="AF68" s="243"/>
      <c r="AG68" s="243"/>
      <c r="AH68" s="243"/>
      <c r="AI68" s="243"/>
      <c r="AJ68" s="243"/>
      <c r="AL68" s="308"/>
      <c r="AM68" s="308"/>
      <c r="AN68" s="308"/>
      <c r="AO68" s="308"/>
      <c r="AP68" s="308"/>
      <c r="AQ68" s="308"/>
      <c r="AR68" s="243" t="n">
        <f aca="false">AR67+1</f>
        <v>101</v>
      </c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</row>
    <row r="69" customFormat="false" ht="14.25" hidden="false" customHeight="false" outlineLevel="0" collapsed="false">
      <c r="B69" s="308"/>
      <c r="C69" s="308"/>
      <c r="D69" s="308"/>
      <c r="E69" s="308"/>
      <c r="F69" s="308"/>
      <c r="G69" s="308"/>
      <c r="H69" s="243" t="n">
        <f aca="false">H68+1</f>
        <v>30</v>
      </c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T69" s="308"/>
      <c r="U69" s="308"/>
      <c r="V69" s="308"/>
      <c r="W69" s="308"/>
      <c r="X69" s="308"/>
      <c r="Y69" s="308"/>
      <c r="Z69" s="243" t="n">
        <f aca="false">Z68+1</f>
        <v>66</v>
      </c>
      <c r="AA69" s="243"/>
      <c r="AB69" s="243"/>
      <c r="AC69" s="243"/>
      <c r="AD69" s="243"/>
      <c r="AE69" s="243"/>
      <c r="AF69" s="243"/>
      <c r="AG69" s="243"/>
      <c r="AH69" s="243"/>
      <c r="AI69" s="243"/>
      <c r="AJ69" s="243"/>
      <c r="AL69" s="308"/>
      <c r="AM69" s="308"/>
      <c r="AN69" s="308"/>
      <c r="AO69" s="308"/>
      <c r="AP69" s="308"/>
      <c r="AQ69" s="308"/>
      <c r="AR69" s="243" t="n">
        <f aca="false">AR68+1</f>
        <v>102</v>
      </c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</row>
    <row r="70" customFormat="false" ht="14.25" hidden="false" customHeight="false" outlineLevel="0" collapsed="false">
      <c r="B70" s="308"/>
      <c r="C70" s="308"/>
      <c r="D70" s="308"/>
      <c r="E70" s="308"/>
      <c r="F70" s="308"/>
      <c r="G70" s="308"/>
      <c r="H70" s="243" t="n">
        <f aca="false">H69+1</f>
        <v>31</v>
      </c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T70" s="308"/>
      <c r="U70" s="308"/>
      <c r="V70" s="308"/>
      <c r="W70" s="308"/>
      <c r="X70" s="308"/>
      <c r="Y70" s="308"/>
      <c r="Z70" s="243" t="n">
        <f aca="false">Z69+1</f>
        <v>67</v>
      </c>
      <c r="AA70" s="243"/>
      <c r="AB70" s="243"/>
      <c r="AC70" s="243"/>
      <c r="AD70" s="243"/>
      <c r="AE70" s="243"/>
      <c r="AF70" s="243"/>
      <c r="AG70" s="243"/>
      <c r="AH70" s="243"/>
      <c r="AI70" s="243"/>
      <c r="AJ70" s="243"/>
      <c r="AL70" s="308"/>
      <c r="AM70" s="308"/>
      <c r="AN70" s="308"/>
      <c r="AO70" s="308"/>
      <c r="AP70" s="308"/>
      <c r="AQ70" s="308"/>
      <c r="AR70" s="243" t="n">
        <f aca="false">AR69+1</f>
        <v>103</v>
      </c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</row>
    <row r="71" customFormat="false" ht="14.25" hidden="false" customHeight="false" outlineLevel="0" collapsed="false">
      <c r="B71" s="308"/>
      <c r="C71" s="308"/>
      <c r="D71" s="308"/>
      <c r="E71" s="308"/>
      <c r="F71" s="308"/>
      <c r="G71" s="308"/>
      <c r="H71" s="243" t="n">
        <f aca="false">H70+1</f>
        <v>32</v>
      </c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T71" s="308"/>
      <c r="U71" s="308"/>
      <c r="V71" s="308"/>
      <c r="W71" s="308"/>
      <c r="X71" s="308"/>
      <c r="Y71" s="308"/>
      <c r="Z71" s="243" t="n">
        <f aca="false">Z70+1</f>
        <v>68</v>
      </c>
      <c r="AA71" s="243"/>
      <c r="AB71" s="243"/>
      <c r="AC71" s="243"/>
      <c r="AD71" s="243"/>
      <c r="AE71" s="243"/>
      <c r="AF71" s="243"/>
      <c r="AG71" s="243"/>
      <c r="AH71" s="243"/>
      <c r="AI71" s="243"/>
      <c r="AJ71" s="243"/>
      <c r="AL71" s="308"/>
      <c r="AM71" s="308"/>
      <c r="AN71" s="308"/>
      <c r="AO71" s="308"/>
      <c r="AP71" s="308"/>
      <c r="AQ71" s="308"/>
      <c r="AR71" s="243" t="n">
        <f aca="false">AR70+1</f>
        <v>104</v>
      </c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</row>
    <row r="72" customFormat="false" ht="14.25" hidden="false" customHeight="false" outlineLevel="0" collapsed="false">
      <c r="B72" s="308"/>
      <c r="C72" s="308"/>
      <c r="D72" s="308"/>
      <c r="E72" s="308"/>
      <c r="F72" s="308"/>
      <c r="G72" s="308"/>
      <c r="H72" s="243" t="n">
        <f aca="false">H71+1</f>
        <v>33</v>
      </c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T72" s="308"/>
      <c r="U72" s="308"/>
      <c r="V72" s="308"/>
      <c r="W72" s="308"/>
      <c r="X72" s="308"/>
      <c r="Y72" s="308"/>
      <c r="Z72" s="243" t="n">
        <f aca="false">Z71+1</f>
        <v>69</v>
      </c>
      <c r="AA72" s="243"/>
      <c r="AB72" s="243"/>
      <c r="AC72" s="243"/>
      <c r="AD72" s="243"/>
      <c r="AE72" s="243"/>
      <c r="AF72" s="243"/>
      <c r="AG72" s="243"/>
      <c r="AH72" s="243"/>
      <c r="AI72" s="243"/>
      <c r="AJ72" s="243"/>
      <c r="AL72" s="308"/>
      <c r="AM72" s="308"/>
      <c r="AN72" s="308"/>
      <c r="AO72" s="308"/>
      <c r="AP72" s="308"/>
      <c r="AQ72" s="308"/>
      <c r="AR72" s="243" t="n">
        <f aca="false">AR71+1</f>
        <v>105</v>
      </c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</row>
    <row r="73" customFormat="false" ht="14.25" hidden="false" customHeight="false" outlineLevel="0" collapsed="false">
      <c r="B73" s="308"/>
      <c r="C73" s="308"/>
      <c r="D73" s="308"/>
      <c r="E73" s="308"/>
      <c r="F73" s="308"/>
      <c r="G73" s="308"/>
      <c r="H73" s="243" t="n">
        <f aca="false">H72+1</f>
        <v>34</v>
      </c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T73" s="308"/>
      <c r="U73" s="308"/>
      <c r="V73" s="308"/>
      <c r="W73" s="308"/>
      <c r="X73" s="308"/>
      <c r="Y73" s="308"/>
      <c r="Z73" s="243" t="n">
        <f aca="false">Z72+1</f>
        <v>70</v>
      </c>
      <c r="AA73" s="243"/>
      <c r="AB73" s="243"/>
      <c r="AC73" s="243"/>
      <c r="AD73" s="243"/>
      <c r="AE73" s="243"/>
      <c r="AF73" s="243"/>
      <c r="AG73" s="243"/>
      <c r="AH73" s="243"/>
      <c r="AI73" s="243"/>
      <c r="AJ73" s="243"/>
      <c r="AL73" s="308"/>
      <c r="AM73" s="308"/>
      <c r="AN73" s="308"/>
      <c r="AO73" s="308"/>
      <c r="AP73" s="308"/>
      <c r="AQ73" s="308"/>
      <c r="AR73" s="243" t="n">
        <f aca="false">AR72+1</f>
        <v>106</v>
      </c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</row>
    <row r="74" customFormat="false" ht="14.25" hidden="false" customHeight="false" outlineLevel="0" collapsed="false">
      <c r="B74" s="308"/>
      <c r="C74" s="308"/>
      <c r="D74" s="308"/>
      <c r="E74" s="308"/>
      <c r="F74" s="308"/>
      <c r="G74" s="308"/>
      <c r="H74" s="243" t="n">
        <f aca="false">H73+1</f>
        <v>35</v>
      </c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T74" s="308"/>
      <c r="U74" s="308"/>
      <c r="V74" s="308"/>
      <c r="W74" s="308"/>
      <c r="X74" s="308"/>
      <c r="Y74" s="308"/>
      <c r="Z74" s="243" t="n">
        <f aca="false">Z73+1</f>
        <v>71</v>
      </c>
      <c r="AA74" s="243"/>
      <c r="AB74" s="243"/>
      <c r="AC74" s="243"/>
      <c r="AD74" s="243"/>
      <c r="AE74" s="243"/>
      <c r="AF74" s="243"/>
      <c r="AG74" s="243"/>
      <c r="AH74" s="243"/>
      <c r="AI74" s="243"/>
      <c r="AJ74" s="243"/>
      <c r="AL74" s="308"/>
      <c r="AM74" s="308"/>
      <c r="AN74" s="308"/>
      <c r="AO74" s="308"/>
      <c r="AP74" s="308"/>
      <c r="AQ74" s="308"/>
      <c r="AR74" s="243" t="n">
        <f aca="false">AR73+1</f>
        <v>107</v>
      </c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</row>
    <row r="75" customFormat="false" ht="14.25" hidden="false" customHeight="false" outlineLevel="0" collapsed="false">
      <c r="B75" s="308"/>
      <c r="C75" s="308"/>
      <c r="D75" s="308"/>
      <c r="E75" s="308"/>
      <c r="F75" s="308"/>
      <c r="G75" s="308"/>
      <c r="H75" s="243" t="n">
        <f aca="false">H74+1</f>
        <v>36</v>
      </c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T75" s="308"/>
      <c r="U75" s="308"/>
      <c r="V75" s="308"/>
      <c r="W75" s="308"/>
      <c r="X75" s="308"/>
      <c r="Y75" s="308"/>
      <c r="Z75" s="243" t="n">
        <f aca="false">Z74+1</f>
        <v>72</v>
      </c>
      <c r="AA75" s="243"/>
      <c r="AB75" s="243"/>
      <c r="AC75" s="243"/>
      <c r="AD75" s="243"/>
      <c r="AE75" s="243"/>
      <c r="AF75" s="243"/>
      <c r="AG75" s="243"/>
      <c r="AH75" s="243"/>
      <c r="AI75" s="243"/>
      <c r="AJ75" s="243"/>
      <c r="AL75" s="308"/>
      <c r="AM75" s="308"/>
      <c r="AN75" s="308"/>
      <c r="AO75" s="308"/>
      <c r="AP75" s="308"/>
      <c r="AQ75" s="308"/>
      <c r="AR75" s="243" t="n">
        <f aca="false">AR74+1</f>
        <v>108</v>
      </c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</row>
  </sheetData>
  <mergeCells count="823">
    <mergeCell ref="B3:F3"/>
    <mergeCell ref="G3:K3"/>
    <mergeCell ref="M3:R3"/>
    <mergeCell ref="S3:W3"/>
    <mergeCell ref="Y3:AC3"/>
    <mergeCell ref="AD3:AH3"/>
    <mergeCell ref="AK3:BB3"/>
    <mergeCell ref="AK4:BB15"/>
    <mergeCell ref="B5:G5"/>
    <mergeCell ref="H5:P5"/>
    <mergeCell ref="S5:U5"/>
    <mergeCell ref="V5:AH5"/>
    <mergeCell ref="B7:E7"/>
    <mergeCell ref="F7:I7"/>
    <mergeCell ref="K7:Q7"/>
    <mergeCell ref="R7:AH7"/>
    <mergeCell ref="F9:I9"/>
    <mergeCell ref="J9:K9"/>
    <mergeCell ref="Q9:T9"/>
    <mergeCell ref="U9:V9"/>
    <mergeCell ref="X9:AA9"/>
    <mergeCell ref="AB9:AE9"/>
    <mergeCell ref="AF9:AH9"/>
    <mergeCell ref="X10:AA10"/>
    <mergeCell ref="AB10:AE10"/>
    <mergeCell ref="AF10:AH10"/>
    <mergeCell ref="F11:I11"/>
    <mergeCell ref="J11:K11"/>
    <mergeCell ref="P11:S11"/>
    <mergeCell ref="T11:V11"/>
    <mergeCell ref="X11:AA11"/>
    <mergeCell ref="AB11:AE11"/>
    <mergeCell ref="AF11:AH11"/>
    <mergeCell ref="H13:P13"/>
    <mergeCell ref="U13:Y13"/>
    <mergeCell ref="AE13:AH13"/>
    <mergeCell ref="B15:I15"/>
    <mergeCell ref="J15:L15"/>
    <mergeCell ref="B17:C17"/>
    <mergeCell ref="D17:M17"/>
    <mergeCell ref="N17:P17"/>
    <mergeCell ref="R17:T17"/>
    <mergeCell ref="U17:W17"/>
    <mergeCell ref="X17:Z17"/>
    <mergeCell ref="AA17:AC17"/>
    <mergeCell ref="AD17:AF17"/>
    <mergeCell ref="AG17:AI17"/>
    <mergeCell ref="AK17:AM17"/>
    <mergeCell ref="AN17:AP17"/>
    <mergeCell ref="AQ17:AS17"/>
    <mergeCell ref="AT17:AV17"/>
    <mergeCell ref="AW17:AY17"/>
    <mergeCell ref="AZ17:BB17"/>
    <mergeCell ref="B18:C18"/>
    <mergeCell ref="D18:M18"/>
    <mergeCell ref="N18:P18"/>
    <mergeCell ref="R18:T18"/>
    <mergeCell ref="U18:W18"/>
    <mergeCell ref="X18:Z18"/>
    <mergeCell ref="AA18:AC18"/>
    <mergeCell ref="AD18:AF18"/>
    <mergeCell ref="AG18:AI18"/>
    <mergeCell ref="AK18:AM18"/>
    <mergeCell ref="AN18:AP18"/>
    <mergeCell ref="AQ18:AS18"/>
    <mergeCell ref="AT18:AV18"/>
    <mergeCell ref="AW18:AY18"/>
    <mergeCell ref="AZ18:BB18"/>
    <mergeCell ref="B19:C19"/>
    <mergeCell ref="D19:M19"/>
    <mergeCell ref="N19:P19"/>
    <mergeCell ref="R19:T19"/>
    <mergeCell ref="U19:W19"/>
    <mergeCell ref="X19:Z19"/>
    <mergeCell ref="AA19:AC19"/>
    <mergeCell ref="AD19:AF19"/>
    <mergeCell ref="AG19:AI19"/>
    <mergeCell ref="AK19:AM19"/>
    <mergeCell ref="AN19:AP19"/>
    <mergeCell ref="AQ19:AS19"/>
    <mergeCell ref="AT19:AV19"/>
    <mergeCell ref="AW19:AY19"/>
    <mergeCell ref="AZ19:BB19"/>
    <mergeCell ref="B20:C20"/>
    <mergeCell ref="D20:M20"/>
    <mergeCell ref="N20:P20"/>
    <mergeCell ref="R20:T20"/>
    <mergeCell ref="U20:W20"/>
    <mergeCell ref="X20:Z20"/>
    <mergeCell ref="AA20:AC20"/>
    <mergeCell ref="AD20:AF20"/>
    <mergeCell ref="AG20:AI20"/>
    <mergeCell ref="AK20:AM20"/>
    <mergeCell ref="AN20:AP20"/>
    <mergeCell ref="AQ20:AS20"/>
    <mergeCell ref="AT20:AV20"/>
    <mergeCell ref="AW20:AY20"/>
    <mergeCell ref="AZ20:BB20"/>
    <mergeCell ref="B21:C21"/>
    <mergeCell ref="D21:M21"/>
    <mergeCell ref="N21:P21"/>
    <mergeCell ref="R21:T21"/>
    <mergeCell ref="U21:W21"/>
    <mergeCell ref="X21:Z21"/>
    <mergeCell ref="AA21:AC21"/>
    <mergeCell ref="AD21:AF21"/>
    <mergeCell ref="AG21:AI21"/>
    <mergeCell ref="AK21:AM21"/>
    <mergeCell ref="AN21:AP21"/>
    <mergeCell ref="AQ21:AS21"/>
    <mergeCell ref="AT21:AV21"/>
    <mergeCell ref="AW21:AY21"/>
    <mergeCell ref="AZ21:BB21"/>
    <mergeCell ref="B22:C22"/>
    <mergeCell ref="D22:M22"/>
    <mergeCell ref="N22:P22"/>
    <mergeCell ref="R22:T22"/>
    <mergeCell ref="U22:W22"/>
    <mergeCell ref="X22:Z22"/>
    <mergeCell ref="AA22:AC22"/>
    <mergeCell ref="AD22:AF22"/>
    <mergeCell ref="AG22:AI22"/>
    <mergeCell ref="AK22:AM22"/>
    <mergeCell ref="AN22:AP22"/>
    <mergeCell ref="AQ22:AS22"/>
    <mergeCell ref="AT22:AV22"/>
    <mergeCell ref="AW22:AY22"/>
    <mergeCell ref="AZ22:BB22"/>
    <mergeCell ref="B23:C23"/>
    <mergeCell ref="D23:M23"/>
    <mergeCell ref="N23:P23"/>
    <mergeCell ref="R23:T23"/>
    <mergeCell ref="U23:W23"/>
    <mergeCell ref="X23:Z23"/>
    <mergeCell ref="AA23:AC23"/>
    <mergeCell ref="AD23:AF23"/>
    <mergeCell ref="AG23:AI23"/>
    <mergeCell ref="AK23:AM23"/>
    <mergeCell ref="AN23:AP23"/>
    <mergeCell ref="AQ23:AS23"/>
    <mergeCell ref="AT23:AV23"/>
    <mergeCell ref="AW23:AY23"/>
    <mergeCell ref="AZ23:BB23"/>
    <mergeCell ref="B24:C24"/>
    <mergeCell ref="D24:M24"/>
    <mergeCell ref="N24:P24"/>
    <mergeCell ref="R24:T24"/>
    <mergeCell ref="U24:W24"/>
    <mergeCell ref="X24:Z24"/>
    <mergeCell ref="AA24:AC24"/>
    <mergeCell ref="AD24:AF24"/>
    <mergeCell ref="AG24:AI24"/>
    <mergeCell ref="AK24:AM24"/>
    <mergeCell ref="AN24:AP24"/>
    <mergeCell ref="AQ24:AS24"/>
    <mergeCell ref="AT24:AV24"/>
    <mergeCell ref="AW24:AY24"/>
    <mergeCell ref="AZ24:BB24"/>
    <mergeCell ref="B25:C25"/>
    <mergeCell ref="D25:M25"/>
    <mergeCell ref="N25:P25"/>
    <mergeCell ref="R25:T25"/>
    <mergeCell ref="U25:W25"/>
    <mergeCell ref="X25:Z25"/>
    <mergeCell ref="AA25:AC25"/>
    <mergeCell ref="AD25:AF25"/>
    <mergeCell ref="AG25:AI25"/>
    <mergeCell ref="AK25:AM25"/>
    <mergeCell ref="AN25:AP25"/>
    <mergeCell ref="AQ25:AS25"/>
    <mergeCell ref="AT25:AV25"/>
    <mergeCell ref="AW25:AY25"/>
    <mergeCell ref="AZ25:BB25"/>
    <mergeCell ref="B26:C26"/>
    <mergeCell ref="D26:M26"/>
    <mergeCell ref="N26:P26"/>
    <mergeCell ref="R26:T26"/>
    <mergeCell ref="U26:W26"/>
    <mergeCell ref="X26:Z26"/>
    <mergeCell ref="AA26:AC26"/>
    <mergeCell ref="AD26:AF26"/>
    <mergeCell ref="AG26:AI26"/>
    <mergeCell ref="AK26:AM26"/>
    <mergeCell ref="AN26:AP26"/>
    <mergeCell ref="AQ26:AS26"/>
    <mergeCell ref="AT26:AV26"/>
    <mergeCell ref="AW26:AY26"/>
    <mergeCell ref="AZ26:BB26"/>
    <mergeCell ref="B27:C27"/>
    <mergeCell ref="D27:M27"/>
    <mergeCell ref="N27:P27"/>
    <mergeCell ref="R27:T27"/>
    <mergeCell ref="U27:W27"/>
    <mergeCell ref="X27:Z27"/>
    <mergeCell ref="AA27:AC27"/>
    <mergeCell ref="AD27:AF27"/>
    <mergeCell ref="AG27:AI27"/>
    <mergeCell ref="AK27:AM27"/>
    <mergeCell ref="AN27:AP27"/>
    <mergeCell ref="AQ27:AS27"/>
    <mergeCell ref="AT27:AV27"/>
    <mergeCell ref="AW27:AY27"/>
    <mergeCell ref="AZ27:BB27"/>
    <mergeCell ref="B28:C28"/>
    <mergeCell ref="D28:M28"/>
    <mergeCell ref="N28:P28"/>
    <mergeCell ref="R28:T28"/>
    <mergeCell ref="U28:W28"/>
    <mergeCell ref="X28:Z28"/>
    <mergeCell ref="AA28:AC28"/>
    <mergeCell ref="AD28:AF28"/>
    <mergeCell ref="AG28:AI28"/>
    <mergeCell ref="AK28:AM28"/>
    <mergeCell ref="AN28:AP28"/>
    <mergeCell ref="AQ28:AS28"/>
    <mergeCell ref="AT28:AV28"/>
    <mergeCell ref="AW28:AY28"/>
    <mergeCell ref="AZ28:BB28"/>
    <mergeCell ref="B29:C29"/>
    <mergeCell ref="D29:M29"/>
    <mergeCell ref="N29:P29"/>
    <mergeCell ref="R29:T29"/>
    <mergeCell ref="U29:W29"/>
    <mergeCell ref="X29:Z29"/>
    <mergeCell ref="AA29:AC29"/>
    <mergeCell ref="AD29:AF29"/>
    <mergeCell ref="AG29:AI29"/>
    <mergeCell ref="AK29:AM29"/>
    <mergeCell ref="AN29:AP29"/>
    <mergeCell ref="AQ29:AS29"/>
    <mergeCell ref="AT29:AV29"/>
    <mergeCell ref="AW29:AY29"/>
    <mergeCell ref="AZ29:BB29"/>
    <mergeCell ref="B30:C30"/>
    <mergeCell ref="D30:M30"/>
    <mergeCell ref="N30:P30"/>
    <mergeCell ref="R30:T30"/>
    <mergeCell ref="U30:W30"/>
    <mergeCell ref="X30:Z30"/>
    <mergeCell ref="AA30:AC30"/>
    <mergeCell ref="AD30:AF30"/>
    <mergeCell ref="AG30:AI30"/>
    <mergeCell ref="AK30:AM30"/>
    <mergeCell ref="AN30:AP30"/>
    <mergeCell ref="AQ30:AS30"/>
    <mergeCell ref="AT30:AV30"/>
    <mergeCell ref="AW30:AY30"/>
    <mergeCell ref="AZ30:BB30"/>
    <mergeCell ref="B31:C31"/>
    <mergeCell ref="D31:M31"/>
    <mergeCell ref="N31:P31"/>
    <mergeCell ref="R31:T31"/>
    <mergeCell ref="U31:W31"/>
    <mergeCell ref="X31:Z31"/>
    <mergeCell ref="AA31:AC31"/>
    <mergeCell ref="AD31:AF31"/>
    <mergeCell ref="AG31:AI31"/>
    <mergeCell ref="AK31:AM31"/>
    <mergeCell ref="AN31:AP31"/>
    <mergeCell ref="AQ31:AS31"/>
    <mergeCell ref="AT31:AV31"/>
    <mergeCell ref="AW31:AY31"/>
    <mergeCell ref="AZ31:BB31"/>
    <mergeCell ref="AV33:AZ33"/>
    <mergeCell ref="AV34:AZ34"/>
    <mergeCell ref="AV35:AZ35"/>
    <mergeCell ref="AS37:AW37"/>
    <mergeCell ref="AX37:BB37"/>
    <mergeCell ref="B39:D39"/>
    <mergeCell ref="E39:G39"/>
    <mergeCell ref="H39:J39"/>
    <mergeCell ref="K39:M39"/>
    <mergeCell ref="N39:R39"/>
    <mergeCell ref="T39:V39"/>
    <mergeCell ref="W39:Y39"/>
    <mergeCell ref="Z39:AB39"/>
    <mergeCell ref="AC39:AE39"/>
    <mergeCell ref="AF39:AJ39"/>
    <mergeCell ref="AL39:AN39"/>
    <mergeCell ref="AO39:AQ39"/>
    <mergeCell ref="AR39:AT39"/>
    <mergeCell ref="AU39:AW39"/>
    <mergeCell ref="AX39:BB39"/>
    <mergeCell ref="B40:D40"/>
    <mergeCell ref="E40:G40"/>
    <mergeCell ref="H40:J40"/>
    <mergeCell ref="K40:M40"/>
    <mergeCell ref="N40:R40"/>
    <mergeCell ref="T40:V40"/>
    <mergeCell ref="W40:Y40"/>
    <mergeCell ref="Z40:AB40"/>
    <mergeCell ref="AC40:AE40"/>
    <mergeCell ref="AF40:AJ40"/>
    <mergeCell ref="AL40:AN40"/>
    <mergeCell ref="AO40:AQ40"/>
    <mergeCell ref="AR40:AT40"/>
    <mergeCell ref="AU40:AW40"/>
    <mergeCell ref="AX40:BB40"/>
    <mergeCell ref="B41:D41"/>
    <mergeCell ref="E41:G41"/>
    <mergeCell ref="H41:J41"/>
    <mergeCell ref="K41:M41"/>
    <mergeCell ref="N41:R41"/>
    <mergeCell ref="T41:V41"/>
    <mergeCell ref="W41:Y41"/>
    <mergeCell ref="Z41:AB41"/>
    <mergeCell ref="AC41:AE41"/>
    <mergeCell ref="AF41:AJ41"/>
    <mergeCell ref="AL41:AN41"/>
    <mergeCell ref="AO41:AQ41"/>
    <mergeCell ref="AR41:AT41"/>
    <mergeCell ref="AU41:AW41"/>
    <mergeCell ref="AX41:BB41"/>
    <mergeCell ref="B42:D42"/>
    <mergeCell ref="E42:G42"/>
    <mergeCell ref="H42:J42"/>
    <mergeCell ref="K42:M42"/>
    <mergeCell ref="N42:R42"/>
    <mergeCell ref="T42:V42"/>
    <mergeCell ref="W42:Y42"/>
    <mergeCell ref="Z42:AB42"/>
    <mergeCell ref="AC42:AE42"/>
    <mergeCell ref="AF42:AJ42"/>
    <mergeCell ref="AL42:AN42"/>
    <mergeCell ref="AO42:AQ42"/>
    <mergeCell ref="AR42:AT42"/>
    <mergeCell ref="AU42:AW42"/>
    <mergeCell ref="AX42:BB42"/>
    <mergeCell ref="B43:D43"/>
    <mergeCell ref="E43:G43"/>
    <mergeCell ref="H43:J43"/>
    <mergeCell ref="K43:M43"/>
    <mergeCell ref="N43:R43"/>
    <mergeCell ref="T43:V43"/>
    <mergeCell ref="W43:Y43"/>
    <mergeCell ref="Z43:AB43"/>
    <mergeCell ref="AC43:AE43"/>
    <mergeCell ref="AF43:AJ43"/>
    <mergeCell ref="AL43:AN43"/>
    <mergeCell ref="AO43:AQ43"/>
    <mergeCell ref="AR43:AT43"/>
    <mergeCell ref="AU43:AW43"/>
    <mergeCell ref="AX43:BB43"/>
    <mergeCell ref="B44:D44"/>
    <mergeCell ref="E44:G44"/>
    <mergeCell ref="H44:J44"/>
    <mergeCell ref="K44:M44"/>
    <mergeCell ref="N44:R44"/>
    <mergeCell ref="T44:V44"/>
    <mergeCell ref="W44:Y44"/>
    <mergeCell ref="Z44:AB44"/>
    <mergeCell ref="AC44:AE44"/>
    <mergeCell ref="AF44:AJ44"/>
    <mergeCell ref="AL44:AN44"/>
    <mergeCell ref="AO44:AQ44"/>
    <mergeCell ref="AR44:AT44"/>
    <mergeCell ref="AU44:AW44"/>
    <mergeCell ref="AX44:BB44"/>
    <mergeCell ref="B45:D45"/>
    <mergeCell ref="E45:G45"/>
    <mergeCell ref="H45:J45"/>
    <mergeCell ref="K45:M45"/>
    <mergeCell ref="N45:R45"/>
    <mergeCell ref="T45:V45"/>
    <mergeCell ref="W45:Y45"/>
    <mergeCell ref="Z45:AB45"/>
    <mergeCell ref="AC45:AE45"/>
    <mergeCell ref="AF45:AJ45"/>
    <mergeCell ref="AL45:AN45"/>
    <mergeCell ref="AO45:AQ45"/>
    <mergeCell ref="AR45:AT45"/>
    <mergeCell ref="AU45:AW45"/>
    <mergeCell ref="AX45:BB45"/>
    <mergeCell ref="B46:D46"/>
    <mergeCell ref="E46:G46"/>
    <mergeCell ref="H46:J46"/>
    <mergeCell ref="K46:M46"/>
    <mergeCell ref="N46:R46"/>
    <mergeCell ref="T46:V46"/>
    <mergeCell ref="W46:Y46"/>
    <mergeCell ref="Z46:AB46"/>
    <mergeCell ref="AC46:AE46"/>
    <mergeCell ref="AF46:AJ46"/>
    <mergeCell ref="AL46:AN46"/>
    <mergeCell ref="AO46:AQ46"/>
    <mergeCell ref="AR46:AT46"/>
    <mergeCell ref="AU46:AW46"/>
    <mergeCell ref="AX46:BB46"/>
    <mergeCell ref="B47:D47"/>
    <mergeCell ref="E47:G47"/>
    <mergeCell ref="H47:J47"/>
    <mergeCell ref="K47:M47"/>
    <mergeCell ref="N47:R47"/>
    <mergeCell ref="T47:V47"/>
    <mergeCell ref="W47:Y47"/>
    <mergeCell ref="Z47:AB47"/>
    <mergeCell ref="AC47:AE47"/>
    <mergeCell ref="AF47:AJ47"/>
    <mergeCell ref="AL47:AN47"/>
    <mergeCell ref="AO47:AQ47"/>
    <mergeCell ref="AR47:AT47"/>
    <mergeCell ref="AU47:AW47"/>
    <mergeCell ref="AX47:BB47"/>
    <mergeCell ref="B48:D48"/>
    <mergeCell ref="E48:G48"/>
    <mergeCell ref="H48:J48"/>
    <mergeCell ref="K48:M48"/>
    <mergeCell ref="N48:R48"/>
    <mergeCell ref="T48:V48"/>
    <mergeCell ref="W48:Y48"/>
    <mergeCell ref="Z48:AB48"/>
    <mergeCell ref="AC48:AE48"/>
    <mergeCell ref="AF48:AJ48"/>
    <mergeCell ref="AL48:AN48"/>
    <mergeCell ref="AO48:AQ48"/>
    <mergeCell ref="AR48:AT48"/>
    <mergeCell ref="AU48:AW48"/>
    <mergeCell ref="AX48:BB48"/>
    <mergeCell ref="B49:D49"/>
    <mergeCell ref="E49:G49"/>
    <mergeCell ref="H49:J49"/>
    <mergeCell ref="K49:M49"/>
    <mergeCell ref="N49:R49"/>
    <mergeCell ref="T49:V49"/>
    <mergeCell ref="W49:Y49"/>
    <mergeCell ref="Z49:AB49"/>
    <mergeCell ref="AC49:AE49"/>
    <mergeCell ref="AF49:AJ49"/>
    <mergeCell ref="AL49:AN49"/>
    <mergeCell ref="AO49:AQ49"/>
    <mergeCell ref="AR49:AT49"/>
    <mergeCell ref="AU49:AW49"/>
    <mergeCell ref="AX49:BB49"/>
    <mergeCell ref="B50:D50"/>
    <mergeCell ref="E50:G50"/>
    <mergeCell ref="H50:J50"/>
    <mergeCell ref="K50:M50"/>
    <mergeCell ref="N50:R50"/>
    <mergeCell ref="T50:V50"/>
    <mergeCell ref="W50:Y50"/>
    <mergeCell ref="Z50:AB50"/>
    <mergeCell ref="AC50:AE50"/>
    <mergeCell ref="AF50:AJ50"/>
    <mergeCell ref="AL50:AN50"/>
    <mergeCell ref="AO50:AQ50"/>
    <mergeCell ref="AR50:AT50"/>
    <mergeCell ref="AU50:AW50"/>
    <mergeCell ref="AX50:BB50"/>
    <mergeCell ref="B51:D51"/>
    <mergeCell ref="E51:G51"/>
    <mergeCell ref="H51:J51"/>
    <mergeCell ref="K51:M51"/>
    <mergeCell ref="N51:R51"/>
    <mergeCell ref="T51:V51"/>
    <mergeCell ref="W51:Y51"/>
    <mergeCell ref="Z51:AB51"/>
    <mergeCell ref="AC51:AE51"/>
    <mergeCell ref="AF51:AJ51"/>
    <mergeCell ref="AL51:AN51"/>
    <mergeCell ref="AO51:AQ51"/>
    <mergeCell ref="AR51:AT51"/>
    <mergeCell ref="AU51:AW51"/>
    <mergeCell ref="AX51:BB51"/>
    <mergeCell ref="B52:D52"/>
    <mergeCell ref="E52:G52"/>
    <mergeCell ref="H52:J52"/>
    <mergeCell ref="K52:M52"/>
    <mergeCell ref="N52:R52"/>
    <mergeCell ref="T52:V52"/>
    <mergeCell ref="W52:Y52"/>
    <mergeCell ref="Z52:AB52"/>
    <mergeCell ref="AC52:AE52"/>
    <mergeCell ref="AF52:AJ52"/>
    <mergeCell ref="AL52:AN52"/>
    <mergeCell ref="AO52:AQ52"/>
    <mergeCell ref="AR52:AT52"/>
    <mergeCell ref="AU52:AW52"/>
    <mergeCell ref="AX52:BB52"/>
    <mergeCell ref="B53:D53"/>
    <mergeCell ref="E53:G53"/>
    <mergeCell ref="H53:J53"/>
    <mergeCell ref="K53:M53"/>
    <mergeCell ref="N53:R53"/>
    <mergeCell ref="T53:V53"/>
    <mergeCell ref="W53:Y53"/>
    <mergeCell ref="Z53:AB53"/>
    <mergeCell ref="AC53:AE53"/>
    <mergeCell ref="AF53:AJ53"/>
    <mergeCell ref="AL53:AN53"/>
    <mergeCell ref="AO53:AQ53"/>
    <mergeCell ref="AR53:AT53"/>
    <mergeCell ref="AU53:AW53"/>
    <mergeCell ref="AX53:BB53"/>
    <mergeCell ref="B54:D54"/>
    <mergeCell ref="E54:G54"/>
    <mergeCell ref="H54:J54"/>
    <mergeCell ref="K54:M54"/>
    <mergeCell ref="N54:R54"/>
    <mergeCell ref="T54:V54"/>
    <mergeCell ref="W54:Y54"/>
    <mergeCell ref="Z54:AB54"/>
    <mergeCell ref="AC54:AE54"/>
    <mergeCell ref="AF54:AJ54"/>
    <mergeCell ref="AL54:AN54"/>
    <mergeCell ref="AO54:AQ54"/>
    <mergeCell ref="AR54:AT54"/>
    <mergeCell ref="AU54:AW54"/>
    <mergeCell ref="AX54:BB54"/>
    <mergeCell ref="B55:D55"/>
    <mergeCell ref="E55:G55"/>
    <mergeCell ref="H55:J55"/>
    <mergeCell ref="K55:M55"/>
    <mergeCell ref="N55:R55"/>
    <mergeCell ref="T55:V55"/>
    <mergeCell ref="W55:Y55"/>
    <mergeCell ref="Z55:AB55"/>
    <mergeCell ref="AC55:AE55"/>
    <mergeCell ref="AF55:AJ55"/>
    <mergeCell ref="AL55:AN55"/>
    <mergeCell ref="AO55:AQ55"/>
    <mergeCell ref="AR55:AT55"/>
    <mergeCell ref="AU55:AW55"/>
    <mergeCell ref="AX55:BB55"/>
    <mergeCell ref="B56:D56"/>
    <mergeCell ref="E56:G56"/>
    <mergeCell ref="H56:J56"/>
    <mergeCell ref="K56:M56"/>
    <mergeCell ref="N56:R56"/>
    <mergeCell ref="T56:V56"/>
    <mergeCell ref="W56:Y56"/>
    <mergeCell ref="Z56:AB56"/>
    <mergeCell ref="AC56:AE56"/>
    <mergeCell ref="AF56:AJ56"/>
    <mergeCell ref="AL56:AN56"/>
    <mergeCell ref="AO56:AQ56"/>
    <mergeCell ref="AR56:AT56"/>
    <mergeCell ref="AU56:AW56"/>
    <mergeCell ref="AX56:BB56"/>
    <mergeCell ref="B57:D57"/>
    <mergeCell ref="E57:G57"/>
    <mergeCell ref="H57:J57"/>
    <mergeCell ref="K57:M57"/>
    <mergeCell ref="N57:R57"/>
    <mergeCell ref="T57:V57"/>
    <mergeCell ref="W57:Y57"/>
    <mergeCell ref="Z57:AB57"/>
    <mergeCell ref="AC57:AE57"/>
    <mergeCell ref="AF57:AJ57"/>
    <mergeCell ref="AL57:AN57"/>
    <mergeCell ref="AO57:AQ57"/>
    <mergeCell ref="AR57:AT57"/>
    <mergeCell ref="AU57:AW57"/>
    <mergeCell ref="AX57:BB57"/>
    <mergeCell ref="B58:D58"/>
    <mergeCell ref="E58:G58"/>
    <mergeCell ref="H58:J58"/>
    <mergeCell ref="K58:M58"/>
    <mergeCell ref="N58:R58"/>
    <mergeCell ref="T58:V58"/>
    <mergeCell ref="W58:Y58"/>
    <mergeCell ref="Z58:AB58"/>
    <mergeCell ref="AC58:AE58"/>
    <mergeCell ref="AF58:AJ58"/>
    <mergeCell ref="AL58:AN58"/>
    <mergeCell ref="AO58:AQ58"/>
    <mergeCell ref="AR58:AT58"/>
    <mergeCell ref="AU58:AW58"/>
    <mergeCell ref="AX58:BB58"/>
    <mergeCell ref="B59:D59"/>
    <mergeCell ref="E59:G59"/>
    <mergeCell ref="H59:J59"/>
    <mergeCell ref="K59:M59"/>
    <mergeCell ref="N59:R59"/>
    <mergeCell ref="T59:V59"/>
    <mergeCell ref="W59:Y59"/>
    <mergeCell ref="Z59:AB59"/>
    <mergeCell ref="AC59:AE59"/>
    <mergeCell ref="AF59:AJ59"/>
    <mergeCell ref="AL59:AN59"/>
    <mergeCell ref="AO59:AQ59"/>
    <mergeCell ref="AR59:AT59"/>
    <mergeCell ref="AU59:AW59"/>
    <mergeCell ref="AX59:BB59"/>
    <mergeCell ref="B60:D60"/>
    <mergeCell ref="E60:G60"/>
    <mergeCell ref="H60:J60"/>
    <mergeCell ref="K60:M60"/>
    <mergeCell ref="N60:R60"/>
    <mergeCell ref="T60:V60"/>
    <mergeCell ref="W60:Y60"/>
    <mergeCell ref="Z60:AB60"/>
    <mergeCell ref="AC60:AE60"/>
    <mergeCell ref="AF60:AJ60"/>
    <mergeCell ref="AL60:AN60"/>
    <mergeCell ref="AO60:AQ60"/>
    <mergeCell ref="AR60:AT60"/>
    <mergeCell ref="AU60:AW60"/>
    <mergeCell ref="AX60:BB60"/>
    <mergeCell ref="B61:D61"/>
    <mergeCell ref="E61:G61"/>
    <mergeCell ref="H61:J61"/>
    <mergeCell ref="K61:M61"/>
    <mergeCell ref="N61:R61"/>
    <mergeCell ref="T61:V61"/>
    <mergeCell ref="W61:Y61"/>
    <mergeCell ref="Z61:AB61"/>
    <mergeCell ref="AC61:AE61"/>
    <mergeCell ref="AF61:AJ61"/>
    <mergeCell ref="AL61:AN61"/>
    <mergeCell ref="AO61:AQ61"/>
    <mergeCell ref="AR61:AT61"/>
    <mergeCell ref="AU61:AW61"/>
    <mergeCell ref="AX61:BB61"/>
    <mergeCell ref="B62:D62"/>
    <mergeCell ref="E62:G62"/>
    <mergeCell ref="H62:J62"/>
    <mergeCell ref="K62:M62"/>
    <mergeCell ref="N62:R62"/>
    <mergeCell ref="T62:V62"/>
    <mergeCell ref="W62:Y62"/>
    <mergeCell ref="Z62:AB62"/>
    <mergeCell ref="AC62:AE62"/>
    <mergeCell ref="AF62:AJ62"/>
    <mergeCell ref="AL62:AN62"/>
    <mergeCell ref="AO62:AQ62"/>
    <mergeCell ref="AR62:AT62"/>
    <mergeCell ref="AU62:AW62"/>
    <mergeCell ref="AX62:BB62"/>
    <mergeCell ref="B63:D63"/>
    <mergeCell ref="E63:G63"/>
    <mergeCell ref="H63:J63"/>
    <mergeCell ref="K63:M63"/>
    <mergeCell ref="N63:R63"/>
    <mergeCell ref="T63:V63"/>
    <mergeCell ref="W63:Y63"/>
    <mergeCell ref="Z63:AB63"/>
    <mergeCell ref="AC63:AE63"/>
    <mergeCell ref="AF63:AJ63"/>
    <mergeCell ref="AL63:AN63"/>
    <mergeCell ref="AO63:AQ63"/>
    <mergeCell ref="AR63:AT63"/>
    <mergeCell ref="AU63:AW63"/>
    <mergeCell ref="AX63:BB63"/>
    <mergeCell ref="B64:D64"/>
    <mergeCell ref="E64:G64"/>
    <mergeCell ref="H64:J64"/>
    <mergeCell ref="K64:M64"/>
    <mergeCell ref="N64:R64"/>
    <mergeCell ref="T64:V64"/>
    <mergeCell ref="W64:Y64"/>
    <mergeCell ref="Z64:AB64"/>
    <mergeCell ref="AC64:AE64"/>
    <mergeCell ref="AF64:AJ64"/>
    <mergeCell ref="AL64:AN64"/>
    <mergeCell ref="AO64:AQ64"/>
    <mergeCell ref="AR64:AT64"/>
    <mergeCell ref="AU64:AW64"/>
    <mergeCell ref="AX64:BB64"/>
    <mergeCell ref="B65:D65"/>
    <mergeCell ref="E65:G65"/>
    <mergeCell ref="H65:J65"/>
    <mergeCell ref="K65:M65"/>
    <mergeCell ref="N65:R65"/>
    <mergeCell ref="T65:V65"/>
    <mergeCell ref="W65:Y65"/>
    <mergeCell ref="Z65:AB65"/>
    <mergeCell ref="AC65:AE65"/>
    <mergeCell ref="AF65:AJ65"/>
    <mergeCell ref="AL65:AN65"/>
    <mergeCell ref="AO65:AQ65"/>
    <mergeCell ref="AR65:AT65"/>
    <mergeCell ref="AU65:AW65"/>
    <mergeCell ref="AX65:BB65"/>
    <mergeCell ref="B66:D66"/>
    <mergeCell ref="E66:G66"/>
    <mergeCell ref="H66:J66"/>
    <mergeCell ref="K66:M66"/>
    <mergeCell ref="N66:R66"/>
    <mergeCell ref="T66:V66"/>
    <mergeCell ref="W66:Y66"/>
    <mergeCell ref="Z66:AB66"/>
    <mergeCell ref="AC66:AE66"/>
    <mergeCell ref="AF66:AJ66"/>
    <mergeCell ref="AL66:AN66"/>
    <mergeCell ref="AO66:AQ66"/>
    <mergeCell ref="AR66:AT66"/>
    <mergeCell ref="AU66:AW66"/>
    <mergeCell ref="AX66:BB66"/>
    <mergeCell ref="B67:D67"/>
    <mergeCell ref="E67:G67"/>
    <mergeCell ref="H67:J67"/>
    <mergeCell ref="K67:M67"/>
    <mergeCell ref="N67:R67"/>
    <mergeCell ref="T67:V67"/>
    <mergeCell ref="W67:Y67"/>
    <mergeCell ref="Z67:AB67"/>
    <mergeCell ref="AC67:AE67"/>
    <mergeCell ref="AF67:AJ67"/>
    <mergeCell ref="AL67:AN67"/>
    <mergeCell ref="AO67:AQ67"/>
    <mergeCell ref="AR67:AT67"/>
    <mergeCell ref="AU67:AW67"/>
    <mergeCell ref="AX67:BB67"/>
    <mergeCell ref="B68:D68"/>
    <mergeCell ref="E68:G68"/>
    <mergeCell ref="H68:J68"/>
    <mergeCell ref="K68:M68"/>
    <mergeCell ref="N68:R68"/>
    <mergeCell ref="T68:V68"/>
    <mergeCell ref="W68:Y68"/>
    <mergeCell ref="Z68:AB68"/>
    <mergeCell ref="AC68:AE68"/>
    <mergeCell ref="AF68:AJ68"/>
    <mergeCell ref="AL68:AN68"/>
    <mergeCell ref="AO68:AQ68"/>
    <mergeCell ref="AR68:AT68"/>
    <mergeCell ref="AU68:AW68"/>
    <mergeCell ref="AX68:BB68"/>
    <mergeCell ref="B69:D69"/>
    <mergeCell ref="E69:G69"/>
    <mergeCell ref="H69:J69"/>
    <mergeCell ref="K69:M69"/>
    <mergeCell ref="N69:R69"/>
    <mergeCell ref="T69:V69"/>
    <mergeCell ref="W69:Y69"/>
    <mergeCell ref="Z69:AB69"/>
    <mergeCell ref="AC69:AE69"/>
    <mergeCell ref="AF69:AJ69"/>
    <mergeCell ref="AL69:AN69"/>
    <mergeCell ref="AO69:AQ69"/>
    <mergeCell ref="AR69:AT69"/>
    <mergeCell ref="AU69:AW69"/>
    <mergeCell ref="AX69:BB69"/>
    <mergeCell ref="B70:D70"/>
    <mergeCell ref="E70:G70"/>
    <mergeCell ref="H70:J70"/>
    <mergeCell ref="K70:M70"/>
    <mergeCell ref="N70:R70"/>
    <mergeCell ref="T70:V70"/>
    <mergeCell ref="W70:Y70"/>
    <mergeCell ref="Z70:AB70"/>
    <mergeCell ref="AC70:AE70"/>
    <mergeCell ref="AF70:AJ70"/>
    <mergeCell ref="AL70:AN70"/>
    <mergeCell ref="AO70:AQ70"/>
    <mergeCell ref="AR70:AT70"/>
    <mergeCell ref="AU70:AW70"/>
    <mergeCell ref="AX70:BB70"/>
    <mergeCell ref="B71:D71"/>
    <mergeCell ref="E71:G71"/>
    <mergeCell ref="H71:J71"/>
    <mergeCell ref="K71:M71"/>
    <mergeCell ref="N71:R71"/>
    <mergeCell ref="T71:V71"/>
    <mergeCell ref="W71:Y71"/>
    <mergeCell ref="Z71:AB71"/>
    <mergeCell ref="AC71:AE71"/>
    <mergeCell ref="AF71:AJ71"/>
    <mergeCell ref="AL71:AN71"/>
    <mergeCell ref="AO71:AQ71"/>
    <mergeCell ref="AR71:AT71"/>
    <mergeCell ref="AU71:AW71"/>
    <mergeCell ref="AX71:BB71"/>
    <mergeCell ref="B72:D72"/>
    <mergeCell ref="E72:G72"/>
    <mergeCell ref="H72:J72"/>
    <mergeCell ref="K72:M72"/>
    <mergeCell ref="N72:R72"/>
    <mergeCell ref="T72:V72"/>
    <mergeCell ref="W72:Y72"/>
    <mergeCell ref="Z72:AB72"/>
    <mergeCell ref="AC72:AE72"/>
    <mergeCell ref="AF72:AJ72"/>
    <mergeCell ref="AL72:AN72"/>
    <mergeCell ref="AO72:AQ72"/>
    <mergeCell ref="AR72:AT72"/>
    <mergeCell ref="AU72:AW72"/>
    <mergeCell ref="AX72:BB72"/>
    <mergeCell ref="B73:D73"/>
    <mergeCell ref="E73:G73"/>
    <mergeCell ref="H73:J73"/>
    <mergeCell ref="K73:M73"/>
    <mergeCell ref="N73:R73"/>
    <mergeCell ref="T73:V73"/>
    <mergeCell ref="W73:Y73"/>
    <mergeCell ref="Z73:AB73"/>
    <mergeCell ref="AC73:AE73"/>
    <mergeCell ref="AF73:AJ73"/>
    <mergeCell ref="AL73:AN73"/>
    <mergeCell ref="AO73:AQ73"/>
    <mergeCell ref="AR73:AT73"/>
    <mergeCell ref="AU73:AW73"/>
    <mergeCell ref="AX73:BB73"/>
    <mergeCell ref="B74:D74"/>
    <mergeCell ref="E74:G74"/>
    <mergeCell ref="H74:J74"/>
    <mergeCell ref="K74:M74"/>
    <mergeCell ref="N74:R74"/>
    <mergeCell ref="T74:V74"/>
    <mergeCell ref="W74:Y74"/>
    <mergeCell ref="Z74:AB74"/>
    <mergeCell ref="AC74:AE74"/>
    <mergeCell ref="AF74:AJ74"/>
    <mergeCell ref="AL74:AN74"/>
    <mergeCell ref="AO74:AQ74"/>
    <mergeCell ref="AR74:AT74"/>
    <mergeCell ref="AU74:AW74"/>
    <mergeCell ref="AX74:BB74"/>
    <mergeCell ref="B75:D75"/>
    <mergeCell ref="E75:G75"/>
    <mergeCell ref="H75:J75"/>
    <mergeCell ref="K75:M75"/>
    <mergeCell ref="N75:R75"/>
    <mergeCell ref="T75:V75"/>
    <mergeCell ref="W75:Y75"/>
    <mergeCell ref="Z75:AB75"/>
    <mergeCell ref="AC75:AE75"/>
    <mergeCell ref="AF75:AJ75"/>
    <mergeCell ref="AL75:AN75"/>
    <mergeCell ref="AO75:AQ75"/>
    <mergeCell ref="AR75:AT75"/>
    <mergeCell ref="AU75:AW75"/>
    <mergeCell ref="AX75:BB75"/>
  </mergeCells>
  <printOptions headings="false" gridLines="false" gridLinesSet="true" horizontalCentered="false" verticalCentered="false"/>
  <pageMargins left="0.315277777777778" right="0.708333333333333" top="0.354166666666667" bottom="0.354166666666667" header="0.511811023622047" footer="0.511811023622047"/>
  <pageSetup paperSize="1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35" man="true" max="16383" min="0"/>
  </rowBreaks>
  <drawing r:id="rId1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1B99BE6876C94EACF0B0B797FB34F6" ma:contentTypeVersion="15" ma:contentTypeDescription="Create a new document." ma:contentTypeScope="" ma:versionID="bd5222f56c419b681f5f2ed4ced1d260">
  <xsd:schema xmlns:xsd="http://www.w3.org/2001/XMLSchema" xmlns:xs="http://www.w3.org/2001/XMLSchema" xmlns:p="http://schemas.microsoft.com/office/2006/metadata/properties" xmlns:ns2="4b8d5096-1bb7-414f-af5c-2411680bf71e" xmlns:ns3="71131562-680c-40ca-8cdb-dfe716e567b7" targetNamespace="http://schemas.microsoft.com/office/2006/metadata/properties" ma:root="true" ma:fieldsID="85d1e710a512070d7aaa96fdd7963702" ns2:_="" ns3:_="">
    <xsd:import namespace="4b8d5096-1bb7-414f-af5c-2411680bf71e"/>
    <xsd:import namespace="71131562-680c-40ca-8cdb-dfe716e567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d5096-1bb7-414f-af5c-2411680bf7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453ae97-cd49-4d15-b055-69e640f033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31562-680c-40ca-8cdb-dfe716e567b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06ea3e1-7327-453d-b131-ff203f208197}" ma:internalName="TaxCatchAll" ma:showField="CatchAllData" ma:web="71131562-680c-40ca-8cdb-dfe716e567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8d5096-1bb7-414f-af5c-2411680bf71e">
      <Terms xmlns="http://schemas.microsoft.com/office/infopath/2007/PartnerControls"/>
    </lcf76f155ced4ddcb4097134ff3c332f>
    <TaxCatchAll xmlns="71131562-680c-40ca-8cdb-dfe716e567b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1B99BE6876C94EACF0B0B797FB34F6" ma:contentTypeVersion="15" ma:contentTypeDescription="Crée un document." ma:contentTypeScope="" ma:versionID="36a7aca837fd54e25aefda21ed2b53c9">
  <xsd:schema xmlns:xsd="http://www.w3.org/2001/XMLSchema" xmlns:xs="http://www.w3.org/2001/XMLSchema" xmlns:p="http://schemas.microsoft.com/office/2006/metadata/properties" xmlns:ns2="4b8d5096-1bb7-414f-af5c-2411680bf71e" xmlns:ns3="71131562-680c-40ca-8cdb-dfe716e567b7" targetNamespace="http://schemas.microsoft.com/office/2006/metadata/properties" ma:root="true" ma:fieldsID="d39dda42ee086c0630f7ee70eb514390" ns2:_="" ns3:_="">
    <xsd:import namespace="4b8d5096-1bb7-414f-af5c-2411680bf71e"/>
    <xsd:import namespace="71131562-680c-40ca-8cdb-dfe716e567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d5096-1bb7-414f-af5c-2411680bf7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d453ae97-cd49-4d15-b055-69e640f033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31562-680c-40ca-8cdb-dfe716e567b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06ea3e1-7327-453d-b131-ff203f208197}" ma:internalName="TaxCatchAll" ma:showField="CatchAllData" ma:web="71131562-680c-40ca-8cdb-dfe716e567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8d5096-1bb7-414f-af5c-2411680bf71e">
      <Terms xmlns="http://schemas.microsoft.com/office/infopath/2007/PartnerControls"/>
    </lcf76f155ced4ddcb4097134ff3c332f>
    <TaxCatchAll xmlns="71131562-680c-40ca-8cdb-dfe716e567b7" xsi:nil="true"/>
  </documentManagement>
</p:properties>
</file>

<file path=customXml/itemProps1.xml><?xml version="1.0" encoding="utf-8"?>
<ds:datastoreItem xmlns:ds="http://schemas.openxmlformats.org/officeDocument/2006/customXml" ds:itemID="{6CDA11C5-223B-4239-8BAA-9CF23880B4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8d5096-1bb7-414f-af5c-2411680bf71e"/>
    <ds:schemaRef ds:uri="71131562-680c-40ca-8cdb-dfe716e567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9AA7F7-C36B-467B-AAEE-86E9DDC5368E}">
  <ds:schemaRefs>
    <ds:schemaRef ds:uri="4b8d5096-1bb7-414f-af5c-2411680bf71e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1131562-680c-40ca-8cdb-dfe716e567b7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1958C12-960B-404A-AC03-7D9FBC432FE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B643F0E-3E61-4EFA-9367-AA1B2385CF8E}"/>
</file>

<file path=customXml/itemProps5.xml><?xml version="1.0" encoding="utf-8"?>
<ds:datastoreItem xmlns:ds="http://schemas.openxmlformats.org/officeDocument/2006/customXml" ds:itemID="{711AF3F5-83D3-49EB-BE68-A256F2EF4273}"/>
</file>

<file path=customXml/itemProps6.xml><?xml version="1.0" encoding="utf-8"?>
<ds:datastoreItem xmlns:ds="http://schemas.openxmlformats.org/officeDocument/2006/customXml" ds:itemID="{95545D61-EEA0-41E6-B6DD-101B5B98906A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LibreOffice/24.2.6.2$Linux_X86_64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Joanne</dc:creator>
  <dc:description/>
  <cp:lastModifiedBy/>
  <cp:revision>1</cp:revision>
  <cp:lastPrinted>2025-01-23T22:30:57Z</cp:lastPrinted>
  <dcterms:created xsi:type="dcterms:W3CDTF">2024-03-23T19:38:24Z</dcterms:created>
  <dcterms:modified xsi:type="dcterms:W3CDTF">2025-01-26T15:43:07Z</dcterms:modified>
  <dc:language>en-CA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0x010100301B99BE6876C94EACF0B0B797FB34F6</vt:lpwstr>
  </property>
  <property fmtid="{D5CDD505-2E9C-101B-9397-08002B2CF9AE}" pid="3" name="MediaServiceImageTags">
    <vt:lpwstr/>
  </property>
</Properties>
</file>